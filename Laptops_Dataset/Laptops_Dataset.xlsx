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8_{C2244D61-DE84-4C8D-8845-1E2BA9765BE6}" xr6:coauthVersionLast="36" xr6:coauthVersionMax="36" xr10:uidLastSave="{00000000-0000-0000-0000-000000000000}"/>
  <bookViews>
    <workbookView xWindow="0" yWindow="0" windowWidth="15200" windowHeight="8250" activeTab="3" xr2:uid="{00000000-000D-0000-FFFF-FFFF00000000}"/>
  </bookViews>
  <sheets>
    <sheet name="Raw_laptops_Dataset" sheetId="1" r:id="rId1"/>
    <sheet name="Worksheet" sheetId="2" r:id="rId2"/>
    <sheet name="Family_Map" sheetId="3" r:id="rId3"/>
    <sheet name="Cleaned Dataset" sheetId="4" r:id="rId4"/>
  </sheets>
  <definedNames>
    <definedName name="_xlnm._FilterDatabase" localSheetId="3" hidden="1">'Cleaned Dataset'!$A$1:$M$1015</definedName>
    <definedName name="_xlnm._FilterDatabase" localSheetId="1" hidden="1">Worksheet!$A$1:$AA$1015</definedName>
  </definedNames>
  <calcPr calcId="181029"/>
  <extLst>
    <ext uri="GoogleSheetsCustomDataVersion2">
      <go:sheetsCustomData xmlns:go="http://customooxmlschemas.google.com/" r:id="rId8" roundtripDataChecksum="CwasGQUqa7TP4Wr3hO7cBN08GYNOJko8ugUYGD0onX0="/>
    </ext>
  </extLst>
</workbook>
</file>

<file path=xl/calcChain.xml><?xml version="1.0" encoding="utf-8"?>
<calcChain xmlns="http://schemas.openxmlformats.org/spreadsheetml/2006/main">
  <c r="U24" i="4" l="1"/>
  <c r="T24" i="4"/>
  <c r="S24" i="4"/>
  <c r="R24" i="4"/>
  <c r="Q24" i="4"/>
  <c r="U21" i="4"/>
  <c r="T21" i="4"/>
  <c r="S21" i="4"/>
  <c r="R21" i="4"/>
  <c r="Q21" i="4"/>
  <c r="U18" i="4"/>
  <c r="T18" i="4"/>
  <c r="S18" i="4"/>
  <c r="R18" i="4"/>
  <c r="Q18" i="4"/>
  <c r="U15" i="4"/>
  <c r="T15" i="4"/>
  <c r="S15" i="4"/>
  <c r="R15" i="4"/>
  <c r="Q15" i="4"/>
  <c r="U12" i="4"/>
  <c r="T12" i="4"/>
  <c r="S12" i="4"/>
  <c r="R12" i="4"/>
  <c r="Q12" i="4"/>
  <c r="U8" i="4"/>
  <c r="T8" i="4"/>
  <c r="S8" i="4"/>
  <c r="R8" i="4"/>
  <c r="Q8" i="4"/>
  <c r="Y1015" i="2"/>
  <c r="W1015" i="2"/>
  <c r="U1015" i="2"/>
  <c r="S1015" i="2"/>
  <c r="Q1015" i="2"/>
  <c r="O1015" i="2"/>
  <c r="N1015" i="2"/>
  <c r="L1015" i="2"/>
  <c r="J1015" i="2"/>
  <c r="G1015" i="2"/>
  <c r="H1015" i="2" s="1"/>
  <c r="E1015" i="2" a="1"/>
  <c r="E1015" i="2" s="1"/>
  <c r="D1015" i="2"/>
  <c r="B1015" i="2"/>
  <c r="Y1014" i="2"/>
  <c r="W1014" i="2"/>
  <c r="U1014" i="2"/>
  <c r="S1014" i="2"/>
  <c r="Q1014" i="2"/>
  <c r="N1014" i="2"/>
  <c r="O1014" i="2" s="1"/>
  <c r="L1014" i="2"/>
  <c r="J1014" i="2"/>
  <c r="G1014" i="2"/>
  <c r="H1014" i="2" s="1"/>
  <c r="E1014" i="2" a="1"/>
  <c r="E1014" i="2"/>
  <c r="D1014" i="2"/>
  <c r="B1014" i="2"/>
  <c r="Y1013" i="2"/>
  <c r="W1013" i="2"/>
  <c r="U1013" i="2"/>
  <c r="S1013" i="2"/>
  <c r="Q1013" i="2"/>
  <c r="O1013" i="2"/>
  <c r="N1013" i="2"/>
  <c r="L1013" i="2"/>
  <c r="J1013" i="2"/>
  <c r="H1013" i="2"/>
  <c r="G1013" i="2"/>
  <c r="D1013" i="2"/>
  <c r="E1013" i="2" s="1" a="1"/>
  <c r="E1013" i="2" s="1"/>
  <c r="B1013" i="2"/>
  <c r="Y1012" i="2"/>
  <c r="W1012" i="2"/>
  <c r="U1012" i="2"/>
  <c r="S1012" i="2"/>
  <c r="Q1012" i="2"/>
  <c r="N1012" i="2"/>
  <c r="O1012" i="2" s="1"/>
  <c r="L1012" i="2"/>
  <c r="J1012" i="2"/>
  <c r="G1012" i="2"/>
  <c r="H1012" i="2" s="1"/>
  <c r="D1012" i="2"/>
  <c r="E1012" i="2" s="1" a="1"/>
  <c r="E1012" i="2" s="1"/>
  <c r="B1012" i="2"/>
  <c r="Y1011" i="2"/>
  <c r="W1011" i="2"/>
  <c r="U1011" i="2"/>
  <c r="S1011" i="2"/>
  <c r="Q1011" i="2"/>
  <c r="N1011" i="2"/>
  <c r="O1011" i="2" s="1"/>
  <c r="L1011" i="2"/>
  <c r="J1011" i="2"/>
  <c r="G1011" i="2"/>
  <c r="H1011" i="2" s="1"/>
  <c r="E1011" i="2" a="1"/>
  <c r="E1011" i="2" s="1"/>
  <c r="D1011" i="2"/>
  <c r="B1011" i="2"/>
  <c r="Y1010" i="2"/>
  <c r="W1010" i="2"/>
  <c r="U1010" i="2"/>
  <c r="S1010" i="2"/>
  <c r="Q1010" i="2"/>
  <c r="N1010" i="2"/>
  <c r="O1010" i="2" s="1"/>
  <c r="L1010" i="2"/>
  <c r="J1010" i="2"/>
  <c r="G1010" i="2"/>
  <c r="H1010" i="2" s="1"/>
  <c r="E1010" i="2" a="1"/>
  <c r="E1010" i="2" s="1"/>
  <c r="D1010" i="2"/>
  <c r="B1010" i="2"/>
  <c r="Y1009" i="2"/>
  <c r="W1009" i="2"/>
  <c r="U1009" i="2"/>
  <c r="S1009" i="2"/>
  <c r="Q1009" i="2"/>
  <c r="O1009" i="2"/>
  <c r="N1009" i="2"/>
  <c r="L1009" i="2"/>
  <c r="J1009" i="2"/>
  <c r="H1009" i="2"/>
  <c r="G1009" i="2"/>
  <c r="D1009" i="2"/>
  <c r="E1009" i="2" s="1" a="1"/>
  <c r="E1009" i="2" s="1"/>
  <c r="B1009" i="2"/>
  <c r="Y1008" i="2"/>
  <c r="W1008" i="2"/>
  <c r="U1008" i="2"/>
  <c r="S1008" i="2"/>
  <c r="Q1008" i="2"/>
  <c r="N1008" i="2"/>
  <c r="O1008" i="2" s="1"/>
  <c r="L1008" i="2"/>
  <c r="J1008" i="2"/>
  <c r="G1008" i="2"/>
  <c r="H1008" i="2" s="1"/>
  <c r="D1008" i="2"/>
  <c r="E1008" i="2" s="1" a="1"/>
  <c r="E1008" i="2" s="1"/>
  <c r="B1008" i="2"/>
  <c r="Y1007" i="2"/>
  <c r="W1007" i="2"/>
  <c r="U1007" i="2"/>
  <c r="S1007" i="2"/>
  <c r="Q1007" i="2"/>
  <c r="N1007" i="2"/>
  <c r="O1007" i="2" s="1"/>
  <c r="J1007" i="2"/>
  <c r="G1007" i="2"/>
  <c r="H1007" i="2" s="1"/>
  <c r="E1007" i="2" a="1"/>
  <c r="E1007" i="2" s="1"/>
  <c r="D1007" i="2"/>
  <c r="B1007" i="2"/>
  <c r="Y1006" i="2"/>
  <c r="W1006" i="2"/>
  <c r="U1006" i="2"/>
  <c r="S1006" i="2"/>
  <c r="Q1006" i="2"/>
  <c r="O1006" i="2"/>
  <c r="N1006" i="2"/>
  <c r="L1006" i="2"/>
  <c r="J1006" i="2"/>
  <c r="H1006" i="2"/>
  <c r="G1006" i="2"/>
  <c r="D1006" i="2"/>
  <c r="E1006" i="2" s="1" a="1"/>
  <c r="E1006" i="2" s="1"/>
  <c r="B1006" i="2"/>
  <c r="Y1005" i="2"/>
  <c r="W1005" i="2"/>
  <c r="U1005" i="2"/>
  <c r="S1005" i="2"/>
  <c r="Q1005" i="2"/>
  <c r="O1005" i="2"/>
  <c r="N1005" i="2"/>
  <c r="J1005" i="2"/>
  <c r="G1005" i="2"/>
  <c r="H1005" i="2" s="1"/>
  <c r="E1005" i="2" a="1"/>
  <c r="E1005" i="2" s="1"/>
  <c r="D1005" i="2"/>
  <c r="B1005" i="2"/>
  <c r="Y1004" i="2"/>
  <c r="W1004" i="2"/>
  <c r="U1004" i="2"/>
  <c r="S1004" i="2"/>
  <c r="Q1004" i="2"/>
  <c r="N1004" i="2"/>
  <c r="O1004" i="2" s="1"/>
  <c r="L1004" i="2"/>
  <c r="J1004" i="2"/>
  <c r="G1004" i="2"/>
  <c r="H1004" i="2" s="1"/>
  <c r="E1004" i="2" a="1"/>
  <c r="E1004" i="2" s="1"/>
  <c r="D1004" i="2"/>
  <c r="B1004" i="2"/>
  <c r="Y1003" i="2"/>
  <c r="W1003" i="2"/>
  <c r="U1003" i="2"/>
  <c r="S1003" i="2"/>
  <c r="Q1003" i="2"/>
  <c r="O1003" i="2"/>
  <c r="N1003" i="2"/>
  <c r="L1003" i="2"/>
  <c r="J1003" i="2"/>
  <c r="H1003" i="2"/>
  <c r="G1003" i="2"/>
  <c r="D1003" i="2"/>
  <c r="E1003" i="2" s="1" a="1"/>
  <c r="E1003" i="2" s="1"/>
  <c r="B1003" i="2"/>
  <c r="Y1002" i="2"/>
  <c r="W1002" i="2"/>
  <c r="U1002" i="2"/>
  <c r="S1002" i="2"/>
  <c r="Q1002" i="2"/>
  <c r="O1002" i="2"/>
  <c r="N1002" i="2"/>
  <c r="L1002" i="2"/>
  <c r="J1002" i="2"/>
  <c r="H1002" i="2"/>
  <c r="G1002" i="2"/>
  <c r="D1002" i="2"/>
  <c r="E1002" i="2" s="1" a="1"/>
  <c r="E1002" i="2" s="1"/>
  <c r="B1002" i="2"/>
  <c r="Y1001" i="2"/>
  <c r="W1001" i="2"/>
  <c r="U1001" i="2"/>
  <c r="S1001" i="2"/>
  <c r="Q1001" i="2"/>
  <c r="N1001" i="2"/>
  <c r="O1001" i="2" s="1"/>
  <c r="L1001" i="2"/>
  <c r="J1001" i="2"/>
  <c r="G1001" i="2"/>
  <c r="H1001" i="2" s="1"/>
  <c r="E1001" i="2" a="1"/>
  <c r="E1001" i="2" s="1"/>
  <c r="D1001" i="2"/>
  <c r="B1001" i="2"/>
  <c r="Y1000" i="2"/>
  <c r="W1000" i="2"/>
  <c r="U1000" i="2"/>
  <c r="S1000" i="2"/>
  <c r="Q1000" i="2"/>
  <c r="N1000" i="2"/>
  <c r="O1000" i="2" s="1"/>
  <c r="L1000" i="2"/>
  <c r="J1000" i="2"/>
  <c r="G1000" i="2"/>
  <c r="H1000" i="2" s="1"/>
  <c r="E1000" i="2" a="1"/>
  <c r="E1000" i="2" s="1"/>
  <c r="D1000" i="2"/>
  <c r="B1000" i="2"/>
  <c r="Y999" i="2"/>
  <c r="W999" i="2"/>
  <c r="U999" i="2"/>
  <c r="S999" i="2"/>
  <c r="Q999" i="2"/>
  <c r="O999" i="2"/>
  <c r="N999" i="2"/>
  <c r="L999" i="2"/>
  <c r="J999" i="2"/>
  <c r="H999" i="2"/>
  <c r="G999" i="2"/>
  <c r="D999" i="2"/>
  <c r="E999" i="2" s="1" a="1"/>
  <c r="E999" i="2" s="1"/>
  <c r="B999" i="2"/>
  <c r="Y998" i="2"/>
  <c r="W998" i="2"/>
  <c r="U998" i="2"/>
  <c r="S998" i="2"/>
  <c r="Q998" i="2"/>
  <c r="O998" i="2"/>
  <c r="N998" i="2"/>
  <c r="L998" i="2"/>
  <c r="J998" i="2"/>
  <c r="H998" i="2"/>
  <c r="G998" i="2"/>
  <c r="D998" i="2"/>
  <c r="E998" i="2" s="1" a="1"/>
  <c r="E998" i="2" s="1"/>
  <c r="B998" i="2"/>
  <c r="Y997" i="2"/>
  <c r="W997" i="2"/>
  <c r="U997" i="2"/>
  <c r="S997" i="2"/>
  <c r="Q997" i="2"/>
  <c r="N997" i="2"/>
  <c r="O997" i="2" s="1"/>
  <c r="J997" i="2"/>
  <c r="G997" i="2"/>
  <c r="H997" i="2" s="1"/>
  <c r="E997" i="2" a="1"/>
  <c r="E997" i="2" s="1"/>
  <c r="D997" i="2"/>
  <c r="B997" i="2"/>
  <c r="Y996" i="2"/>
  <c r="W996" i="2"/>
  <c r="U996" i="2"/>
  <c r="S996" i="2"/>
  <c r="Q996" i="2"/>
  <c r="O996" i="2"/>
  <c r="N996" i="2"/>
  <c r="L996" i="2"/>
  <c r="J996" i="2"/>
  <c r="H996" i="2"/>
  <c r="G996" i="2"/>
  <c r="D996" i="2"/>
  <c r="E996" i="2" s="1" a="1"/>
  <c r="E996" i="2" s="1"/>
  <c r="B996" i="2"/>
  <c r="Y995" i="2"/>
  <c r="W995" i="2"/>
  <c r="U995" i="2"/>
  <c r="S995" i="2"/>
  <c r="Q995" i="2"/>
  <c r="O995" i="2"/>
  <c r="N995" i="2"/>
  <c r="L995" i="2"/>
  <c r="J995" i="2"/>
  <c r="H995" i="2"/>
  <c r="G995" i="2"/>
  <c r="D995" i="2"/>
  <c r="E995" i="2" s="1" a="1"/>
  <c r="E995" i="2" s="1"/>
  <c r="B995" i="2"/>
  <c r="Y994" i="2"/>
  <c r="W994" i="2"/>
  <c r="U994" i="2"/>
  <c r="S994" i="2"/>
  <c r="Q994" i="2"/>
  <c r="N994" i="2"/>
  <c r="O994" i="2" s="1"/>
  <c r="L994" i="2"/>
  <c r="J994" i="2"/>
  <c r="G994" i="2"/>
  <c r="H994" i="2" s="1"/>
  <c r="E994" i="2" a="1"/>
  <c r="E994" i="2" s="1"/>
  <c r="D994" i="2"/>
  <c r="B994" i="2"/>
  <c r="Y993" i="2"/>
  <c r="W993" i="2"/>
  <c r="U993" i="2"/>
  <c r="S993" i="2"/>
  <c r="Q993" i="2"/>
  <c r="N993" i="2"/>
  <c r="O993" i="2" s="1"/>
  <c r="L993" i="2"/>
  <c r="J993" i="2"/>
  <c r="G993" i="2"/>
  <c r="H993" i="2" s="1"/>
  <c r="E993" i="2" a="1"/>
  <c r="E993" i="2" s="1"/>
  <c r="D993" i="2"/>
  <c r="B993" i="2"/>
  <c r="Y992" i="2"/>
  <c r="W992" i="2"/>
  <c r="U992" i="2"/>
  <c r="S992" i="2"/>
  <c r="Q992" i="2"/>
  <c r="O992" i="2"/>
  <c r="N992" i="2"/>
  <c r="L992" i="2"/>
  <c r="J992" i="2"/>
  <c r="H992" i="2"/>
  <c r="G992" i="2"/>
  <c r="D992" i="2"/>
  <c r="E992" i="2" s="1" a="1"/>
  <c r="E992" i="2" s="1"/>
  <c r="B992" i="2"/>
  <c r="Y991" i="2"/>
  <c r="W991" i="2"/>
  <c r="U991" i="2"/>
  <c r="S991" i="2"/>
  <c r="Q991" i="2"/>
  <c r="O991" i="2"/>
  <c r="N991" i="2"/>
  <c r="L991" i="2"/>
  <c r="J991" i="2"/>
  <c r="H991" i="2"/>
  <c r="G991" i="2"/>
  <c r="D991" i="2"/>
  <c r="E991" i="2" s="1" a="1"/>
  <c r="E991" i="2" s="1"/>
  <c r="B991" i="2"/>
  <c r="Y990" i="2"/>
  <c r="W990" i="2"/>
  <c r="U990" i="2"/>
  <c r="S990" i="2"/>
  <c r="Q990" i="2"/>
  <c r="N990" i="2"/>
  <c r="O990" i="2" s="1"/>
  <c r="L990" i="2"/>
  <c r="J990" i="2"/>
  <c r="G990" i="2"/>
  <c r="H990" i="2" s="1"/>
  <c r="E990" i="2" a="1"/>
  <c r="E990" i="2" s="1"/>
  <c r="D990" i="2"/>
  <c r="B990" i="2"/>
  <c r="Y989" i="2"/>
  <c r="W989" i="2"/>
  <c r="U989" i="2"/>
  <c r="S989" i="2"/>
  <c r="Q989" i="2"/>
  <c r="N989" i="2"/>
  <c r="O989" i="2" s="1"/>
  <c r="L989" i="2"/>
  <c r="J989" i="2"/>
  <c r="G989" i="2"/>
  <c r="H989" i="2" s="1"/>
  <c r="E989" i="2" a="1"/>
  <c r="E989" i="2" s="1"/>
  <c r="D989" i="2"/>
  <c r="B989" i="2"/>
  <c r="Y988" i="2"/>
  <c r="W988" i="2"/>
  <c r="U988" i="2"/>
  <c r="S988" i="2"/>
  <c r="Q988" i="2"/>
  <c r="O988" i="2"/>
  <c r="N988" i="2"/>
  <c r="L988" i="2"/>
  <c r="J988" i="2"/>
  <c r="H988" i="2"/>
  <c r="G988" i="2"/>
  <c r="D988" i="2"/>
  <c r="E988" i="2" s="1" a="1"/>
  <c r="E988" i="2" s="1"/>
  <c r="B988" i="2"/>
  <c r="Y987" i="2"/>
  <c r="W987" i="2"/>
  <c r="U987" i="2"/>
  <c r="S987" i="2"/>
  <c r="Q987" i="2"/>
  <c r="O987" i="2"/>
  <c r="N987" i="2"/>
  <c r="L987" i="2"/>
  <c r="J987" i="2"/>
  <c r="H987" i="2"/>
  <c r="G987" i="2"/>
  <c r="D987" i="2"/>
  <c r="E987" i="2" s="1" a="1"/>
  <c r="E987" i="2" s="1"/>
  <c r="B987" i="2"/>
  <c r="Y986" i="2"/>
  <c r="W986" i="2"/>
  <c r="U986" i="2"/>
  <c r="S986" i="2"/>
  <c r="Q986" i="2"/>
  <c r="N986" i="2"/>
  <c r="O986" i="2" s="1"/>
  <c r="L986" i="2"/>
  <c r="J986" i="2"/>
  <c r="G986" i="2"/>
  <c r="H986" i="2" s="1"/>
  <c r="E986" i="2" a="1"/>
  <c r="E986" i="2" s="1"/>
  <c r="D986" i="2"/>
  <c r="B986" i="2"/>
  <c r="Y985" i="2"/>
  <c r="W985" i="2"/>
  <c r="U985" i="2"/>
  <c r="S985" i="2"/>
  <c r="Q985" i="2"/>
  <c r="N985" i="2"/>
  <c r="O985" i="2" s="1"/>
  <c r="J985" i="2"/>
  <c r="H985" i="2"/>
  <c r="G985" i="2"/>
  <c r="D985" i="2"/>
  <c r="E985" i="2" s="1" a="1"/>
  <c r="E985" i="2" s="1"/>
  <c r="B985" i="2"/>
  <c r="Y984" i="2"/>
  <c r="W984" i="2"/>
  <c r="U984" i="2"/>
  <c r="S984" i="2"/>
  <c r="Q984" i="2"/>
  <c r="O984" i="2"/>
  <c r="N984" i="2"/>
  <c r="L984" i="2"/>
  <c r="J984" i="2"/>
  <c r="H984" i="2"/>
  <c r="G984" i="2"/>
  <c r="D984" i="2"/>
  <c r="E984" i="2" s="1" a="1"/>
  <c r="E984" i="2" s="1"/>
  <c r="B984" i="2"/>
  <c r="Y983" i="2"/>
  <c r="W983" i="2"/>
  <c r="U983" i="2"/>
  <c r="S983" i="2"/>
  <c r="Q983" i="2"/>
  <c r="N983" i="2"/>
  <c r="O983" i="2" s="1"/>
  <c r="J983" i="2"/>
  <c r="G983" i="2"/>
  <c r="H983" i="2" s="1"/>
  <c r="E983" i="2" a="1"/>
  <c r="E983" i="2" s="1"/>
  <c r="D983" i="2"/>
  <c r="B983" i="2"/>
  <c r="Y982" i="2"/>
  <c r="W982" i="2"/>
  <c r="U982" i="2"/>
  <c r="S982" i="2"/>
  <c r="Q982" i="2"/>
  <c r="O982" i="2"/>
  <c r="N982" i="2"/>
  <c r="L982" i="2"/>
  <c r="J982" i="2"/>
  <c r="H982" i="2"/>
  <c r="G982" i="2"/>
  <c r="E982" i="2"/>
  <c r="D982" i="2"/>
  <c r="E982" i="2" s="1" a="1"/>
  <c r="B982" i="2"/>
  <c r="Y981" i="2"/>
  <c r="W981" i="2"/>
  <c r="U981" i="2"/>
  <c r="S981" i="2"/>
  <c r="Q981" i="2"/>
  <c r="O981" i="2"/>
  <c r="N981" i="2"/>
  <c r="L981" i="2"/>
  <c r="J981" i="2"/>
  <c r="H981" i="2"/>
  <c r="G981" i="2"/>
  <c r="D981" i="2"/>
  <c r="E981" i="2" s="1" a="1"/>
  <c r="E981" i="2" s="1"/>
  <c r="B981" i="2"/>
  <c r="Y980" i="2"/>
  <c r="W980" i="2"/>
  <c r="U980" i="2"/>
  <c r="S980" i="2"/>
  <c r="Q980" i="2"/>
  <c r="N980" i="2"/>
  <c r="O980" i="2" s="1"/>
  <c r="L980" i="2"/>
  <c r="J980" i="2"/>
  <c r="G980" i="2"/>
  <c r="H980" i="2" s="1"/>
  <c r="E980" i="2" a="1"/>
  <c r="E980" i="2" s="1"/>
  <c r="D980" i="2"/>
  <c r="B980" i="2"/>
  <c r="Y979" i="2"/>
  <c r="W979" i="2"/>
  <c r="U979" i="2"/>
  <c r="S979" i="2"/>
  <c r="Q979" i="2"/>
  <c r="N979" i="2"/>
  <c r="O979" i="2" s="1"/>
  <c r="L979" i="2"/>
  <c r="J979" i="2"/>
  <c r="G979" i="2"/>
  <c r="H979" i="2" s="1"/>
  <c r="E979" i="2" a="1"/>
  <c r="E979" i="2" s="1"/>
  <c r="D979" i="2"/>
  <c r="B979" i="2"/>
  <c r="Y978" i="2"/>
  <c r="W978" i="2"/>
  <c r="U978" i="2"/>
  <c r="S978" i="2"/>
  <c r="Q978" i="2"/>
  <c r="O978" i="2"/>
  <c r="N978" i="2"/>
  <c r="L978" i="2"/>
  <c r="J978" i="2"/>
  <c r="H978" i="2"/>
  <c r="G978" i="2"/>
  <c r="E978" i="2"/>
  <c r="D978" i="2"/>
  <c r="E978" i="2" s="1" a="1"/>
  <c r="B978" i="2"/>
  <c r="Y977" i="2"/>
  <c r="W977" i="2"/>
  <c r="U977" i="2"/>
  <c r="S977" i="2"/>
  <c r="Q977" i="2"/>
  <c r="O977" i="2"/>
  <c r="N977" i="2"/>
  <c r="L977" i="2"/>
  <c r="J977" i="2"/>
  <c r="H977" i="2"/>
  <c r="G977" i="2"/>
  <c r="D977" i="2"/>
  <c r="E977" i="2" s="1" a="1"/>
  <c r="E977" i="2" s="1"/>
  <c r="B977" i="2"/>
  <c r="Y976" i="2"/>
  <c r="W976" i="2"/>
  <c r="U976" i="2"/>
  <c r="S976" i="2"/>
  <c r="Q976" i="2"/>
  <c r="N976" i="2"/>
  <c r="O976" i="2" s="1"/>
  <c r="L976" i="2"/>
  <c r="J976" i="2"/>
  <c r="G976" i="2"/>
  <c r="H976" i="2" s="1"/>
  <c r="E976" i="2" a="1"/>
  <c r="E976" i="2" s="1"/>
  <c r="D976" i="2"/>
  <c r="B976" i="2"/>
  <c r="Y975" i="2"/>
  <c r="W975" i="2"/>
  <c r="U975" i="2"/>
  <c r="S975" i="2"/>
  <c r="Q975" i="2"/>
  <c r="N975" i="2"/>
  <c r="O975" i="2" s="1"/>
  <c r="L975" i="2"/>
  <c r="J975" i="2"/>
  <c r="G975" i="2"/>
  <c r="H975" i="2" s="1"/>
  <c r="E975" i="2" a="1"/>
  <c r="E975" i="2" s="1"/>
  <c r="D975" i="2"/>
  <c r="B975" i="2"/>
  <c r="Y974" i="2"/>
  <c r="W974" i="2"/>
  <c r="U974" i="2"/>
  <c r="S974" i="2"/>
  <c r="Q974" i="2"/>
  <c r="O974" i="2"/>
  <c r="N974" i="2"/>
  <c r="L974" i="2"/>
  <c r="J974" i="2"/>
  <c r="H974" i="2"/>
  <c r="G974" i="2"/>
  <c r="E974" i="2"/>
  <c r="D974" i="2"/>
  <c r="E974" i="2" s="1" a="1"/>
  <c r="B974" i="2"/>
  <c r="Y973" i="2"/>
  <c r="W973" i="2"/>
  <c r="U973" i="2"/>
  <c r="S973" i="2"/>
  <c r="Q973" i="2"/>
  <c r="O973" i="2"/>
  <c r="N973" i="2"/>
  <c r="L973" i="2"/>
  <c r="J973" i="2"/>
  <c r="H973" i="2"/>
  <c r="G973" i="2"/>
  <c r="D973" i="2"/>
  <c r="E973" i="2" s="1" a="1"/>
  <c r="E973" i="2" s="1"/>
  <c r="B973" i="2"/>
  <c r="Y972" i="2"/>
  <c r="W972" i="2"/>
  <c r="U972" i="2"/>
  <c r="S972" i="2"/>
  <c r="Q972" i="2"/>
  <c r="N972" i="2"/>
  <c r="O972" i="2" s="1"/>
  <c r="L972" i="2"/>
  <c r="J972" i="2"/>
  <c r="G972" i="2"/>
  <c r="H972" i="2" s="1"/>
  <c r="E972" i="2" a="1"/>
  <c r="E972" i="2" s="1"/>
  <c r="D972" i="2"/>
  <c r="B972" i="2"/>
  <c r="Y971" i="2"/>
  <c r="W971" i="2"/>
  <c r="U971" i="2"/>
  <c r="S971" i="2"/>
  <c r="Q971" i="2"/>
  <c r="N971" i="2"/>
  <c r="O971" i="2" s="1"/>
  <c r="L971" i="2"/>
  <c r="J971" i="2"/>
  <c r="G971" i="2"/>
  <c r="H971" i="2" s="1"/>
  <c r="E971" i="2" a="1"/>
  <c r="E971" i="2" s="1"/>
  <c r="D971" i="2"/>
  <c r="B971" i="2"/>
  <c r="Y970" i="2"/>
  <c r="W970" i="2"/>
  <c r="U970" i="2"/>
  <c r="S970" i="2"/>
  <c r="Q970" i="2"/>
  <c r="O970" i="2"/>
  <c r="N970" i="2"/>
  <c r="L970" i="2"/>
  <c r="J970" i="2"/>
  <c r="H970" i="2"/>
  <c r="G970" i="2"/>
  <c r="E970" i="2"/>
  <c r="D970" i="2"/>
  <c r="E970" i="2" s="1" a="1"/>
  <c r="B970" i="2"/>
  <c r="Y969" i="2"/>
  <c r="W969" i="2"/>
  <c r="U969" i="2"/>
  <c r="S969" i="2"/>
  <c r="Q969" i="2"/>
  <c r="O969" i="2"/>
  <c r="N969" i="2"/>
  <c r="L969" i="2"/>
  <c r="J969" i="2"/>
  <c r="H969" i="2"/>
  <c r="G969" i="2"/>
  <c r="D969" i="2"/>
  <c r="E969" i="2" s="1" a="1"/>
  <c r="E969" i="2" s="1"/>
  <c r="B969" i="2"/>
  <c r="Y968" i="2"/>
  <c r="W968" i="2"/>
  <c r="U968" i="2"/>
  <c r="S968" i="2"/>
  <c r="Q968" i="2"/>
  <c r="N968" i="2"/>
  <c r="O968" i="2" s="1"/>
  <c r="L968" i="2"/>
  <c r="J968" i="2"/>
  <c r="G968" i="2"/>
  <c r="H968" i="2" s="1"/>
  <c r="E968" i="2" a="1"/>
  <c r="E968" i="2" s="1"/>
  <c r="D968" i="2"/>
  <c r="B968" i="2"/>
  <c r="Y967" i="2"/>
  <c r="W967" i="2"/>
  <c r="U967" i="2"/>
  <c r="S967" i="2"/>
  <c r="Q967" i="2"/>
  <c r="N967" i="2"/>
  <c r="O967" i="2" s="1"/>
  <c r="L967" i="2"/>
  <c r="J967" i="2"/>
  <c r="G967" i="2"/>
  <c r="H967" i="2" s="1"/>
  <c r="E967" i="2" a="1"/>
  <c r="E967" i="2" s="1"/>
  <c r="D967" i="2"/>
  <c r="B967" i="2"/>
  <c r="Y966" i="2"/>
  <c r="W966" i="2"/>
  <c r="U966" i="2"/>
  <c r="S966" i="2"/>
  <c r="Q966" i="2"/>
  <c r="O966" i="2"/>
  <c r="N966" i="2"/>
  <c r="L966" i="2"/>
  <c r="J966" i="2"/>
  <c r="H966" i="2"/>
  <c r="G966" i="2"/>
  <c r="E966" i="2"/>
  <c r="D966" i="2"/>
  <c r="E966" i="2" s="1" a="1"/>
  <c r="B966" i="2"/>
  <c r="Y965" i="2"/>
  <c r="W965" i="2"/>
  <c r="U965" i="2"/>
  <c r="S965" i="2"/>
  <c r="Q965" i="2"/>
  <c r="O965" i="2"/>
  <c r="N965" i="2"/>
  <c r="L965" i="2"/>
  <c r="J965" i="2"/>
  <c r="H965" i="2"/>
  <c r="G965" i="2"/>
  <c r="D965" i="2"/>
  <c r="E965" i="2" s="1" a="1"/>
  <c r="E965" i="2" s="1"/>
  <c r="B965" i="2"/>
  <c r="Y964" i="2"/>
  <c r="W964" i="2"/>
  <c r="U964" i="2"/>
  <c r="S964" i="2"/>
  <c r="Q964" i="2"/>
  <c r="N964" i="2"/>
  <c r="O964" i="2" s="1"/>
  <c r="L964" i="2"/>
  <c r="J964" i="2"/>
  <c r="G964" i="2"/>
  <c r="H964" i="2" s="1"/>
  <c r="E964" i="2" a="1"/>
  <c r="E964" i="2" s="1"/>
  <c r="D964" i="2"/>
  <c r="B964" i="2"/>
  <c r="Y963" i="2"/>
  <c r="W963" i="2"/>
  <c r="U963" i="2"/>
  <c r="S963" i="2"/>
  <c r="Q963" i="2"/>
  <c r="N963" i="2"/>
  <c r="O963" i="2" s="1"/>
  <c r="L963" i="2"/>
  <c r="J963" i="2"/>
  <c r="G963" i="2"/>
  <c r="H963" i="2" s="1"/>
  <c r="E963" i="2" a="1"/>
  <c r="E963" i="2" s="1"/>
  <c r="D963" i="2"/>
  <c r="B963" i="2"/>
  <c r="Y962" i="2"/>
  <c r="W962" i="2"/>
  <c r="U962" i="2"/>
  <c r="S962" i="2"/>
  <c r="Q962" i="2"/>
  <c r="O962" i="2"/>
  <c r="N962" i="2"/>
  <c r="L962" i="2"/>
  <c r="J962" i="2"/>
  <c r="H962" i="2"/>
  <c r="G962" i="2"/>
  <c r="E962" i="2"/>
  <c r="D962" i="2"/>
  <c r="E962" i="2" s="1" a="1"/>
  <c r="B962" i="2"/>
  <c r="Y961" i="2"/>
  <c r="W961" i="2"/>
  <c r="U961" i="2"/>
  <c r="S961" i="2"/>
  <c r="Q961" i="2"/>
  <c r="O961" i="2"/>
  <c r="N961" i="2"/>
  <c r="L961" i="2"/>
  <c r="J961" i="2"/>
  <c r="H961" i="2"/>
  <c r="G961" i="2"/>
  <c r="D961" i="2"/>
  <c r="E961" i="2" s="1" a="1"/>
  <c r="E961" i="2" s="1"/>
  <c r="B961" i="2"/>
  <c r="Y960" i="2"/>
  <c r="W960" i="2"/>
  <c r="U960" i="2"/>
  <c r="S960" i="2"/>
  <c r="Q960" i="2"/>
  <c r="N960" i="2"/>
  <c r="O960" i="2" s="1"/>
  <c r="L960" i="2"/>
  <c r="J960" i="2"/>
  <c r="G960" i="2"/>
  <c r="H960" i="2" s="1"/>
  <c r="E960" i="2" a="1"/>
  <c r="E960" i="2" s="1"/>
  <c r="D960" i="2"/>
  <c r="B960" i="2"/>
  <c r="Y959" i="2"/>
  <c r="W959" i="2"/>
  <c r="U959" i="2"/>
  <c r="S959" i="2"/>
  <c r="Q959" i="2"/>
  <c r="N959" i="2"/>
  <c r="O959" i="2" s="1"/>
  <c r="L959" i="2"/>
  <c r="J959" i="2"/>
  <c r="G959" i="2"/>
  <c r="H959" i="2" s="1"/>
  <c r="E959" i="2" a="1"/>
  <c r="E959" i="2" s="1"/>
  <c r="D959" i="2"/>
  <c r="B959" i="2"/>
  <c r="Y958" i="2"/>
  <c r="W958" i="2"/>
  <c r="U958" i="2"/>
  <c r="S958" i="2"/>
  <c r="Q958" i="2"/>
  <c r="O958" i="2"/>
  <c r="N958" i="2"/>
  <c r="L958" i="2"/>
  <c r="J958" i="2"/>
  <c r="H958" i="2"/>
  <c r="G958" i="2"/>
  <c r="E958" i="2"/>
  <c r="D958" i="2"/>
  <c r="E958" i="2" s="1" a="1"/>
  <c r="B958" i="2"/>
  <c r="Y957" i="2"/>
  <c r="W957" i="2"/>
  <c r="U957" i="2"/>
  <c r="S957" i="2"/>
  <c r="Q957" i="2"/>
  <c r="O957" i="2"/>
  <c r="N957" i="2"/>
  <c r="L957" i="2"/>
  <c r="J957" i="2"/>
  <c r="H957" i="2"/>
  <c r="G957" i="2"/>
  <c r="D957" i="2"/>
  <c r="E957" i="2" s="1" a="1"/>
  <c r="E957" i="2" s="1"/>
  <c r="B957" i="2"/>
  <c r="Y956" i="2"/>
  <c r="W956" i="2"/>
  <c r="U956" i="2"/>
  <c r="S956" i="2"/>
  <c r="Q956" i="2"/>
  <c r="N956" i="2"/>
  <c r="O956" i="2" s="1"/>
  <c r="L956" i="2"/>
  <c r="J956" i="2"/>
  <c r="G956" i="2"/>
  <c r="H956" i="2" s="1"/>
  <c r="E956" i="2" a="1"/>
  <c r="E956" i="2" s="1"/>
  <c r="D956" i="2"/>
  <c r="B956" i="2"/>
  <c r="Y955" i="2"/>
  <c r="W955" i="2"/>
  <c r="U955" i="2"/>
  <c r="S955" i="2"/>
  <c r="Q955" i="2"/>
  <c r="N955" i="2"/>
  <c r="O955" i="2" s="1"/>
  <c r="L955" i="2"/>
  <c r="J955" i="2"/>
  <c r="G955" i="2"/>
  <c r="H955" i="2" s="1"/>
  <c r="E955" i="2" a="1"/>
  <c r="E955" i="2" s="1"/>
  <c r="D955" i="2"/>
  <c r="B955" i="2"/>
  <c r="Y954" i="2"/>
  <c r="W954" i="2"/>
  <c r="U954" i="2"/>
  <c r="S954" i="2"/>
  <c r="Q954" i="2"/>
  <c r="O954" i="2"/>
  <c r="N954" i="2"/>
  <c r="L954" i="2"/>
  <c r="J954" i="2"/>
  <c r="H954" i="2"/>
  <c r="G954" i="2"/>
  <c r="E954" i="2"/>
  <c r="D954" i="2"/>
  <c r="E954" i="2" s="1" a="1"/>
  <c r="B954" i="2"/>
  <c r="Y953" i="2"/>
  <c r="W953" i="2"/>
  <c r="U953" i="2"/>
  <c r="S953" i="2"/>
  <c r="Q953" i="2"/>
  <c r="O953" i="2"/>
  <c r="N953" i="2"/>
  <c r="L953" i="2"/>
  <c r="J953" i="2"/>
  <c r="H953" i="2"/>
  <c r="G953" i="2"/>
  <c r="D953" i="2"/>
  <c r="E953" i="2" s="1" a="1"/>
  <c r="E953" i="2" s="1"/>
  <c r="B953" i="2"/>
  <c r="Y952" i="2"/>
  <c r="W952" i="2"/>
  <c r="U952" i="2"/>
  <c r="S952" i="2"/>
  <c r="Q952" i="2"/>
  <c r="N952" i="2"/>
  <c r="O952" i="2" s="1"/>
  <c r="L952" i="2"/>
  <c r="J952" i="2"/>
  <c r="G952" i="2"/>
  <c r="H952" i="2" s="1"/>
  <c r="E952" i="2" a="1"/>
  <c r="E952" i="2" s="1"/>
  <c r="D952" i="2"/>
  <c r="B952" i="2"/>
  <c r="Y951" i="2"/>
  <c r="W951" i="2"/>
  <c r="U951" i="2"/>
  <c r="S951" i="2"/>
  <c r="Q951" i="2"/>
  <c r="N951" i="2"/>
  <c r="O951" i="2" s="1"/>
  <c r="L951" i="2"/>
  <c r="J951" i="2"/>
  <c r="G951" i="2"/>
  <c r="H951" i="2" s="1"/>
  <c r="E951" i="2" a="1"/>
  <c r="E951" i="2" s="1"/>
  <c r="D951" i="2"/>
  <c r="B951" i="2"/>
  <c r="Y950" i="2"/>
  <c r="W950" i="2"/>
  <c r="U950" i="2"/>
  <c r="S950" i="2"/>
  <c r="Q950" i="2"/>
  <c r="O950" i="2"/>
  <c r="N950" i="2"/>
  <c r="L950" i="2"/>
  <c r="J950" i="2"/>
  <c r="H950" i="2"/>
  <c r="G950" i="2"/>
  <c r="E950" i="2" a="1"/>
  <c r="E950" i="2" s="1"/>
  <c r="D950" i="2"/>
  <c r="B950" i="2"/>
  <c r="Y949" i="2"/>
  <c r="W949" i="2"/>
  <c r="U949" i="2"/>
  <c r="S949" i="2"/>
  <c r="Q949" i="2"/>
  <c r="O949" i="2"/>
  <c r="N949" i="2"/>
  <c r="L949" i="2"/>
  <c r="J949" i="2"/>
  <c r="H949" i="2"/>
  <c r="G949" i="2"/>
  <c r="D949" i="2"/>
  <c r="E949" i="2" s="1" a="1"/>
  <c r="E949" i="2" s="1"/>
  <c r="B949" i="2"/>
  <c r="Y948" i="2"/>
  <c r="W948" i="2"/>
  <c r="U948" i="2"/>
  <c r="S948" i="2"/>
  <c r="Q948" i="2"/>
  <c r="N948" i="2"/>
  <c r="O948" i="2" s="1"/>
  <c r="L948" i="2"/>
  <c r="J948" i="2"/>
  <c r="G948" i="2"/>
  <c r="H948" i="2" s="1"/>
  <c r="E948" i="2" a="1"/>
  <c r="E948" i="2" s="1"/>
  <c r="D948" i="2"/>
  <c r="B948" i="2"/>
  <c r="Y947" i="2"/>
  <c r="W947" i="2"/>
  <c r="U947" i="2"/>
  <c r="S947" i="2"/>
  <c r="Q947" i="2"/>
  <c r="N947" i="2"/>
  <c r="O947" i="2" s="1"/>
  <c r="L947" i="2"/>
  <c r="J947" i="2"/>
  <c r="G947" i="2"/>
  <c r="H947" i="2" s="1"/>
  <c r="E947" i="2" a="1"/>
  <c r="E947" i="2" s="1"/>
  <c r="D947" i="2"/>
  <c r="B947" i="2"/>
  <c r="Y946" i="2"/>
  <c r="W946" i="2"/>
  <c r="U946" i="2"/>
  <c r="S946" i="2"/>
  <c r="Q946" i="2"/>
  <c r="O946" i="2"/>
  <c r="N946" i="2"/>
  <c r="L946" i="2"/>
  <c r="J946" i="2"/>
  <c r="H946" i="2"/>
  <c r="G946" i="2"/>
  <c r="E946" i="2" a="1"/>
  <c r="E946" i="2" s="1"/>
  <c r="D946" i="2"/>
  <c r="B946" i="2"/>
  <c r="Y945" i="2"/>
  <c r="W945" i="2"/>
  <c r="U945" i="2"/>
  <c r="S945" i="2"/>
  <c r="Q945" i="2"/>
  <c r="O945" i="2"/>
  <c r="N945" i="2"/>
  <c r="L945" i="2"/>
  <c r="J945" i="2"/>
  <c r="H945" i="2"/>
  <c r="G945" i="2"/>
  <c r="D945" i="2"/>
  <c r="E945" i="2" s="1" a="1"/>
  <c r="E945" i="2" s="1"/>
  <c r="B945" i="2"/>
  <c r="Y944" i="2"/>
  <c r="W944" i="2"/>
  <c r="U944" i="2"/>
  <c r="S944" i="2"/>
  <c r="Q944" i="2"/>
  <c r="N944" i="2"/>
  <c r="O944" i="2" s="1"/>
  <c r="L944" i="2"/>
  <c r="J944" i="2"/>
  <c r="G944" i="2"/>
  <c r="H944" i="2" s="1"/>
  <c r="E944" i="2" a="1"/>
  <c r="E944" i="2" s="1"/>
  <c r="D944" i="2"/>
  <c r="B944" i="2"/>
  <c r="Y943" i="2"/>
  <c r="W943" i="2"/>
  <c r="U943" i="2"/>
  <c r="S943" i="2"/>
  <c r="Q943" i="2"/>
  <c r="N943" i="2"/>
  <c r="O943" i="2" s="1"/>
  <c r="L943" i="2"/>
  <c r="J943" i="2"/>
  <c r="G943" i="2"/>
  <c r="H943" i="2" s="1"/>
  <c r="E943" i="2" a="1"/>
  <c r="E943" i="2" s="1"/>
  <c r="D943" i="2"/>
  <c r="B943" i="2"/>
  <c r="Y942" i="2"/>
  <c r="W942" i="2"/>
  <c r="U942" i="2"/>
  <c r="S942" i="2"/>
  <c r="Q942" i="2"/>
  <c r="O942" i="2"/>
  <c r="N942" i="2"/>
  <c r="L942" i="2"/>
  <c r="J942" i="2"/>
  <c r="H942" i="2"/>
  <c r="G942" i="2"/>
  <c r="E942" i="2" a="1"/>
  <c r="E942" i="2" s="1"/>
  <c r="D942" i="2"/>
  <c r="B942" i="2"/>
  <c r="Y941" i="2"/>
  <c r="W941" i="2"/>
  <c r="U941" i="2"/>
  <c r="S941" i="2"/>
  <c r="Q941" i="2"/>
  <c r="O941" i="2"/>
  <c r="N941" i="2"/>
  <c r="L941" i="2"/>
  <c r="J941" i="2"/>
  <c r="H941" i="2"/>
  <c r="G941" i="2"/>
  <c r="D941" i="2"/>
  <c r="E941" i="2" s="1" a="1"/>
  <c r="E941" i="2" s="1"/>
  <c r="B941" i="2"/>
  <c r="Y940" i="2"/>
  <c r="W940" i="2"/>
  <c r="U940" i="2"/>
  <c r="S940" i="2"/>
  <c r="Q940" i="2"/>
  <c r="N940" i="2"/>
  <c r="O940" i="2" s="1"/>
  <c r="J940" i="2"/>
  <c r="G940" i="2"/>
  <c r="H940" i="2" s="1"/>
  <c r="E940" i="2" a="1"/>
  <c r="E940" i="2"/>
  <c r="D940" i="2"/>
  <c r="B940" i="2"/>
  <c r="Y939" i="2"/>
  <c r="W939" i="2"/>
  <c r="U939" i="2"/>
  <c r="S939" i="2"/>
  <c r="Q939" i="2"/>
  <c r="O939" i="2"/>
  <c r="N939" i="2"/>
  <c r="L939" i="2"/>
  <c r="J939" i="2"/>
  <c r="H939" i="2"/>
  <c r="G939" i="2"/>
  <c r="D939" i="2"/>
  <c r="E939" i="2" s="1" a="1"/>
  <c r="E939" i="2" s="1"/>
  <c r="B939" i="2"/>
  <c r="Y938" i="2"/>
  <c r="W938" i="2"/>
  <c r="U938" i="2"/>
  <c r="S938" i="2"/>
  <c r="Q938" i="2"/>
  <c r="N938" i="2"/>
  <c r="O938" i="2" s="1"/>
  <c r="L938" i="2"/>
  <c r="J938" i="2"/>
  <c r="G938" i="2"/>
  <c r="H938" i="2" s="1"/>
  <c r="E938" i="2"/>
  <c r="D938" i="2"/>
  <c r="E938" i="2" s="1" a="1"/>
  <c r="B938" i="2"/>
  <c r="Y937" i="2"/>
  <c r="W937" i="2"/>
  <c r="U937" i="2"/>
  <c r="S937" i="2"/>
  <c r="Q937" i="2"/>
  <c r="O937" i="2"/>
  <c r="N937" i="2"/>
  <c r="L937" i="2"/>
  <c r="J937" i="2"/>
  <c r="H937" i="2"/>
  <c r="G937" i="2"/>
  <c r="D937" i="2"/>
  <c r="E937" i="2" s="1" a="1"/>
  <c r="E937" i="2" s="1"/>
  <c r="B937" i="2"/>
  <c r="Y936" i="2"/>
  <c r="W936" i="2"/>
  <c r="U936" i="2"/>
  <c r="S936" i="2"/>
  <c r="Q936" i="2"/>
  <c r="N936" i="2"/>
  <c r="O936" i="2" s="1"/>
  <c r="L936" i="2"/>
  <c r="J936" i="2"/>
  <c r="G936" i="2"/>
  <c r="H936" i="2" s="1"/>
  <c r="E936" i="2" a="1"/>
  <c r="E936" i="2"/>
  <c r="D936" i="2"/>
  <c r="B936" i="2"/>
  <c r="Y935" i="2"/>
  <c r="W935" i="2"/>
  <c r="U935" i="2"/>
  <c r="S935" i="2"/>
  <c r="Q935" i="2"/>
  <c r="O935" i="2"/>
  <c r="N935" i="2"/>
  <c r="L935" i="2"/>
  <c r="J935" i="2"/>
  <c r="H935" i="2"/>
  <c r="G935" i="2"/>
  <c r="D935" i="2"/>
  <c r="E935" i="2" s="1" a="1"/>
  <c r="E935" i="2" s="1"/>
  <c r="B935" i="2"/>
  <c r="Y934" i="2"/>
  <c r="W934" i="2"/>
  <c r="U934" i="2"/>
  <c r="S934" i="2"/>
  <c r="Q934" i="2"/>
  <c r="N934" i="2"/>
  <c r="O934" i="2" s="1"/>
  <c r="L934" i="2"/>
  <c r="J934" i="2"/>
  <c r="G934" i="2"/>
  <c r="H934" i="2" s="1"/>
  <c r="E934" i="2"/>
  <c r="D934" i="2"/>
  <c r="E934" i="2" s="1" a="1"/>
  <c r="B934" i="2"/>
  <c r="Y933" i="2"/>
  <c r="W933" i="2"/>
  <c r="U933" i="2"/>
  <c r="S933" i="2"/>
  <c r="Q933" i="2"/>
  <c r="O933" i="2"/>
  <c r="N933" i="2"/>
  <c r="L933" i="2"/>
  <c r="J933" i="2"/>
  <c r="H933" i="2"/>
  <c r="G933" i="2"/>
  <c r="D933" i="2"/>
  <c r="E933" i="2" s="1" a="1"/>
  <c r="E933" i="2" s="1"/>
  <c r="B933" i="2"/>
  <c r="Y932" i="2"/>
  <c r="W932" i="2"/>
  <c r="U932" i="2"/>
  <c r="S932" i="2"/>
  <c r="Q932" i="2"/>
  <c r="N932" i="2"/>
  <c r="O932" i="2" s="1"/>
  <c r="L932" i="2"/>
  <c r="J932" i="2"/>
  <c r="G932" i="2"/>
  <c r="H932" i="2" s="1"/>
  <c r="E932" i="2" a="1"/>
  <c r="E932" i="2"/>
  <c r="D932" i="2"/>
  <c r="B932" i="2"/>
  <c r="Y931" i="2"/>
  <c r="W931" i="2"/>
  <c r="U931" i="2"/>
  <c r="S931" i="2"/>
  <c r="Q931" i="2"/>
  <c r="O931" i="2"/>
  <c r="N931" i="2"/>
  <c r="L931" i="2"/>
  <c r="J931" i="2"/>
  <c r="H931" i="2"/>
  <c r="G931" i="2"/>
  <c r="D931" i="2"/>
  <c r="E931" i="2" s="1" a="1"/>
  <c r="E931" i="2" s="1"/>
  <c r="B931" i="2"/>
  <c r="Y930" i="2"/>
  <c r="W930" i="2"/>
  <c r="U930" i="2"/>
  <c r="S930" i="2"/>
  <c r="Q930" i="2"/>
  <c r="N930" i="2"/>
  <c r="O930" i="2" s="1"/>
  <c r="L930" i="2"/>
  <c r="J930" i="2"/>
  <c r="G930" i="2"/>
  <c r="H930" i="2" s="1"/>
  <c r="E930" i="2"/>
  <c r="D930" i="2"/>
  <c r="E930" i="2" s="1" a="1"/>
  <c r="B930" i="2"/>
  <c r="Y929" i="2"/>
  <c r="W929" i="2"/>
  <c r="U929" i="2"/>
  <c r="S929" i="2"/>
  <c r="Q929" i="2"/>
  <c r="O929" i="2"/>
  <c r="N929" i="2"/>
  <c r="L929" i="2"/>
  <c r="J929" i="2"/>
  <c r="H929" i="2"/>
  <c r="G929" i="2"/>
  <c r="D929" i="2"/>
  <c r="E929" i="2" s="1" a="1"/>
  <c r="E929" i="2" s="1"/>
  <c r="B929" i="2"/>
  <c r="Y928" i="2"/>
  <c r="W928" i="2"/>
  <c r="U928" i="2"/>
  <c r="S928" i="2"/>
  <c r="Q928" i="2"/>
  <c r="N928" i="2"/>
  <c r="O928" i="2" s="1"/>
  <c r="L928" i="2"/>
  <c r="J928" i="2"/>
  <c r="G928" i="2"/>
  <c r="H928" i="2" s="1"/>
  <c r="D928" i="2"/>
  <c r="E928" i="2" s="1" a="1"/>
  <c r="E928" i="2" s="1"/>
  <c r="B928" i="2"/>
  <c r="Y927" i="2"/>
  <c r="W927" i="2"/>
  <c r="U927" i="2"/>
  <c r="S927" i="2"/>
  <c r="Q927" i="2"/>
  <c r="O927" i="2"/>
  <c r="N927" i="2"/>
  <c r="L927" i="2"/>
  <c r="J927" i="2"/>
  <c r="H927" i="2"/>
  <c r="G927" i="2"/>
  <c r="D927" i="2"/>
  <c r="E927" i="2" s="1" a="1"/>
  <c r="E927" i="2" s="1"/>
  <c r="B927" i="2"/>
  <c r="Y926" i="2"/>
  <c r="W926" i="2"/>
  <c r="U926" i="2"/>
  <c r="S926" i="2"/>
  <c r="Q926" i="2"/>
  <c r="N926" i="2"/>
  <c r="O926" i="2" s="1"/>
  <c r="L926" i="2"/>
  <c r="J926" i="2"/>
  <c r="G926" i="2"/>
  <c r="H926" i="2" s="1"/>
  <c r="E926" i="2" a="1"/>
  <c r="E926" i="2" s="1"/>
  <c r="D926" i="2"/>
  <c r="B926" i="2"/>
  <c r="Y925" i="2"/>
  <c r="W925" i="2"/>
  <c r="U925" i="2"/>
  <c r="S925" i="2"/>
  <c r="Q925" i="2"/>
  <c r="N925" i="2"/>
  <c r="O925" i="2" s="1"/>
  <c r="L925" i="2"/>
  <c r="J925" i="2"/>
  <c r="G925" i="2"/>
  <c r="H925" i="2" s="1"/>
  <c r="E925" i="2" a="1"/>
  <c r="E925" i="2" s="1"/>
  <c r="D925" i="2"/>
  <c r="B925" i="2"/>
  <c r="Y924" i="2"/>
  <c r="W924" i="2"/>
  <c r="U924" i="2"/>
  <c r="S924" i="2"/>
  <c r="Q924" i="2"/>
  <c r="O924" i="2"/>
  <c r="N924" i="2"/>
  <c r="L924" i="2"/>
  <c r="J924" i="2"/>
  <c r="H924" i="2"/>
  <c r="G924" i="2"/>
  <c r="D924" i="2"/>
  <c r="E924" i="2" s="1" a="1"/>
  <c r="E924" i="2" s="1"/>
  <c r="B924" i="2"/>
  <c r="Y923" i="2"/>
  <c r="W923" i="2"/>
  <c r="U923" i="2"/>
  <c r="S923" i="2"/>
  <c r="Q923" i="2"/>
  <c r="O923" i="2"/>
  <c r="N923" i="2"/>
  <c r="L923" i="2"/>
  <c r="J923" i="2"/>
  <c r="H923" i="2"/>
  <c r="G923" i="2"/>
  <c r="D923" i="2"/>
  <c r="E923" i="2" s="1" a="1"/>
  <c r="E923" i="2" s="1"/>
  <c r="B923" i="2"/>
  <c r="Y922" i="2"/>
  <c r="W922" i="2"/>
  <c r="U922" i="2"/>
  <c r="S922" i="2"/>
  <c r="Q922" i="2"/>
  <c r="N922" i="2"/>
  <c r="O922" i="2" s="1"/>
  <c r="L922" i="2"/>
  <c r="J922" i="2"/>
  <c r="G922" i="2"/>
  <c r="H922" i="2" s="1"/>
  <c r="E922" i="2" a="1"/>
  <c r="E922" i="2" s="1"/>
  <c r="D922" i="2"/>
  <c r="B922" i="2"/>
  <c r="Y921" i="2"/>
  <c r="W921" i="2"/>
  <c r="U921" i="2"/>
  <c r="S921" i="2"/>
  <c r="Q921" i="2"/>
  <c r="N921" i="2"/>
  <c r="O921" i="2" s="1"/>
  <c r="L921" i="2"/>
  <c r="J921" i="2"/>
  <c r="G921" i="2"/>
  <c r="H921" i="2" s="1"/>
  <c r="E921" i="2" a="1"/>
  <c r="E921" i="2" s="1"/>
  <c r="D921" i="2"/>
  <c r="B921" i="2"/>
  <c r="Y920" i="2"/>
  <c r="W920" i="2"/>
  <c r="U920" i="2"/>
  <c r="S920" i="2"/>
  <c r="Q920" i="2"/>
  <c r="O920" i="2"/>
  <c r="N920" i="2"/>
  <c r="L920" i="2"/>
  <c r="J920" i="2"/>
  <c r="H920" i="2"/>
  <c r="G920" i="2"/>
  <c r="E920" i="2"/>
  <c r="D920" i="2"/>
  <c r="E920" i="2" s="1" a="1"/>
  <c r="B920" i="2"/>
  <c r="Y919" i="2"/>
  <c r="W919" i="2"/>
  <c r="U919" i="2"/>
  <c r="S919" i="2"/>
  <c r="Q919" i="2"/>
  <c r="O919" i="2"/>
  <c r="N919" i="2"/>
  <c r="L919" i="2"/>
  <c r="J919" i="2"/>
  <c r="H919" i="2"/>
  <c r="G919" i="2"/>
  <c r="D919" i="2"/>
  <c r="E919" i="2" s="1" a="1"/>
  <c r="E919" i="2" s="1"/>
  <c r="B919" i="2"/>
  <c r="Y918" i="2"/>
  <c r="W918" i="2"/>
  <c r="U918" i="2"/>
  <c r="S918" i="2"/>
  <c r="Q918" i="2"/>
  <c r="N918" i="2"/>
  <c r="O918" i="2" s="1"/>
  <c r="L918" i="2"/>
  <c r="J918" i="2"/>
  <c r="G918" i="2"/>
  <c r="H918" i="2" s="1"/>
  <c r="E918" i="2" a="1"/>
  <c r="E918" i="2" s="1"/>
  <c r="D918" i="2"/>
  <c r="B918" i="2"/>
  <c r="Y917" i="2"/>
  <c r="W917" i="2"/>
  <c r="U917" i="2"/>
  <c r="S917" i="2"/>
  <c r="Q917" i="2"/>
  <c r="N917" i="2"/>
  <c r="O917" i="2" s="1"/>
  <c r="L917" i="2"/>
  <c r="J917" i="2"/>
  <c r="G917" i="2"/>
  <c r="H917" i="2" s="1"/>
  <c r="E917" i="2" a="1"/>
  <c r="E917" i="2" s="1"/>
  <c r="D917" i="2"/>
  <c r="B917" i="2"/>
  <c r="Y916" i="2"/>
  <c r="W916" i="2"/>
  <c r="U916" i="2"/>
  <c r="S916" i="2"/>
  <c r="Q916" i="2"/>
  <c r="O916" i="2"/>
  <c r="N916" i="2"/>
  <c r="L916" i="2"/>
  <c r="J916" i="2"/>
  <c r="H916" i="2"/>
  <c r="G916" i="2"/>
  <c r="E916" i="2"/>
  <c r="D916" i="2"/>
  <c r="E916" i="2" s="1" a="1"/>
  <c r="B916" i="2"/>
  <c r="Y915" i="2"/>
  <c r="W915" i="2"/>
  <c r="U915" i="2"/>
  <c r="S915" i="2"/>
  <c r="Q915" i="2"/>
  <c r="O915" i="2"/>
  <c r="N915" i="2"/>
  <c r="L915" i="2"/>
  <c r="J915" i="2"/>
  <c r="H915" i="2"/>
  <c r="G915" i="2"/>
  <c r="D915" i="2"/>
  <c r="E915" i="2" s="1" a="1"/>
  <c r="E915" i="2" s="1"/>
  <c r="B915" i="2"/>
  <c r="Y914" i="2"/>
  <c r="W914" i="2"/>
  <c r="U914" i="2"/>
  <c r="S914" i="2"/>
  <c r="Q914" i="2"/>
  <c r="N914" i="2"/>
  <c r="O914" i="2" s="1"/>
  <c r="L914" i="2"/>
  <c r="J914" i="2"/>
  <c r="G914" i="2"/>
  <c r="H914" i="2" s="1"/>
  <c r="E914" i="2" a="1"/>
  <c r="E914" i="2" s="1"/>
  <c r="D914" i="2"/>
  <c r="B914" i="2"/>
  <c r="Y913" i="2"/>
  <c r="W913" i="2"/>
  <c r="U913" i="2"/>
  <c r="S913" i="2"/>
  <c r="Q913" i="2"/>
  <c r="O913" i="2"/>
  <c r="N913" i="2"/>
  <c r="L913" i="2"/>
  <c r="J913" i="2"/>
  <c r="H913" i="2"/>
  <c r="G913" i="2"/>
  <c r="E913" i="2" a="1"/>
  <c r="E913" i="2" s="1"/>
  <c r="D913" i="2"/>
  <c r="B913" i="2"/>
  <c r="Y912" i="2"/>
  <c r="W912" i="2"/>
  <c r="U912" i="2"/>
  <c r="S912" i="2"/>
  <c r="Q912" i="2"/>
  <c r="O912" i="2"/>
  <c r="N912" i="2"/>
  <c r="L912" i="2"/>
  <c r="J912" i="2"/>
  <c r="H912" i="2"/>
  <c r="G912" i="2"/>
  <c r="D912" i="2"/>
  <c r="E912" i="2" s="1" a="1"/>
  <c r="E912" i="2" s="1"/>
  <c r="B912" i="2"/>
  <c r="Y911" i="2"/>
  <c r="W911" i="2"/>
  <c r="U911" i="2"/>
  <c r="S911" i="2"/>
  <c r="Q911" i="2"/>
  <c r="O911" i="2"/>
  <c r="N911" i="2"/>
  <c r="L911" i="2"/>
  <c r="J911" i="2"/>
  <c r="H911" i="2"/>
  <c r="G911" i="2"/>
  <c r="D911" i="2"/>
  <c r="E911" i="2" s="1" a="1"/>
  <c r="E911" i="2" s="1"/>
  <c r="B911" i="2"/>
  <c r="Y910" i="2"/>
  <c r="W910" i="2"/>
  <c r="U910" i="2"/>
  <c r="S910" i="2"/>
  <c r="Q910" i="2"/>
  <c r="N910" i="2"/>
  <c r="O910" i="2" s="1"/>
  <c r="L910" i="2"/>
  <c r="J910" i="2"/>
  <c r="G910" i="2"/>
  <c r="H910" i="2" s="1"/>
  <c r="E910" i="2" a="1"/>
  <c r="E910" i="2" s="1"/>
  <c r="D910" i="2"/>
  <c r="B910" i="2"/>
  <c r="Y909" i="2"/>
  <c r="W909" i="2"/>
  <c r="U909" i="2"/>
  <c r="S909" i="2"/>
  <c r="Q909" i="2"/>
  <c r="O909" i="2"/>
  <c r="N909" i="2"/>
  <c r="L909" i="2"/>
  <c r="J909" i="2"/>
  <c r="H909" i="2"/>
  <c r="G909" i="2"/>
  <c r="E909" i="2" a="1"/>
  <c r="E909" i="2" s="1"/>
  <c r="D909" i="2"/>
  <c r="B909" i="2"/>
  <c r="Y908" i="2"/>
  <c r="W908" i="2"/>
  <c r="U908" i="2"/>
  <c r="S908" i="2"/>
  <c r="Q908" i="2"/>
  <c r="O908" i="2"/>
  <c r="N908" i="2"/>
  <c r="L908" i="2"/>
  <c r="J908" i="2"/>
  <c r="H908" i="2"/>
  <c r="G908" i="2"/>
  <c r="D908" i="2"/>
  <c r="E908" i="2" s="1" a="1"/>
  <c r="E908" i="2" s="1"/>
  <c r="B908" i="2"/>
  <c r="Y907" i="2"/>
  <c r="W907" i="2"/>
  <c r="U907" i="2"/>
  <c r="S907" i="2"/>
  <c r="Q907" i="2"/>
  <c r="O907" i="2"/>
  <c r="N907" i="2"/>
  <c r="L907" i="2"/>
  <c r="J907" i="2"/>
  <c r="H907" i="2"/>
  <c r="G907" i="2"/>
  <c r="D907" i="2"/>
  <c r="E907" i="2" s="1" a="1"/>
  <c r="E907" i="2" s="1"/>
  <c r="B907" i="2"/>
  <c r="Y906" i="2"/>
  <c r="W906" i="2"/>
  <c r="U906" i="2"/>
  <c r="S906" i="2"/>
  <c r="Q906" i="2"/>
  <c r="N906" i="2"/>
  <c r="O906" i="2" s="1"/>
  <c r="L906" i="2"/>
  <c r="J906" i="2"/>
  <c r="G906" i="2"/>
  <c r="H906" i="2" s="1"/>
  <c r="E906" i="2" a="1"/>
  <c r="E906" i="2" s="1"/>
  <c r="D906" i="2"/>
  <c r="B906" i="2"/>
  <c r="Y905" i="2"/>
  <c r="W905" i="2"/>
  <c r="U905" i="2"/>
  <c r="S905" i="2"/>
  <c r="Q905" i="2"/>
  <c r="O905" i="2"/>
  <c r="N905" i="2"/>
  <c r="L905" i="2"/>
  <c r="J905" i="2"/>
  <c r="H905" i="2"/>
  <c r="G905" i="2"/>
  <c r="E905" i="2" a="1"/>
  <c r="E905" i="2" s="1"/>
  <c r="D905" i="2"/>
  <c r="B905" i="2"/>
  <c r="Y904" i="2"/>
  <c r="W904" i="2"/>
  <c r="U904" i="2"/>
  <c r="S904" i="2"/>
  <c r="Q904" i="2"/>
  <c r="O904" i="2"/>
  <c r="N904" i="2"/>
  <c r="L904" i="2"/>
  <c r="J904" i="2"/>
  <c r="H904" i="2"/>
  <c r="G904" i="2"/>
  <c r="D904" i="2"/>
  <c r="E904" i="2" s="1" a="1"/>
  <c r="E904" i="2" s="1"/>
  <c r="B904" i="2"/>
  <c r="Y903" i="2"/>
  <c r="W903" i="2"/>
  <c r="U903" i="2"/>
  <c r="S903" i="2"/>
  <c r="Q903" i="2"/>
  <c r="O903" i="2"/>
  <c r="N903" i="2"/>
  <c r="L903" i="2"/>
  <c r="J903" i="2"/>
  <c r="H903" i="2"/>
  <c r="G903" i="2"/>
  <c r="D903" i="2"/>
  <c r="E903" i="2" s="1" a="1"/>
  <c r="E903" i="2" s="1"/>
  <c r="B903" i="2"/>
  <c r="Y902" i="2"/>
  <c r="W902" i="2"/>
  <c r="U902" i="2"/>
  <c r="S902" i="2"/>
  <c r="Q902" i="2"/>
  <c r="N902" i="2"/>
  <c r="O902" i="2" s="1"/>
  <c r="L902" i="2"/>
  <c r="J902" i="2"/>
  <c r="G902" i="2"/>
  <c r="H902" i="2" s="1"/>
  <c r="E902" i="2" a="1"/>
  <c r="E902" i="2" s="1"/>
  <c r="D902" i="2"/>
  <c r="B902" i="2"/>
  <c r="Y901" i="2"/>
  <c r="W901" i="2"/>
  <c r="U901" i="2"/>
  <c r="S901" i="2"/>
  <c r="Q901" i="2"/>
  <c r="O901" i="2"/>
  <c r="N901" i="2"/>
  <c r="L901" i="2"/>
  <c r="J901" i="2"/>
  <c r="H901" i="2"/>
  <c r="G901" i="2"/>
  <c r="E901" i="2" a="1"/>
  <c r="E901" i="2" s="1"/>
  <c r="D901" i="2"/>
  <c r="B901" i="2"/>
  <c r="Y900" i="2"/>
  <c r="W900" i="2"/>
  <c r="U900" i="2"/>
  <c r="S900" i="2"/>
  <c r="Q900" i="2"/>
  <c r="O900" i="2"/>
  <c r="N900" i="2"/>
  <c r="L900" i="2"/>
  <c r="J900" i="2"/>
  <c r="H900" i="2"/>
  <c r="G900" i="2"/>
  <c r="E900" i="2"/>
  <c r="D900" i="2"/>
  <c r="E900" i="2" s="1" a="1"/>
  <c r="B900" i="2"/>
  <c r="Y899" i="2"/>
  <c r="W899" i="2"/>
  <c r="U899" i="2"/>
  <c r="S899" i="2"/>
  <c r="Q899" i="2"/>
  <c r="O899" i="2"/>
  <c r="N899" i="2"/>
  <c r="L899" i="2"/>
  <c r="J899" i="2"/>
  <c r="H899" i="2"/>
  <c r="G899" i="2"/>
  <c r="D899" i="2"/>
  <c r="E899" i="2" s="1" a="1"/>
  <c r="E899" i="2" s="1"/>
  <c r="B899" i="2"/>
  <c r="Y898" i="2"/>
  <c r="W898" i="2"/>
  <c r="U898" i="2"/>
  <c r="S898" i="2"/>
  <c r="Q898" i="2"/>
  <c r="N898" i="2"/>
  <c r="O898" i="2" s="1"/>
  <c r="L898" i="2"/>
  <c r="J898" i="2"/>
  <c r="G898" i="2"/>
  <c r="H898" i="2" s="1"/>
  <c r="E898" i="2" a="1"/>
  <c r="E898" i="2" s="1"/>
  <c r="D898" i="2"/>
  <c r="B898" i="2"/>
  <c r="Y897" i="2"/>
  <c r="W897" i="2"/>
  <c r="U897" i="2"/>
  <c r="S897" i="2"/>
  <c r="Q897" i="2"/>
  <c r="O897" i="2"/>
  <c r="N897" i="2"/>
  <c r="L897" i="2"/>
  <c r="J897" i="2"/>
  <c r="H897" i="2"/>
  <c r="G897" i="2"/>
  <c r="E897" i="2" a="1"/>
  <c r="E897" i="2" s="1"/>
  <c r="D897" i="2"/>
  <c r="B897" i="2"/>
  <c r="Y896" i="2"/>
  <c r="W896" i="2"/>
  <c r="U896" i="2"/>
  <c r="S896" i="2"/>
  <c r="Q896" i="2"/>
  <c r="O896" i="2"/>
  <c r="N896" i="2"/>
  <c r="L896" i="2"/>
  <c r="J896" i="2"/>
  <c r="H896" i="2"/>
  <c r="G896" i="2"/>
  <c r="D896" i="2"/>
  <c r="E896" i="2" s="1" a="1"/>
  <c r="E896" i="2" s="1"/>
  <c r="B896" i="2"/>
  <c r="Y895" i="2"/>
  <c r="W895" i="2"/>
  <c r="U895" i="2"/>
  <c r="S895" i="2"/>
  <c r="Q895" i="2"/>
  <c r="O895" i="2"/>
  <c r="N895" i="2"/>
  <c r="L895" i="2"/>
  <c r="J895" i="2"/>
  <c r="H895" i="2"/>
  <c r="G895" i="2"/>
  <c r="D895" i="2"/>
  <c r="E895" i="2" s="1" a="1"/>
  <c r="E895" i="2" s="1"/>
  <c r="B895" i="2"/>
  <c r="Y894" i="2"/>
  <c r="W894" i="2"/>
  <c r="U894" i="2"/>
  <c r="S894" i="2"/>
  <c r="Q894" i="2"/>
  <c r="N894" i="2"/>
  <c r="O894" i="2" s="1"/>
  <c r="L894" i="2"/>
  <c r="J894" i="2"/>
  <c r="G894" i="2"/>
  <c r="H894" i="2" s="1"/>
  <c r="E894" i="2" a="1"/>
  <c r="E894" i="2" s="1"/>
  <c r="D894" i="2"/>
  <c r="B894" i="2"/>
  <c r="Y893" i="2"/>
  <c r="W893" i="2"/>
  <c r="U893" i="2"/>
  <c r="S893" i="2"/>
  <c r="Q893" i="2"/>
  <c r="O893" i="2"/>
  <c r="N893" i="2"/>
  <c r="L893" i="2"/>
  <c r="J893" i="2"/>
  <c r="H893" i="2"/>
  <c r="G893" i="2"/>
  <c r="E893" i="2" a="1"/>
  <c r="E893" i="2" s="1"/>
  <c r="D893" i="2"/>
  <c r="B893" i="2"/>
  <c r="Y892" i="2"/>
  <c r="W892" i="2"/>
  <c r="U892" i="2"/>
  <c r="S892" i="2"/>
  <c r="Q892" i="2"/>
  <c r="O892" i="2"/>
  <c r="N892" i="2"/>
  <c r="L892" i="2"/>
  <c r="J892" i="2"/>
  <c r="H892" i="2"/>
  <c r="G892" i="2"/>
  <c r="D892" i="2"/>
  <c r="E892" i="2" s="1" a="1"/>
  <c r="E892" i="2" s="1"/>
  <c r="B892" i="2"/>
  <c r="Y891" i="2"/>
  <c r="W891" i="2"/>
  <c r="U891" i="2"/>
  <c r="S891" i="2"/>
  <c r="Q891" i="2"/>
  <c r="O891" i="2"/>
  <c r="N891" i="2"/>
  <c r="L891" i="2"/>
  <c r="J891" i="2"/>
  <c r="H891" i="2"/>
  <c r="G891" i="2"/>
  <c r="D891" i="2"/>
  <c r="E891" i="2" s="1" a="1"/>
  <c r="E891" i="2" s="1"/>
  <c r="B891" i="2"/>
  <c r="Y890" i="2"/>
  <c r="W890" i="2"/>
  <c r="U890" i="2"/>
  <c r="S890" i="2"/>
  <c r="Q890" i="2"/>
  <c r="N890" i="2"/>
  <c r="O890" i="2" s="1"/>
  <c r="L890" i="2"/>
  <c r="J890" i="2"/>
  <c r="G890" i="2"/>
  <c r="H890" i="2" s="1"/>
  <c r="E890" i="2" a="1"/>
  <c r="E890" i="2" s="1"/>
  <c r="D890" i="2"/>
  <c r="B890" i="2"/>
  <c r="Y889" i="2"/>
  <c r="W889" i="2"/>
  <c r="U889" i="2"/>
  <c r="S889" i="2"/>
  <c r="Q889" i="2"/>
  <c r="O889" i="2"/>
  <c r="N889" i="2"/>
  <c r="L889" i="2"/>
  <c r="J889" i="2"/>
  <c r="H889" i="2"/>
  <c r="G889" i="2"/>
  <c r="E889" i="2" a="1"/>
  <c r="E889" i="2" s="1"/>
  <c r="D889" i="2"/>
  <c r="B889" i="2"/>
  <c r="Y888" i="2"/>
  <c r="W888" i="2"/>
  <c r="U888" i="2"/>
  <c r="S888" i="2"/>
  <c r="Q888" i="2"/>
  <c r="O888" i="2"/>
  <c r="N888" i="2"/>
  <c r="L888" i="2"/>
  <c r="J888" i="2"/>
  <c r="H888" i="2"/>
  <c r="G888" i="2"/>
  <c r="D888" i="2"/>
  <c r="E888" i="2" s="1" a="1"/>
  <c r="E888" i="2" s="1"/>
  <c r="B888" i="2"/>
  <c r="Y887" i="2"/>
  <c r="W887" i="2"/>
  <c r="U887" i="2"/>
  <c r="S887" i="2"/>
  <c r="Q887" i="2"/>
  <c r="O887" i="2"/>
  <c r="N887" i="2"/>
  <c r="L887" i="2"/>
  <c r="J887" i="2"/>
  <c r="H887" i="2"/>
  <c r="G887" i="2"/>
  <c r="D887" i="2"/>
  <c r="E887" i="2" s="1" a="1"/>
  <c r="E887" i="2" s="1"/>
  <c r="B887" i="2"/>
  <c r="Y886" i="2"/>
  <c r="W886" i="2"/>
  <c r="U886" i="2"/>
  <c r="S886" i="2"/>
  <c r="Q886" i="2"/>
  <c r="N886" i="2"/>
  <c r="O886" i="2" s="1"/>
  <c r="L886" i="2"/>
  <c r="J886" i="2"/>
  <c r="G886" i="2"/>
  <c r="H886" i="2" s="1"/>
  <c r="E886" i="2" a="1"/>
  <c r="E886" i="2" s="1"/>
  <c r="D886" i="2"/>
  <c r="B886" i="2"/>
  <c r="Y885" i="2"/>
  <c r="W885" i="2"/>
  <c r="U885" i="2"/>
  <c r="S885" i="2"/>
  <c r="Q885" i="2"/>
  <c r="O885" i="2"/>
  <c r="N885" i="2"/>
  <c r="L885" i="2"/>
  <c r="J885" i="2"/>
  <c r="H885" i="2"/>
  <c r="G885" i="2"/>
  <c r="E885" i="2" a="1"/>
  <c r="E885" i="2" s="1"/>
  <c r="D885" i="2"/>
  <c r="B885" i="2"/>
  <c r="Y884" i="2"/>
  <c r="W884" i="2"/>
  <c r="U884" i="2"/>
  <c r="S884" i="2"/>
  <c r="Q884" i="2"/>
  <c r="O884" i="2"/>
  <c r="N884" i="2"/>
  <c r="L884" i="2"/>
  <c r="J884" i="2"/>
  <c r="H884" i="2"/>
  <c r="G884" i="2"/>
  <c r="E884" i="2"/>
  <c r="D884" i="2"/>
  <c r="E884" i="2" s="1" a="1"/>
  <c r="B884" i="2"/>
  <c r="Y883" i="2"/>
  <c r="W883" i="2"/>
  <c r="U883" i="2"/>
  <c r="S883" i="2"/>
  <c r="Q883" i="2"/>
  <c r="O883" i="2"/>
  <c r="N883" i="2"/>
  <c r="L883" i="2"/>
  <c r="J883" i="2"/>
  <c r="H883" i="2"/>
  <c r="G883" i="2"/>
  <c r="D883" i="2"/>
  <c r="E883" i="2" s="1" a="1"/>
  <c r="E883" i="2" s="1"/>
  <c r="B883" i="2"/>
  <c r="Y882" i="2"/>
  <c r="W882" i="2"/>
  <c r="U882" i="2"/>
  <c r="S882" i="2"/>
  <c r="Q882" i="2"/>
  <c r="N882" i="2"/>
  <c r="O882" i="2" s="1"/>
  <c r="L882" i="2"/>
  <c r="J882" i="2"/>
  <c r="G882" i="2"/>
  <c r="H882" i="2" s="1"/>
  <c r="E882" i="2" a="1"/>
  <c r="E882" i="2" s="1"/>
  <c r="D882" i="2"/>
  <c r="B882" i="2"/>
  <c r="Y881" i="2"/>
  <c r="W881" i="2"/>
  <c r="U881" i="2"/>
  <c r="S881" i="2"/>
  <c r="Q881" i="2"/>
  <c r="O881" i="2"/>
  <c r="N881" i="2"/>
  <c r="L881" i="2"/>
  <c r="J881" i="2"/>
  <c r="H881" i="2"/>
  <c r="G881" i="2"/>
  <c r="E881" i="2" a="1"/>
  <c r="E881" i="2" s="1"/>
  <c r="D881" i="2"/>
  <c r="B881" i="2"/>
  <c r="Y880" i="2"/>
  <c r="W880" i="2"/>
  <c r="U880" i="2"/>
  <c r="S880" i="2"/>
  <c r="Q880" i="2"/>
  <c r="O880" i="2"/>
  <c r="N880" i="2"/>
  <c r="L880" i="2"/>
  <c r="J880" i="2"/>
  <c r="H880" i="2"/>
  <c r="G880" i="2"/>
  <c r="D880" i="2"/>
  <c r="E880" i="2" s="1" a="1"/>
  <c r="E880" i="2" s="1"/>
  <c r="B880" i="2"/>
  <c r="Y879" i="2"/>
  <c r="W879" i="2"/>
  <c r="U879" i="2"/>
  <c r="S879" i="2"/>
  <c r="Q879" i="2"/>
  <c r="O879" i="2"/>
  <c r="N879" i="2"/>
  <c r="L879" i="2"/>
  <c r="J879" i="2"/>
  <c r="H879" i="2"/>
  <c r="G879" i="2"/>
  <c r="D879" i="2"/>
  <c r="E879" i="2" s="1" a="1"/>
  <c r="E879" i="2" s="1"/>
  <c r="B879" i="2"/>
  <c r="Y878" i="2"/>
  <c r="W878" i="2"/>
  <c r="U878" i="2"/>
  <c r="S878" i="2"/>
  <c r="Q878" i="2"/>
  <c r="N878" i="2"/>
  <c r="O878" i="2" s="1"/>
  <c r="L878" i="2"/>
  <c r="J878" i="2"/>
  <c r="G878" i="2"/>
  <c r="H878" i="2" s="1"/>
  <c r="E878" i="2" a="1"/>
  <c r="E878" i="2" s="1"/>
  <c r="D878" i="2"/>
  <c r="B878" i="2"/>
  <c r="Y877" i="2"/>
  <c r="W877" i="2"/>
  <c r="U877" i="2"/>
  <c r="S877" i="2"/>
  <c r="Q877" i="2"/>
  <c r="O877" i="2"/>
  <c r="N877" i="2"/>
  <c r="L877" i="2"/>
  <c r="J877" i="2"/>
  <c r="H877" i="2"/>
  <c r="G877" i="2"/>
  <c r="E877" i="2" a="1"/>
  <c r="E877" i="2" s="1"/>
  <c r="D877" i="2"/>
  <c r="B877" i="2"/>
  <c r="Y876" i="2"/>
  <c r="W876" i="2"/>
  <c r="U876" i="2"/>
  <c r="S876" i="2"/>
  <c r="Q876" i="2"/>
  <c r="O876" i="2"/>
  <c r="N876" i="2"/>
  <c r="L876" i="2"/>
  <c r="J876" i="2"/>
  <c r="H876" i="2"/>
  <c r="G876" i="2"/>
  <c r="D876" i="2"/>
  <c r="E876" i="2" s="1" a="1"/>
  <c r="E876" i="2" s="1"/>
  <c r="B876" i="2"/>
  <c r="Y875" i="2"/>
  <c r="W875" i="2"/>
  <c r="U875" i="2"/>
  <c r="S875" i="2"/>
  <c r="Q875" i="2"/>
  <c r="O875" i="2"/>
  <c r="N875" i="2"/>
  <c r="L875" i="2"/>
  <c r="J875" i="2"/>
  <c r="G875" i="2"/>
  <c r="H875" i="2" s="1"/>
  <c r="D875" i="2"/>
  <c r="E875" i="2" s="1" a="1"/>
  <c r="E875" i="2" s="1"/>
  <c r="B875" i="2"/>
  <c r="Y874" i="2"/>
  <c r="W874" i="2"/>
  <c r="U874" i="2"/>
  <c r="S874" i="2"/>
  <c r="Q874" i="2"/>
  <c r="N874" i="2"/>
  <c r="O874" i="2" s="1"/>
  <c r="L874" i="2"/>
  <c r="J874" i="2"/>
  <c r="G874" i="2"/>
  <c r="H874" i="2" s="1"/>
  <c r="E874" i="2" a="1"/>
  <c r="E874" i="2" s="1"/>
  <c r="D874" i="2"/>
  <c r="B874" i="2"/>
  <c r="Y873" i="2"/>
  <c r="W873" i="2"/>
  <c r="U873" i="2"/>
  <c r="S873" i="2"/>
  <c r="Q873" i="2"/>
  <c r="O873" i="2"/>
  <c r="N873" i="2"/>
  <c r="L873" i="2"/>
  <c r="J873" i="2"/>
  <c r="H873" i="2"/>
  <c r="G873" i="2"/>
  <c r="E873" i="2" a="1"/>
  <c r="E873" i="2"/>
  <c r="D873" i="2"/>
  <c r="B873" i="2"/>
  <c r="Y872" i="2"/>
  <c r="W872" i="2"/>
  <c r="U872" i="2"/>
  <c r="S872" i="2"/>
  <c r="Q872" i="2"/>
  <c r="O872" i="2"/>
  <c r="N872" i="2"/>
  <c r="L872" i="2"/>
  <c r="J872" i="2"/>
  <c r="H872" i="2"/>
  <c r="G872" i="2"/>
  <c r="E872" i="2"/>
  <c r="D872" i="2"/>
  <c r="E872" i="2" s="1" a="1"/>
  <c r="B872" i="2"/>
  <c r="Y871" i="2"/>
  <c r="W871" i="2"/>
  <c r="U871" i="2"/>
  <c r="S871" i="2"/>
  <c r="Q871" i="2"/>
  <c r="O871" i="2"/>
  <c r="N871" i="2"/>
  <c r="L871" i="2"/>
  <c r="J871" i="2"/>
  <c r="H871" i="2"/>
  <c r="G871" i="2"/>
  <c r="D871" i="2"/>
  <c r="E871" i="2" s="1" a="1"/>
  <c r="E871" i="2" s="1"/>
  <c r="B871" i="2"/>
  <c r="Y870" i="2"/>
  <c r="W870" i="2"/>
  <c r="U870" i="2"/>
  <c r="S870" i="2"/>
  <c r="Q870" i="2"/>
  <c r="N870" i="2"/>
  <c r="O870" i="2" s="1"/>
  <c r="L870" i="2"/>
  <c r="J870" i="2"/>
  <c r="G870" i="2"/>
  <c r="H870" i="2" s="1"/>
  <c r="E870" i="2" a="1"/>
  <c r="E870" i="2" s="1"/>
  <c r="D870" i="2"/>
  <c r="B870" i="2"/>
  <c r="Y869" i="2"/>
  <c r="W869" i="2"/>
  <c r="U869" i="2"/>
  <c r="S869" i="2"/>
  <c r="Q869" i="2"/>
  <c r="O869" i="2"/>
  <c r="N869" i="2"/>
  <c r="L869" i="2"/>
  <c r="J869" i="2"/>
  <c r="H869" i="2"/>
  <c r="G869" i="2"/>
  <c r="E869" i="2" a="1"/>
  <c r="E869" i="2"/>
  <c r="D869" i="2"/>
  <c r="B869" i="2"/>
  <c r="Y868" i="2"/>
  <c r="W868" i="2"/>
  <c r="U868" i="2"/>
  <c r="S868" i="2"/>
  <c r="Q868" i="2"/>
  <c r="O868" i="2"/>
  <c r="N868" i="2"/>
  <c r="L868" i="2"/>
  <c r="J868" i="2"/>
  <c r="H868" i="2"/>
  <c r="G868" i="2"/>
  <c r="D868" i="2"/>
  <c r="E868" i="2" s="1" a="1"/>
  <c r="E868" i="2" s="1"/>
  <c r="B868" i="2"/>
  <c r="Y867" i="2"/>
  <c r="W867" i="2"/>
  <c r="U867" i="2"/>
  <c r="S867" i="2"/>
  <c r="Q867" i="2"/>
  <c r="N867" i="2"/>
  <c r="O867" i="2" s="1"/>
  <c r="L867" i="2"/>
  <c r="J867" i="2"/>
  <c r="G867" i="2"/>
  <c r="H867" i="2" s="1"/>
  <c r="D867" i="2"/>
  <c r="E867" i="2" s="1" a="1"/>
  <c r="E867" i="2" s="1"/>
  <c r="B867" i="2"/>
  <c r="Y866" i="2"/>
  <c r="W866" i="2"/>
  <c r="U866" i="2"/>
  <c r="S866" i="2"/>
  <c r="Q866" i="2"/>
  <c r="N866" i="2"/>
  <c r="O866" i="2" s="1"/>
  <c r="L866" i="2"/>
  <c r="J866" i="2"/>
  <c r="G866" i="2"/>
  <c r="H866" i="2" s="1"/>
  <c r="E866" i="2" a="1"/>
  <c r="E866" i="2" s="1"/>
  <c r="D866" i="2"/>
  <c r="B866" i="2"/>
  <c r="Y865" i="2"/>
  <c r="W865" i="2"/>
  <c r="U865" i="2"/>
  <c r="S865" i="2"/>
  <c r="Q865" i="2"/>
  <c r="O865" i="2"/>
  <c r="N865" i="2"/>
  <c r="L865" i="2"/>
  <c r="J865" i="2"/>
  <c r="H865" i="2"/>
  <c r="G865" i="2"/>
  <c r="E865" i="2" a="1"/>
  <c r="E865" i="2"/>
  <c r="D865" i="2"/>
  <c r="B865" i="2"/>
  <c r="Y864" i="2"/>
  <c r="W864" i="2"/>
  <c r="U864" i="2"/>
  <c r="S864" i="2"/>
  <c r="Q864" i="2"/>
  <c r="O864" i="2"/>
  <c r="N864" i="2"/>
  <c r="L864" i="2"/>
  <c r="J864" i="2"/>
  <c r="H864" i="2"/>
  <c r="G864" i="2"/>
  <c r="E864" i="2"/>
  <c r="D864" i="2"/>
  <c r="E864" i="2" s="1" a="1"/>
  <c r="B864" i="2"/>
  <c r="Y863" i="2"/>
  <c r="W863" i="2"/>
  <c r="U863" i="2"/>
  <c r="S863" i="2"/>
  <c r="Q863" i="2"/>
  <c r="O863" i="2"/>
  <c r="N863" i="2"/>
  <c r="L863" i="2"/>
  <c r="J863" i="2"/>
  <c r="H863" i="2"/>
  <c r="G863" i="2"/>
  <c r="D863" i="2"/>
  <c r="E863" i="2" s="1" a="1"/>
  <c r="E863" i="2" s="1"/>
  <c r="B863" i="2"/>
  <c r="Y862" i="2"/>
  <c r="W862" i="2"/>
  <c r="U862" i="2"/>
  <c r="S862" i="2"/>
  <c r="Q862" i="2"/>
  <c r="N862" i="2"/>
  <c r="O862" i="2" s="1"/>
  <c r="L862" i="2"/>
  <c r="J862" i="2"/>
  <c r="G862" i="2"/>
  <c r="H862" i="2" s="1"/>
  <c r="E862" i="2" a="1"/>
  <c r="E862" i="2" s="1"/>
  <c r="D862" i="2"/>
  <c r="B862" i="2"/>
  <c r="Y861" i="2"/>
  <c r="W861" i="2"/>
  <c r="U861" i="2"/>
  <c r="S861" i="2"/>
  <c r="Q861" i="2"/>
  <c r="O861" i="2"/>
  <c r="N861" i="2"/>
  <c r="L861" i="2"/>
  <c r="J861" i="2"/>
  <c r="H861" i="2"/>
  <c r="G861" i="2"/>
  <c r="E861" i="2" a="1"/>
  <c r="E861" i="2"/>
  <c r="D861" i="2"/>
  <c r="B861" i="2"/>
  <c r="Y860" i="2"/>
  <c r="W860" i="2"/>
  <c r="U860" i="2"/>
  <c r="S860" i="2"/>
  <c r="Q860" i="2"/>
  <c r="O860" i="2"/>
  <c r="N860" i="2"/>
  <c r="L860" i="2"/>
  <c r="J860" i="2"/>
  <c r="H860" i="2"/>
  <c r="G860" i="2"/>
  <c r="D860" i="2"/>
  <c r="E860" i="2" s="1" a="1"/>
  <c r="E860" i="2" s="1"/>
  <c r="B860" i="2"/>
  <c r="Y859" i="2"/>
  <c r="W859" i="2"/>
  <c r="U859" i="2"/>
  <c r="S859" i="2"/>
  <c r="Q859" i="2"/>
  <c r="N859" i="2"/>
  <c r="O859" i="2" s="1"/>
  <c r="L859" i="2"/>
  <c r="J859" i="2"/>
  <c r="G859" i="2"/>
  <c r="H859" i="2" s="1"/>
  <c r="D859" i="2"/>
  <c r="E859" i="2" s="1" a="1"/>
  <c r="E859" i="2" s="1"/>
  <c r="B859" i="2"/>
  <c r="Y858" i="2"/>
  <c r="W858" i="2"/>
  <c r="U858" i="2"/>
  <c r="S858" i="2"/>
  <c r="Q858" i="2"/>
  <c r="N858" i="2"/>
  <c r="O858" i="2" s="1"/>
  <c r="L858" i="2"/>
  <c r="J858" i="2"/>
  <c r="G858" i="2"/>
  <c r="H858" i="2" s="1"/>
  <c r="E858" i="2" a="1"/>
  <c r="E858" i="2" s="1"/>
  <c r="D858" i="2"/>
  <c r="B858" i="2"/>
  <c r="Y857" i="2"/>
  <c r="W857" i="2"/>
  <c r="U857" i="2"/>
  <c r="S857" i="2"/>
  <c r="Q857" i="2"/>
  <c r="O857" i="2"/>
  <c r="N857" i="2"/>
  <c r="L857" i="2"/>
  <c r="J857" i="2"/>
  <c r="H857" i="2"/>
  <c r="G857" i="2"/>
  <c r="E857" i="2" a="1"/>
  <c r="E857" i="2" s="1"/>
  <c r="D857" i="2"/>
  <c r="B857" i="2"/>
  <c r="Y856" i="2"/>
  <c r="W856" i="2"/>
  <c r="U856" i="2"/>
  <c r="S856" i="2"/>
  <c r="Q856" i="2"/>
  <c r="O856" i="2"/>
  <c r="N856" i="2"/>
  <c r="L856" i="2"/>
  <c r="J856" i="2"/>
  <c r="H856" i="2"/>
  <c r="G856" i="2"/>
  <c r="E856" i="2"/>
  <c r="D856" i="2"/>
  <c r="E856" i="2" s="1" a="1"/>
  <c r="B856" i="2"/>
  <c r="Y855" i="2"/>
  <c r="W855" i="2"/>
  <c r="U855" i="2"/>
  <c r="S855" i="2"/>
  <c r="Q855" i="2"/>
  <c r="O855" i="2"/>
  <c r="N855" i="2"/>
  <c r="L855" i="2"/>
  <c r="J855" i="2"/>
  <c r="H855" i="2"/>
  <c r="G855" i="2"/>
  <c r="D855" i="2"/>
  <c r="E855" i="2" s="1" a="1"/>
  <c r="E855" i="2" s="1"/>
  <c r="B855" i="2"/>
  <c r="Y854" i="2"/>
  <c r="W854" i="2"/>
  <c r="U854" i="2"/>
  <c r="S854" i="2"/>
  <c r="Q854" i="2"/>
  <c r="N854" i="2"/>
  <c r="O854" i="2" s="1"/>
  <c r="L854" i="2"/>
  <c r="J854" i="2"/>
  <c r="G854" i="2"/>
  <c r="H854" i="2" s="1"/>
  <c r="E854" i="2" a="1"/>
  <c r="E854" i="2" s="1"/>
  <c r="D854" i="2"/>
  <c r="B854" i="2"/>
  <c r="Y853" i="2"/>
  <c r="W853" i="2"/>
  <c r="U853" i="2"/>
  <c r="S853" i="2"/>
  <c r="Q853" i="2"/>
  <c r="O853" i="2"/>
  <c r="N853" i="2"/>
  <c r="L853" i="2"/>
  <c r="J853" i="2"/>
  <c r="H853" i="2"/>
  <c r="G853" i="2"/>
  <c r="E853" i="2" a="1"/>
  <c r="E853" i="2"/>
  <c r="D853" i="2"/>
  <c r="B853" i="2"/>
  <c r="Y852" i="2"/>
  <c r="W852" i="2"/>
  <c r="U852" i="2"/>
  <c r="S852" i="2"/>
  <c r="Q852" i="2"/>
  <c r="O852" i="2"/>
  <c r="N852" i="2"/>
  <c r="L852" i="2"/>
  <c r="J852" i="2"/>
  <c r="H852" i="2"/>
  <c r="G852" i="2"/>
  <c r="D852" i="2"/>
  <c r="E852" i="2" s="1" a="1"/>
  <c r="E852" i="2" s="1"/>
  <c r="B852" i="2"/>
  <c r="Y851" i="2"/>
  <c r="W851" i="2"/>
  <c r="U851" i="2"/>
  <c r="S851" i="2"/>
  <c r="Q851" i="2"/>
  <c r="N851" i="2"/>
  <c r="O851" i="2" s="1"/>
  <c r="L851" i="2"/>
  <c r="J851" i="2"/>
  <c r="G851" i="2"/>
  <c r="H851" i="2" s="1"/>
  <c r="D851" i="2"/>
  <c r="E851" i="2" s="1" a="1"/>
  <c r="E851" i="2" s="1"/>
  <c r="B851" i="2"/>
  <c r="Y850" i="2"/>
  <c r="W850" i="2"/>
  <c r="U850" i="2"/>
  <c r="S850" i="2"/>
  <c r="Q850" i="2"/>
  <c r="N850" i="2"/>
  <c r="O850" i="2" s="1"/>
  <c r="L850" i="2"/>
  <c r="J850" i="2"/>
  <c r="G850" i="2"/>
  <c r="H850" i="2" s="1"/>
  <c r="E850" i="2" a="1"/>
  <c r="E850" i="2" s="1"/>
  <c r="D850" i="2"/>
  <c r="B850" i="2"/>
  <c r="Y849" i="2"/>
  <c r="W849" i="2"/>
  <c r="U849" i="2"/>
  <c r="S849" i="2"/>
  <c r="Q849" i="2"/>
  <c r="O849" i="2"/>
  <c r="N849" i="2"/>
  <c r="L849" i="2"/>
  <c r="J849" i="2"/>
  <c r="H849" i="2"/>
  <c r="G849" i="2"/>
  <c r="E849" i="2" a="1"/>
  <c r="E849" i="2" s="1"/>
  <c r="D849" i="2"/>
  <c r="B849" i="2"/>
  <c r="Y848" i="2"/>
  <c r="W848" i="2"/>
  <c r="U848" i="2"/>
  <c r="S848" i="2"/>
  <c r="Q848" i="2"/>
  <c r="O848" i="2"/>
  <c r="N848" i="2"/>
  <c r="L848" i="2"/>
  <c r="J848" i="2"/>
  <c r="H848" i="2"/>
  <c r="G848" i="2"/>
  <c r="E848" i="2"/>
  <c r="D848" i="2"/>
  <c r="E848" i="2" s="1" a="1"/>
  <c r="B848" i="2"/>
  <c r="Y847" i="2"/>
  <c r="W847" i="2"/>
  <c r="U847" i="2"/>
  <c r="S847" i="2"/>
  <c r="Q847" i="2"/>
  <c r="O847" i="2"/>
  <c r="N847" i="2"/>
  <c r="L847" i="2"/>
  <c r="J847" i="2"/>
  <c r="H847" i="2"/>
  <c r="G847" i="2"/>
  <c r="D847" i="2"/>
  <c r="E847" i="2" s="1" a="1"/>
  <c r="E847" i="2" s="1"/>
  <c r="B847" i="2"/>
  <c r="Y846" i="2"/>
  <c r="W846" i="2"/>
  <c r="U846" i="2"/>
  <c r="S846" i="2"/>
  <c r="Q846" i="2"/>
  <c r="N846" i="2"/>
  <c r="O846" i="2" s="1"/>
  <c r="L846" i="2"/>
  <c r="J846" i="2"/>
  <c r="G846" i="2"/>
  <c r="H846" i="2" s="1"/>
  <c r="E846" i="2" a="1"/>
  <c r="E846" i="2" s="1"/>
  <c r="D846" i="2"/>
  <c r="B846" i="2"/>
  <c r="Y845" i="2"/>
  <c r="W845" i="2"/>
  <c r="U845" i="2"/>
  <c r="S845" i="2"/>
  <c r="Q845" i="2"/>
  <c r="O845" i="2"/>
  <c r="N845" i="2"/>
  <c r="L845" i="2"/>
  <c r="J845" i="2"/>
  <c r="H845" i="2"/>
  <c r="G845" i="2"/>
  <c r="E845" i="2" a="1"/>
  <c r="E845" i="2"/>
  <c r="D845" i="2"/>
  <c r="B845" i="2"/>
  <c r="Y844" i="2"/>
  <c r="W844" i="2"/>
  <c r="U844" i="2"/>
  <c r="S844" i="2"/>
  <c r="Q844" i="2"/>
  <c r="O844" i="2"/>
  <c r="N844" i="2"/>
  <c r="L844" i="2"/>
  <c r="J844" i="2"/>
  <c r="H844" i="2"/>
  <c r="G844" i="2"/>
  <c r="D844" i="2"/>
  <c r="E844" i="2" s="1" a="1"/>
  <c r="E844" i="2" s="1"/>
  <c r="B844" i="2"/>
  <c r="Y843" i="2"/>
  <c r="W843" i="2"/>
  <c r="U843" i="2"/>
  <c r="S843" i="2"/>
  <c r="Q843" i="2"/>
  <c r="N843" i="2"/>
  <c r="O843" i="2" s="1"/>
  <c r="L843" i="2"/>
  <c r="J843" i="2"/>
  <c r="G843" i="2"/>
  <c r="H843" i="2" s="1"/>
  <c r="D843" i="2"/>
  <c r="E843" i="2" s="1" a="1"/>
  <c r="E843" i="2" s="1"/>
  <c r="B843" i="2"/>
  <c r="Y842" i="2"/>
  <c r="W842" i="2"/>
  <c r="U842" i="2"/>
  <c r="S842" i="2"/>
  <c r="Q842" i="2"/>
  <c r="N842" i="2"/>
  <c r="O842" i="2" s="1"/>
  <c r="L842" i="2"/>
  <c r="J842" i="2"/>
  <c r="G842" i="2"/>
  <c r="H842" i="2" s="1"/>
  <c r="E842" i="2" a="1"/>
  <c r="E842" i="2" s="1"/>
  <c r="D842" i="2"/>
  <c r="B842" i="2"/>
  <c r="Y841" i="2"/>
  <c r="W841" i="2"/>
  <c r="U841" i="2"/>
  <c r="S841" i="2"/>
  <c r="Q841" i="2"/>
  <c r="O841" i="2"/>
  <c r="N841" i="2"/>
  <c r="L841" i="2"/>
  <c r="J841" i="2"/>
  <c r="H841" i="2"/>
  <c r="G841" i="2"/>
  <c r="E841" i="2" a="1"/>
  <c r="E841" i="2" s="1"/>
  <c r="D841" i="2"/>
  <c r="B841" i="2"/>
  <c r="Y840" i="2"/>
  <c r="W840" i="2"/>
  <c r="U840" i="2"/>
  <c r="S840" i="2"/>
  <c r="Q840" i="2"/>
  <c r="N840" i="2"/>
  <c r="O840" i="2" s="1"/>
  <c r="L840" i="2"/>
  <c r="J840" i="2"/>
  <c r="G840" i="2"/>
  <c r="H840" i="2" s="1"/>
  <c r="E840" i="2"/>
  <c r="D840" i="2"/>
  <c r="E840" i="2" s="1" a="1"/>
  <c r="B840" i="2"/>
  <c r="Y839" i="2"/>
  <c r="W839" i="2"/>
  <c r="U839" i="2"/>
  <c r="S839" i="2"/>
  <c r="Q839" i="2"/>
  <c r="O839" i="2"/>
  <c r="N839" i="2"/>
  <c r="L839" i="2"/>
  <c r="J839" i="2"/>
  <c r="H839" i="2"/>
  <c r="G839" i="2"/>
  <c r="D839" i="2"/>
  <c r="E839" i="2" s="1" a="1"/>
  <c r="E839" i="2" s="1"/>
  <c r="B839" i="2"/>
  <c r="Y838" i="2"/>
  <c r="W838" i="2"/>
  <c r="U838" i="2"/>
  <c r="S838" i="2"/>
  <c r="Q838" i="2"/>
  <c r="N838" i="2"/>
  <c r="O838" i="2" s="1"/>
  <c r="L838" i="2"/>
  <c r="J838" i="2"/>
  <c r="G838" i="2"/>
  <c r="H838" i="2" s="1"/>
  <c r="E838" i="2" a="1"/>
  <c r="E838" i="2"/>
  <c r="D838" i="2"/>
  <c r="B838" i="2"/>
  <c r="Y837" i="2"/>
  <c r="W837" i="2"/>
  <c r="U837" i="2"/>
  <c r="S837" i="2"/>
  <c r="Q837" i="2"/>
  <c r="O837" i="2"/>
  <c r="N837" i="2"/>
  <c r="L837" i="2"/>
  <c r="J837" i="2"/>
  <c r="H837" i="2"/>
  <c r="G837" i="2"/>
  <c r="D837" i="2"/>
  <c r="E837" i="2" s="1" a="1"/>
  <c r="E837" i="2" s="1"/>
  <c r="B837" i="2"/>
  <c r="Y836" i="2"/>
  <c r="W836" i="2"/>
  <c r="U836" i="2"/>
  <c r="S836" i="2"/>
  <c r="Q836" i="2"/>
  <c r="N836" i="2"/>
  <c r="O836" i="2" s="1"/>
  <c r="L836" i="2"/>
  <c r="J836" i="2"/>
  <c r="G836" i="2"/>
  <c r="H836" i="2" s="1"/>
  <c r="E836" i="2"/>
  <c r="D836" i="2"/>
  <c r="E836" i="2" s="1" a="1"/>
  <c r="B836" i="2"/>
  <c r="Y835" i="2"/>
  <c r="W835" i="2"/>
  <c r="U835" i="2"/>
  <c r="S835" i="2"/>
  <c r="Q835" i="2"/>
  <c r="O835" i="2"/>
  <c r="N835" i="2"/>
  <c r="L835" i="2"/>
  <c r="J835" i="2"/>
  <c r="H835" i="2"/>
  <c r="G835" i="2"/>
  <c r="D835" i="2"/>
  <c r="E835" i="2" s="1" a="1"/>
  <c r="E835" i="2" s="1"/>
  <c r="B835" i="2"/>
  <c r="Y834" i="2"/>
  <c r="W834" i="2"/>
  <c r="U834" i="2"/>
  <c r="S834" i="2"/>
  <c r="Q834" i="2"/>
  <c r="N834" i="2"/>
  <c r="O834" i="2" s="1"/>
  <c r="L834" i="2"/>
  <c r="J834" i="2"/>
  <c r="G834" i="2"/>
  <c r="H834" i="2" s="1"/>
  <c r="E834" i="2" a="1"/>
  <c r="E834" i="2"/>
  <c r="D834" i="2"/>
  <c r="B834" i="2"/>
  <c r="Y833" i="2"/>
  <c r="W833" i="2"/>
  <c r="U833" i="2"/>
  <c r="S833" i="2"/>
  <c r="Q833" i="2"/>
  <c r="O833" i="2"/>
  <c r="N833" i="2"/>
  <c r="L833" i="2"/>
  <c r="J833" i="2"/>
  <c r="H833" i="2"/>
  <c r="G833" i="2"/>
  <c r="D833" i="2"/>
  <c r="E833" i="2" s="1" a="1"/>
  <c r="E833" i="2" s="1"/>
  <c r="B833" i="2"/>
  <c r="Y832" i="2"/>
  <c r="W832" i="2"/>
  <c r="U832" i="2"/>
  <c r="S832" i="2"/>
  <c r="Q832" i="2"/>
  <c r="N832" i="2"/>
  <c r="O832" i="2" s="1"/>
  <c r="L832" i="2"/>
  <c r="J832" i="2"/>
  <c r="G832" i="2"/>
  <c r="H832" i="2" s="1"/>
  <c r="E832" i="2"/>
  <c r="D832" i="2"/>
  <c r="E832" i="2" s="1" a="1"/>
  <c r="B832" i="2"/>
  <c r="Y831" i="2"/>
  <c r="W831" i="2"/>
  <c r="U831" i="2"/>
  <c r="S831" i="2"/>
  <c r="Q831" i="2"/>
  <c r="O831" i="2"/>
  <c r="N831" i="2"/>
  <c r="L831" i="2"/>
  <c r="J831" i="2"/>
  <c r="H831" i="2"/>
  <c r="G831" i="2"/>
  <c r="D831" i="2"/>
  <c r="E831" i="2" s="1" a="1"/>
  <c r="E831" i="2" s="1"/>
  <c r="B831" i="2"/>
  <c r="Y830" i="2"/>
  <c r="W830" i="2"/>
  <c r="U830" i="2"/>
  <c r="S830" i="2"/>
  <c r="Q830" i="2"/>
  <c r="N830" i="2"/>
  <c r="O830" i="2" s="1"/>
  <c r="L830" i="2"/>
  <c r="J830" i="2"/>
  <c r="G830" i="2"/>
  <c r="H830" i="2" s="1"/>
  <c r="E830" i="2" a="1"/>
  <c r="E830" i="2"/>
  <c r="D830" i="2"/>
  <c r="B830" i="2"/>
  <c r="Y829" i="2"/>
  <c r="W829" i="2"/>
  <c r="U829" i="2"/>
  <c r="S829" i="2"/>
  <c r="Q829" i="2"/>
  <c r="O829" i="2"/>
  <c r="N829" i="2"/>
  <c r="L829" i="2"/>
  <c r="J829" i="2"/>
  <c r="H829" i="2"/>
  <c r="G829" i="2"/>
  <c r="D829" i="2"/>
  <c r="E829" i="2" s="1" a="1"/>
  <c r="E829" i="2" s="1"/>
  <c r="B829" i="2"/>
  <c r="Y828" i="2"/>
  <c r="W828" i="2"/>
  <c r="U828" i="2"/>
  <c r="S828" i="2"/>
  <c r="Q828" i="2"/>
  <c r="N828" i="2"/>
  <c r="O828" i="2" s="1"/>
  <c r="L828" i="2"/>
  <c r="J828" i="2"/>
  <c r="G828" i="2"/>
  <c r="H828" i="2" s="1"/>
  <c r="E828" i="2"/>
  <c r="D828" i="2"/>
  <c r="E828" i="2" s="1" a="1"/>
  <c r="B828" i="2"/>
  <c r="Y827" i="2"/>
  <c r="W827" i="2"/>
  <c r="U827" i="2"/>
  <c r="S827" i="2"/>
  <c r="Q827" i="2"/>
  <c r="O827" i="2"/>
  <c r="N827" i="2"/>
  <c r="L827" i="2"/>
  <c r="J827" i="2"/>
  <c r="H827" i="2"/>
  <c r="G827" i="2"/>
  <c r="D827" i="2"/>
  <c r="E827" i="2" s="1" a="1"/>
  <c r="E827" i="2" s="1"/>
  <c r="B827" i="2"/>
  <c r="Y826" i="2"/>
  <c r="W826" i="2"/>
  <c r="U826" i="2"/>
  <c r="S826" i="2"/>
  <c r="Q826" i="2"/>
  <c r="N826" i="2"/>
  <c r="O826" i="2" s="1"/>
  <c r="L826" i="2"/>
  <c r="J826" i="2"/>
  <c r="G826" i="2"/>
  <c r="H826" i="2" s="1"/>
  <c r="E826" i="2" a="1"/>
  <c r="E826" i="2"/>
  <c r="D826" i="2"/>
  <c r="B826" i="2"/>
  <c r="Y825" i="2"/>
  <c r="W825" i="2"/>
  <c r="U825" i="2"/>
  <c r="S825" i="2"/>
  <c r="Q825" i="2"/>
  <c r="O825" i="2"/>
  <c r="N825" i="2"/>
  <c r="L825" i="2"/>
  <c r="J825" i="2"/>
  <c r="H825" i="2"/>
  <c r="G825" i="2"/>
  <c r="D825" i="2"/>
  <c r="E825" i="2" s="1" a="1"/>
  <c r="E825" i="2" s="1"/>
  <c r="B825" i="2"/>
  <c r="Y824" i="2"/>
  <c r="W824" i="2"/>
  <c r="U824" i="2"/>
  <c r="S824" i="2"/>
  <c r="Q824" i="2"/>
  <c r="N824" i="2"/>
  <c r="O824" i="2" s="1"/>
  <c r="L824" i="2"/>
  <c r="J824" i="2"/>
  <c r="G824" i="2"/>
  <c r="H824" i="2" s="1"/>
  <c r="E824" i="2"/>
  <c r="D824" i="2"/>
  <c r="E824" i="2" s="1" a="1"/>
  <c r="B824" i="2"/>
  <c r="Y823" i="2"/>
  <c r="W823" i="2"/>
  <c r="U823" i="2"/>
  <c r="S823" i="2"/>
  <c r="Q823" i="2"/>
  <c r="O823" i="2"/>
  <c r="N823" i="2"/>
  <c r="L823" i="2"/>
  <c r="J823" i="2"/>
  <c r="H823" i="2"/>
  <c r="G823" i="2"/>
  <c r="D823" i="2"/>
  <c r="E823" i="2" s="1" a="1"/>
  <c r="E823" i="2" s="1"/>
  <c r="B823" i="2"/>
  <c r="Y822" i="2"/>
  <c r="W822" i="2"/>
  <c r="U822" i="2"/>
  <c r="S822" i="2"/>
  <c r="Q822" i="2"/>
  <c r="N822" i="2"/>
  <c r="O822" i="2" s="1"/>
  <c r="L822" i="2"/>
  <c r="J822" i="2"/>
  <c r="G822" i="2"/>
  <c r="H822" i="2" s="1"/>
  <c r="E822" i="2" a="1"/>
  <c r="E822" i="2"/>
  <c r="D822" i="2"/>
  <c r="B822" i="2"/>
  <c r="Y821" i="2"/>
  <c r="W821" i="2"/>
  <c r="U821" i="2"/>
  <c r="S821" i="2"/>
  <c r="Q821" i="2"/>
  <c r="O821" i="2"/>
  <c r="N821" i="2"/>
  <c r="L821" i="2"/>
  <c r="J821" i="2"/>
  <c r="H821" i="2"/>
  <c r="G821" i="2"/>
  <c r="D821" i="2"/>
  <c r="E821" i="2" s="1" a="1"/>
  <c r="E821" i="2" s="1"/>
  <c r="B821" i="2"/>
  <c r="Y820" i="2"/>
  <c r="W820" i="2"/>
  <c r="U820" i="2"/>
  <c r="S820" i="2"/>
  <c r="Q820" i="2"/>
  <c r="N820" i="2"/>
  <c r="O820" i="2" s="1"/>
  <c r="L820" i="2"/>
  <c r="J820" i="2"/>
  <c r="G820" i="2"/>
  <c r="H820" i="2" s="1"/>
  <c r="E820" i="2"/>
  <c r="D820" i="2"/>
  <c r="E820" i="2" s="1" a="1"/>
  <c r="B820" i="2"/>
  <c r="Y819" i="2"/>
  <c r="W819" i="2"/>
  <c r="U819" i="2"/>
  <c r="S819" i="2"/>
  <c r="Q819" i="2"/>
  <c r="O819" i="2"/>
  <c r="N819" i="2"/>
  <c r="L819" i="2"/>
  <c r="J819" i="2"/>
  <c r="H819" i="2"/>
  <c r="G819" i="2"/>
  <c r="D819" i="2"/>
  <c r="E819" i="2" s="1" a="1"/>
  <c r="E819" i="2" s="1"/>
  <c r="B819" i="2"/>
  <c r="Y818" i="2"/>
  <c r="W818" i="2"/>
  <c r="U818" i="2"/>
  <c r="S818" i="2"/>
  <c r="Q818" i="2"/>
  <c r="N818" i="2"/>
  <c r="O818" i="2" s="1"/>
  <c r="J818" i="2"/>
  <c r="H818" i="2"/>
  <c r="G818" i="2"/>
  <c r="E818" i="2"/>
  <c r="D818" i="2"/>
  <c r="E818" i="2" s="1" a="1"/>
  <c r="B818" i="2"/>
  <c r="Y817" i="2"/>
  <c r="W817" i="2"/>
  <c r="U817" i="2"/>
  <c r="S817" i="2"/>
  <c r="Q817" i="2"/>
  <c r="O817" i="2"/>
  <c r="N817" i="2"/>
  <c r="L817" i="2"/>
  <c r="J817" i="2"/>
  <c r="H817" i="2"/>
  <c r="G817" i="2"/>
  <c r="E817" i="2"/>
  <c r="D817" i="2"/>
  <c r="E817" i="2" s="1" a="1"/>
  <c r="B817" i="2"/>
  <c r="Y816" i="2"/>
  <c r="W816" i="2"/>
  <c r="U816" i="2"/>
  <c r="S816" i="2"/>
  <c r="Q816" i="2"/>
  <c r="O816" i="2"/>
  <c r="N816" i="2"/>
  <c r="L816" i="2"/>
  <c r="J816" i="2"/>
  <c r="H816" i="2"/>
  <c r="G816" i="2"/>
  <c r="E816" i="2" a="1"/>
  <c r="E816" i="2" s="1"/>
  <c r="D816" i="2"/>
  <c r="B816" i="2"/>
  <c r="Y815" i="2"/>
  <c r="W815" i="2"/>
  <c r="U815" i="2"/>
  <c r="S815" i="2"/>
  <c r="Q815" i="2"/>
  <c r="N815" i="2"/>
  <c r="O815" i="2" s="1"/>
  <c r="L815" i="2"/>
  <c r="J815" i="2"/>
  <c r="G815" i="2"/>
  <c r="H815" i="2" s="1"/>
  <c r="E815" i="2" a="1"/>
  <c r="E815" i="2" s="1"/>
  <c r="D815" i="2"/>
  <c r="B815" i="2"/>
  <c r="Y814" i="2"/>
  <c r="W814" i="2"/>
  <c r="U814" i="2"/>
  <c r="S814" i="2"/>
  <c r="Q814" i="2"/>
  <c r="O814" i="2"/>
  <c r="N814" i="2"/>
  <c r="L814" i="2"/>
  <c r="J814" i="2"/>
  <c r="H814" i="2"/>
  <c r="G814" i="2"/>
  <c r="D814" i="2"/>
  <c r="E814" i="2" s="1" a="1"/>
  <c r="E814" i="2" s="1"/>
  <c r="B814" i="2"/>
  <c r="Y813" i="2"/>
  <c r="W813" i="2"/>
  <c r="U813" i="2"/>
  <c r="S813" i="2"/>
  <c r="Q813" i="2"/>
  <c r="N813" i="2"/>
  <c r="O813" i="2" s="1"/>
  <c r="L813" i="2"/>
  <c r="J813" i="2"/>
  <c r="G813" i="2"/>
  <c r="H813" i="2" s="1"/>
  <c r="E813" i="2"/>
  <c r="D813" i="2"/>
  <c r="E813" i="2" s="1" a="1"/>
  <c r="B813" i="2"/>
  <c r="Y812" i="2"/>
  <c r="W812" i="2"/>
  <c r="U812" i="2"/>
  <c r="S812" i="2"/>
  <c r="Q812" i="2"/>
  <c r="O812" i="2"/>
  <c r="N812" i="2"/>
  <c r="L812" i="2"/>
  <c r="J812" i="2"/>
  <c r="H812" i="2"/>
  <c r="G812" i="2"/>
  <c r="D812" i="2"/>
  <c r="E812" i="2" s="1" a="1"/>
  <c r="E812" i="2" s="1"/>
  <c r="B812" i="2"/>
  <c r="Y811" i="2"/>
  <c r="W811" i="2"/>
  <c r="U811" i="2"/>
  <c r="S811" i="2"/>
  <c r="Q811" i="2"/>
  <c r="N811" i="2"/>
  <c r="O811" i="2" s="1"/>
  <c r="L811" i="2"/>
  <c r="J811" i="2"/>
  <c r="G811" i="2"/>
  <c r="H811" i="2" s="1"/>
  <c r="E811" i="2" a="1"/>
  <c r="E811" i="2"/>
  <c r="D811" i="2"/>
  <c r="B811" i="2"/>
  <c r="Y810" i="2"/>
  <c r="W810" i="2"/>
  <c r="U810" i="2"/>
  <c r="S810" i="2"/>
  <c r="Q810" i="2"/>
  <c r="O810" i="2"/>
  <c r="N810" i="2"/>
  <c r="L810" i="2"/>
  <c r="J810" i="2"/>
  <c r="H810" i="2"/>
  <c r="G810" i="2"/>
  <c r="D810" i="2"/>
  <c r="E810" i="2" s="1" a="1"/>
  <c r="E810" i="2" s="1"/>
  <c r="B810" i="2"/>
  <c r="Y809" i="2"/>
  <c r="W809" i="2"/>
  <c r="U809" i="2"/>
  <c r="S809" i="2"/>
  <c r="Q809" i="2"/>
  <c r="N809" i="2"/>
  <c r="O809" i="2" s="1"/>
  <c r="L809" i="2"/>
  <c r="J809" i="2"/>
  <c r="G809" i="2"/>
  <c r="H809" i="2" s="1"/>
  <c r="E809" i="2"/>
  <c r="D809" i="2"/>
  <c r="E809" i="2" s="1" a="1"/>
  <c r="B809" i="2"/>
  <c r="Y808" i="2"/>
  <c r="W808" i="2"/>
  <c r="U808" i="2"/>
  <c r="S808" i="2"/>
  <c r="Q808" i="2"/>
  <c r="O808" i="2"/>
  <c r="N808" i="2"/>
  <c r="L808" i="2"/>
  <c r="J808" i="2"/>
  <c r="H808" i="2"/>
  <c r="G808" i="2"/>
  <c r="D808" i="2"/>
  <c r="E808" i="2" s="1" a="1"/>
  <c r="E808" i="2" s="1"/>
  <c r="B808" i="2"/>
  <c r="Y807" i="2"/>
  <c r="W807" i="2"/>
  <c r="U807" i="2"/>
  <c r="S807" i="2"/>
  <c r="Q807" i="2"/>
  <c r="N807" i="2"/>
  <c r="O807" i="2" s="1"/>
  <c r="L807" i="2"/>
  <c r="J807" i="2"/>
  <c r="G807" i="2"/>
  <c r="H807" i="2" s="1"/>
  <c r="E807" i="2" a="1"/>
  <c r="E807" i="2"/>
  <c r="D807" i="2"/>
  <c r="B807" i="2"/>
  <c r="Y806" i="2"/>
  <c r="W806" i="2"/>
  <c r="U806" i="2"/>
  <c r="S806" i="2"/>
  <c r="Q806" i="2"/>
  <c r="O806" i="2"/>
  <c r="N806" i="2"/>
  <c r="L806" i="2"/>
  <c r="J806" i="2"/>
  <c r="H806" i="2"/>
  <c r="G806" i="2"/>
  <c r="E806" i="2"/>
  <c r="D806" i="2"/>
  <c r="E806" i="2" s="1" a="1"/>
  <c r="B806" i="2"/>
  <c r="Y805" i="2"/>
  <c r="W805" i="2"/>
  <c r="U805" i="2"/>
  <c r="S805" i="2"/>
  <c r="Q805" i="2"/>
  <c r="O805" i="2"/>
  <c r="N805" i="2"/>
  <c r="L805" i="2"/>
  <c r="J805" i="2"/>
  <c r="H805" i="2"/>
  <c r="G805" i="2"/>
  <c r="E805" i="2"/>
  <c r="D805" i="2"/>
  <c r="E805" i="2" s="1" a="1"/>
  <c r="B805" i="2"/>
  <c r="Y804" i="2"/>
  <c r="W804" i="2"/>
  <c r="U804" i="2"/>
  <c r="S804" i="2"/>
  <c r="Q804" i="2"/>
  <c r="O804" i="2"/>
  <c r="N804" i="2"/>
  <c r="L804" i="2"/>
  <c r="J804" i="2"/>
  <c r="H804" i="2"/>
  <c r="G804" i="2"/>
  <c r="E804" i="2" a="1"/>
  <c r="E804" i="2" s="1"/>
  <c r="D804" i="2"/>
  <c r="B804" i="2"/>
  <c r="Y803" i="2"/>
  <c r="W803" i="2"/>
  <c r="U803" i="2"/>
  <c r="S803" i="2"/>
  <c r="Q803" i="2"/>
  <c r="N803" i="2"/>
  <c r="O803" i="2" s="1"/>
  <c r="L803" i="2"/>
  <c r="J803" i="2"/>
  <c r="G803" i="2"/>
  <c r="H803" i="2" s="1"/>
  <c r="E803" i="2" a="1"/>
  <c r="E803" i="2" s="1"/>
  <c r="D803" i="2"/>
  <c r="B803" i="2"/>
  <c r="Y802" i="2"/>
  <c r="W802" i="2"/>
  <c r="U802" i="2"/>
  <c r="S802" i="2"/>
  <c r="Q802" i="2"/>
  <c r="O802" i="2"/>
  <c r="N802" i="2"/>
  <c r="L802" i="2"/>
  <c r="J802" i="2"/>
  <c r="H802" i="2"/>
  <c r="G802" i="2"/>
  <c r="E802" i="2"/>
  <c r="D802" i="2"/>
  <c r="E802" i="2" s="1" a="1"/>
  <c r="B802" i="2"/>
  <c r="Y801" i="2"/>
  <c r="W801" i="2"/>
  <c r="U801" i="2"/>
  <c r="S801" i="2"/>
  <c r="Q801" i="2"/>
  <c r="O801" i="2"/>
  <c r="N801" i="2"/>
  <c r="L801" i="2"/>
  <c r="J801" i="2"/>
  <c r="H801" i="2"/>
  <c r="G801" i="2"/>
  <c r="E801" i="2"/>
  <c r="D801" i="2"/>
  <c r="E801" i="2" s="1" a="1"/>
  <c r="B801" i="2"/>
  <c r="Y800" i="2"/>
  <c r="W800" i="2"/>
  <c r="U800" i="2"/>
  <c r="S800" i="2"/>
  <c r="Q800" i="2"/>
  <c r="O800" i="2"/>
  <c r="N800" i="2"/>
  <c r="L800" i="2"/>
  <c r="J800" i="2"/>
  <c r="H800" i="2"/>
  <c r="G800" i="2"/>
  <c r="E800" i="2" a="1"/>
  <c r="E800" i="2" s="1"/>
  <c r="D800" i="2"/>
  <c r="B800" i="2"/>
  <c r="Y799" i="2"/>
  <c r="W799" i="2"/>
  <c r="U799" i="2"/>
  <c r="S799" i="2"/>
  <c r="Q799" i="2"/>
  <c r="N799" i="2"/>
  <c r="O799" i="2" s="1"/>
  <c r="L799" i="2"/>
  <c r="J799" i="2"/>
  <c r="G799" i="2"/>
  <c r="H799" i="2" s="1"/>
  <c r="E799" i="2" a="1"/>
  <c r="E799" i="2" s="1"/>
  <c r="D799" i="2"/>
  <c r="B799" i="2"/>
  <c r="Y798" i="2"/>
  <c r="W798" i="2"/>
  <c r="U798" i="2"/>
  <c r="S798" i="2"/>
  <c r="Q798" i="2"/>
  <c r="O798" i="2"/>
  <c r="N798" i="2"/>
  <c r="L798" i="2"/>
  <c r="J798" i="2"/>
  <c r="H798" i="2"/>
  <c r="G798" i="2"/>
  <c r="D798" i="2"/>
  <c r="E798" i="2" s="1" a="1"/>
  <c r="E798" i="2" s="1"/>
  <c r="B798" i="2"/>
  <c r="Y797" i="2"/>
  <c r="W797" i="2"/>
  <c r="U797" i="2"/>
  <c r="S797" i="2"/>
  <c r="Q797" i="2"/>
  <c r="N797" i="2"/>
  <c r="O797" i="2" s="1"/>
  <c r="L797" i="2"/>
  <c r="J797" i="2"/>
  <c r="G797" i="2"/>
  <c r="H797" i="2" s="1"/>
  <c r="D797" i="2"/>
  <c r="E797" i="2" s="1" a="1"/>
  <c r="E797" i="2" s="1"/>
  <c r="B797" i="2"/>
  <c r="Y796" i="2"/>
  <c r="W796" i="2"/>
  <c r="U796" i="2"/>
  <c r="S796" i="2"/>
  <c r="Q796" i="2"/>
  <c r="N796" i="2"/>
  <c r="O796" i="2" s="1"/>
  <c r="L796" i="2"/>
  <c r="J796" i="2"/>
  <c r="G796" i="2"/>
  <c r="H796" i="2" s="1"/>
  <c r="E796" i="2" a="1"/>
  <c r="E796" i="2" s="1"/>
  <c r="D796" i="2"/>
  <c r="B796" i="2"/>
  <c r="Y795" i="2"/>
  <c r="W795" i="2"/>
  <c r="U795" i="2"/>
  <c r="S795" i="2"/>
  <c r="Q795" i="2"/>
  <c r="N795" i="2"/>
  <c r="O795" i="2" s="1"/>
  <c r="L795" i="2"/>
  <c r="J795" i="2"/>
  <c r="G795" i="2"/>
  <c r="H795" i="2" s="1"/>
  <c r="E795" i="2" a="1"/>
  <c r="E795" i="2" s="1"/>
  <c r="D795" i="2"/>
  <c r="B795" i="2"/>
  <c r="Y794" i="2"/>
  <c r="W794" i="2"/>
  <c r="U794" i="2"/>
  <c r="S794" i="2"/>
  <c r="Q794" i="2"/>
  <c r="O794" i="2"/>
  <c r="N794" i="2"/>
  <c r="L794" i="2"/>
  <c r="J794" i="2"/>
  <c r="H794" i="2"/>
  <c r="G794" i="2"/>
  <c r="D794" i="2"/>
  <c r="E794" i="2" s="1" a="1"/>
  <c r="E794" i="2" s="1"/>
  <c r="B794" i="2"/>
  <c r="Y793" i="2"/>
  <c r="W793" i="2"/>
  <c r="U793" i="2"/>
  <c r="S793" i="2"/>
  <c r="Q793" i="2"/>
  <c r="N793" i="2"/>
  <c r="O793" i="2" s="1"/>
  <c r="L793" i="2"/>
  <c r="J793" i="2"/>
  <c r="G793" i="2"/>
  <c r="H793" i="2" s="1"/>
  <c r="D793" i="2"/>
  <c r="E793" i="2" s="1" a="1"/>
  <c r="E793" i="2" s="1"/>
  <c r="B793" i="2"/>
  <c r="Y792" i="2"/>
  <c r="W792" i="2"/>
  <c r="U792" i="2"/>
  <c r="S792" i="2"/>
  <c r="Q792" i="2"/>
  <c r="N792" i="2"/>
  <c r="O792" i="2" s="1"/>
  <c r="L792" i="2"/>
  <c r="J792" i="2"/>
  <c r="G792" i="2"/>
  <c r="H792" i="2" s="1"/>
  <c r="E792" i="2" a="1"/>
  <c r="E792" i="2" s="1"/>
  <c r="D792" i="2"/>
  <c r="B792" i="2"/>
  <c r="Y791" i="2"/>
  <c r="W791" i="2"/>
  <c r="U791" i="2"/>
  <c r="S791" i="2"/>
  <c r="Q791" i="2"/>
  <c r="N791" i="2"/>
  <c r="O791" i="2" s="1"/>
  <c r="L791" i="2"/>
  <c r="J791" i="2"/>
  <c r="G791" i="2"/>
  <c r="H791" i="2" s="1"/>
  <c r="E791" i="2" a="1"/>
  <c r="E791" i="2" s="1"/>
  <c r="D791" i="2"/>
  <c r="B791" i="2"/>
  <c r="Y790" i="2"/>
  <c r="W790" i="2"/>
  <c r="U790" i="2"/>
  <c r="S790" i="2"/>
  <c r="Q790" i="2"/>
  <c r="O790" i="2"/>
  <c r="N790" i="2"/>
  <c r="L790" i="2"/>
  <c r="J790" i="2"/>
  <c r="H790" i="2"/>
  <c r="G790" i="2"/>
  <c r="D790" i="2"/>
  <c r="E790" i="2" s="1" a="1"/>
  <c r="E790" i="2" s="1"/>
  <c r="B790" i="2"/>
  <c r="Y789" i="2"/>
  <c r="W789" i="2"/>
  <c r="U789" i="2"/>
  <c r="S789" i="2"/>
  <c r="Q789" i="2"/>
  <c r="N789" i="2"/>
  <c r="O789" i="2" s="1"/>
  <c r="L789" i="2"/>
  <c r="J789" i="2"/>
  <c r="G789" i="2"/>
  <c r="H789" i="2" s="1"/>
  <c r="D789" i="2"/>
  <c r="E789" i="2" s="1" a="1"/>
  <c r="E789" i="2" s="1"/>
  <c r="B789" i="2"/>
  <c r="Y788" i="2"/>
  <c r="W788" i="2"/>
  <c r="U788" i="2"/>
  <c r="S788" i="2"/>
  <c r="Q788" i="2"/>
  <c r="N788" i="2"/>
  <c r="O788" i="2" s="1"/>
  <c r="L788" i="2"/>
  <c r="J788" i="2"/>
  <c r="G788" i="2"/>
  <c r="H788" i="2" s="1"/>
  <c r="E788" i="2" a="1"/>
  <c r="E788" i="2" s="1"/>
  <c r="D788" i="2"/>
  <c r="B788" i="2"/>
  <c r="Y787" i="2"/>
  <c r="W787" i="2"/>
  <c r="U787" i="2"/>
  <c r="S787" i="2"/>
  <c r="Q787" i="2"/>
  <c r="N787" i="2"/>
  <c r="O787" i="2" s="1"/>
  <c r="L787" i="2"/>
  <c r="J787" i="2"/>
  <c r="G787" i="2"/>
  <c r="H787" i="2" s="1"/>
  <c r="E787" i="2" a="1"/>
  <c r="E787" i="2" s="1"/>
  <c r="D787" i="2"/>
  <c r="B787" i="2"/>
  <c r="Y786" i="2"/>
  <c r="W786" i="2"/>
  <c r="U786" i="2"/>
  <c r="S786" i="2"/>
  <c r="Q786" i="2"/>
  <c r="O786" i="2"/>
  <c r="N786" i="2"/>
  <c r="L786" i="2"/>
  <c r="J786" i="2"/>
  <c r="H786" i="2"/>
  <c r="G786" i="2"/>
  <c r="D786" i="2"/>
  <c r="E786" i="2" s="1" a="1"/>
  <c r="E786" i="2" s="1"/>
  <c r="B786" i="2"/>
  <c r="Y785" i="2"/>
  <c r="W785" i="2"/>
  <c r="U785" i="2"/>
  <c r="S785" i="2"/>
  <c r="Q785" i="2"/>
  <c r="N785" i="2"/>
  <c r="O785" i="2" s="1"/>
  <c r="L785" i="2"/>
  <c r="J785" i="2"/>
  <c r="G785" i="2"/>
  <c r="H785" i="2" s="1"/>
  <c r="D785" i="2"/>
  <c r="E785" i="2" s="1" a="1"/>
  <c r="E785" i="2" s="1"/>
  <c r="B785" i="2"/>
  <c r="Y784" i="2"/>
  <c r="W784" i="2"/>
  <c r="U784" i="2"/>
  <c r="S784" i="2"/>
  <c r="Q784" i="2"/>
  <c r="N784" i="2"/>
  <c r="O784" i="2" s="1"/>
  <c r="L784" i="2"/>
  <c r="J784" i="2"/>
  <c r="G784" i="2"/>
  <c r="H784" i="2" s="1"/>
  <c r="E784" i="2" a="1"/>
  <c r="E784" i="2" s="1"/>
  <c r="D784" i="2"/>
  <c r="B784" i="2"/>
  <c r="Y783" i="2"/>
  <c r="W783" i="2"/>
  <c r="U783" i="2"/>
  <c r="S783" i="2"/>
  <c r="Q783" i="2"/>
  <c r="N783" i="2"/>
  <c r="O783" i="2" s="1"/>
  <c r="L783" i="2"/>
  <c r="J783" i="2"/>
  <c r="G783" i="2"/>
  <c r="H783" i="2" s="1"/>
  <c r="E783" i="2" a="1"/>
  <c r="E783" i="2" s="1"/>
  <c r="D783" i="2"/>
  <c r="B783" i="2"/>
  <c r="Y782" i="2"/>
  <c r="W782" i="2"/>
  <c r="U782" i="2"/>
  <c r="S782" i="2"/>
  <c r="Q782" i="2"/>
  <c r="O782" i="2"/>
  <c r="N782" i="2"/>
  <c r="L782" i="2"/>
  <c r="J782" i="2"/>
  <c r="H782" i="2"/>
  <c r="G782" i="2"/>
  <c r="D782" i="2"/>
  <c r="E782" i="2" s="1" a="1"/>
  <c r="E782" i="2" s="1"/>
  <c r="B782" i="2"/>
  <c r="Y781" i="2"/>
  <c r="W781" i="2"/>
  <c r="U781" i="2"/>
  <c r="S781" i="2"/>
  <c r="Q781" i="2"/>
  <c r="N781" i="2"/>
  <c r="O781" i="2" s="1"/>
  <c r="L781" i="2"/>
  <c r="J781" i="2"/>
  <c r="G781" i="2"/>
  <c r="H781" i="2" s="1"/>
  <c r="D781" i="2"/>
  <c r="E781" i="2" s="1" a="1"/>
  <c r="E781" i="2" s="1"/>
  <c r="B781" i="2"/>
  <c r="Y780" i="2"/>
  <c r="W780" i="2"/>
  <c r="U780" i="2"/>
  <c r="S780" i="2"/>
  <c r="Q780" i="2"/>
  <c r="N780" i="2"/>
  <c r="O780" i="2" s="1"/>
  <c r="L780" i="2"/>
  <c r="J780" i="2"/>
  <c r="G780" i="2"/>
  <c r="H780" i="2" s="1"/>
  <c r="E780" i="2" a="1"/>
  <c r="E780" i="2" s="1"/>
  <c r="D780" i="2"/>
  <c r="B780" i="2"/>
  <c r="Y779" i="2"/>
  <c r="W779" i="2"/>
  <c r="U779" i="2"/>
  <c r="S779" i="2"/>
  <c r="Q779" i="2"/>
  <c r="N779" i="2"/>
  <c r="O779" i="2" s="1"/>
  <c r="L779" i="2"/>
  <c r="J779" i="2"/>
  <c r="G779" i="2"/>
  <c r="H779" i="2" s="1"/>
  <c r="E779" i="2" a="1"/>
  <c r="E779" i="2" s="1"/>
  <c r="D779" i="2"/>
  <c r="B779" i="2"/>
  <c r="Y778" i="2"/>
  <c r="W778" i="2"/>
  <c r="U778" i="2"/>
  <c r="S778" i="2"/>
  <c r="Q778" i="2"/>
  <c r="N778" i="2"/>
  <c r="O778" i="2" s="1"/>
  <c r="L778" i="2"/>
  <c r="J778" i="2"/>
  <c r="G778" i="2"/>
  <c r="H778" i="2" s="1"/>
  <c r="E778" i="2" a="1"/>
  <c r="E778" i="2" s="1"/>
  <c r="D778" i="2"/>
  <c r="B778" i="2"/>
  <c r="Y777" i="2"/>
  <c r="W777" i="2"/>
  <c r="U777" i="2"/>
  <c r="S777" i="2"/>
  <c r="Q777" i="2"/>
  <c r="O777" i="2"/>
  <c r="N777" i="2"/>
  <c r="L777" i="2"/>
  <c r="J777" i="2"/>
  <c r="H777" i="2"/>
  <c r="G777" i="2"/>
  <c r="D777" i="2"/>
  <c r="E777" i="2" s="1" a="1"/>
  <c r="E777" i="2" s="1"/>
  <c r="B777" i="2"/>
  <c r="Y776" i="2"/>
  <c r="W776" i="2"/>
  <c r="U776" i="2"/>
  <c r="S776" i="2"/>
  <c r="Q776" i="2"/>
  <c r="N776" i="2"/>
  <c r="O776" i="2" s="1"/>
  <c r="L776" i="2"/>
  <c r="J776" i="2"/>
  <c r="G776" i="2"/>
  <c r="H776" i="2" s="1"/>
  <c r="D776" i="2"/>
  <c r="E776" i="2" s="1" a="1"/>
  <c r="E776" i="2" s="1"/>
  <c r="B776" i="2"/>
  <c r="Y775" i="2"/>
  <c r="W775" i="2"/>
  <c r="U775" i="2"/>
  <c r="S775" i="2"/>
  <c r="Q775" i="2"/>
  <c r="N775" i="2"/>
  <c r="O775" i="2" s="1"/>
  <c r="L775" i="2"/>
  <c r="J775" i="2"/>
  <c r="G775" i="2"/>
  <c r="H775" i="2" s="1"/>
  <c r="E775" i="2" a="1"/>
  <c r="E775" i="2" s="1"/>
  <c r="D775" i="2"/>
  <c r="B775" i="2"/>
  <c r="Y774" i="2"/>
  <c r="W774" i="2"/>
  <c r="U774" i="2"/>
  <c r="S774" i="2"/>
  <c r="Q774" i="2"/>
  <c r="N774" i="2"/>
  <c r="O774" i="2" s="1"/>
  <c r="L774" i="2"/>
  <c r="J774" i="2"/>
  <c r="G774" i="2"/>
  <c r="H774" i="2" s="1"/>
  <c r="E774" i="2" a="1"/>
  <c r="E774" i="2" s="1"/>
  <c r="D774" i="2"/>
  <c r="B774" i="2"/>
  <c r="Y773" i="2"/>
  <c r="W773" i="2"/>
  <c r="U773" i="2"/>
  <c r="S773" i="2"/>
  <c r="Q773" i="2"/>
  <c r="O773" i="2"/>
  <c r="N773" i="2"/>
  <c r="L773" i="2"/>
  <c r="J773" i="2"/>
  <c r="H773" i="2"/>
  <c r="G773" i="2"/>
  <c r="D773" i="2"/>
  <c r="E773" i="2" s="1" a="1"/>
  <c r="E773" i="2" s="1"/>
  <c r="B773" i="2"/>
  <c r="Y772" i="2"/>
  <c r="W772" i="2"/>
  <c r="U772" i="2"/>
  <c r="S772" i="2"/>
  <c r="Q772" i="2"/>
  <c r="N772" i="2"/>
  <c r="O772" i="2" s="1"/>
  <c r="L772" i="2"/>
  <c r="J772" i="2"/>
  <c r="G772" i="2"/>
  <c r="H772" i="2" s="1"/>
  <c r="D772" i="2"/>
  <c r="E772" i="2" s="1" a="1"/>
  <c r="E772" i="2" s="1"/>
  <c r="B772" i="2"/>
  <c r="Y771" i="2"/>
  <c r="W771" i="2"/>
  <c r="U771" i="2"/>
  <c r="S771" i="2"/>
  <c r="Q771" i="2"/>
  <c r="N771" i="2"/>
  <c r="O771" i="2" s="1"/>
  <c r="L771" i="2"/>
  <c r="J771" i="2"/>
  <c r="G771" i="2"/>
  <c r="H771" i="2" s="1"/>
  <c r="E771" i="2" a="1"/>
  <c r="E771" i="2" s="1"/>
  <c r="D771" i="2"/>
  <c r="B771" i="2"/>
  <c r="Y770" i="2"/>
  <c r="W770" i="2"/>
  <c r="U770" i="2"/>
  <c r="S770" i="2"/>
  <c r="Q770" i="2"/>
  <c r="N770" i="2"/>
  <c r="O770" i="2" s="1"/>
  <c r="L770" i="2"/>
  <c r="J770" i="2"/>
  <c r="G770" i="2"/>
  <c r="H770" i="2" s="1"/>
  <c r="E770" i="2" a="1"/>
  <c r="E770" i="2" s="1"/>
  <c r="D770" i="2"/>
  <c r="B770" i="2"/>
  <c r="Y769" i="2"/>
  <c r="W769" i="2"/>
  <c r="U769" i="2"/>
  <c r="S769" i="2"/>
  <c r="Q769" i="2"/>
  <c r="O769" i="2"/>
  <c r="N769" i="2"/>
  <c r="L769" i="2"/>
  <c r="J769" i="2"/>
  <c r="H769" i="2"/>
  <c r="G769" i="2"/>
  <c r="D769" i="2"/>
  <c r="E769" i="2" s="1" a="1"/>
  <c r="E769" i="2" s="1"/>
  <c r="B769" i="2"/>
  <c r="Y768" i="2"/>
  <c r="W768" i="2"/>
  <c r="U768" i="2"/>
  <c r="S768" i="2"/>
  <c r="Q768" i="2"/>
  <c r="N768" i="2"/>
  <c r="O768" i="2" s="1"/>
  <c r="L768" i="2"/>
  <c r="J768" i="2"/>
  <c r="G768" i="2"/>
  <c r="H768" i="2" s="1"/>
  <c r="D768" i="2"/>
  <c r="E768" i="2" s="1" a="1"/>
  <c r="E768" i="2" s="1"/>
  <c r="B768" i="2"/>
  <c r="Y767" i="2"/>
  <c r="W767" i="2"/>
  <c r="U767" i="2"/>
  <c r="S767" i="2"/>
  <c r="Q767" i="2"/>
  <c r="N767" i="2"/>
  <c r="O767" i="2" s="1"/>
  <c r="L767" i="2"/>
  <c r="J767" i="2"/>
  <c r="G767" i="2"/>
  <c r="H767" i="2" s="1"/>
  <c r="E767" i="2" a="1"/>
  <c r="E767" i="2" s="1"/>
  <c r="D767" i="2"/>
  <c r="B767" i="2"/>
  <c r="Y766" i="2"/>
  <c r="W766" i="2"/>
  <c r="U766" i="2"/>
  <c r="S766" i="2"/>
  <c r="Q766" i="2"/>
  <c r="N766" i="2"/>
  <c r="O766" i="2" s="1"/>
  <c r="L766" i="2"/>
  <c r="J766" i="2"/>
  <c r="G766" i="2"/>
  <c r="H766" i="2" s="1"/>
  <c r="E766" i="2" a="1"/>
  <c r="E766" i="2" s="1"/>
  <c r="D766" i="2"/>
  <c r="B766" i="2"/>
  <c r="Y765" i="2"/>
  <c r="W765" i="2"/>
  <c r="U765" i="2"/>
  <c r="S765" i="2"/>
  <c r="Q765" i="2"/>
  <c r="O765" i="2"/>
  <c r="N765" i="2"/>
  <c r="L765" i="2"/>
  <c r="J765" i="2"/>
  <c r="H765" i="2"/>
  <c r="G765" i="2"/>
  <c r="D765" i="2"/>
  <c r="E765" i="2" s="1" a="1"/>
  <c r="E765" i="2" s="1"/>
  <c r="B765" i="2"/>
  <c r="Y764" i="2"/>
  <c r="W764" i="2"/>
  <c r="U764" i="2"/>
  <c r="S764" i="2"/>
  <c r="Q764" i="2"/>
  <c r="N764" i="2"/>
  <c r="O764" i="2" s="1"/>
  <c r="L764" i="2"/>
  <c r="J764" i="2"/>
  <c r="G764" i="2"/>
  <c r="H764" i="2" s="1"/>
  <c r="D764" i="2"/>
  <c r="E764" i="2" s="1" a="1"/>
  <c r="E764" i="2" s="1"/>
  <c r="B764" i="2"/>
  <c r="Y763" i="2"/>
  <c r="W763" i="2"/>
  <c r="U763" i="2"/>
  <c r="S763" i="2"/>
  <c r="Q763" i="2"/>
  <c r="N763" i="2"/>
  <c r="O763" i="2" s="1"/>
  <c r="L763" i="2"/>
  <c r="J763" i="2"/>
  <c r="G763" i="2"/>
  <c r="H763" i="2" s="1"/>
  <c r="E763" i="2" a="1"/>
  <c r="E763" i="2" s="1"/>
  <c r="D763" i="2"/>
  <c r="B763" i="2"/>
  <c r="Y762" i="2"/>
  <c r="W762" i="2"/>
  <c r="U762" i="2"/>
  <c r="S762" i="2"/>
  <c r="Q762" i="2"/>
  <c r="N762" i="2"/>
  <c r="O762" i="2" s="1"/>
  <c r="L762" i="2"/>
  <c r="J762" i="2"/>
  <c r="G762" i="2"/>
  <c r="H762" i="2" s="1"/>
  <c r="E762" i="2" a="1"/>
  <c r="E762" i="2" s="1"/>
  <c r="D762" i="2"/>
  <c r="B762" i="2"/>
  <c r="Y761" i="2"/>
  <c r="W761" i="2"/>
  <c r="U761" i="2"/>
  <c r="S761" i="2"/>
  <c r="Q761" i="2"/>
  <c r="O761" i="2"/>
  <c r="N761" i="2"/>
  <c r="L761" i="2"/>
  <c r="J761" i="2"/>
  <c r="H761" i="2"/>
  <c r="G761" i="2"/>
  <c r="D761" i="2"/>
  <c r="E761" i="2" s="1" a="1"/>
  <c r="E761" i="2" s="1"/>
  <c r="B761" i="2"/>
  <c r="Y760" i="2"/>
  <c r="W760" i="2"/>
  <c r="U760" i="2"/>
  <c r="S760" i="2"/>
  <c r="Q760" i="2"/>
  <c r="N760" i="2"/>
  <c r="O760" i="2" s="1"/>
  <c r="L760" i="2"/>
  <c r="J760" i="2"/>
  <c r="G760" i="2"/>
  <c r="H760" i="2" s="1"/>
  <c r="D760" i="2"/>
  <c r="E760" i="2" s="1" a="1"/>
  <c r="E760" i="2" s="1"/>
  <c r="B760" i="2"/>
  <c r="Y759" i="2"/>
  <c r="W759" i="2"/>
  <c r="U759" i="2"/>
  <c r="S759" i="2"/>
  <c r="Q759" i="2"/>
  <c r="N759" i="2"/>
  <c r="O759" i="2" s="1"/>
  <c r="L759" i="2"/>
  <c r="J759" i="2"/>
  <c r="G759" i="2"/>
  <c r="H759" i="2" s="1"/>
  <c r="E759" i="2" a="1"/>
  <c r="E759" i="2" s="1"/>
  <c r="D759" i="2"/>
  <c r="B759" i="2"/>
  <c r="Y758" i="2"/>
  <c r="W758" i="2"/>
  <c r="U758" i="2"/>
  <c r="S758" i="2"/>
  <c r="Q758" i="2"/>
  <c r="N758" i="2"/>
  <c r="O758" i="2" s="1"/>
  <c r="L758" i="2"/>
  <c r="J758" i="2"/>
  <c r="G758" i="2"/>
  <c r="H758" i="2" s="1"/>
  <c r="E758" i="2" a="1"/>
  <c r="E758" i="2" s="1"/>
  <c r="D758" i="2"/>
  <c r="B758" i="2"/>
  <c r="Y757" i="2"/>
  <c r="W757" i="2"/>
  <c r="U757" i="2"/>
  <c r="S757" i="2"/>
  <c r="Q757" i="2"/>
  <c r="O757" i="2"/>
  <c r="N757" i="2"/>
  <c r="L757" i="2"/>
  <c r="J757" i="2"/>
  <c r="H757" i="2"/>
  <c r="G757" i="2"/>
  <c r="D757" i="2"/>
  <c r="E757" i="2" s="1" a="1"/>
  <c r="E757" i="2" s="1"/>
  <c r="B757" i="2"/>
  <c r="Y756" i="2"/>
  <c r="W756" i="2"/>
  <c r="U756" i="2"/>
  <c r="S756" i="2"/>
  <c r="Q756" i="2"/>
  <c r="N756" i="2"/>
  <c r="O756" i="2" s="1"/>
  <c r="L756" i="2"/>
  <c r="J756" i="2"/>
  <c r="G756" i="2"/>
  <c r="H756" i="2" s="1"/>
  <c r="D756" i="2"/>
  <c r="E756" i="2" s="1" a="1"/>
  <c r="E756" i="2" s="1"/>
  <c r="B756" i="2"/>
  <c r="Y755" i="2"/>
  <c r="W755" i="2"/>
  <c r="U755" i="2"/>
  <c r="S755" i="2"/>
  <c r="Q755" i="2"/>
  <c r="N755" i="2"/>
  <c r="O755" i="2" s="1"/>
  <c r="L755" i="2"/>
  <c r="J755" i="2"/>
  <c r="G755" i="2"/>
  <c r="H755" i="2" s="1"/>
  <c r="E755" i="2" a="1"/>
  <c r="E755" i="2" s="1"/>
  <c r="D755" i="2"/>
  <c r="B755" i="2"/>
  <c r="Y754" i="2"/>
  <c r="W754" i="2"/>
  <c r="U754" i="2"/>
  <c r="S754" i="2"/>
  <c r="Q754" i="2"/>
  <c r="N754" i="2"/>
  <c r="O754" i="2" s="1"/>
  <c r="L754" i="2"/>
  <c r="J754" i="2"/>
  <c r="G754" i="2"/>
  <c r="H754" i="2" s="1"/>
  <c r="E754" i="2" a="1"/>
  <c r="E754" i="2" s="1"/>
  <c r="D754" i="2"/>
  <c r="B754" i="2"/>
  <c r="Y753" i="2"/>
  <c r="W753" i="2"/>
  <c r="U753" i="2"/>
  <c r="S753" i="2"/>
  <c r="Q753" i="2"/>
  <c r="O753" i="2"/>
  <c r="N753" i="2"/>
  <c r="L753" i="2"/>
  <c r="J753" i="2"/>
  <c r="H753" i="2"/>
  <c r="G753" i="2"/>
  <c r="D753" i="2"/>
  <c r="E753" i="2" s="1" a="1"/>
  <c r="E753" i="2" s="1"/>
  <c r="B753" i="2"/>
  <c r="Y752" i="2"/>
  <c r="W752" i="2"/>
  <c r="U752" i="2"/>
  <c r="S752" i="2"/>
  <c r="Q752" i="2"/>
  <c r="N752" i="2"/>
  <c r="O752" i="2" s="1"/>
  <c r="L752" i="2"/>
  <c r="J752" i="2"/>
  <c r="G752" i="2"/>
  <c r="H752" i="2" s="1"/>
  <c r="D752" i="2"/>
  <c r="E752" i="2" s="1" a="1"/>
  <c r="E752" i="2" s="1"/>
  <c r="B752" i="2"/>
  <c r="Y751" i="2"/>
  <c r="W751" i="2"/>
  <c r="U751" i="2"/>
  <c r="S751" i="2"/>
  <c r="Q751" i="2"/>
  <c r="N751" i="2"/>
  <c r="O751" i="2" s="1"/>
  <c r="L751" i="2"/>
  <c r="J751" i="2"/>
  <c r="G751" i="2"/>
  <c r="H751" i="2" s="1"/>
  <c r="E751" i="2" a="1"/>
  <c r="E751" i="2" s="1"/>
  <c r="D751" i="2"/>
  <c r="B751" i="2"/>
  <c r="Y750" i="2"/>
  <c r="W750" i="2"/>
  <c r="U750" i="2"/>
  <c r="S750" i="2"/>
  <c r="Q750" i="2"/>
  <c r="N750" i="2"/>
  <c r="O750" i="2" s="1"/>
  <c r="L750" i="2"/>
  <c r="J750" i="2"/>
  <c r="G750" i="2"/>
  <c r="H750" i="2" s="1"/>
  <c r="E750" i="2" a="1"/>
  <c r="E750" i="2" s="1"/>
  <c r="D750" i="2"/>
  <c r="B750" i="2"/>
  <c r="Y749" i="2"/>
  <c r="W749" i="2"/>
  <c r="U749" i="2"/>
  <c r="S749" i="2"/>
  <c r="Q749" i="2"/>
  <c r="O749" i="2"/>
  <c r="N749" i="2"/>
  <c r="L749" i="2"/>
  <c r="J749" i="2"/>
  <c r="H749" i="2"/>
  <c r="G749" i="2"/>
  <c r="D749" i="2"/>
  <c r="E749" i="2" s="1" a="1"/>
  <c r="E749" i="2" s="1"/>
  <c r="B749" i="2"/>
  <c r="Y748" i="2"/>
  <c r="W748" i="2"/>
  <c r="U748" i="2"/>
  <c r="S748" i="2"/>
  <c r="Q748" i="2"/>
  <c r="N748" i="2"/>
  <c r="O748" i="2" s="1"/>
  <c r="L748" i="2"/>
  <c r="J748" i="2"/>
  <c r="G748" i="2"/>
  <c r="H748" i="2" s="1"/>
  <c r="D748" i="2"/>
  <c r="E748" i="2" s="1" a="1"/>
  <c r="E748" i="2" s="1"/>
  <c r="B748" i="2"/>
  <c r="Y747" i="2"/>
  <c r="W747" i="2"/>
  <c r="U747" i="2"/>
  <c r="S747" i="2"/>
  <c r="Q747" i="2"/>
  <c r="O747" i="2"/>
  <c r="N747" i="2"/>
  <c r="L747" i="2"/>
  <c r="J747" i="2"/>
  <c r="H747" i="2"/>
  <c r="G747" i="2"/>
  <c r="D747" i="2"/>
  <c r="E747" i="2" s="1" a="1"/>
  <c r="E747" i="2" s="1"/>
  <c r="B747" i="2"/>
  <c r="Y746" i="2"/>
  <c r="W746" i="2"/>
  <c r="U746" i="2"/>
  <c r="S746" i="2"/>
  <c r="Q746" i="2"/>
  <c r="N746" i="2"/>
  <c r="O746" i="2" s="1"/>
  <c r="L746" i="2"/>
  <c r="J746" i="2"/>
  <c r="G746" i="2"/>
  <c r="H746" i="2" s="1"/>
  <c r="E746" i="2" a="1"/>
  <c r="E746" i="2"/>
  <c r="D746" i="2"/>
  <c r="B746" i="2"/>
  <c r="Y745" i="2"/>
  <c r="W745" i="2"/>
  <c r="U745" i="2"/>
  <c r="S745" i="2"/>
  <c r="Q745" i="2"/>
  <c r="O745" i="2"/>
  <c r="N745" i="2"/>
  <c r="L745" i="2"/>
  <c r="J745" i="2"/>
  <c r="H745" i="2"/>
  <c r="G745" i="2"/>
  <c r="D745" i="2"/>
  <c r="E745" i="2" s="1" a="1"/>
  <c r="E745" i="2" s="1"/>
  <c r="B745" i="2"/>
  <c r="Y744" i="2"/>
  <c r="W744" i="2"/>
  <c r="U744" i="2"/>
  <c r="S744" i="2"/>
  <c r="Q744" i="2"/>
  <c r="N744" i="2"/>
  <c r="O744" i="2" s="1"/>
  <c r="L744" i="2"/>
  <c r="J744" i="2"/>
  <c r="G744" i="2"/>
  <c r="H744" i="2" s="1"/>
  <c r="E744" i="2"/>
  <c r="D744" i="2"/>
  <c r="E744" i="2" s="1" a="1"/>
  <c r="B744" i="2"/>
  <c r="Y743" i="2"/>
  <c r="W743" i="2"/>
  <c r="U743" i="2"/>
  <c r="S743" i="2"/>
  <c r="Q743" i="2"/>
  <c r="O743" i="2"/>
  <c r="N743" i="2"/>
  <c r="L743" i="2"/>
  <c r="J743" i="2"/>
  <c r="H743" i="2"/>
  <c r="G743" i="2"/>
  <c r="D743" i="2"/>
  <c r="E743" i="2" s="1" a="1"/>
  <c r="E743" i="2" s="1"/>
  <c r="B743" i="2"/>
  <c r="Y742" i="2"/>
  <c r="W742" i="2"/>
  <c r="U742" i="2"/>
  <c r="S742" i="2"/>
  <c r="Q742" i="2"/>
  <c r="N742" i="2"/>
  <c r="O742" i="2" s="1"/>
  <c r="L742" i="2"/>
  <c r="J742" i="2"/>
  <c r="G742" i="2"/>
  <c r="H742" i="2" s="1"/>
  <c r="E742" i="2" a="1"/>
  <c r="E742" i="2"/>
  <c r="D742" i="2"/>
  <c r="B742" i="2"/>
  <c r="Y741" i="2"/>
  <c r="W741" i="2"/>
  <c r="U741" i="2"/>
  <c r="S741" i="2"/>
  <c r="Q741" i="2"/>
  <c r="O741" i="2"/>
  <c r="N741" i="2"/>
  <c r="L741" i="2"/>
  <c r="J741" i="2"/>
  <c r="H741" i="2"/>
  <c r="G741" i="2"/>
  <c r="D741" i="2"/>
  <c r="E741" i="2" s="1" a="1"/>
  <c r="E741" i="2" s="1"/>
  <c r="B741" i="2"/>
  <c r="Y740" i="2"/>
  <c r="W740" i="2"/>
  <c r="U740" i="2"/>
  <c r="S740" i="2"/>
  <c r="Q740" i="2"/>
  <c r="N740" i="2"/>
  <c r="O740" i="2" s="1"/>
  <c r="L740" i="2"/>
  <c r="J740" i="2"/>
  <c r="G740" i="2"/>
  <c r="H740" i="2" s="1"/>
  <c r="E740" i="2"/>
  <c r="D740" i="2"/>
  <c r="E740" i="2" s="1" a="1"/>
  <c r="B740" i="2"/>
  <c r="Y739" i="2"/>
  <c r="W739" i="2"/>
  <c r="U739" i="2"/>
  <c r="S739" i="2"/>
  <c r="Q739" i="2"/>
  <c r="O739" i="2"/>
  <c r="N739" i="2"/>
  <c r="L739" i="2"/>
  <c r="J739" i="2"/>
  <c r="H739" i="2"/>
  <c r="G739" i="2"/>
  <c r="D739" i="2"/>
  <c r="E739" i="2" s="1" a="1"/>
  <c r="E739" i="2" s="1"/>
  <c r="B739" i="2"/>
  <c r="Y738" i="2"/>
  <c r="W738" i="2"/>
  <c r="U738" i="2"/>
  <c r="S738" i="2"/>
  <c r="Q738" i="2"/>
  <c r="N738" i="2"/>
  <c r="O738" i="2" s="1"/>
  <c r="L738" i="2"/>
  <c r="J738" i="2"/>
  <c r="G738" i="2"/>
  <c r="H738" i="2" s="1"/>
  <c r="E738" i="2" a="1"/>
  <c r="E738" i="2"/>
  <c r="D738" i="2"/>
  <c r="B738" i="2"/>
  <c r="Y737" i="2"/>
  <c r="W737" i="2"/>
  <c r="U737" i="2"/>
  <c r="S737" i="2"/>
  <c r="Q737" i="2"/>
  <c r="O737" i="2"/>
  <c r="N737" i="2"/>
  <c r="L737" i="2"/>
  <c r="J737" i="2"/>
  <c r="H737" i="2"/>
  <c r="G737" i="2"/>
  <c r="D737" i="2"/>
  <c r="E737" i="2" s="1" a="1"/>
  <c r="E737" i="2" s="1"/>
  <c r="B737" i="2"/>
  <c r="Y736" i="2"/>
  <c r="W736" i="2"/>
  <c r="U736" i="2"/>
  <c r="S736" i="2"/>
  <c r="Q736" i="2"/>
  <c r="N736" i="2"/>
  <c r="O736" i="2" s="1"/>
  <c r="L736" i="2"/>
  <c r="J736" i="2"/>
  <c r="G736" i="2"/>
  <c r="H736" i="2" s="1"/>
  <c r="E736" i="2"/>
  <c r="D736" i="2"/>
  <c r="E736" i="2" s="1" a="1"/>
  <c r="B736" i="2"/>
  <c r="Y735" i="2"/>
  <c r="W735" i="2"/>
  <c r="U735" i="2"/>
  <c r="S735" i="2"/>
  <c r="Q735" i="2"/>
  <c r="N735" i="2"/>
  <c r="O735" i="2" s="1"/>
  <c r="L735" i="2"/>
  <c r="J735" i="2"/>
  <c r="G735" i="2"/>
  <c r="H735" i="2" s="1"/>
  <c r="D735" i="2"/>
  <c r="E735" i="2" s="1" a="1"/>
  <c r="E735" i="2" s="1"/>
  <c r="B735" i="2"/>
  <c r="Y734" i="2"/>
  <c r="W734" i="2"/>
  <c r="U734" i="2"/>
  <c r="S734" i="2"/>
  <c r="Q734" i="2"/>
  <c r="N734" i="2"/>
  <c r="O734" i="2" s="1"/>
  <c r="L734" i="2"/>
  <c r="J734" i="2"/>
  <c r="G734" i="2"/>
  <c r="H734" i="2" s="1"/>
  <c r="E734" i="2" a="1"/>
  <c r="E734" i="2"/>
  <c r="D734" i="2"/>
  <c r="B734" i="2"/>
  <c r="Y733" i="2"/>
  <c r="W733" i="2"/>
  <c r="U733" i="2"/>
  <c r="S733" i="2"/>
  <c r="Q733" i="2"/>
  <c r="O733" i="2"/>
  <c r="N733" i="2"/>
  <c r="L733" i="2"/>
  <c r="J733" i="2"/>
  <c r="H733" i="2"/>
  <c r="G733" i="2"/>
  <c r="D733" i="2"/>
  <c r="E733" i="2" s="1" a="1"/>
  <c r="E733" i="2" s="1"/>
  <c r="B733" i="2"/>
  <c r="Y732" i="2"/>
  <c r="W732" i="2"/>
  <c r="U732" i="2"/>
  <c r="S732" i="2"/>
  <c r="Q732" i="2"/>
  <c r="N732" i="2"/>
  <c r="O732" i="2" s="1"/>
  <c r="L732" i="2"/>
  <c r="J732" i="2"/>
  <c r="G732" i="2"/>
  <c r="H732" i="2" s="1"/>
  <c r="D732" i="2"/>
  <c r="E732" i="2" s="1" a="1"/>
  <c r="E732" i="2" s="1"/>
  <c r="B732" i="2"/>
  <c r="Y731" i="2"/>
  <c r="W731" i="2"/>
  <c r="U731" i="2"/>
  <c r="S731" i="2"/>
  <c r="Q731" i="2"/>
  <c r="N731" i="2"/>
  <c r="O731" i="2" s="1"/>
  <c r="L731" i="2"/>
  <c r="J731" i="2"/>
  <c r="G731" i="2"/>
  <c r="H731" i="2" s="1"/>
  <c r="D731" i="2"/>
  <c r="E731" i="2" s="1" a="1"/>
  <c r="E731" i="2" s="1"/>
  <c r="B731" i="2"/>
  <c r="Y730" i="2"/>
  <c r="W730" i="2"/>
  <c r="U730" i="2"/>
  <c r="S730" i="2"/>
  <c r="Q730" i="2"/>
  <c r="N730" i="2"/>
  <c r="O730" i="2" s="1"/>
  <c r="L730" i="2"/>
  <c r="J730" i="2"/>
  <c r="G730" i="2"/>
  <c r="H730" i="2" s="1"/>
  <c r="E730" i="2" a="1"/>
  <c r="E730" i="2"/>
  <c r="D730" i="2"/>
  <c r="B730" i="2"/>
  <c r="Y729" i="2"/>
  <c r="W729" i="2"/>
  <c r="U729" i="2"/>
  <c r="S729" i="2"/>
  <c r="Q729" i="2"/>
  <c r="O729" i="2"/>
  <c r="N729" i="2"/>
  <c r="L729" i="2"/>
  <c r="J729" i="2"/>
  <c r="H729" i="2"/>
  <c r="G729" i="2"/>
  <c r="D729" i="2"/>
  <c r="E729" i="2" s="1" a="1"/>
  <c r="E729" i="2" s="1"/>
  <c r="B729" i="2"/>
  <c r="Y728" i="2"/>
  <c r="W728" i="2"/>
  <c r="U728" i="2"/>
  <c r="S728" i="2"/>
  <c r="Q728" i="2"/>
  <c r="N728" i="2"/>
  <c r="O728" i="2" s="1"/>
  <c r="L728" i="2"/>
  <c r="J728" i="2"/>
  <c r="G728" i="2"/>
  <c r="H728" i="2" s="1"/>
  <c r="D728" i="2"/>
  <c r="E728" i="2" s="1" a="1"/>
  <c r="E728" i="2" s="1"/>
  <c r="B728" i="2"/>
  <c r="Y727" i="2"/>
  <c r="W727" i="2"/>
  <c r="U727" i="2"/>
  <c r="S727" i="2"/>
  <c r="Q727" i="2"/>
  <c r="N727" i="2"/>
  <c r="O727" i="2" s="1"/>
  <c r="L727" i="2"/>
  <c r="J727" i="2"/>
  <c r="G727" i="2"/>
  <c r="H727" i="2" s="1"/>
  <c r="D727" i="2"/>
  <c r="E727" i="2" s="1" a="1"/>
  <c r="E727" i="2" s="1"/>
  <c r="B727" i="2"/>
  <c r="Y726" i="2"/>
  <c r="W726" i="2"/>
  <c r="U726" i="2"/>
  <c r="S726" i="2"/>
  <c r="Q726" i="2"/>
  <c r="N726" i="2"/>
  <c r="O726" i="2" s="1"/>
  <c r="L726" i="2"/>
  <c r="J726" i="2"/>
  <c r="G726" i="2"/>
  <c r="H726" i="2" s="1"/>
  <c r="E726" i="2" a="1"/>
  <c r="E726" i="2"/>
  <c r="D726" i="2"/>
  <c r="B726" i="2"/>
  <c r="Y725" i="2"/>
  <c r="W725" i="2"/>
  <c r="U725" i="2"/>
  <c r="S725" i="2"/>
  <c r="Q725" i="2"/>
  <c r="O725" i="2"/>
  <c r="N725" i="2"/>
  <c r="L725" i="2"/>
  <c r="J725" i="2"/>
  <c r="H725" i="2"/>
  <c r="G725" i="2"/>
  <c r="D725" i="2"/>
  <c r="E725" i="2" s="1" a="1"/>
  <c r="E725" i="2" s="1"/>
  <c r="B725" i="2"/>
  <c r="Y724" i="2"/>
  <c r="W724" i="2"/>
  <c r="U724" i="2"/>
  <c r="S724" i="2"/>
  <c r="Q724" i="2"/>
  <c r="N724" i="2"/>
  <c r="O724" i="2" s="1"/>
  <c r="L724" i="2"/>
  <c r="J724" i="2"/>
  <c r="G724" i="2"/>
  <c r="H724" i="2" s="1"/>
  <c r="D724" i="2"/>
  <c r="E724" i="2" s="1" a="1"/>
  <c r="E724" i="2" s="1"/>
  <c r="B724" i="2"/>
  <c r="Y723" i="2"/>
  <c r="W723" i="2"/>
  <c r="U723" i="2"/>
  <c r="S723" i="2"/>
  <c r="Q723" i="2"/>
  <c r="N723" i="2"/>
  <c r="O723" i="2" s="1"/>
  <c r="L723" i="2"/>
  <c r="J723" i="2"/>
  <c r="G723" i="2"/>
  <c r="H723" i="2" s="1"/>
  <c r="D723" i="2"/>
  <c r="E723" i="2" s="1" a="1"/>
  <c r="E723" i="2" s="1"/>
  <c r="B723" i="2"/>
  <c r="Y722" i="2"/>
  <c r="W722" i="2"/>
  <c r="U722" i="2"/>
  <c r="S722" i="2"/>
  <c r="Q722" i="2"/>
  <c r="N722" i="2"/>
  <c r="O722" i="2" s="1"/>
  <c r="L722" i="2"/>
  <c r="J722" i="2"/>
  <c r="G722" i="2"/>
  <c r="H722" i="2" s="1"/>
  <c r="E722" i="2" a="1"/>
  <c r="E722" i="2"/>
  <c r="D722" i="2"/>
  <c r="B722" i="2"/>
  <c r="Y721" i="2"/>
  <c r="W721" i="2"/>
  <c r="U721" i="2"/>
  <c r="S721" i="2"/>
  <c r="Q721" i="2"/>
  <c r="O721" i="2"/>
  <c r="N721" i="2"/>
  <c r="L721" i="2"/>
  <c r="J721" i="2"/>
  <c r="H721" i="2"/>
  <c r="G721" i="2"/>
  <c r="D721" i="2"/>
  <c r="E721" i="2" s="1" a="1"/>
  <c r="E721" i="2" s="1"/>
  <c r="B721" i="2"/>
  <c r="Y720" i="2"/>
  <c r="W720" i="2"/>
  <c r="U720" i="2"/>
  <c r="S720" i="2"/>
  <c r="Q720" i="2"/>
  <c r="N720" i="2"/>
  <c r="O720" i="2" s="1"/>
  <c r="L720" i="2"/>
  <c r="J720" i="2"/>
  <c r="G720" i="2"/>
  <c r="H720" i="2" s="1"/>
  <c r="D720" i="2"/>
  <c r="E720" i="2" s="1" a="1"/>
  <c r="E720" i="2" s="1"/>
  <c r="B720" i="2"/>
  <c r="Y719" i="2"/>
  <c r="W719" i="2"/>
  <c r="U719" i="2"/>
  <c r="S719" i="2"/>
  <c r="Q719" i="2"/>
  <c r="N719" i="2"/>
  <c r="O719" i="2" s="1"/>
  <c r="L719" i="2"/>
  <c r="J719" i="2"/>
  <c r="G719" i="2"/>
  <c r="H719" i="2" s="1"/>
  <c r="D719" i="2"/>
  <c r="E719" i="2" s="1" a="1"/>
  <c r="E719" i="2" s="1"/>
  <c r="B719" i="2"/>
  <c r="Y718" i="2"/>
  <c r="W718" i="2"/>
  <c r="U718" i="2"/>
  <c r="S718" i="2"/>
  <c r="Q718" i="2"/>
  <c r="N718" i="2"/>
  <c r="O718" i="2" s="1"/>
  <c r="L718" i="2"/>
  <c r="J718" i="2"/>
  <c r="H718" i="2"/>
  <c r="G718" i="2"/>
  <c r="E718" i="2" a="1"/>
  <c r="E718" i="2"/>
  <c r="D718" i="2"/>
  <c r="B718" i="2"/>
  <c r="Y717" i="2"/>
  <c r="W717" i="2"/>
  <c r="U717" i="2"/>
  <c r="S717" i="2"/>
  <c r="Q717" i="2"/>
  <c r="O717" i="2"/>
  <c r="N717" i="2"/>
  <c r="L717" i="2"/>
  <c r="J717" i="2"/>
  <c r="H717" i="2"/>
  <c r="G717" i="2"/>
  <c r="E717" i="2"/>
  <c r="D717" i="2"/>
  <c r="E717" i="2" s="1" a="1"/>
  <c r="B717" i="2"/>
  <c r="Y716" i="2"/>
  <c r="W716" i="2"/>
  <c r="U716" i="2"/>
  <c r="S716" i="2"/>
  <c r="Q716" i="2"/>
  <c r="O716" i="2"/>
  <c r="N716" i="2"/>
  <c r="L716" i="2"/>
  <c r="J716" i="2"/>
  <c r="H716" i="2"/>
  <c r="G716" i="2"/>
  <c r="E716" i="2" a="1"/>
  <c r="E716" i="2" s="1"/>
  <c r="D716" i="2"/>
  <c r="B716" i="2"/>
  <c r="Y715" i="2"/>
  <c r="W715" i="2"/>
  <c r="U715" i="2"/>
  <c r="S715" i="2"/>
  <c r="Q715" i="2"/>
  <c r="N715" i="2"/>
  <c r="O715" i="2" s="1"/>
  <c r="L715" i="2"/>
  <c r="J715" i="2"/>
  <c r="G715" i="2"/>
  <c r="H715" i="2" s="1"/>
  <c r="E715" i="2" a="1"/>
  <c r="E715" i="2" s="1"/>
  <c r="D715" i="2"/>
  <c r="B715" i="2"/>
  <c r="Y714" i="2"/>
  <c r="W714" i="2"/>
  <c r="U714" i="2"/>
  <c r="S714" i="2"/>
  <c r="Q714" i="2"/>
  <c r="O714" i="2"/>
  <c r="N714" i="2"/>
  <c r="L714" i="2"/>
  <c r="J714" i="2"/>
  <c r="H714" i="2"/>
  <c r="G714" i="2"/>
  <c r="E714" i="2" a="1"/>
  <c r="E714" i="2"/>
  <c r="D714" i="2"/>
  <c r="B714" i="2"/>
  <c r="Y713" i="2"/>
  <c r="W713" i="2"/>
  <c r="U713" i="2"/>
  <c r="S713" i="2"/>
  <c r="Q713" i="2"/>
  <c r="O713" i="2"/>
  <c r="N713" i="2"/>
  <c r="L713" i="2"/>
  <c r="J713" i="2"/>
  <c r="H713" i="2"/>
  <c r="G713" i="2"/>
  <c r="E713" i="2"/>
  <c r="D713" i="2"/>
  <c r="E713" i="2" s="1" a="1"/>
  <c r="B713" i="2"/>
  <c r="Y712" i="2"/>
  <c r="W712" i="2"/>
  <c r="U712" i="2"/>
  <c r="S712" i="2"/>
  <c r="Q712" i="2"/>
  <c r="O712" i="2"/>
  <c r="N712" i="2"/>
  <c r="L712" i="2"/>
  <c r="J712" i="2"/>
  <c r="H712" i="2"/>
  <c r="G712" i="2"/>
  <c r="E712" i="2" a="1"/>
  <c r="E712" i="2" s="1"/>
  <c r="D712" i="2"/>
  <c r="B712" i="2"/>
  <c r="Y711" i="2"/>
  <c r="W711" i="2"/>
  <c r="U711" i="2"/>
  <c r="S711" i="2"/>
  <c r="Q711" i="2"/>
  <c r="N711" i="2"/>
  <c r="O711" i="2" s="1"/>
  <c r="L711" i="2"/>
  <c r="J711" i="2"/>
  <c r="G711" i="2"/>
  <c r="H711" i="2" s="1"/>
  <c r="E711" i="2" a="1"/>
  <c r="E711" i="2" s="1"/>
  <c r="D711" i="2"/>
  <c r="B711" i="2"/>
  <c r="Y710" i="2"/>
  <c r="W710" i="2"/>
  <c r="U710" i="2"/>
  <c r="S710" i="2"/>
  <c r="Q710" i="2"/>
  <c r="O710" i="2"/>
  <c r="N710" i="2"/>
  <c r="L710" i="2"/>
  <c r="J710" i="2"/>
  <c r="H710" i="2"/>
  <c r="G710" i="2"/>
  <c r="E710" i="2" a="1"/>
  <c r="E710" i="2"/>
  <c r="D710" i="2"/>
  <c r="B710" i="2"/>
  <c r="Y709" i="2"/>
  <c r="W709" i="2"/>
  <c r="U709" i="2"/>
  <c r="S709" i="2"/>
  <c r="Q709" i="2"/>
  <c r="O709" i="2"/>
  <c r="N709" i="2"/>
  <c r="L709" i="2"/>
  <c r="J709" i="2"/>
  <c r="H709" i="2"/>
  <c r="G709" i="2"/>
  <c r="E709" i="2"/>
  <c r="D709" i="2"/>
  <c r="E709" i="2" s="1" a="1"/>
  <c r="B709" i="2"/>
  <c r="Y708" i="2"/>
  <c r="W708" i="2"/>
  <c r="U708" i="2"/>
  <c r="S708" i="2"/>
  <c r="Q708" i="2"/>
  <c r="O708" i="2"/>
  <c r="N708" i="2"/>
  <c r="L708" i="2"/>
  <c r="J708" i="2"/>
  <c r="H708" i="2"/>
  <c r="G708" i="2"/>
  <c r="E708" i="2" a="1"/>
  <c r="E708" i="2" s="1"/>
  <c r="D708" i="2"/>
  <c r="B708" i="2"/>
  <c r="Y707" i="2"/>
  <c r="W707" i="2"/>
  <c r="U707" i="2"/>
  <c r="S707" i="2"/>
  <c r="Q707" i="2"/>
  <c r="N707" i="2"/>
  <c r="O707" i="2" s="1"/>
  <c r="L707" i="2"/>
  <c r="J707" i="2"/>
  <c r="G707" i="2"/>
  <c r="H707" i="2" s="1"/>
  <c r="E707" i="2" a="1"/>
  <c r="E707" i="2" s="1"/>
  <c r="D707" i="2"/>
  <c r="B707" i="2"/>
  <c r="Y706" i="2"/>
  <c r="W706" i="2"/>
  <c r="U706" i="2"/>
  <c r="S706" i="2"/>
  <c r="Q706" i="2"/>
  <c r="O706" i="2"/>
  <c r="N706" i="2"/>
  <c r="J706" i="2"/>
  <c r="H706" i="2"/>
  <c r="G706" i="2"/>
  <c r="E706" i="2"/>
  <c r="D706" i="2"/>
  <c r="E706" i="2" s="1" a="1"/>
  <c r="B706" i="2"/>
  <c r="Y705" i="2"/>
  <c r="W705" i="2"/>
  <c r="U705" i="2"/>
  <c r="S705" i="2"/>
  <c r="Q705" i="2"/>
  <c r="O705" i="2"/>
  <c r="N705" i="2"/>
  <c r="L705" i="2"/>
  <c r="J705" i="2"/>
  <c r="H705" i="2"/>
  <c r="G705" i="2"/>
  <c r="E705" i="2" a="1"/>
  <c r="E705" i="2" s="1"/>
  <c r="D705" i="2"/>
  <c r="B705" i="2"/>
  <c r="Y704" i="2"/>
  <c r="W704" i="2"/>
  <c r="U704" i="2"/>
  <c r="S704" i="2"/>
  <c r="Q704" i="2"/>
  <c r="N704" i="2"/>
  <c r="O704" i="2" s="1"/>
  <c r="L704" i="2"/>
  <c r="J704" i="2"/>
  <c r="G704" i="2"/>
  <c r="H704" i="2" s="1"/>
  <c r="E704" i="2" a="1"/>
  <c r="E704" i="2" s="1"/>
  <c r="D704" i="2"/>
  <c r="B704" i="2"/>
  <c r="Y703" i="2"/>
  <c r="W703" i="2"/>
  <c r="U703" i="2"/>
  <c r="S703" i="2"/>
  <c r="Q703" i="2"/>
  <c r="O703" i="2"/>
  <c r="N703" i="2"/>
  <c r="L703" i="2"/>
  <c r="J703" i="2"/>
  <c r="H703" i="2"/>
  <c r="G703" i="2"/>
  <c r="E703" i="2" a="1"/>
  <c r="E703" i="2"/>
  <c r="D703" i="2"/>
  <c r="B703" i="2"/>
  <c r="Y702" i="2"/>
  <c r="W702" i="2"/>
  <c r="U702" i="2"/>
  <c r="S702" i="2"/>
  <c r="Q702" i="2"/>
  <c r="O702" i="2"/>
  <c r="N702" i="2"/>
  <c r="L702" i="2"/>
  <c r="J702" i="2"/>
  <c r="H702" i="2"/>
  <c r="G702" i="2"/>
  <c r="E702" i="2"/>
  <c r="D702" i="2"/>
  <c r="E702" i="2" s="1" a="1"/>
  <c r="B702" i="2"/>
  <c r="Y701" i="2"/>
  <c r="W701" i="2"/>
  <c r="U701" i="2"/>
  <c r="S701" i="2"/>
  <c r="Q701" i="2"/>
  <c r="O701" i="2"/>
  <c r="N701" i="2"/>
  <c r="L701" i="2"/>
  <c r="J701" i="2"/>
  <c r="H701" i="2"/>
  <c r="G701" i="2"/>
  <c r="E701" i="2" a="1"/>
  <c r="E701" i="2" s="1"/>
  <c r="D701" i="2"/>
  <c r="B701" i="2"/>
  <c r="Y700" i="2"/>
  <c r="W700" i="2"/>
  <c r="U700" i="2"/>
  <c r="S700" i="2"/>
  <c r="Q700" i="2"/>
  <c r="N700" i="2"/>
  <c r="O700" i="2" s="1"/>
  <c r="L700" i="2"/>
  <c r="J700" i="2"/>
  <c r="G700" i="2"/>
  <c r="H700" i="2" s="1"/>
  <c r="E700" i="2" a="1"/>
  <c r="E700" i="2" s="1"/>
  <c r="D700" i="2"/>
  <c r="B700" i="2"/>
  <c r="Y699" i="2"/>
  <c r="W699" i="2"/>
  <c r="U699" i="2"/>
  <c r="S699" i="2"/>
  <c r="Q699" i="2"/>
  <c r="O699" i="2"/>
  <c r="N699" i="2"/>
  <c r="L699" i="2"/>
  <c r="J699" i="2"/>
  <c r="H699" i="2"/>
  <c r="G699" i="2"/>
  <c r="E699" i="2" a="1"/>
  <c r="E699" i="2"/>
  <c r="D699" i="2"/>
  <c r="B699" i="2"/>
  <c r="Y698" i="2"/>
  <c r="W698" i="2"/>
  <c r="U698" i="2"/>
  <c r="S698" i="2"/>
  <c r="Q698" i="2"/>
  <c r="O698" i="2"/>
  <c r="N698" i="2"/>
  <c r="L698" i="2"/>
  <c r="J698" i="2"/>
  <c r="H698" i="2"/>
  <c r="G698" i="2"/>
  <c r="E698" i="2"/>
  <c r="D698" i="2"/>
  <c r="E698" i="2" s="1" a="1"/>
  <c r="B698" i="2"/>
  <c r="Y697" i="2"/>
  <c r="W697" i="2"/>
  <c r="U697" i="2"/>
  <c r="S697" i="2"/>
  <c r="Q697" i="2"/>
  <c r="O697" i="2"/>
  <c r="N697" i="2"/>
  <c r="L697" i="2"/>
  <c r="J697" i="2"/>
  <c r="H697" i="2"/>
  <c r="G697" i="2"/>
  <c r="E697" i="2" a="1"/>
  <c r="E697" i="2" s="1"/>
  <c r="D697" i="2"/>
  <c r="B697" i="2"/>
  <c r="Y696" i="2"/>
  <c r="W696" i="2"/>
  <c r="U696" i="2"/>
  <c r="S696" i="2"/>
  <c r="Q696" i="2"/>
  <c r="N696" i="2"/>
  <c r="O696" i="2" s="1"/>
  <c r="L696" i="2"/>
  <c r="J696" i="2"/>
  <c r="G696" i="2"/>
  <c r="H696" i="2" s="1"/>
  <c r="E696" i="2" a="1"/>
  <c r="E696" i="2" s="1"/>
  <c r="D696" i="2"/>
  <c r="B696" i="2"/>
  <c r="Y695" i="2"/>
  <c r="W695" i="2"/>
  <c r="U695" i="2"/>
  <c r="S695" i="2"/>
  <c r="Q695" i="2"/>
  <c r="O695" i="2"/>
  <c r="N695" i="2"/>
  <c r="L695" i="2"/>
  <c r="J695" i="2"/>
  <c r="H695" i="2"/>
  <c r="G695" i="2"/>
  <c r="E695" i="2" a="1"/>
  <c r="E695" i="2"/>
  <c r="D695" i="2"/>
  <c r="B695" i="2"/>
  <c r="Y694" i="2"/>
  <c r="W694" i="2"/>
  <c r="U694" i="2"/>
  <c r="S694" i="2"/>
  <c r="Q694" i="2"/>
  <c r="O694" i="2"/>
  <c r="N694" i="2"/>
  <c r="L694" i="2"/>
  <c r="J694" i="2"/>
  <c r="H694" i="2"/>
  <c r="G694" i="2"/>
  <c r="E694" i="2"/>
  <c r="D694" i="2"/>
  <c r="E694" i="2" s="1" a="1"/>
  <c r="B694" i="2"/>
  <c r="Y693" i="2"/>
  <c r="W693" i="2"/>
  <c r="U693" i="2"/>
  <c r="S693" i="2"/>
  <c r="Q693" i="2"/>
  <c r="O693" i="2"/>
  <c r="N693" i="2"/>
  <c r="L693" i="2"/>
  <c r="J693" i="2"/>
  <c r="H693" i="2"/>
  <c r="G693" i="2"/>
  <c r="E693" i="2" a="1"/>
  <c r="E693" i="2" s="1"/>
  <c r="D693" i="2"/>
  <c r="B693" i="2"/>
  <c r="Y692" i="2"/>
  <c r="W692" i="2"/>
  <c r="U692" i="2"/>
  <c r="S692" i="2"/>
  <c r="Q692" i="2"/>
  <c r="N692" i="2"/>
  <c r="O692" i="2" s="1"/>
  <c r="L692" i="2"/>
  <c r="J692" i="2"/>
  <c r="G692" i="2"/>
  <c r="H692" i="2" s="1"/>
  <c r="E692" i="2" a="1"/>
  <c r="E692" i="2" s="1"/>
  <c r="D692" i="2"/>
  <c r="B692" i="2"/>
  <c r="Y691" i="2"/>
  <c r="W691" i="2"/>
  <c r="U691" i="2"/>
  <c r="S691" i="2"/>
  <c r="Q691" i="2"/>
  <c r="O691" i="2"/>
  <c r="N691" i="2"/>
  <c r="L691" i="2"/>
  <c r="J691" i="2"/>
  <c r="H691" i="2"/>
  <c r="G691" i="2"/>
  <c r="E691" i="2" a="1"/>
  <c r="E691" i="2"/>
  <c r="D691" i="2"/>
  <c r="B691" i="2"/>
  <c r="Y690" i="2"/>
  <c r="W690" i="2"/>
  <c r="U690" i="2"/>
  <c r="S690" i="2"/>
  <c r="Q690" i="2"/>
  <c r="O690" i="2"/>
  <c r="N690" i="2"/>
  <c r="L690" i="2"/>
  <c r="J690" i="2"/>
  <c r="H690" i="2"/>
  <c r="G690" i="2"/>
  <c r="E690" i="2"/>
  <c r="D690" i="2"/>
  <c r="E690" i="2" s="1" a="1"/>
  <c r="B690" i="2"/>
  <c r="Y689" i="2"/>
  <c r="W689" i="2"/>
  <c r="U689" i="2"/>
  <c r="S689" i="2"/>
  <c r="Q689" i="2"/>
  <c r="O689" i="2"/>
  <c r="N689" i="2"/>
  <c r="L689" i="2"/>
  <c r="J689" i="2"/>
  <c r="H689" i="2"/>
  <c r="G689" i="2"/>
  <c r="E689" i="2" a="1"/>
  <c r="E689" i="2" s="1"/>
  <c r="D689" i="2"/>
  <c r="B689" i="2"/>
  <c r="Y688" i="2"/>
  <c r="W688" i="2"/>
  <c r="U688" i="2"/>
  <c r="S688" i="2"/>
  <c r="Q688" i="2"/>
  <c r="N688" i="2"/>
  <c r="O688" i="2" s="1"/>
  <c r="L688" i="2"/>
  <c r="J688" i="2"/>
  <c r="G688" i="2"/>
  <c r="H688" i="2" s="1"/>
  <c r="E688" i="2" a="1"/>
  <c r="E688" i="2" s="1"/>
  <c r="D688" i="2"/>
  <c r="B688" i="2"/>
  <c r="Y687" i="2"/>
  <c r="W687" i="2"/>
  <c r="U687" i="2"/>
  <c r="S687" i="2"/>
  <c r="Q687" i="2"/>
  <c r="O687" i="2"/>
  <c r="N687" i="2"/>
  <c r="L687" i="2"/>
  <c r="J687" i="2"/>
  <c r="H687" i="2"/>
  <c r="G687" i="2"/>
  <c r="E687" i="2" a="1"/>
  <c r="E687" i="2"/>
  <c r="D687" i="2"/>
  <c r="B687" i="2"/>
  <c r="Y686" i="2"/>
  <c r="W686" i="2"/>
  <c r="U686" i="2"/>
  <c r="S686" i="2"/>
  <c r="Q686" i="2"/>
  <c r="O686" i="2"/>
  <c r="N686" i="2"/>
  <c r="L686" i="2"/>
  <c r="J686" i="2"/>
  <c r="H686" i="2"/>
  <c r="G686" i="2"/>
  <c r="E686" i="2"/>
  <c r="D686" i="2"/>
  <c r="E686" i="2" s="1" a="1"/>
  <c r="B686" i="2"/>
  <c r="Y685" i="2"/>
  <c r="W685" i="2"/>
  <c r="U685" i="2"/>
  <c r="S685" i="2"/>
  <c r="Q685" i="2"/>
  <c r="O685" i="2"/>
  <c r="N685" i="2"/>
  <c r="L685" i="2"/>
  <c r="J685" i="2"/>
  <c r="H685" i="2"/>
  <c r="G685" i="2"/>
  <c r="E685" i="2" a="1"/>
  <c r="E685" i="2" s="1"/>
  <c r="D685" i="2"/>
  <c r="B685" i="2"/>
  <c r="Y684" i="2"/>
  <c r="W684" i="2"/>
  <c r="U684" i="2"/>
  <c r="S684" i="2"/>
  <c r="Q684" i="2"/>
  <c r="N684" i="2"/>
  <c r="O684" i="2" s="1"/>
  <c r="L684" i="2"/>
  <c r="J684" i="2"/>
  <c r="G684" i="2"/>
  <c r="H684" i="2" s="1"/>
  <c r="E684" i="2" a="1"/>
  <c r="E684" i="2" s="1"/>
  <c r="D684" i="2"/>
  <c r="B684" i="2"/>
  <c r="Y683" i="2"/>
  <c r="W683" i="2"/>
  <c r="U683" i="2"/>
  <c r="S683" i="2"/>
  <c r="Q683" i="2"/>
  <c r="O683" i="2"/>
  <c r="N683" i="2"/>
  <c r="L683" i="2"/>
  <c r="J683" i="2"/>
  <c r="H683" i="2"/>
  <c r="G683" i="2"/>
  <c r="E683" i="2" a="1"/>
  <c r="E683" i="2"/>
  <c r="D683" i="2"/>
  <c r="B683" i="2"/>
  <c r="Y682" i="2"/>
  <c r="W682" i="2"/>
  <c r="U682" i="2"/>
  <c r="S682" i="2"/>
  <c r="Q682" i="2"/>
  <c r="O682" i="2"/>
  <c r="N682" i="2"/>
  <c r="L682" i="2"/>
  <c r="J682" i="2"/>
  <c r="H682" i="2"/>
  <c r="G682" i="2"/>
  <c r="D682" i="2"/>
  <c r="E682" i="2" s="1" a="1"/>
  <c r="E682" i="2" s="1"/>
  <c r="B682" i="2"/>
  <c r="Y681" i="2"/>
  <c r="W681" i="2"/>
  <c r="U681" i="2"/>
  <c r="S681" i="2"/>
  <c r="Q681" i="2"/>
  <c r="N681" i="2"/>
  <c r="O681" i="2" s="1"/>
  <c r="L681" i="2"/>
  <c r="J681" i="2"/>
  <c r="G681" i="2"/>
  <c r="H681" i="2" s="1"/>
  <c r="E681" i="2" a="1"/>
  <c r="E681" i="2" s="1"/>
  <c r="D681" i="2"/>
  <c r="B681" i="2"/>
  <c r="Y680" i="2"/>
  <c r="W680" i="2"/>
  <c r="U680" i="2"/>
  <c r="S680" i="2"/>
  <c r="Q680" i="2"/>
  <c r="N680" i="2"/>
  <c r="O680" i="2" s="1"/>
  <c r="L680" i="2"/>
  <c r="J680" i="2"/>
  <c r="G680" i="2"/>
  <c r="H680" i="2" s="1"/>
  <c r="E680" i="2" a="1"/>
  <c r="E680" i="2" s="1"/>
  <c r="D680" i="2"/>
  <c r="B680" i="2"/>
  <c r="Y679" i="2"/>
  <c r="W679" i="2"/>
  <c r="U679" i="2"/>
  <c r="S679" i="2"/>
  <c r="Q679" i="2"/>
  <c r="O679" i="2"/>
  <c r="N679" i="2"/>
  <c r="L679" i="2"/>
  <c r="J679" i="2"/>
  <c r="H679" i="2"/>
  <c r="G679" i="2"/>
  <c r="E679" i="2" a="1"/>
  <c r="E679" i="2"/>
  <c r="D679" i="2"/>
  <c r="B679" i="2"/>
  <c r="Y678" i="2"/>
  <c r="W678" i="2"/>
  <c r="U678" i="2"/>
  <c r="S678" i="2"/>
  <c r="Q678" i="2"/>
  <c r="O678" i="2"/>
  <c r="N678" i="2"/>
  <c r="L678" i="2"/>
  <c r="J678" i="2"/>
  <c r="H678" i="2"/>
  <c r="G678" i="2"/>
  <c r="D678" i="2"/>
  <c r="E678" i="2" s="1" a="1"/>
  <c r="E678" i="2" s="1"/>
  <c r="B678" i="2"/>
  <c r="Y677" i="2"/>
  <c r="W677" i="2"/>
  <c r="U677" i="2"/>
  <c r="S677" i="2"/>
  <c r="Q677" i="2"/>
  <c r="N677" i="2"/>
  <c r="O677" i="2" s="1"/>
  <c r="L677" i="2"/>
  <c r="J677" i="2"/>
  <c r="G677" i="2"/>
  <c r="H677" i="2" s="1"/>
  <c r="E677" i="2" a="1"/>
  <c r="E677" i="2" s="1"/>
  <c r="D677" i="2"/>
  <c r="B677" i="2"/>
  <c r="Y676" i="2"/>
  <c r="W676" i="2"/>
  <c r="U676" i="2"/>
  <c r="S676" i="2"/>
  <c r="Q676" i="2"/>
  <c r="N676" i="2"/>
  <c r="O676" i="2" s="1"/>
  <c r="L676" i="2"/>
  <c r="J676" i="2"/>
  <c r="G676" i="2"/>
  <c r="H676" i="2" s="1"/>
  <c r="E676" i="2" a="1"/>
  <c r="E676" i="2" s="1"/>
  <c r="D676" i="2"/>
  <c r="B676" i="2"/>
  <c r="Y675" i="2"/>
  <c r="W675" i="2"/>
  <c r="U675" i="2"/>
  <c r="S675" i="2"/>
  <c r="Q675" i="2"/>
  <c r="O675" i="2"/>
  <c r="N675" i="2"/>
  <c r="L675" i="2"/>
  <c r="J675" i="2"/>
  <c r="H675" i="2"/>
  <c r="G675" i="2"/>
  <c r="E675" i="2" a="1"/>
  <c r="E675" i="2"/>
  <c r="D675" i="2"/>
  <c r="B675" i="2"/>
  <c r="Y674" i="2"/>
  <c r="W674" i="2"/>
  <c r="U674" i="2"/>
  <c r="S674" i="2"/>
  <c r="Q674" i="2"/>
  <c r="O674" i="2"/>
  <c r="N674" i="2"/>
  <c r="L674" i="2"/>
  <c r="J674" i="2"/>
  <c r="H674" i="2"/>
  <c r="G674" i="2"/>
  <c r="D674" i="2"/>
  <c r="E674" i="2" s="1" a="1"/>
  <c r="E674" i="2" s="1"/>
  <c r="B674" i="2"/>
  <c r="Y673" i="2"/>
  <c r="W673" i="2"/>
  <c r="U673" i="2"/>
  <c r="S673" i="2"/>
  <c r="Q673" i="2"/>
  <c r="N673" i="2"/>
  <c r="O673" i="2" s="1"/>
  <c r="L673" i="2"/>
  <c r="J673" i="2"/>
  <c r="G673" i="2"/>
  <c r="H673" i="2" s="1"/>
  <c r="E673" i="2" a="1"/>
  <c r="E673" i="2" s="1"/>
  <c r="D673" i="2"/>
  <c r="B673" i="2"/>
  <c r="Y672" i="2"/>
  <c r="W672" i="2"/>
  <c r="U672" i="2"/>
  <c r="S672" i="2"/>
  <c r="Q672" i="2"/>
  <c r="N672" i="2"/>
  <c r="O672" i="2" s="1"/>
  <c r="L672" i="2"/>
  <c r="J672" i="2"/>
  <c r="G672" i="2"/>
  <c r="H672" i="2" s="1"/>
  <c r="E672" i="2" a="1"/>
  <c r="E672" i="2" s="1"/>
  <c r="D672" i="2"/>
  <c r="B672" i="2"/>
  <c r="Y671" i="2"/>
  <c r="W671" i="2"/>
  <c r="U671" i="2"/>
  <c r="S671" i="2"/>
  <c r="Q671" i="2"/>
  <c r="O671" i="2"/>
  <c r="N671" i="2"/>
  <c r="L671" i="2"/>
  <c r="J671" i="2"/>
  <c r="H671" i="2"/>
  <c r="G671" i="2"/>
  <c r="E671" i="2" a="1"/>
  <c r="E671" i="2"/>
  <c r="D671" i="2"/>
  <c r="B671" i="2"/>
  <c r="Y670" i="2"/>
  <c r="W670" i="2"/>
  <c r="U670" i="2"/>
  <c r="S670" i="2"/>
  <c r="Q670" i="2"/>
  <c r="O670" i="2"/>
  <c r="N670" i="2"/>
  <c r="L670" i="2"/>
  <c r="J670" i="2"/>
  <c r="H670" i="2"/>
  <c r="G670" i="2"/>
  <c r="D670" i="2"/>
  <c r="E670" i="2" s="1" a="1"/>
  <c r="E670" i="2" s="1"/>
  <c r="B670" i="2"/>
  <c r="Y669" i="2"/>
  <c r="W669" i="2"/>
  <c r="U669" i="2"/>
  <c r="S669" i="2"/>
  <c r="Q669" i="2"/>
  <c r="N669" i="2"/>
  <c r="O669" i="2" s="1"/>
  <c r="L669" i="2"/>
  <c r="J669" i="2"/>
  <c r="G669" i="2"/>
  <c r="H669" i="2" s="1"/>
  <c r="E669" i="2" a="1"/>
  <c r="E669" i="2" s="1"/>
  <c r="D669" i="2"/>
  <c r="B669" i="2"/>
  <c r="Y668" i="2"/>
  <c r="W668" i="2"/>
  <c r="U668" i="2"/>
  <c r="S668" i="2"/>
  <c r="Q668" i="2"/>
  <c r="N668" i="2"/>
  <c r="O668" i="2" s="1"/>
  <c r="L668" i="2"/>
  <c r="J668" i="2"/>
  <c r="G668" i="2"/>
  <c r="H668" i="2" s="1"/>
  <c r="D668" i="2"/>
  <c r="E668" i="2" s="1" a="1"/>
  <c r="E668" i="2" s="1"/>
  <c r="B668" i="2"/>
  <c r="Y667" i="2"/>
  <c r="W667" i="2"/>
  <c r="U667" i="2"/>
  <c r="S667" i="2"/>
  <c r="Q667" i="2"/>
  <c r="N667" i="2"/>
  <c r="O667" i="2" s="1"/>
  <c r="L667" i="2"/>
  <c r="J667" i="2"/>
  <c r="G667" i="2"/>
  <c r="H667" i="2" s="1"/>
  <c r="E667" i="2" a="1"/>
  <c r="E667" i="2" s="1"/>
  <c r="D667" i="2"/>
  <c r="B667" i="2"/>
  <c r="Y666" i="2"/>
  <c r="W666" i="2"/>
  <c r="U666" i="2"/>
  <c r="S666" i="2"/>
  <c r="Q666" i="2"/>
  <c r="N666" i="2"/>
  <c r="O666" i="2" s="1"/>
  <c r="L666" i="2"/>
  <c r="J666" i="2"/>
  <c r="G666" i="2"/>
  <c r="H666" i="2" s="1"/>
  <c r="E666" i="2" a="1"/>
  <c r="E666" i="2"/>
  <c r="D666" i="2"/>
  <c r="B666" i="2"/>
  <c r="Y665" i="2"/>
  <c r="W665" i="2"/>
  <c r="U665" i="2"/>
  <c r="S665" i="2"/>
  <c r="Q665" i="2"/>
  <c r="O665" i="2"/>
  <c r="N665" i="2"/>
  <c r="L665" i="2"/>
  <c r="J665" i="2"/>
  <c r="H665" i="2"/>
  <c r="G665" i="2"/>
  <c r="D665" i="2"/>
  <c r="E665" i="2" s="1" a="1"/>
  <c r="E665" i="2" s="1"/>
  <c r="B665" i="2"/>
  <c r="Y664" i="2"/>
  <c r="W664" i="2"/>
  <c r="U664" i="2"/>
  <c r="S664" i="2"/>
  <c r="Q664" i="2"/>
  <c r="N664" i="2"/>
  <c r="O664" i="2" s="1"/>
  <c r="L664" i="2"/>
  <c r="J664" i="2"/>
  <c r="G664" i="2"/>
  <c r="H664" i="2" s="1"/>
  <c r="D664" i="2"/>
  <c r="E664" i="2" s="1" a="1"/>
  <c r="E664" i="2" s="1"/>
  <c r="B664" i="2"/>
  <c r="Y663" i="2"/>
  <c r="W663" i="2"/>
  <c r="U663" i="2"/>
  <c r="S663" i="2"/>
  <c r="Q663" i="2"/>
  <c r="N663" i="2"/>
  <c r="O663" i="2" s="1"/>
  <c r="L663" i="2"/>
  <c r="J663" i="2"/>
  <c r="G663" i="2"/>
  <c r="H663" i="2" s="1"/>
  <c r="E663" i="2" a="1"/>
  <c r="E663" i="2" s="1"/>
  <c r="D663" i="2"/>
  <c r="B663" i="2"/>
  <c r="Y662" i="2"/>
  <c r="W662" i="2"/>
  <c r="U662" i="2"/>
  <c r="S662" i="2"/>
  <c r="Q662" i="2"/>
  <c r="N662" i="2"/>
  <c r="O662" i="2" s="1"/>
  <c r="L662" i="2"/>
  <c r="J662" i="2"/>
  <c r="G662" i="2"/>
  <c r="H662" i="2" s="1"/>
  <c r="E662" i="2" a="1"/>
  <c r="E662" i="2"/>
  <c r="D662" i="2"/>
  <c r="B662" i="2"/>
  <c r="Y661" i="2"/>
  <c r="W661" i="2"/>
  <c r="U661" i="2"/>
  <c r="S661" i="2"/>
  <c r="Q661" i="2"/>
  <c r="O661" i="2"/>
  <c r="N661" i="2"/>
  <c r="L661" i="2"/>
  <c r="J661" i="2"/>
  <c r="H661" i="2"/>
  <c r="G661" i="2"/>
  <c r="D661" i="2"/>
  <c r="E661" i="2" s="1" a="1"/>
  <c r="E661" i="2" s="1"/>
  <c r="B661" i="2"/>
  <c r="Y660" i="2"/>
  <c r="W660" i="2"/>
  <c r="U660" i="2"/>
  <c r="S660" i="2"/>
  <c r="Q660" i="2"/>
  <c r="N660" i="2"/>
  <c r="O660" i="2" s="1"/>
  <c r="L660" i="2"/>
  <c r="J660" i="2"/>
  <c r="G660" i="2"/>
  <c r="H660" i="2" s="1"/>
  <c r="D660" i="2"/>
  <c r="E660" i="2" s="1" a="1"/>
  <c r="E660" i="2" s="1"/>
  <c r="B660" i="2"/>
  <c r="Y659" i="2"/>
  <c r="W659" i="2"/>
  <c r="U659" i="2"/>
  <c r="S659" i="2"/>
  <c r="Q659" i="2"/>
  <c r="N659" i="2"/>
  <c r="O659" i="2" s="1"/>
  <c r="L659" i="2"/>
  <c r="J659" i="2"/>
  <c r="G659" i="2"/>
  <c r="H659" i="2" s="1"/>
  <c r="E659" i="2" a="1"/>
  <c r="E659" i="2" s="1"/>
  <c r="D659" i="2"/>
  <c r="B659" i="2"/>
  <c r="Y658" i="2"/>
  <c r="W658" i="2"/>
  <c r="U658" i="2"/>
  <c r="S658" i="2"/>
  <c r="Q658" i="2"/>
  <c r="N658" i="2"/>
  <c r="O658" i="2" s="1"/>
  <c r="L658" i="2"/>
  <c r="J658" i="2"/>
  <c r="G658" i="2"/>
  <c r="H658" i="2" s="1"/>
  <c r="E658" i="2" a="1"/>
  <c r="E658" i="2"/>
  <c r="D658" i="2"/>
  <c r="B658" i="2"/>
  <c r="Y657" i="2"/>
  <c r="W657" i="2"/>
  <c r="U657" i="2"/>
  <c r="S657" i="2"/>
  <c r="Q657" i="2"/>
  <c r="O657" i="2"/>
  <c r="N657" i="2"/>
  <c r="L657" i="2"/>
  <c r="J657" i="2"/>
  <c r="H657" i="2"/>
  <c r="G657" i="2"/>
  <c r="D657" i="2"/>
  <c r="E657" i="2" s="1" a="1"/>
  <c r="E657" i="2" s="1"/>
  <c r="B657" i="2"/>
  <c r="Y656" i="2"/>
  <c r="W656" i="2"/>
  <c r="U656" i="2"/>
  <c r="S656" i="2"/>
  <c r="Q656" i="2"/>
  <c r="N656" i="2"/>
  <c r="O656" i="2" s="1"/>
  <c r="L656" i="2"/>
  <c r="J656" i="2"/>
  <c r="G656" i="2"/>
  <c r="H656" i="2" s="1"/>
  <c r="D656" i="2"/>
  <c r="E656" i="2" s="1" a="1"/>
  <c r="E656" i="2" s="1"/>
  <c r="B656" i="2"/>
  <c r="Y655" i="2"/>
  <c r="W655" i="2"/>
  <c r="U655" i="2"/>
  <c r="S655" i="2"/>
  <c r="Q655" i="2"/>
  <c r="N655" i="2"/>
  <c r="O655" i="2" s="1"/>
  <c r="L655" i="2"/>
  <c r="J655" i="2"/>
  <c r="G655" i="2"/>
  <c r="H655" i="2" s="1"/>
  <c r="E655" i="2" a="1"/>
  <c r="E655" i="2" s="1"/>
  <c r="D655" i="2"/>
  <c r="B655" i="2"/>
  <c r="Y654" i="2"/>
  <c r="W654" i="2"/>
  <c r="U654" i="2"/>
  <c r="S654" i="2"/>
  <c r="Q654" i="2"/>
  <c r="N654" i="2"/>
  <c r="O654" i="2" s="1"/>
  <c r="L654" i="2"/>
  <c r="J654" i="2"/>
  <c r="G654" i="2"/>
  <c r="H654" i="2" s="1"/>
  <c r="E654" i="2" a="1"/>
  <c r="E654" i="2"/>
  <c r="D654" i="2"/>
  <c r="B654" i="2"/>
  <c r="Y653" i="2"/>
  <c r="W653" i="2"/>
  <c r="U653" i="2"/>
  <c r="S653" i="2"/>
  <c r="Q653" i="2"/>
  <c r="O653" i="2"/>
  <c r="N653" i="2"/>
  <c r="L653" i="2"/>
  <c r="J653" i="2"/>
  <c r="H653" i="2"/>
  <c r="G653" i="2"/>
  <c r="D653" i="2"/>
  <c r="E653" i="2" s="1" a="1"/>
  <c r="E653" i="2" s="1"/>
  <c r="B653" i="2"/>
  <c r="Y652" i="2"/>
  <c r="W652" i="2"/>
  <c r="U652" i="2"/>
  <c r="S652" i="2"/>
  <c r="Q652" i="2"/>
  <c r="N652" i="2"/>
  <c r="O652" i="2" s="1"/>
  <c r="L652" i="2"/>
  <c r="J652" i="2"/>
  <c r="G652" i="2"/>
  <c r="H652" i="2" s="1"/>
  <c r="D652" i="2"/>
  <c r="E652" i="2" s="1" a="1"/>
  <c r="E652" i="2" s="1"/>
  <c r="B652" i="2"/>
  <c r="Y651" i="2"/>
  <c r="W651" i="2"/>
  <c r="U651" i="2"/>
  <c r="S651" i="2"/>
  <c r="Q651" i="2"/>
  <c r="N651" i="2"/>
  <c r="O651" i="2" s="1"/>
  <c r="L651" i="2"/>
  <c r="J651" i="2"/>
  <c r="G651" i="2"/>
  <c r="H651" i="2" s="1"/>
  <c r="E651" i="2" a="1"/>
  <c r="E651" i="2" s="1"/>
  <c r="D651" i="2"/>
  <c r="B651" i="2"/>
  <c r="Y650" i="2"/>
  <c r="W650" i="2"/>
  <c r="U650" i="2"/>
  <c r="S650" i="2"/>
  <c r="Q650" i="2"/>
  <c r="N650" i="2"/>
  <c r="O650" i="2" s="1"/>
  <c r="L650" i="2"/>
  <c r="J650" i="2"/>
  <c r="G650" i="2"/>
  <c r="H650" i="2" s="1"/>
  <c r="E650" i="2" a="1"/>
  <c r="E650" i="2"/>
  <c r="D650" i="2"/>
  <c r="B650" i="2"/>
  <c r="Y649" i="2"/>
  <c r="W649" i="2"/>
  <c r="U649" i="2"/>
  <c r="S649" i="2"/>
  <c r="Q649" i="2"/>
  <c r="O649" i="2"/>
  <c r="N649" i="2"/>
  <c r="L649" i="2"/>
  <c r="J649" i="2"/>
  <c r="H649" i="2"/>
  <c r="G649" i="2"/>
  <c r="D649" i="2"/>
  <c r="E649" i="2" s="1" a="1"/>
  <c r="E649" i="2" s="1"/>
  <c r="B649" i="2"/>
  <c r="Y648" i="2"/>
  <c r="W648" i="2"/>
  <c r="U648" i="2"/>
  <c r="S648" i="2"/>
  <c r="Q648" i="2"/>
  <c r="O648" i="2"/>
  <c r="N648" i="2"/>
  <c r="L648" i="2"/>
  <c r="J648" i="2"/>
  <c r="H648" i="2"/>
  <c r="G648" i="2"/>
  <c r="D648" i="2"/>
  <c r="E648" i="2" s="1" a="1"/>
  <c r="E648" i="2" s="1"/>
  <c r="B648" i="2"/>
  <c r="Y647" i="2"/>
  <c r="W647" i="2"/>
  <c r="U647" i="2"/>
  <c r="S647" i="2"/>
  <c r="Q647" i="2"/>
  <c r="N647" i="2"/>
  <c r="O647" i="2" s="1"/>
  <c r="L647" i="2"/>
  <c r="J647" i="2"/>
  <c r="G647" i="2"/>
  <c r="H647" i="2" s="1"/>
  <c r="E647" i="2" a="1"/>
  <c r="E647" i="2" s="1"/>
  <c r="D647" i="2"/>
  <c r="B647" i="2"/>
  <c r="Y646" i="2"/>
  <c r="W646" i="2"/>
  <c r="U646" i="2"/>
  <c r="S646" i="2"/>
  <c r="Q646" i="2"/>
  <c r="N646" i="2"/>
  <c r="O646" i="2" s="1"/>
  <c r="L646" i="2"/>
  <c r="J646" i="2"/>
  <c r="G646" i="2"/>
  <c r="H646" i="2" s="1"/>
  <c r="E646" i="2" a="1"/>
  <c r="E646" i="2" s="1"/>
  <c r="D646" i="2"/>
  <c r="B646" i="2"/>
  <c r="Y645" i="2"/>
  <c r="W645" i="2"/>
  <c r="U645" i="2"/>
  <c r="S645" i="2"/>
  <c r="Q645" i="2"/>
  <c r="O645" i="2"/>
  <c r="N645" i="2"/>
  <c r="L645" i="2"/>
  <c r="J645" i="2"/>
  <c r="H645" i="2"/>
  <c r="G645" i="2"/>
  <c r="D645" i="2"/>
  <c r="E645" i="2" s="1" a="1"/>
  <c r="E645" i="2" s="1"/>
  <c r="B645" i="2"/>
  <c r="Y644" i="2"/>
  <c r="W644" i="2"/>
  <c r="U644" i="2"/>
  <c r="S644" i="2"/>
  <c r="Q644" i="2"/>
  <c r="N644" i="2"/>
  <c r="O644" i="2" s="1"/>
  <c r="L644" i="2"/>
  <c r="J644" i="2"/>
  <c r="G644" i="2"/>
  <c r="H644" i="2" s="1"/>
  <c r="D644" i="2"/>
  <c r="E644" i="2" s="1" a="1"/>
  <c r="E644" i="2" s="1"/>
  <c r="B644" i="2"/>
  <c r="Y643" i="2"/>
  <c r="W643" i="2"/>
  <c r="U643" i="2"/>
  <c r="S643" i="2"/>
  <c r="Q643" i="2"/>
  <c r="N643" i="2"/>
  <c r="O643" i="2" s="1"/>
  <c r="L643" i="2"/>
  <c r="J643" i="2"/>
  <c r="G643" i="2"/>
  <c r="H643" i="2" s="1"/>
  <c r="E643" i="2" a="1"/>
  <c r="E643" i="2" s="1"/>
  <c r="D643" i="2"/>
  <c r="B643" i="2"/>
  <c r="Y642" i="2"/>
  <c r="W642" i="2"/>
  <c r="U642" i="2"/>
  <c r="S642" i="2"/>
  <c r="Q642" i="2"/>
  <c r="N642" i="2"/>
  <c r="O642" i="2" s="1"/>
  <c r="L642" i="2"/>
  <c r="J642" i="2"/>
  <c r="G642" i="2"/>
  <c r="H642" i="2" s="1"/>
  <c r="E642" i="2" a="1"/>
  <c r="E642" i="2" s="1"/>
  <c r="D642" i="2"/>
  <c r="B642" i="2"/>
  <c r="Y641" i="2"/>
  <c r="W641" i="2"/>
  <c r="U641" i="2"/>
  <c r="S641" i="2"/>
  <c r="Q641" i="2"/>
  <c r="O641" i="2"/>
  <c r="N641" i="2"/>
  <c r="L641" i="2"/>
  <c r="J641" i="2"/>
  <c r="H641" i="2"/>
  <c r="G641" i="2"/>
  <c r="D641" i="2"/>
  <c r="E641" i="2" s="1" a="1"/>
  <c r="E641" i="2" s="1"/>
  <c r="B641" i="2"/>
  <c r="Y640" i="2"/>
  <c r="W640" i="2"/>
  <c r="U640" i="2"/>
  <c r="S640" i="2"/>
  <c r="Q640" i="2"/>
  <c r="N640" i="2"/>
  <c r="O640" i="2" s="1"/>
  <c r="L640" i="2"/>
  <c r="J640" i="2"/>
  <c r="G640" i="2"/>
  <c r="H640" i="2" s="1"/>
  <c r="D640" i="2"/>
  <c r="E640" i="2" s="1" a="1"/>
  <c r="E640" i="2" s="1"/>
  <c r="B640" i="2"/>
  <c r="Y639" i="2"/>
  <c r="W639" i="2"/>
  <c r="U639" i="2"/>
  <c r="S639" i="2"/>
  <c r="Q639" i="2"/>
  <c r="N639" i="2"/>
  <c r="O639" i="2" s="1"/>
  <c r="L639" i="2"/>
  <c r="J639" i="2"/>
  <c r="G639" i="2"/>
  <c r="H639" i="2" s="1"/>
  <c r="E639" i="2" a="1"/>
  <c r="E639" i="2" s="1"/>
  <c r="D639" i="2"/>
  <c r="B639" i="2"/>
  <c r="Y638" i="2"/>
  <c r="W638" i="2"/>
  <c r="U638" i="2"/>
  <c r="S638" i="2"/>
  <c r="Q638" i="2"/>
  <c r="N638" i="2"/>
  <c r="O638" i="2" s="1"/>
  <c r="L638" i="2"/>
  <c r="J638" i="2"/>
  <c r="G638" i="2"/>
  <c r="H638" i="2" s="1"/>
  <c r="E638" i="2" a="1"/>
  <c r="E638" i="2" s="1"/>
  <c r="D638" i="2"/>
  <c r="B638" i="2"/>
  <c r="Y637" i="2"/>
  <c r="W637" i="2"/>
  <c r="U637" i="2"/>
  <c r="S637" i="2"/>
  <c r="Q637" i="2"/>
  <c r="O637" i="2"/>
  <c r="N637" i="2"/>
  <c r="L637" i="2"/>
  <c r="J637" i="2"/>
  <c r="H637" i="2"/>
  <c r="G637" i="2"/>
  <c r="D637" i="2"/>
  <c r="E637" i="2" s="1" a="1"/>
  <c r="E637" i="2" s="1"/>
  <c r="B637" i="2"/>
  <c r="Y636" i="2"/>
  <c r="W636" i="2"/>
  <c r="U636" i="2"/>
  <c r="S636" i="2"/>
  <c r="Q636" i="2"/>
  <c r="N636" i="2"/>
  <c r="O636" i="2" s="1"/>
  <c r="L636" i="2"/>
  <c r="J636" i="2"/>
  <c r="G636" i="2"/>
  <c r="H636" i="2" s="1"/>
  <c r="D636" i="2"/>
  <c r="E636" i="2" s="1" a="1"/>
  <c r="E636" i="2" s="1"/>
  <c r="B636" i="2"/>
  <c r="Y635" i="2"/>
  <c r="W635" i="2"/>
  <c r="U635" i="2"/>
  <c r="S635" i="2"/>
  <c r="Q635" i="2"/>
  <c r="N635" i="2"/>
  <c r="O635" i="2" s="1"/>
  <c r="L635" i="2"/>
  <c r="J635" i="2"/>
  <c r="G635" i="2"/>
  <c r="H635" i="2" s="1"/>
  <c r="E635" i="2" a="1"/>
  <c r="E635" i="2" s="1"/>
  <c r="D635" i="2"/>
  <c r="B635" i="2"/>
  <c r="Y634" i="2"/>
  <c r="W634" i="2"/>
  <c r="U634" i="2"/>
  <c r="S634" i="2"/>
  <c r="Q634" i="2"/>
  <c r="N634" i="2"/>
  <c r="O634" i="2" s="1"/>
  <c r="L634" i="2"/>
  <c r="J634" i="2"/>
  <c r="G634" i="2"/>
  <c r="H634" i="2" s="1"/>
  <c r="E634" i="2" a="1"/>
  <c r="E634" i="2" s="1"/>
  <c r="D634" i="2"/>
  <c r="B634" i="2"/>
  <c r="Y633" i="2"/>
  <c r="W633" i="2"/>
  <c r="U633" i="2"/>
  <c r="S633" i="2"/>
  <c r="Q633" i="2"/>
  <c r="O633" i="2"/>
  <c r="N633" i="2"/>
  <c r="L633" i="2"/>
  <c r="J633" i="2"/>
  <c r="H633" i="2"/>
  <c r="G633" i="2"/>
  <c r="D633" i="2"/>
  <c r="E633" i="2" s="1" a="1"/>
  <c r="E633" i="2" s="1"/>
  <c r="B633" i="2"/>
  <c r="Y632" i="2"/>
  <c r="W632" i="2"/>
  <c r="U632" i="2"/>
  <c r="S632" i="2"/>
  <c r="Q632" i="2"/>
  <c r="N632" i="2"/>
  <c r="O632" i="2" s="1"/>
  <c r="L632" i="2"/>
  <c r="J632" i="2"/>
  <c r="G632" i="2"/>
  <c r="H632" i="2" s="1"/>
  <c r="D632" i="2"/>
  <c r="E632" i="2" s="1" a="1"/>
  <c r="E632" i="2" s="1"/>
  <c r="B632" i="2"/>
  <c r="Y631" i="2"/>
  <c r="W631" i="2"/>
  <c r="U631" i="2"/>
  <c r="S631" i="2"/>
  <c r="Q631" i="2"/>
  <c r="N631" i="2"/>
  <c r="O631" i="2" s="1"/>
  <c r="L631" i="2"/>
  <c r="J631" i="2"/>
  <c r="G631" i="2"/>
  <c r="H631" i="2" s="1"/>
  <c r="E631" i="2" a="1"/>
  <c r="E631" i="2" s="1"/>
  <c r="D631" i="2"/>
  <c r="B631" i="2"/>
  <c r="Y630" i="2"/>
  <c r="W630" i="2"/>
  <c r="U630" i="2"/>
  <c r="S630" i="2"/>
  <c r="Q630" i="2"/>
  <c r="N630" i="2"/>
  <c r="O630" i="2" s="1"/>
  <c r="L630" i="2"/>
  <c r="J630" i="2"/>
  <c r="G630" i="2"/>
  <c r="H630" i="2" s="1"/>
  <c r="E630" i="2" a="1"/>
  <c r="E630" i="2" s="1"/>
  <c r="D630" i="2"/>
  <c r="B630" i="2"/>
  <c r="Y629" i="2"/>
  <c r="W629" i="2"/>
  <c r="U629" i="2"/>
  <c r="S629" i="2"/>
  <c r="Q629" i="2"/>
  <c r="O629" i="2"/>
  <c r="N629" i="2"/>
  <c r="L629" i="2"/>
  <c r="J629" i="2"/>
  <c r="H629" i="2"/>
  <c r="G629" i="2"/>
  <c r="D629" i="2"/>
  <c r="E629" i="2" s="1" a="1"/>
  <c r="E629" i="2" s="1"/>
  <c r="B629" i="2"/>
  <c r="Y628" i="2"/>
  <c r="W628" i="2"/>
  <c r="U628" i="2"/>
  <c r="S628" i="2"/>
  <c r="Q628" i="2"/>
  <c r="N628" i="2"/>
  <c r="O628" i="2" s="1"/>
  <c r="L628" i="2"/>
  <c r="J628" i="2"/>
  <c r="G628" i="2"/>
  <c r="H628" i="2" s="1"/>
  <c r="D628" i="2"/>
  <c r="E628" i="2" s="1" a="1"/>
  <c r="E628" i="2" s="1"/>
  <c r="B628" i="2"/>
  <c r="Y627" i="2"/>
  <c r="W627" i="2"/>
  <c r="U627" i="2"/>
  <c r="S627" i="2"/>
  <c r="Q627" i="2"/>
  <c r="N627" i="2"/>
  <c r="O627" i="2" s="1"/>
  <c r="L627" i="2"/>
  <c r="J627" i="2"/>
  <c r="G627" i="2"/>
  <c r="H627" i="2" s="1"/>
  <c r="E627" i="2" a="1"/>
  <c r="E627" i="2" s="1"/>
  <c r="D627" i="2"/>
  <c r="B627" i="2"/>
  <c r="Y626" i="2"/>
  <c r="W626" i="2"/>
  <c r="U626" i="2"/>
  <c r="S626" i="2"/>
  <c r="Q626" i="2"/>
  <c r="N626" i="2"/>
  <c r="O626" i="2" s="1"/>
  <c r="L626" i="2"/>
  <c r="J626" i="2"/>
  <c r="G626" i="2"/>
  <c r="H626" i="2" s="1"/>
  <c r="E626" i="2" a="1"/>
  <c r="E626" i="2" s="1"/>
  <c r="D626" i="2"/>
  <c r="B626" i="2"/>
  <c r="Y625" i="2"/>
  <c r="W625" i="2"/>
  <c r="U625" i="2"/>
  <c r="S625" i="2"/>
  <c r="Q625" i="2"/>
  <c r="O625" i="2"/>
  <c r="N625" i="2"/>
  <c r="L625" i="2"/>
  <c r="J625" i="2"/>
  <c r="H625" i="2"/>
  <c r="G625" i="2"/>
  <c r="D625" i="2"/>
  <c r="E625" i="2" s="1" a="1"/>
  <c r="E625" i="2" s="1"/>
  <c r="B625" i="2"/>
  <c r="Y624" i="2"/>
  <c r="W624" i="2"/>
  <c r="U624" i="2"/>
  <c r="S624" i="2"/>
  <c r="Q624" i="2"/>
  <c r="N624" i="2"/>
  <c r="O624" i="2" s="1"/>
  <c r="L624" i="2"/>
  <c r="J624" i="2"/>
  <c r="G624" i="2"/>
  <c r="H624" i="2" s="1"/>
  <c r="D624" i="2"/>
  <c r="E624" i="2" s="1" a="1"/>
  <c r="E624" i="2" s="1"/>
  <c r="B624" i="2"/>
  <c r="Y623" i="2"/>
  <c r="W623" i="2"/>
  <c r="U623" i="2"/>
  <c r="S623" i="2"/>
  <c r="Q623" i="2"/>
  <c r="N623" i="2"/>
  <c r="O623" i="2" s="1"/>
  <c r="L623" i="2"/>
  <c r="J623" i="2"/>
  <c r="G623" i="2"/>
  <c r="H623" i="2" s="1"/>
  <c r="E623" i="2" a="1"/>
  <c r="E623" i="2" s="1"/>
  <c r="D623" i="2"/>
  <c r="B623" i="2"/>
  <c r="Y622" i="2"/>
  <c r="W622" i="2"/>
  <c r="U622" i="2"/>
  <c r="S622" i="2"/>
  <c r="Q622" i="2"/>
  <c r="N622" i="2"/>
  <c r="O622" i="2" s="1"/>
  <c r="L622" i="2"/>
  <c r="J622" i="2"/>
  <c r="G622" i="2"/>
  <c r="H622" i="2" s="1"/>
  <c r="E622" i="2" a="1"/>
  <c r="E622" i="2" s="1"/>
  <c r="D622" i="2"/>
  <c r="B622" i="2"/>
  <c r="Y621" i="2"/>
  <c r="W621" i="2"/>
  <c r="U621" i="2"/>
  <c r="S621" i="2"/>
  <c r="Q621" i="2"/>
  <c r="O621" i="2"/>
  <c r="N621" i="2"/>
  <c r="L621" i="2"/>
  <c r="J621" i="2"/>
  <c r="H621" i="2"/>
  <c r="G621" i="2"/>
  <c r="D621" i="2"/>
  <c r="E621" i="2" s="1" a="1"/>
  <c r="E621" i="2" s="1"/>
  <c r="B621" i="2"/>
  <c r="Y620" i="2"/>
  <c r="W620" i="2"/>
  <c r="U620" i="2"/>
  <c r="S620" i="2"/>
  <c r="Q620" i="2"/>
  <c r="N620" i="2"/>
  <c r="O620" i="2" s="1"/>
  <c r="L620" i="2"/>
  <c r="J620" i="2"/>
  <c r="G620" i="2"/>
  <c r="H620" i="2" s="1"/>
  <c r="D620" i="2"/>
  <c r="E620" i="2" s="1" a="1"/>
  <c r="E620" i="2" s="1"/>
  <c r="B620" i="2"/>
  <c r="Y619" i="2"/>
  <c r="W619" i="2"/>
  <c r="U619" i="2"/>
  <c r="S619" i="2"/>
  <c r="Q619" i="2"/>
  <c r="N619" i="2"/>
  <c r="O619" i="2" s="1"/>
  <c r="L619" i="2"/>
  <c r="J619" i="2"/>
  <c r="G619" i="2"/>
  <c r="H619" i="2" s="1"/>
  <c r="E619" i="2" a="1"/>
  <c r="E619" i="2" s="1"/>
  <c r="D619" i="2"/>
  <c r="B619" i="2"/>
  <c r="Y618" i="2"/>
  <c r="W618" i="2"/>
  <c r="U618" i="2"/>
  <c r="S618" i="2"/>
  <c r="Q618" i="2"/>
  <c r="N618" i="2"/>
  <c r="O618" i="2" s="1"/>
  <c r="L618" i="2"/>
  <c r="J618" i="2"/>
  <c r="G618" i="2"/>
  <c r="H618" i="2" s="1"/>
  <c r="E618" i="2" a="1"/>
  <c r="E618" i="2" s="1"/>
  <c r="D618" i="2"/>
  <c r="B618" i="2"/>
  <c r="Y617" i="2"/>
  <c r="W617" i="2"/>
  <c r="U617" i="2"/>
  <c r="S617" i="2"/>
  <c r="Q617" i="2"/>
  <c r="O617" i="2"/>
  <c r="N617" i="2"/>
  <c r="L617" i="2"/>
  <c r="J617" i="2"/>
  <c r="H617" i="2"/>
  <c r="G617" i="2"/>
  <c r="D617" i="2"/>
  <c r="E617" i="2" s="1" a="1"/>
  <c r="E617" i="2" s="1"/>
  <c r="B617" i="2"/>
  <c r="Y616" i="2"/>
  <c r="W616" i="2"/>
  <c r="U616" i="2"/>
  <c r="S616" i="2"/>
  <c r="Q616" i="2"/>
  <c r="N616" i="2"/>
  <c r="O616" i="2" s="1"/>
  <c r="L616" i="2"/>
  <c r="J616" i="2"/>
  <c r="G616" i="2"/>
  <c r="H616" i="2" s="1"/>
  <c r="D616" i="2"/>
  <c r="E616" i="2" s="1" a="1"/>
  <c r="E616" i="2" s="1"/>
  <c r="B616" i="2"/>
  <c r="Y615" i="2"/>
  <c r="W615" i="2"/>
  <c r="U615" i="2"/>
  <c r="S615" i="2"/>
  <c r="Q615" i="2"/>
  <c r="N615" i="2"/>
  <c r="O615" i="2" s="1"/>
  <c r="L615" i="2"/>
  <c r="J615" i="2"/>
  <c r="G615" i="2"/>
  <c r="H615" i="2" s="1"/>
  <c r="E615" i="2" a="1"/>
  <c r="E615" i="2" s="1"/>
  <c r="D615" i="2"/>
  <c r="B615" i="2"/>
  <c r="Y614" i="2"/>
  <c r="W614" i="2"/>
  <c r="U614" i="2"/>
  <c r="S614" i="2"/>
  <c r="Q614" i="2"/>
  <c r="N614" i="2"/>
  <c r="O614" i="2" s="1"/>
  <c r="L614" i="2"/>
  <c r="J614" i="2"/>
  <c r="G614" i="2"/>
  <c r="H614" i="2" s="1"/>
  <c r="E614" i="2" a="1"/>
  <c r="E614" i="2" s="1"/>
  <c r="D614" i="2"/>
  <c r="B614" i="2"/>
  <c r="Y613" i="2"/>
  <c r="W613" i="2"/>
  <c r="U613" i="2"/>
  <c r="S613" i="2"/>
  <c r="Q613" i="2"/>
  <c r="O613" i="2"/>
  <c r="N613" i="2"/>
  <c r="L613" i="2"/>
  <c r="J613" i="2"/>
  <c r="H613" i="2"/>
  <c r="G613" i="2"/>
  <c r="D613" i="2"/>
  <c r="E613" i="2" s="1" a="1"/>
  <c r="E613" i="2" s="1"/>
  <c r="B613" i="2"/>
  <c r="Y612" i="2"/>
  <c r="W612" i="2"/>
  <c r="U612" i="2"/>
  <c r="S612" i="2"/>
  <c r="Q612" i="2"/>
  <c r="N612" i="2"/>
  <c r="O612" i="2" s="1"/>
  <c r="L612" i="2"/>
  <c r="J612" i="2"/>
  <c r="G612" i="2"/>
  <c r="H612" i="2" s="1"/>
  <c r="D612" i="2"/>
  <c r="E612" i="2" s="1" a="1"/>
  <c r="E612" i="2" s="1"/>
  <c r="B612" i="2"/>
  <c r="Y611" i="2"/>
  <c r="W611" i="2"/>
  <c r="U611" i="2"/>
  <c r="S611" i="2"/>
  <c r="Q611" i="2"/>
  <c r="N611" i="2"/>
  <c r="O611" i="2" s="1"/>
  <c r="L611" i="2"/>
  <c r="J611" i="2"/>
  <c r="G611" i="2"/>
  <c r="H611" i="2" s="1"/>
  <c r="E611" i="2" a="1"/>
  <c r="E611" i="2" s="1"/>
  <c r="D611" i="2"/>
  <c r="B611" i="2"/>
  <c r="Y610" i="2"/>
  <c r="W610" i="2"/>
  <c r="U610" i="2"/>
  <c r="S610" i="2"/>
  <c r="Q610" i="2"/>
  <c r="N610" i="2"/>
  <c r="O610" i="2" s="1"/>
  <c r="L610" i="2"/>
  <c r="J610" i="2"/>
  <c r="G610" i="2"/>
  <c r="H610" i="2" s="1"/>
  <c r="E610" i="2" a="1"/>
  <c r="E610" i="2" s="1"/>
  <c r="D610" i="2"/>
  <c r="B610" i="2"/>
  <c r="Y609" i="2"/>
  <c r="W609" i="2"/>
  <c r="U609" i="2"/>
  <c r="S609" i="2"/>
  <c r="Q609" i="2"/>
  <c r="O609" i="2"/>
  <c r="N609" i="2"/>
  <c r="L609" i="2"/>
  <c r="J609" i="2"/>
  <c r="H609" i="2"/>
  <c r="G609" i="2"/>
  <c r="D609" i="2"/>
  <c r="E609" i="2" s="1" a="1"/>
  <c r="E609" i="2" s="1"/>
  <c r="B609" i="2"/>
  <c r="Y608" i="2"/>
  <c r="W608" i="2"/>
  <c r="U608" i="2"/>
  <c r="S608" i="2"/>
  <c r="Q608" i="2"/>
  <c r="N608" i="2"/>
  <c r="O608" i="2" s="1"/>
  <c r="L608" i="2"/>
  <c r="J608" i="2"/>
  <c r="G608" i="2"/>
  <c r="H608" i="2" s="1"/>
  <c r="D608" i="2"/>
  <c r="E608" i="2" s="1" a="1"/>
  <c r="E608" i="2" s="1"/>
  <c r="B608" i="2"/>
  <c r="Y607" i="2"/>
  <c r="W607" i="2"/>
  <c r="U607" i="2"/>
  <c r="S607" i="2"/>
  <c r="Q607" i="2"/>
  <c r="N607" i="2"/>
  <c r="O607" i="2" s="1"/>
  <c r="L607" i="2"/>
  <c r="J607" i="2"/>
  <c r="G607" i="2"/>
  <c r="H607" i="2" s="1"/>
  <c r="E607" i="2" a="1"/>
  <c r="E607" i="2" s="1"/>
  <c r="D607" i="2"/>
  <c r="B607" i="2"/>
  <c r="Y606" i="2"/>
  <c r="W606" i="2"/>
  <c r="U606" i="2"/>
  <c r="S606" i="2"/>
  <c r="Q606" i="2"/>
  <c r="N606" i="2"/>
  <c r="O606" i="2" s="1"/>
  <c r="L606" i="2"/>
  <c r="J606" i="2"/>
  <c r="G606" i="2"/>
  <c r="H606" i="2" s="1"/>
  <c r="E606" i="2" a="1"/>
  <c r="E606" i="2" s="1"/>
  <c r="D606" i="2"/>
  <c r="B606" i="2"/>
  <c r="Y605" i="2"/>
  <c r="W605" i="2"/>
  <c r="U605" i="2"/>
  <c r="S605" i="2"/>
  <c r="Q605" i="2"/>
  <c r="O605" i="2"/>
  <c r="N605" i="2"/>
  <c r="L605" i="2"/>
  <c r="J605" i="2"/>
  <c r="H605" i="2"/>
  <c r="G605" i="2"/>
  <c r="D605" i="2"/>
  <c r="E605" i="2" s="1" a="1"/>
  <c r="E605" i="2" s="1"/>
  <c r="B605" i="2"/>
  <c r="Y604" i="2"/>
  <c r="W604" i="2"/>
  <c r="U604" i="2"/>
  <c r="S604" i="2"/>
  <c r="Q604" i="2"/>
  <c r="N604" i="2"/>
  <c r="O604" i="2" s="1"/>
  <c r="L604" i="2"/>
  <c r="J604" i="2"/>
  <c r="G604" i="2"/>
  <c r="H604" i="2" s="1"/>
  <c r="D604" i="2"/>
  <c r="E604" i="2" s="1" a="1"/>
  <c r="E604" i="2" s="1"/>
  <c r="B604" i="2"/>
  <c r="Y603" i="2"/>
  <c r="W603" i="2"/>
  <c r="U603" i="2"/>
  <c r="S603" i="2"/>
  <c r="Q603" i="2"/>
  <c r="N603" i="2"/>
  <c r="O603" i="2" s="1"/>
  <c r="L603" i="2"/>
  <c r="J603" i="2"/>
  <c r="G603" i="2"/>
  <c r="H603" i="2" s="1"/>
  <c r="E603" i="2" a="1"/>
  <c r="E603" i="2" s="1"/>
  <c r="D603" i="2"/>
  <c r="B603" i="2"/>
  <c r="Y602" i="2"/>
  <c r="W602" i="2"/>
  <c r="U602" i="2"/>
  <c r="S602" i="2"/>
  <c r="Q602" i="2"/>
  <c r="N602" i="2"/>
  <c r="O602" i="2" s="1"/>
  <c r="L602" i="2"/>
  <c r="J602" i="2"/>
  <c r="G602" i="2"/>
  <c r="H602" i="2" s="1"/>
  <c r="E602" i="2" a="1"/>
  <c r="E602" i="2" s="1"/>
  <c r="D602" i="2"/>
  <c r="B602" i="2"/>
  <c r="Y601" i="2"/>
  <c r="W601" i="2"/>
  <c r="U601" i="2"/>
  <c r="S601" i="2"/>
  <c r="Q601" i="2"/>
  <c r="O601" i="2"/>
  <c r="N601" i="2"/>
  <c r="L601" i="2"/>
  <c r="J601" i="2"/>
  <c r="H601" i="2"/>
  <c r="G601" i="2"/>
  <c r="D601" i="2"/>
  <c r="E601" i="2" s="1" a="1"/>
  <c r="E601" i="2" s="1"/>
  <c r="B601" i="2"/>
  <c r="Y600" i="2"/>
  <c r="W600" i="2"/>
  <c r="U600" i="2"/>
  <c r="S600" i="2"/>
  <c r="Q600" i="2"/>
  <c r="N600" i="2"/>
  <c r="O600" i="2" s="1"/>
  <c r="L600" i="2"/>
  <c r="J600" i="2"/>
  <c r="G600" i="2"/>
  <c r="H600" i="2" s="1"/>
  <c r="D600" i="2"/>
  <c r="E600" i="2" s="1" a="1"/>
  <c r="E600" i="2" s="1"/>
  <c r="B600" i="2"/>
  <c r="Y599" i="2"/>
  <c r="W599" i="2"/>
  <c r="U599" i="2"/>
  <c r="S599" i="2"/>
  <c r="Q599" i="2"/>
  <c r="N599" i="2"/>
  <c r="O599" i="2" s="1"/>
  <c r="L599" i="2"/>
  <c r="J599" i="2"/>
  <c r="G599" i="2"/>
  <c r="H599" i="2" s="1"/>
  <c r="E599" i="2" a="1"/>
  <c r="E599" i="2" s="1"/>
  <c r="D599" i="2"/>
  <c r="B599" i="2"/>
  <c r="Y598" i="2"/>
  <c r="W598" i="2"/>
  <c r="U598" i="2"/>
  <c r="S598" i="2"/>
  <c r="Q598" i="2"/>
  <c r="N598" i="2"/>
  <c r="O598" i="2" s="1"/>
  <c r="L598" i="2"/>
  <c r="J598" i="2"/>
  <c r="G598" i="2"/>
  <c r="H598" i="2" s="1"/>
  <c r="E598" i="2" a="1"/>
  <c r="E598" i="2" s="1"/>
  <c r="D598" i="2"/>
  <c r="B598" i="2"/>
  <c r="Y597" i="2"/>
  <c r="W597" i="2"/>
  <c r="U597" i="2"/>
  <c r="S597" i="2"/>
  <c r="Q597" i="2"/>
  <c r="O597" i="2"/>
  <c r="N597" i="2"/>
  <c r="L597" i="2"/>
  <c r="J597" i="2"/>
  <c r="H597" i="2"/>
  <c r="G597" i="2"/>
  <c r="D597" i="2"/>
  <c r="E597" i="2" s="1" a="1"/>
  <c r="E597" i="2" s="1"/>
  <c r="B597" i="2"/>
  <c r="Y596" i="2"/>
  <c r="W596" i="2"/>
  <c r="U596" i="2"/>
  <c r="S596" i="2"/>
  <c r="Q596" i="2"/>
  <c r="N596" i="2"/>
  <c r="O596" i="2" s="1"/>
  <c r="L596" i="2"/>
  <c r="J596" i="2"/>
  <c r="G596" i="2"/>
  <c r="H596" i="2" s="1"/>
  <c r="D596" i="2"/>
  <c r="E596" i="2" s="1" a="1"/>
  <c r="E596" i="2" s="1"/>
  <c r="B596" i="2"/>
  <c r="Y595" i="2"/>
  <c r="W595" i="2"/>
  <c r="U595" i="2"/>
  <c r="S595" i="2"/>
  <c r="Q595" i="2"/>
  <c r="O595" i="2"/>
  <c r="N595" i="2"/>
  <c r="L595" i="2"/>
  <c r="J595" i="2"/>
  <c r="H595" i="2"/>
  <c r="G595" i="2"/>
  <c r="D595" i="2"/>
  <c r="E595" i="2" s="1" a="1"/>
  <c r="E595" i="2" s="1"/>
  <c r="B595" i="2"/>
  <c r="Y594" i="2"/>
  <c r="W594" i="2"/>
  <c r="U594" i="2"/>
  <c r="S594" i="2"/>
  <c r="Q594" i="2"/>
  <c r="N594" i="2"/>
  <c r="O594" i="2" s="1"/>
  <c r="L594" i="2"/>
  <c r="J594" i="2"/>
  <c r="G594" i="2"/>
  <c r="H594" i="2" s="1"/>
  <c r="E594" i="2" a="1"/>
  <c r="E594" i="2" s="1"/>
  <c r="D594" i="2"/>
  <c r="B594" i="2"/>
  <c r="Y593" i="2"/>
  <c r="W593" i="2"/>
  <c r="U593" i="2"/>
  <c r="S593" i="2"/>
  <c r="Q593" i="2"/>
  <c r="O593" i="2"/>
  <c r="N593" i="2"/>
  <c r="L593" i="2"/>
  <c r="J593" i="2"/>
  <c r="H593" i="2"/>
  <c r="G593" i="2"/>
  <c r="E593" i="2" a="1"/>
  <c r="E593" i="2" s="1"/>
  <c r="D593" i="2"/>
  <c r="B593" i="2"/>
  <c r="Y592" i="2"/>
  <c r="W592" i="2"/>
  <c r="U592" i="2"/>
  <c r="S592" i="2"/>
  <c r="Q592" i="2"/>
  <c r="O592" i="2"/>
  <c r="N592" i="2"/>
  <c r="L592" i="2"/>
  <c r="J592" i="2"/>
  <c r="H592" i="2"/>
  <c r="G592" i="2"/>
  <c r="E592" i="2"/>
  <c r="D592" i="2"/>
  <c r="E592" i="2" s="1" a="1"/>
  <c r="B592" i="2"/>
  <c r="Y591" i="2"/>
  <c r="W591" i="2"/>
  <c r="U591" i="2"/>
  <c r="S591" i="2"/>
  <c r="Q591" i="2"/>
  <c r="O591" i="2"/>
  <c r="N591" i="2"/>
  <c r="L591" i="2"/>
  <c r="J591" i="2"/>
  <c r="H591" i="2"/>
  <c r="G591" i="2"/>
  <c r="E591" i="2" a="1"/>
  <c r="E591" i="2" s="1"/>
  <c r="D591" i="2"/>
  <c r="B591" i="2"/>
  <c r="Y590" i="2"/>
  <c r="W590" i="2"/>
  <c r="U590" i="2"/>
  <c r="S590" i="2"/>
  <c r="Q590" i="2"/>
  <c r="N590" i="2"/>
  <c r="O590" i="2" s="1"/>
  <c r="L590" i="2"/>
  <c r="J590" i="2"/>
  <c r="G590" i="2"/>
  <c r="H590" i="2" s="1"/>
  <c r="E590" i="2" a="1"/>
  <c r="E590" i="2" s="1"/>
  <c r="D590" i="2"/>
  <c r="B590" i="2"/>
  <c r="Y589" i="2"/>
  <c r="W589" i="2"/>
  <c r="U589" i="2"/>
  <c r="S589" i="2"/>
  <c r="Q589" i="2"/>
  <c r="O589" i="2"/>
  <c r="N589" i="2"/>
  <c r="L589" i="2"/>
  <c r="J589" i="2"/>
  <c r="H589" i="2"/>
  <c r="G589" i="2"/>
  <c r="E589" i="2" a="1"/>
  <c r="E589" i="2" s="1"/>
  <c r="D589" i="2"/>
  <c r="B589" i="2"/>
  <c r="Y588" i="2"/>
  <c r="W588" i="2"/>
  <c r="U588" i="2"/>
  <c r="S588" i="2"/>
  <c r="Q588" i="2"/>
  <c r="O588" i="2"/>
  <c r="N588" i="2"/>
  <c r="L588" i="2"/>
  <c r="J588" i="2"/>
  <c r="H588" i="2"/>
  <c r="G588" i="2"/>
  <c r="E588" i="2"/>
  <c r="D588" i="2"/>
  <c r="E588" i="2" s="1" a="1"/>
  <c r="B588" i="2"/>
  <c r="Y587" i="2"/>
  <c r="W587" i="2"/>
  <c r="U587" i="2"/>
  <c r="S587" i="2"/>
  <c r="Q587" i="2"/>
  <c r="N587" i="2"/>
  <c r="O587" i="2" s="1"/>
  <c r="L587" i="2"/>
  <c r="J587" i="2"/>
  <c r="G587" i="2"/>
  <c r="H587" i="2" s="1"/>
  <c r="E587" i="2" a="1"/>
  <c r="E587" i="2" s="1"/>
  <c r="D587" i="2"/>
  <c r="B587" i="2"/>
  <c r="Y586" i="2"/>
  <c r="W586" i="2"/>
  <c r="U586" i="2"/>
  <c r="S586" i="2"/>
  <c r="Q586" i="2"/>
  <c r="N586" i="2"/>
  <c r="O586" i="2" s="1"/>
  <c r="L586" i="2"/>
  <c r="J586" i="2"/>
  <c r="G586" i="2"/>
  <c r="H586" i="2" s="1"/>
  <c r="E586" i="2" a="1"/>
  <c r="E586" i="2" s="1"/>
  <c r="D586" i="2"/>
  <c r="B586" i="2"/>
  <c r="Y585" i="2"/>
  <c r="W585" i="2"/>
  <c r="U585" i="2"/>
  <c r="S585" i="2"/>
  <c r="Q585" i="2"/>
  <c r="O585" i="2"/>
  <c r="N585" i="2"/>
  <c r="L585" i="2"/>
  <c r="J585" i="2"/>
  <c r="H585" i="2"/>
  <c r="G585" i="2"/>
  <c r="E585" i="2" a="1"/>
  <c r="E585" i="2" s="1"/>
  <c r="D585" i="2"/>
  <c r="B585" i="2"/>
  <c r="Y584" i="2"/>
  <c r="W584" i="2"/>
  <c r="U584" i="2"/>
  <c r="S584" i="2"/>
  <c r="Q584" i="2"/>
  <c r="O584" i="2"/>
  <c r="N584" i="2"/>
  <c r="L584" i="2"/>
  <c r="J584" i="2"/>
  <c r="H584" i="2"/>
  <c r="G584" i="2"/>
  <c r="E584" i="2"/>
  <c r="D584" i="2"/>
  <c r="E584" i="2" s="1" a="1"/>
  <c r="B584" i="2"/>
  <c r="Y583" i="2"/>
  <c r="W583" i="2"/>
  <c r="U583" i="2"/>
  <c r="S583" i="2"/>
  <c r="Q583" i="2"/>
  <c r="O583" i="2"/>
  <c r="N583" i="2"/>
  <c r="L583" i="2"/>
  <c r="J583" i="2"/>
  <c r="H583" i="2"/>
  <c r="G583" i="2"/>
  <c r="E583" i="2" a="1"/>
  <c r="E583" i="2" s="1"/>
  <c r="D583" i="2"/>
  <c r="B583" i="2"/>
  <c r="Y582" i="2"/>
  <c r="W582" i="2"/>
  <c r="U582" i="2"/>
  <c r="S582" i="2"/>
  <c r="Q582" i="2"/>
  <c r="N582" i="2"/>
  <c r="O582" i="2" s="1"/>
  <c r="L582" i="2"/>
  <c r="J582" i="2"/>
  <c r="G582" i="2"/>
  <c r="H582" i="2" s="1"/>
  <c r="E582" i="2" a="1"/>
  <c r="E582" i="2" s="1"/>
  <c r="D582" i="2"/>
  <c r="B582" i="2"/>
  <c r="Y581" i="2"/>
  <c r="W581" i="2"/>
  <c r="U581" i="2"/>
  <c r="S581" i="2"/>
  <c r="Q581" i="2"/>
  <c r="O581" i="2"/>
  <c r="N581" i="2"/>
  <c r="L581" i="2"/>
  <c r="J581" i="2"/>
  <c r="H581" i="2"/>
  <c r="G581" i="2"/>
  <c r="E581" i="2" a="1"/>
  <c r="E581" i="2" s="1"/>
  <c r="D581" i="2"/>
  <c r="B581" i="2"/>
  <c r="Y580" i="2"/>
  <c r="W580" i="2"/>
  <c r="U580" i="2"/>
  <c r="S580" i="2"/>
  <c r="Q580" i="2"/>
  <c r="O580" i="2"/>
  <c r="N580" i="2"/>
  <c r="L580" i="2"/>
  <c r="J580" i="2"/>
  <c r="H580" i="2"/>
  <c r="G580" i="2"/>
  <c r="D580" i="2"/>
  <c r="E580" i="2" s="1" a="1"/>
  <c r="E580" i="2" s="1"/>
  <c r="B580" i="2"/>
  <c r="Y579" i="2"/>
  <c r="W579" i="2"/>
  <c r="U579" i="2"/>
  <c r="S579" i="2"/>
  <c r="Q579" i="2"/>
  <c r="N579" i="2"/>
  <c r="O579" i="2" s="1"/>
  <c r="L579" i="2"/>
  <c r="J579" i="2"/>
  <c r="G579" i="2"/>
  <c r="H579" i="2" s="1"/>
  <c r="E579" i="2" a="1"/>
  <c r="E579" i="2" s="1"/>
  <c r="D579" i="2"/>
  <c r="B579" i="2"/>
  <c r="Y578" i="2"/>
  <c r="W578" i="2"/>
  <c r="U578" i="2"/>
  <c r="S578" i="2"/>
  <c r="Q578" i="2"/>
  <c r="N578" i="2"/>
  <c r="O578" i="2" s="1"/>
  <c r="J578" i="2"/>
  <c r="H578" i="2"/>
  <c r="G578" i="2"/>
  <c r="D578" i="2"/>
  <c r="E578" i="2" s="1" a="1"/>
  <c r="E578" i="2" s="1"/>
  <c r="B578" i="2"/>
  <c r="Y577" i="2"/>
  <c r="W577" i="2"/>
  <c r="U577" i="2"/>
  <c r="S577" i="2"/>
  <c r="Q577" i="2"/>
  <c r="N577" i="2"/>
  <c r="O577" i="2" s="1"/>
  <c r="J577" i="2"/>
  <c r="H577" i="2"/>
  <c r="G577" i="2"/>
  <c r="D577" i="2"/>
  <c r="E577" i="2" s="1" a="1"/>
  <c r="E577" i="2" s="1"/>
  <c r="B577" i="2"/>
  <c r="Y576" i="2"/>
  <c r="W576" i="2"/>
  <c r="U576" i="2"/>
  <c r="S576" i="2"/>
  <c r="Q576" i="2"/>
  <c r="N576" i="2"/>
  <c r="O576" i="2" s="1"/>
  <c r="L576" i="2"/>
  <c r="J576" i="2"/>
  <c r="G576" i="2"/>
  <c r="H576" i="2" s="1"/>
  <c r="E576" i="2" a="1"/>
  <c r="E576" i="2"/>
  <c r="D576" i="2"/>
  <c r="B576" i="2"/>
  <c r="Y575" i="2"/>
  <c r="W575" i="2"/>
  <c r="U575" i="2"/>
  <c r="S575" i="2"/>
  <c r="Q575" i="2"/>
  <c r="O575" i="2"/>
  <c r="N575" i="2"/>
  <c r="L575" i="2"/>
  <c r="J575" i="2"/>
  <c r="H575" i="2"/>
  <c r="G575" i="2"/>
  <c r="D575" i="2"/>
  <c r="E575" i="2" s="1" a="1"/>
  <c r="E575" i="2" s="1"/>
  <c r="B575" i="2"/>
  <c r="Y574" i="2"/>
  <c r="W574" i="2"/>
  <c r="U574" i="2"/>
  <c r="S574" i="2"/>
  <c r="Q574" i="2"/>
  <c r="N574" i="2"/>
  <c r="O574" i="2" s="1"/>
  <c r="L574" i="2"/>
  <c r="J574" i="2"/>
  <c r="G574" i="2"/>
  <c r="H574" i="2" s="1"/>
  <c r="E574" i="2"/>
  <c r="D574" i="2"/>
  <c r="E574" i="2" s="1" a="1"/>
  <c r="B574" i="2"/>
  <c r="Y573" i="2"/>
  <c r="W573" i="2"/>
  <c r="U573" i="2"/>
  <c r="S573" i="2"/>
  <c r="Q573" i="2"/>
  <c r="O573" i="2"/>
  <c r="N573" i="2"/>
  <c r="L573" i="2"/>
  <c r="J573" i="2"/>
  <c r="H573" i="2"/>
  <c r="G573" i="2"/>
  <c r="D573" i="2"/>
  <c r="E573" i="2" s="1" a="1"/>
  <c r="E573" i="2" s="1"/>
  <c r="B573" i="2"/>
  <c r="Y572" i="2"/>
  <c r="W572" i="2"/>
  <c r="U572" i="2"/>
  <c r="S572" i="2"/>
  <c r="Q572" i="2"/>
  <c r="N572" i="2"/>
  <c r="O572" i="2" s="1"/>
  <c r="L572" i="2"/>
  <c r="J572" i="2"/>
  <c r="G572" i="2"/>
  <c r="H572" i="2" s="1"/>
  <c r="E572" i="2" a="1"/>
  <c r="E572" i="2"/>
  <c r="D572" i="2"/>
  <c r="B572" i="2"/>
  <c r="Y571" i="2"/>
  <c r="W571" i="2"/>
  <c r="U571" i="2"/>
  <c r="S571" i="2"/>
  <c r="Q571" i="2"/>
  <c r="O571" i="2"/>
  <c r="N571" i="2"/>
  <c r="L571" i="2"/>
  <c r="J571" i="2"/>
  <c r="H571" i="2"/>
  <c r="G571" i="2"/>
  <c r="D571" i="2"/>
  <c r="E571" i="2" s="1" a="1"/>
  <c r="E571" i="2" s="1"/>
  <c r="B571" i="2"/>
  <c r="Y570" i="2"/>
  <c r="W570" i="2"/>
  <c r="U570" i="2"/>
  <c r="S570" i="2"/>
  <c r="Q570" i="2"/>
  <c r="N570" i="2"/>
  <c r="O570" i="2" s="1"/>
  <c r="L570" i="2"/>
  <c r="J570" i="2"/>
  <c r="G570" i="2"/>
  <c r="H570" i="2" s="1"/>
  <c r="E570" i="2"/>
  <c r="D570" i="2"/>
  <c r="E570" i="2" s="1" a="1"/>
  <c r="B570" i="2"/>
  <c r="Y569" i="2"/>
  <c r="W569" i="2"/>
  <c r="U569" i="2"/>
  <c r="S569" i="2"/>
  <c r="Q569" i="2"/>
  <c r="O569" i="2"/>
  <c r="N569" i="2"/>
  <c r="L569" i="2"/>
  <c r="J569" i="2"/>
  <c r="H569" i="2"/>
  <c r="G569" i="2"/>
  <c r="D569" i="2"/>
  <c r="E569" i="2" s="1" a="1"/>
  <c r="E569" i="2" s="1"/>
  <c r="B569" i="2"/>
  <c r="Y568" i="2"/>
  <c r="W568" i="2"/>
  <c r="U568" i="2"/>
  <c r="S568" i="2"/>
  <c r="Q568" i="2"/>
  <c r="N568" i="2"/>
  <c r="O568" i="2" s="1"/>
  <c r="L568" i="2"/>
  <c r="J568" i="2"/>
  <c r="G568" i="2"/>
  <c r="H568" i="2" s="1"/>
  <c r="E568" i="2" a="1"/>
  <c r="E568" i="2" s="1"/>
  <c r="D568" i="2"/>
  <c r="B568" i="2"/>
  <c r="Y567" i="2"/>
  <c r="W567" i="2"/>
  <c r="U567" i="2"/>
  <c r="S567" i="2"/>
  <c r="Q567" i="2"/>
  <c r="O567" i="2"/>
  <c r="N567" i="2"/>
  <c r="L567" i="2"/>
  <c r="J567" i="2"/>
  <c r="H567" i="2"/>
  <c r="G567" i="2"/>
  <c r="E567" i="2"/>
  <c r="D567" i="2"/>
  <c r="E567" i="2" s="1" a="1"/>
  <c r="B567" i="2"/>
  <c r="Y566" i="2"/>
  <c r="W566" i="2"/>
  <c r="U566" i="2"/>
  <c r="S566" i="2"/>
  <c r="Q566" i="2"/>
  <c r="O566" i="2"/>
  <c r="N566" i="2"/>
  <c r="L566" i="2"/>
  <c r="J566" i="2"/>
  <c r="H566" i="2"/>
  <c r="G566" i="2"/>
  <c r="E566" i="2"/>
  <c r="D566" i="2"/>
  <c r="E566" i="2" s="1" a="1"/>
  <c r="B566" i="2"/>
  <c r="Y565" i="2"/>
  <c r="W565" i="2"/>
  <c r="U565" i="2"/>
  <c r="S565" i="2"/>
  <c r="Q565" i="2"/>
  <c r="O565" i="2"/>
  <c r="N565" i="2"/>
  <c r="L565" i="2"/>
  <c r="J565" i="2"/>
  <c r="H565" i="2"/>
  <c r="G565" i="2"/>
  <c r="E565" i="2" a="1"/>
  <c r="E565" i="2" s="1"/>
  <c r="D565" i="2"/>
  <c r="B565" i="2"/>
  <c r="Y564" i="2"/>
  <c r="W564" i="2"/>
  <c r="U564" i="2"/>
  <c r="S564" i="2"/>
  <c r="Q564" i="2"/>
  <c r="N564" i="2"/>
  <c r="O564" i="2" s="1"/>
  <c r="L564" i="2"/>
  <c r="J564" i="2"/>
  <c r="G564" i="2"/>
  <c r="H564" i="2" s="1"/>
  <c r="E564" i="2" a="1"/>
  <c r="E564" i="2" s="1"/>
  <c r="D564" i="2"/>
  <c r="B564" i="2"/>
  <c r="Y563" i="2"/>
  <c r="W563" i="2"/>
  <c r="U563" i="2"/>
  <c r="S563" i="2"/>
  <c r="Q563" i="2"/>
  <c r="O563" i="2"/>
  <c r="N563" i="2"/>
  <c r="L563" i="2"/>
  <c r="J563" i="2"/>
  <c r="H563" i="2"/>
  <c r="G563" i="2"/>
  <c r="D563" i="2"/>
  <c r="E563" i="2" s="1" a="1"/>
  <c r="E563" i="2" s="1"/>
  <c r="B563" i="2"/>
  <c r="Y562" i="2"/>
  <c r="W562" i="2"/>
  <c r="U562" i="2"/>
  <c r="S562" i="2"/>
  <c r="Q562" i="2"/>
  <c r="N562" i="2"/>
  <c r="O562" i="2" s="1"/>
  <c r="J562" i="2"/>
  <c r="G562" i="2"/>
  <c r="H562" i="2" s="1"/>
  <c r="E562" i="2" a="1"/>
  <c r="E562" i="2" s="1"/>
  <c r="D562" i="2"/>
  <c r="B562" i="2"/>
  <c r="Y561" i="2"/>
  <c r="W561" i="2"/>
  <c r="U561" i="2"/>
  <c r="S561" i="2"/>
  <c r="Q561" i="2"/>
  <c r="N561" i="2"/>
  <c r="O561" i="2" s="1"/>
  <c r="L561" i="2"/>
  <c r="J561" i="2"/>
  <c r="G561" i="2"/>
  <c r="H561" i="2" s="1"/>
  <c r="E561" i="2" a="1"/>
  <c r="E561" i="2" s="1"/>
  <c r="D561" i="2"/>
  <c r="B561" i="2"/>
  <c r="Y560" i="2"/>
  <c r="W560" i="2"/>
  <c r="U560" i="2"/>
  <c r="S560" i="2"/>
  <c r="Q560" i="2"/>
  <c r="O560" i="2"/>
  <c r="N560" i="2"/>
  <c r="L560" i="2"/>
  <c r="J560" i="2"/>
  <c r="H560" i="2"/>
  <c r="G560" i="2"/>
  <c r="E560" i="2" a="1"/>
  <c r="E560" i="2" s="1"/>
  <c r="D560" i="2"/>
  <c r="B560" i="2"/>
  <c r="Y559" i="2"/>
  <c r="W559" i="2"/>
  <c r="U559" i="2"/>
  <c r="S559" i="2"/>
  <c r="Q559" i="2"/>
  <c r="O559" i="2"/>
  <c r="N559" i="2"/>
  <c r="L559" i="2"/>
  <c r="J559" i="2"/>
  <c r="H559" i="2"/>
  <c r="G559" i="2"/>
  <c r="D559" i="2"/>
  <c r="E559" i="2" s="1" a="1"/>
  <c r="E559" i="2" s="1"/>
  <c r="B559" i="2"/>
  <c r="Y558" i="2"/>
  <c r="W558" i="2"/>
  <c r="U558" i="2"/>
  <c r="S558" i="2"/>
  <c r="Q558" i="2"/>
  <c r="N558" i="2"/>
  <c r="O558" i="2" s="1"/>
  <c r="L558" i="2"/>
  <c r="J558" i="2"/>
  <c r="G558" i="2"/>
  <c r="H558" i="2" s="1"/>
  <c r="E558" i="2" a="1"/>
  <c r="E558" i="2" s="1"/>
  <c r="D558" i="2"/>
  <c r="B558" i="2"/>
  <c r="Y557" i="2"/>
  <c r="W557" i="2"/>
  <c r="U557" i="2"/>
  <c r="S557" i="2"/>
  <c r="Q557" i="2"/>
  <c r="N557" i="2"/>
  <c r="O557" i="2" s="1"/>
  <c r="L557" i="2"/>
  <c r="J557" i="2"/>
  <c r="G557" i="2"/>
  <c r="H557" i="2" s="1"/>
  <c r="E557" i="2" a="1"/>
  <c r="E557" i="2" s="1"/>
  <c r="D557" i="2"/>
  <c r="B557" i="2"/>
  <c r="Y556" i="2"/>
  <c r="W556" i="2"/>
  <c r="U556" i="2"/>
  <c r="S556" i="2"/>
  <c r="Q556" i="2"/>
  <c r="O556" i="2"/>
  <c r="N556" i="2"/>
  <c r="L556" i="2"/>
  <c r="J556" i="2"/>
  <c r="H556" i="2"/>
  <c r="G556" i="2"/>
  <c r="E556" i="2" a="1"/>
  <c r="E556" i="2" s="1"/>
  <c r="D556" i="2"/>
  <c r="B556" i="2"/>
  <c r="Y555" i="2"/>
  <c r="W555" i="2"/>
  <c r="U555" i="2"/>
  <c r="S555" i="2"/>
  <c r="Q555" i="2"/>
  <c r="O555" i="2"/>
  <c r="N555" i="2"/>
  <c r="L555" i="2"/>
  <c r="J555" i="2"/>
  <c r="H555" i="2"/>
  <c r="G555" i="2"/>
  <c r="D555" i="2"/>
  <c r="E555" i="2" s="1" a="1"/>
  <c r="E555" i="2" s="1"/>
  <c r="B555" i="2"/>
  <c r="Y554" i="2"/>
  <c r="W554" i="2"/>
  <c r="U554" i="2"/>
  <c r="S554" i="2"/>
  <c r="Q554" i="2"/>
  <c r="N554" i="2"/>
  <c r="O554" i="2" s="1"/>
  <c r="L554" i="2"/>
  <c r="J554" i="2"/>
  <c r="G554" i="2"/>
  <c r="H554" i="2" s="1"/>
  <c r="E554" i="2" a="1"/>
  <c r="E554" i="2" s="1"/>
  <c r="D554" i="2"/>
  <c r="B554" i="2"/>
  <c r="Y553" i="2"/>
  <c r="W553" i="2"/>
  <c r="U553" i="2"/>
  <c r="S553" i="2"/>
  <c r="Q553" i="2"/>
  <c r="N553" i="2"/>
  <c r="O553" i="2" s="1"/>
  <c r="L553" i="2"/>
  <c r="J553" i="2"/>
  <c r="G553" i="2"/>
  <c r="H553" i="2" s="1"/>
  <c r="E553" i="2" a="1"/>
  <c r="E553" i="2" s="1"/>
  <c r="D553" i="2"/>
  <c r="B553" i="2"/>
  <c r="Y552" i="2"/>
  <c r="W552" i="2"/>
  <c r="U552" i="2"/>
  <c r="S552" i="2"/>
  <c r="Q552" i="2"/>
  <c r="O552" i="2"/>
  <c r="N552" i="2"/>
  <c r="L552" i="2"/>
  <c r="J552" i="2"/>
  <c r="H552" i="2"/>
  <c r="G552" i="2"/>
  <c r="E552" i="2" a="1"/>
  <c r="E552" i="2" s="1"/>
  <c r="D552" i="2"/>
  <c r="B552" i="2"/>
  <c r="Y551" i="2"/>
  <c r="W551" i="2"/>
  <c r="U551" i="2"/>
  <c r="S551" i="2"/>
  <c r="Q551" i="2"/>
  <c r="O551" i="2"/>
  <c r="N551" i="2"/>
  <c r="J551" i="2"/>
  <c r="H551" i="2"/>
  <c r="G551" i="2"/>
  <c r="E551" i="2" a="1"/>
  <c r="E551" i="2" s="1"/>
  <c r="D551" i="2"/>
  <c r="B551" i="2"/>
  <c r="Y550" i="2"/>
  <c r="W550" i="2"/>
  <c r="U550" i="2"/>
  <c r="S550" i="2"/>
  <c r="Q550" i="2"/>
  <c r="N550" i="2"/>
  <c r="O550" i="2" s="1"/>
  <c r="L550" i="2"/>
  <c r="J550" i="2"/>
  <c r="G550" i="2"/>
  <c r="H550" i="2" s="1"/>
  <c r="E550" i="2" a="1"/>
  <c r="E550" i="2" s="1"/>
  <c r="D550" i="2"/>
  <c r="B550" i="2"/>
  <c r="Y549" i="2"/>
  <c r="W549" i="2"/>
  <c r="U549" i="2"/>
  <c r="S549" i="2"/>
  <c r="Q549" i="2"/>
  <c r="O549" i="2"/>
  <c r="N549" i="2"/>
  <c r="L549" i="2"/>
  <c r="J549" i="2"/>
  <c r="H549" i="2"/>
  <c r="G549" i="2"/>
  <c r="E549" i="2" a="1"/>
  <c r="E549" i="2" s="1"/>
  <c r="D549" i="2"/>
  <c r="B549" i="2"/>
  <c r="Y548" i="2"/>
  <c r="W548" i="2"/>
  <c r="U548" i="2"/>
  <c r="S548" i="2"/>
  <c r="Q548" i="2"/>
  <c r="O548" i="2"/>
  <c r="N548" i="2"/>
  <c r="L548" i="2"/>
  <c r="J548" i="2"/>
  <c r="H548" i="2"/>
  <c r="G548" i="2"/>
  <c r="D548" i="2"/>
  <c r="E548" i="2" s="1" a="1"/>
  <c r="E548" i="2" s="1"/>
  <c r="B548" i="2"/>
  <c r="Y547" i="2"/>
  <c r="W547" i="2"/>
  <c r="U547" i="2"/>
  <c r="S547" i="2"/>
  <c r="Q547" i="2"/>
  <c r="N547" i="2"/>
  <c r="O547" i="2" s="1"/>
  <c r="L547" i="2"/>
  <c r="J547" i="2"/>
  <c r="G547" i="2"/>
  <c r="H547" i="2" s="1"/>
  <c r="E547" i="2" a="1"/>
  <c r="E547" i="2" s="1"/>
  <c r="D547" i="2"/>
  <c r="B547" i="2"/>
  <c r="Y546" i="2"/>
  <c r="W546" i="2"/>
  <c r="U546" i="2"/>
  <c r="S546" i="2"/>
  <c r="Q546" i="2"/>
  <c r="N546" i="2"/>
  <c r="O546" i="2" s="1"/>
  <c r="L546" i="2"/>
  <c r="J546" i="2"/>
  <c r="G546" i="2"/>
  <c r="H546" i="2" s="1"/>
  <c r="E546" i="2" a="1"/>
  <c r="E546" i="2" s="1"/>
  <c r="D546" i="2"/>
  <c r="B546" i="2"/>
  <c r="Y545" i="2"/>
  <c r="W545" i="2"/>
  <c r="U545" i="2"/>
  <c r="S545" i="2"/>
  <c r="Q545" i="2"/>
  <c r="O545" i="2"/>
  <c r="N545" i="2"/>
  <c r="L545" i="2"/>
  <c r="J545" i="2"/>
  <c r="H545" i="2"/>
  <c r="G545" i="2"/>
  <c r="E545" i="2" a="1"/>
  <c r="E545" i="2" s="1"/>
  <c r="D545" i="2"/>
  <c r="B545" i="2"/>
  <c r="Y544" i="2"/>
  <c r="W544" i="2"/>
  <c r="U544" i="2"/>
  <c r="S544" i="2"/>
  <c r="Q544" i="2"/>
  <c r="O544" i="2"/>
  <c r="N544" i="2"/>
  <c r="L544" i="2"/>
  <c r="J544" i="2"/>
  <c r="H544" i="2"/>
  <c r="G544" i="2"/>
  <c r="E544" i="2"/>
  <c r="D544" i="2"/>
  <c r="E544" i="2" s="1" a="1"/>
  <c r="B544" i="2"/>
  <c r="Y543" i="2"/>
  <c r="W543" i="2"/>
  <c r="U543" i="2"/>
  <c r="S543" i="2"/>
  <c r="Q543" i="2"/>
  <c r="O543" i="2"/>
  <c r="N543" i="2"/>
  <c r="L543" i="2"/>
  <c r="J543" i="2"/>
  <c r="H543" i="2"/>
  <c r="G543" i="2"/>
  <c r="E543" i="2" a="1"/>
  <c r="E543" i="2" s="1"/>
  <c r="D543" i="2"/>
  <c r="B543" i="2"/>
  <c r="Y542" i="2"/>
  <c r="W542" i="2"/>
  <c r="U542" i="2"/>
  <c r="S542" i="2"/>
  <c r="Q542" i="2"/>
  <c r="N542" i="2"/>
  <c r="O542" i="2" s="1"/>
  <c r="L542" i="2"/>
  <c r="J542" i="2"/>
  <c r="G542" i="2"/>
  <c r="H542" i="2" s="1"/>
  <c r="E542" i="2" a="1"/>
  <c r="E542" i="2" s="1"/>
  <c r="D542" i="2"/>
  <c r="B542" i="2"/>
  <c r="Y541" i="2"/>
  <c r="W541" i="2"/>
  <c r="U541" i="2"/>
  <c r="S541" i="2"/>
  <c r="Q541" i="2"/>
  <c r="O541" i="2"/>
  <c r="N541" i="2"/>
  <c r="L541" i="2"/>
  <c r="J541" i="2"/>
  <c r="H541" i="2"/>
  <c r="G541" i="2"/>
  <c r="E541" i="2" a="1"/>
  <c r="E541" i="2" s="1"/>
  <c r="D541" i="2"/>
  <c r="B541" i="2"/>
  <c r="Y540" i="2"/>
  <c r="W540" i="2"/>
  <c r="U540" i="2"/>
  <c r="S540" i="2"/>
  <c r="Q540" i="2"/>
  <c r="O540" i="2"/>
  <c r="N540" i="2"/>
  <c r="L540" i="2"/>
  <c r="J540" i="2"/>
  <c r="H540" i="2"/>
  <c r="G540" i="2"/>
  <c r="D540" i="2"/>
  <c r="E540" i="2" s="1" a="1"/>
  <c r="E540" i="2" s="1"/>
  <c r="B540" i="2"/>
  <c r="Y539" i="2"/>
  <c r="W539" i="2"/>
  <c r="U539" i="2"/>
  <c r="S539" i="2"/>
  <c r="Q539" i="2"/>
  <c r="N539" i="2"/>
  <c r="O539" i="2" s="1"/>
  <c r="J539" i="2"/>
  <c r="G539" i="2"/>
  <c r="H539" i="2" s="1"/>
  <c r="E539" i="2" a="1"/>
  <c r="E539" i="2"/>
  <c r="D539" i="2"/>
  <c r="B539" i="2"/>
  <c r="Y538" i="2"/>
  <c r="W538" i="2"/>
  <c r="U538" i="2"/>
  <c r="S538" i="2"/>
  <c r="Q538" i="2"/>
  <c r="O538" i="2"/>
  <c r="N538" i="2"/>
  <c r="L538" i="2"/>
  <c r="J538" i="2"/>
  <c r="H538" i="2"/>
  <c r="G538" i="2"/>
  <c r="D538" i="2"/>
  <c r="E538" i="2" s="1" a="1"/>
  <c r="E538" i="2" s="1"/>
  <c r="B538" i="2"/>
  <c r="Y537" i="2"/>
  <c r="W537" i="2"/>
  <c r="U537" i="2"/>
  <c r="S537" i="2"/>
  <c r="Q537" i="2"/>
  <c r="N537" i="2"/>
  <c r="O537" i="2" s="1"/>
  <c r="L537" i="2"/>
  <c r="J537" i="2"/>
  <c r="G537" i="2"/>
  <c r="H537" i="2" s="1"/>
  <c r="E537" i="2"/>
  <c r="D537" i="2"/>
  <c r="E537" i="2" s="1" a="1"/>
  <c r="B537" i="2"/>
  <c r="Y536" i="2"/>
  <c r="W536" i="2"/>
  <c r="U536" i="2"/>
  <c r="S536" i="2"/>
  <c r="Q536" i="2"/>
  <c r="O536" i="2"/>
  <c r="N536" i="2"/>
  <c r="L536" i="2"/>
  <c r="J536" i="2"/>
  <c r="H536" i="2"/>
  <c r="G536" i="2"/>
  <c r="D536" i="2"/>
  <c r="E536" i="2" s="1" a="1"/>
  <c r="E536" i="2" s="1"/>
  <c r="B536" i="2"/>
  <c r="Y535" i="2"/>
  <c r="W535" i="2"/>
  <c r="U535" i="2"/>
  <c r="S535" i="2"/>
  <c r="Q535" i="2"/>
  <c r="N535" i="2"/>
  <c r="O535" i="2" s="1"/>
  <c r="L535" i="2"/>
  <c r="J535" i="2"/>
  <c r="G535" i="2"/>
  <c r="H535" i="2" s="1"/>
  <c r="E535" i="2" a="1"/>
  <c r="E535" i="2"/>
  <c r="D535" i="2"/>
  <c r="B535" i="2"/>
  <c r="Y534" i="2"/>
  <c r="W534" i="2"/>
  <c r="U534" i="2"/>
  <c r="S534" i="2"/>
  <c r="Q534" i="2"/>
  <c r="O534" i="2"/>
  <c r="N534" i="2"/>
  <c r="L534" i="2"/>
  <c r="J534" i="2"/>
  <c r="H534" i="2"/>
  <c r="G534" i="2"/>
  <c r="D534" i="2"/>
  <c r="E534" i="2" s="1" a="1"/>
  <c r="E534" i="2" s="1"/>
  <c r="B534" i="2"/>
  <c r="Y533" i="2"/>
  <c r="W533" i="2"/>
  <c r="U533" i="2"/>
  <c r="S533" i="2"/>
  <c r="Q533" i="2"/>
  <c r="N533" i="2"/>
  <c r="O533" i="2" s="1"/>
  <c r="L533" i="2"/>
  <c r="J533" i="2"/>
  <c r="G533" i="2"/>
  <c r="H533" i="2" s="1"/>
  <c r="E533" i="2"/>
  <c r="D533" i="2"/>
  <c r="E533" i="2" s="1" a="1"/>
  <c r="B533" i="2"/>
  <c r="Y532" i="2"/>
  <c r="W532" i="2"/>
  <c r="U532" i="2"/>
  <c r="S532" i="2"/>
  <c r="Q532" i="2"/>
  <c r="O532" i="2"/>
  <c r="N532" i="2"/>
  <c r="L532" i="2"/>
  <c r="J532" i="2"/>
  <c r="H532" i="2"/>
  <c r="G532" i="2"/>
  <c r="D532" i="2"/>
  <c r="E532" i="2" s="1" a="1"/>
  <c r="E532" i="2" s="1"/>
  <c r="B532" i="2"/>
  <c r="Y531" i="2"/>
  <c r="W531" i="2"/>
  <c r="U531" i="2"/>
  <c r="S531" i="2"/>
  <c r="Q531" i="2"/>
  <c r="N531" i="2"/>
  <c r="O531" i="2" s="1"/>
  <c r="L531" i="2"/>
  <c r="J531" i="2"/>
  <c r="G531" i="2"/>
  <c r="H531" i="2" s="1"/>
  <c r="E531" i="2" a="1"/>
  <c r="E531" i="2"/>
  <c r="D531" i="2"/>
  <c r="B531" i="2"/>
  <c r="Y530" i="2"/>
  <c r="W530" i="2"/>
  <c r="U530" i="2"/>
  <c r="S530" i="2"/>
  <c r="Q530" i="2"/>
  <c r="O530" i="2"/>
  <c r="N530" i="2"/>
  <c r="L530" i="2"/>
  <c r="J530" i="2"/>
  <c r="H530" i="2"/>
  <c r="G530" i="2"/>
  <c r="E530" i="2"/>
  <c r="D530" i="2"/>
  <c r="E530" i="2" s="1" a="1"/>
  <c r="B530" i="2"/>
  <c r="Y529" i="2"/>
  <c r="W529" i="2"/>
  <c r="U529" i="2"/>
  <c r="S529" i="2"/>
  <c r="Q529" i="2"/>
  <c r="O529" i="2"/>
  <c r="N529" i="2"/>
  <c r="L529" i="2"/>
  <c r="J529" i="2"/>
  <c r="H529" i="2"/>
  <c r="G529" i="2"/>
  <c r="E529" i="2"/>
  <c r="D529" i="2"/>
  <c r="E529" i="2" s="1" a="1"/>
  <c r="B529" i="2"/>
  <c r="Y528" i="2"/>
  <c r="W528" i="2"/>
  <c r="U528" i="2"/>
  <c r="S528" i="2"/>
  <c r="Q528" i="2"/>
  <c r="O528" i="2"/>
  <c r="N528" i="2"/>
  <c r="L528" i="2"/>
  <c r="J528" i="2"/>
  <c r="H528" i="2"/>
  <c r="G528" i="2"/>
  <c r="E528" i="2" a="1"/>
  <c r="E528" i="2" s="1"/>
  <c r="D528" i="2"/>
  <c r="B528" i="2"/>
  <c r="Y527" i="2"/>
  <c r="W527" i="2"/>
  <c r="U527" i="2"/>
  <c r="S527" i="2"/>
  <c r="Q527" i="2"/>
  <c r="N527" i="2"/>
  <c r="O527" i="2" s="1"/>
  <c r="L527" i="2"/>
  <c r="J527" i="2"/>
  <c r="G527" i="2"/>
  <c r="H527" i="2" s="1"/>
  <c r="E527" i="2" a="1"/>
  <c r="E527" i="2" s="1"/>
  <c r="D527" i="2"/>
  <c r="B527" i="2"/>
  <c r="Y526" i="2"/>
  <c r="W526" i="2"/>
  <c r="U526" i="2"/>
  <c r="S526" i="2"/>
  <c r="Q526" i="2"/>
  <c r="O526" i="2"/>
  <c r="N526" i="2"/>
  <c r="J526" i="2"/>
  <c r="H526" i="2"/>
  <c r="G526" i="2"/>
  <c r="E526" i="2"/>
  <c r="D526" i="2"/>
  <c r="E526" i="2" s="1" a="1"/>
  <c r="B526" i="2"/>
  <c r="Y525" i="2"/>
  <c r="W525" i="2"/>
  <c r="U525" i="2"/>
  <c r="S525" i="2"/>
  <c r="Q525" i="2"/>
  <c r="O525" i="2"/>
  <c r="N525" i="2"/>
  <c r="L525" i="2"/>
  <c r="J525" i="2"/>
  <c r="H525" i="2"/>
  <c r="G525" i="2"/>
  <c r="E525" i="2" a="1"/>
  <c r="E525" i="2" s="1"/>
  <c r="D525" i="2"/>
  <c r="B525" i="2"/>
  <c r="Y524" i="2"/>
  <c r="W524" i="2"/>
  <c r="U524" i="2"/>
  <c r="S524" i="2"/>
  <c r="Q524" i="2"/>
  <c r="N524" i="2"/>
  <c r="O524" i="2" s="1"/>
  <c r="L524" i="2"/>
  <c r="J524" i="2"/>
  <c r="G524" i="2"/>
  <c r="H524" i="2" s="1"/>
  <c r="E524" i="2" a="1"/>
  <c r="E524" i="2" s="1"/>
  <c r="D524" i="2"/>
  <c r="B524" i="2"/>
  <c r="Y523" i="2"/>
  <c r="W523" i="2"/>
  <c r="U523" i="2"/>
  <c r="S523" i="2"/>
  <c r="Q523" i="2"/>
  <c r="O523" i="2"/>
  <c r="N523" i="2"/>
  <c r="L523" i="2"/>
  <c r="J523" i="2"/>
  <c r="H523" i="2"/>
  <c r="G523" i="2"/>
  <c r="D523" i="2"/>
  <c r="E523" i="2" s="1" a="1"/>
  <c r="E523" i="2" s="1"/>
  <c r="B523" i="2"/>
  <c r="Y522" i="2"/>
  <c r="W522" i="2"/>
  <c r="U522" i="2"/>
  <c r="S522" i="2"/>
  <c r="Q522" i="2"/>
  <c r="N522" i="2"/>
  <c r="O522" i="2" s="1"/>
  <c r="L522" i="2"/>
  <c r="J522" i="2"/>
  <c r="G522" i="2"/>
  <c r="H522" i="2" s="1"/>
  <c r="E522" i="2"/>
  <c r="D522" i="2"/>
  <c r="E522" i="2" s="1" a="1"/>
  <c r="B522" i="2"/>
  <c r="Y521" i="2"/>
  <c r="W521" i="2"/>
  <c r="U521" i="2"/>
  <c r="S521" i="2"/>
  <c r="Q521" i="2"/>
  <c r="O521" i="2"/>
  <c r="N521" i="2"/>
  <c r="L521" i="2"/>
  <c r="J521" i="2"/>
  <c r="H521" i="2"/>
  <c r="G521" i="2"/>
  <c r="D521" i="2"/>
  <c r="E521" i="2" s="1" a="1"/>
  <c r="E521" i="2" s="1"/>
  <c r="B521" i="2"/>
  <c r="Y520" i="2"/>
  <c r="W520" i="2"/>
  <c r="U520" i="2"/>
  <c r="S520" i="2"/>
  <c r="Q520" i="2"/>
  <c r="N520" i="2"/>
  <c r="O520" i="2" s="1"/>
  <c r="L520" i="2"/>
  <c r="J520" i="2"/>
  <c r="G520" i="2"/>
  <c r="H520" i="2" s="1"/>
  <c r="E520" i="2" a="1"/>
  <c r="E520" i="2"/>
  <c r="D520" i="2"/>
  <c r="B520" i="2"/>
  <c r="Y519" i="2"/>
  <c r="W519" i="2"/>
  <c r="U519" i="2"/>
  <c r="S519" i="2"/>
  <c r="Q519" i="2"/>
  <c r="O519" i="2"/>
  <c r="N519" i="2"/>
  <c r="L519" i="2"/>
  <c r="J519" i="2"/>
  <c r="H519" i="2"/>
  <c r="G519" i="2"/>
  <c r="D519" i="2"/>
  <c r="E519" i="2" s="1" a="1"/>
  <c r="E519" i="2" s="1"/>
  <c r="B519" i="2"/>
  <c r="Y518" i="2"/>
  <c r="W518" i="2"/>
  <c r="U518" i="2"/>
  <c r="S518" i="2"/>
  <c r="Q518" i="2"/>
  <c r="N518" i="2"/>
  <c r="O518" i="2" s="1"/>
  <c r="L518" i="2"/>
  <c r="J518" i="2"/>
  <c r="G518" i="2"/>
  <c r="H518" i="2" s="1"/>
  <c r="D518" i="2"/>
  <c r="E518" i="2" s="1" a="1"/>
  <c r="E518" i="2" s="1"/>
  <c r="B518" i="2"/>
  <c r="Y517" i="2"/>
  <c r="W517" i="2"/>
  <c r="U517" i="2"/>
  <c r="S517" i="2"/>
  <c r="Q517" i="2"/>
  <c r="N517" i="2"/>
  <c r="O517" i="2" s="1"/>
  <c r="L517" i="2"/>
  <c r="J517" i="2"/>
  <c r="G517" i="2"/>
  <c r="H517" i="2" s="1"/>
  <c r="D517" i="2"/>
  <c r="E517" i="2" s="1" a="1"/>
  <c r="E517" i="2" s="1"/>
  <c r="B517" i="2"/>
  <c r="Y516" i="2"/>
  <c r="W516" i="2"/>
  <c r="U516" i="2"/>
  <c r="S516" i="2"/>
  <c r="Q516" i="2"/>
  <c r="N516" i="2"/>
  <c r="O516" i="2" s="1"/>
  <c r="J516" i="2"/>
  <c r="H516" i="2"/>
  <c r="G516" i="2"/>
  <c r="E516" i="2" a="1"/>
  <c r="E516" i="2"/>
  <c r="D516" i="2"/>
  <c r="B516" i="2"/>
  <c r="Y515" i="2"/>
  <c r="W515" i="2"/>
  <c r="U515" i="2"/>
  <c r="S515" i="2"/>
  <c r="Q515" i="2"/>
  <c r="O515" i="2"/>
  <c r="N515" i="2"/>
  <c r="L515" i="2"/>
  <c r="J515" i="2"/>
  <c r="H515" i="2"/>
  <c r="G515" i="2"/>
  <c r="D515" i="2"/>
  <c r="E515" i="2" s="1" a="1"/>
  <c r="E515" i="2" s="1"/>
  <c r="B515" i="2"/>
  <c r="Y514" i="2"/>
  <c r="W514" i="2"/>
  <c r="U514" i="2"/>
  <c r="S514" i="2"/>
  <c r="Q514" i="2"/>
  <c r="N514" i="2"/>
  <c r="O514" i="2" s="1"/>
  <c r="L514" i="2"/>
  <c r="J514" i="2"/>
  <c r="G514" i="2"/>
  <c r="H514" i="2" s="1"/>
  <c r="E514" i="2" a="1"/>
  <c r="E514" i="2" s="1"/>
  <c r="D514" i="2"/>
  <c r="B514" i="2"/>
  <c r="Y513" i="2"/>
  <c r="W513" i="2"/>
  <c r="U513" i="2"/>
  <c r="S513" i="2"/>
  <c r="Q513" i="2"/>
  <c r="N513" i="2"/>
  <c r="O513" i="2" s="1"/>
  <c r="L513" i="2"/>
  <c r="J513" i="2"/>
  <c r="G513" i="2"/>
  <c r="H513" i="2" s="1"/>
  <c r="E513" i="2" a="1"/>
  <c r="E513" i="2" s="1"/>
  <c r="D513" i="2"/>
  <c r="B513" i="2"/>
  <c r="Y512" i="2"/>
  <c r="W512" i="2"/>
  <c r="U512" i="2"/>
  <c r="S512" i="2"/>
  <c r="Q512" i="2"/>
  <c r="O512" i="2"/>
  <c r="N512" i="2"/>
  <c r="L512" i="2"/>
  <c r="J512" i="2"/>
  <c r="H512" i="2"/>
  <c r="G512" i="2"/>
  <c r="E512" i="2" a="1"/>
  <c r="E512" i="2"/>
  <c r="D512" i="2"/>
  <c r="B512" i="2"/>
  <c r="Y511" i="2"/>
  <c r="W511" i="2"/>
  <c r="U511" i="2"/>
  <c r="S511" i="2"/>
  <c r="Q511" i="2"/>
  <c r="O511" i="2"/>
  <c r="N511" i="2"/>
  <c r="L511" i="2"/>
  <c r="J511" i="2"/>
  <c r="H511" i="2"/>
  <c r="G511" i="2"/>
  <c r="D511" i="2"/>
  <c r="E511" i="2" s="1" a="1"/>
  <c r="E511" i="2" s="1"/>
  <c r="B511" i="2"/>
  <c r="Y510" i="2"/>
  <c r="W510" i="2"/>
  <c r="U510" i="2"/>
  <c r="S510" i="2"/>
  <c r="Q510" i="2"/>
  <c r="N510" i="2"/>
  <c r="O510" i="2" s="1"/>
  <c r="J510" i="2"/>
  <c r="G510" i="2"/>
  <c r="H510" i="2" s="1"/>
  <c r="E510" i="2" a="1"/>
  <c r="E510" i="2"/>
  <c r="D510" i="2"/>
  <c r="B510" i="2"/>
  <c r="Y509" i="2"/>
  <c r="W509" i="2"/>
  <c r="U509" i="2"/>
  <c r="S509" i="2"/>
  <c r="Q509" i="2"/>
  <c r="O509" i="2"/>
  <c r="N509" i="2"/>
  <c r="L509" i="2"/>
  <c r="J509" i="2"/>
  <c r="H509" i="2"/>
  <c r="G509" i="2"/>
  <c r="D509" i="2"/>
  <c r="E509" i="2" s="1" a="1"/>
  <c r="E509" i="2" s="1"/>
  <c r="B509" i="2"/>
  <c r="Y508" i="2"/>
  <c r="W508" i="2"/>
  <c r="U508" i="2"/>
  <c r="S508" i="2"/>
  <c r="Q508" i="2"/>
  <c r="N508" i="2"/>
  <c r="O508" i="2" s="1"/>
  <c r="L508" i="2"/>
  <c r="J508" i="2"/>
  <c r="G508" i="2"/>
  <c r="H508" i="2" s="1"/>
  <c r="E508" i="2"/>
  <c r="D508" i="2"/>
  <c r="E508" i="2" s="1" a="1"/>
  <c r="B508" i="2"/>
  <c r="Y507" i="2"/>
  <c r="W507" i="2"/>
  <c r="U507" i="2"/>
  <c r="S507" i="2"/>
  <c r="Q507" i="2"/>
  <c r="O507" i="2"/>
  <c r="N507" i="2"/>
  <c r="L507" i="2"/>
  <c r="J507" i="2"/>
  <c r="H507" i="2"/>
  <c r="G507" i="2"/>
  <c r="D507" i="2"/>
  <c r="E507" i="2" s="1" a="1"/>
  <c r="E507" i="2" s="1"/>
  <c r="B507" i="2"/>
  <c r="Y506" i="2"/>
  <c r="W506" i="2"/>
  <c r="U506" i="2"/>
  <c r="S506" i="2"/>
  <c r="Q506" i="2"/>
  <c r="N506" i="2"/>
  <c r="O506" i="2" s="1"/>
  <c r="L506" i="2"/>
  <c r="J506" i="2"/>
  <c r="G506" i="2"/>
  <c r="H506" i="2" s="1"/>
  <c r="E506" i="2" a="1"/>
  <c r="E506" i="2"/>
  <c r="D506" i="2"/>
  <c r="B506" i="2"/>
  <c r="Y505" i="2"/>
  <c r="W505" i="2"/>
  <c r="U505" i="2"/>
  <c r="S505" i="2"/>
  <c r="Q505" i="2"/>
  <c r="O505" i="2"/>
  <c r="N505" i="2"/>
  <c r="L505" i="2"/>
  <c r="J505" i="2"/>
  <c r="H505" i="2"/>
  <c r="G505" i="2"/>
  <c r="D505" i="2"/>
  <c r="E505" i="2" s="1" a="1"/>
  <c r="E505" i="2" s="1"/>
  <c r="B505" i="2"/>
  <c r="Y504" i="2"/>
  <c r="W504" i="2"/>
  <c r="U504" i="2"/>
  <c r="S504" i="2"/>
  <c r="Q504" i="2"/>
  <c r="N504" i="2"/>
  <c r="O504" i="2" s="1"/>
  <c r="L504" i="2"/>
  <c r="J504" i="2"/>
  <c r="G504" i="2"/>
  <c r="H504" i="2" s="1"/>
  <c r="E504" i="2"/>
  <c r="D504" i="2"/>
  <c r="E504" i="2" s="1" a="1"/>
  <c r="B504" i="2"/>
  <c r="Y503" i="2"/>
  <c r="W503" i="2"/>
  <c r="U503" i="2"/>
  <c r="S503" i="2"/>
  <c r="Q503" i="2"/>
  <c r="O503" i="2"/>
  <c r="N503" i="2"/>
  <c r="L503" i="2"/>
  <c r="J503" i="2"/>
  <c r="H503" i="2"/>
  <c r="G503" i="2"/>
  <c r="D503" i="2"/>
  <c r="E503" i="2" s="1" a="1"/>
  <c r="E503" i="2" s="1"/>
  <c r="B503" i="2"/>
  <c r="Y502" i="2"/>
  <c r="W502" i="2"/>
  <c r="U502" i="2"/>
  <c r="S502" i="2"/>
  <c r="Q502" i="2"/>
  <c r="N502" i="2"/>
  <c r="O502" i="2" s="1"/>
  <c r="L502" i="2"/>
  <c r="J502" i="2"/>
  <c r="G502" i="2"/>
  <c r="H502" i="2" s="1"/>
  <c r="E502" i="2" a="1"/>
  <c r="E502" i="2"/>
  <c r="D502" i="2"/>
  <c r="B502" i="2"/>
  <c r="Y501" i="2"/>
  <c r="W501" i="2"/>
  <c r="U501" i="2"/>
  <c r="S501" i="2"/>
  <c r="Q501" i="2"/>
  <c r="O501" i="2"/>
  <c r="N501" i="2"/>
  <c r="L501" i="2"/>
  <c r="J501" i="2"/>
  <c r="H501" i="2"/>
  <c r="G501" i="2"/>
  <c r="D501" i="2"/>
  <c r="E501" i="2" s="1" a="1"/>
  <c r="E501" i="2" s="1"/>
  <c r="B501" i="2"/>
  <c r="Y500" i="2"/>
  <c r="W500" i="2"/>
  <c r="U500" i="2"/>
  <c r="S500" i="2"/>
  <c r="Q500" i="2"/>
  <c r="N500" i="2"/>
  <c r="O500" i="2" s="1"/>
  <c r="L500" i="2"/>
  <c r="J500" i="2"/>
  <c r="G500" i="2"/>
  <c r="H500" i="2" s="1"/>
  <c r="E500" i="2" a="1"/>
  <c r="E500" i="2" s="1"/>
  <c r="D500" i="2"/>
  <c r="B500" i="2"/>
  <c r="Y499" i="2"/>
  <c r="W499" i="2"/>
  <c r="U499" i="2"/>
  <c r="S499" i="2"/>
  <c r="Q499" i="2"/>
  <c r="N499" i="2"/>
  <c r="O499" i="2" s="1"/>
  <c r="L499" i="2"/>
  <c r="J499" i="2"/>
  <c r="G499" i="2"/>
  <c r="H499" i="2" s="1"/>
  <c r="E499" i="2" a="1"/>
  <c r="E499" i="2" s="1"/>
  <c r="D499" i="2"/>
  <c r="B499" i="2"/>
  <c r="Y498" i="2"/>
  <c r="W498" i="2"/>
  <c r="U498" i="2"/>
  <c r="S498" i="2"/>
  <c r="Q498" i="2"/>
  <c r="O498" i="2"/>
  <c r="N498" i="2"/>
  <c r="L498" i="2"/>
  <c r="J498" i="2"/>
  <c r="H498" i="2"/>
  <c r="G498" i="2"/>
  <c r="D498" i="2"/>
  <c r="E498" i="2" s="1" a="1"/>
  <c r="E498" i="2" s="1"/>
  <c r="B498" i="2"/>
  <c r="Y497" i="2"/>
  <c r="W497" i="2"/>
  <c r="U497" i="2"/>
  <c r="S497" i="2"/>
  <c r="Q497" i="2"/>
  <c r="N497" i="2"/>
  <c r="O497" i="2" s="1"/>
  <c r="L497" i="2"/>
  <c r="J497" i="2"/>
  <c r="G497" i="2"/>
  <c r="H497" i="2" s="1"/>
  <c r="D497" i="2"/>
  <c r="E497" i="2" s="1" a="1"/>
  <c r="E497" i="2" s="1"/>
  <c r="B497" i="2"/>
  <c r="Y496" i="2"/>
  <c r="W496" i="2"/>
  <c r="U496" i="2"/>
  <c r="S496" i="2"/>
  <c r="Q496" i="2"/>
  <c r="N496" i="2"/>
  <c r="O496" i="2" s="1"/>
  <c r="L496" i="2"/>
  <c r="J496" i="2"/>
  <c r="G496" i="2"/>
  <c r="H496" i="2" s="1"/>
  <c r="E496" i="2" a="1"/>
  <c r="E496" i="2" s="1"/>
  <c r="D496" i="2"/>
  <c r="B496" i="2"/>
  <c r="Y495" i="2"/>
  <c r="W495" i="2"/>
  <c r="U495" i="2"/>
  <c r="S495" i="2"/>
  <c r="Q495" i="2"/>
  <c r="N495" i="2"/>
  <c r="O495" i="2" s="1"/>
  <c r="L495" i="2"/>
  <c r="J495" i="2"/>
  <c r="G495" i="2"/>
  <c r="H495" i="2" s="1"/>
  <c r="E495" i="2" a="1"/>
  <c r="E495" i="2" s="1"/>
  <c r="D495" i="2"/>
  <c r="B495" i="2"/>
  <c r="Y494" i="2"/>
  <c r="W494" i="2"/>
  <c r="U494" i="2"/>
  <c r="S494" i="2"/>
  <c r="Q494" i="2"/>
  <c r="O494" i="2"/>
  <c r="N494" i="2"/>
  <c r="L494" i="2"/>
  <c r="J494" i="2"/>
  <c r="H494" i="2"/>
  <c r="G494" i="2"/>
  <c r="D494" i="2"/>
  <c r="E494" i="2" s="1" a="1"/>
  <c r="E494" i="2" s="1"/>
  <c r="B494" i="2"/>
  <c r="Y493" i="2"/>
  <c r="W493" i="2"/>
  <c r="U493" i="2"/>
  <c r="S493" i="2"/>
  <c r="Q493" i="2"/>
  <c r="N493" i="2"/>
  <c r="O493" i="2" s="1"/>
  <c r="L493" i="2"/>
  <c r="J493" i="2"/>
  <c r="G493" i="2"/>
  <c r="H493" i="2" s="1"/>
  <c r="D493" i="2"/>
  <c r="E493" i="2" s="1" a="1"/>
  <c r="E493" i="2" s="1"/>
  <c r="B493" i="2"/>
  <c r="Y492" i="2"/>
  <c r="W492" i="2"/>
  <c r="U492" i="2"/>
  <c r="S492" i="2"/>
  <c r="Q492" i="2"/>
  <c r="N492" i="2"/>
  <c r="O492" i="2" s="1"/>
  <c r="L492" i="2"/>
  <c r="J492" i="2"/>
  <c r="G492" i="2"/>
  <c r="H492" i="2" s="1"/>
  <c r="E492" i="2" a="1"/>
  <c r="E492" i="2" s="1"/>
  <c r="D492" i="2"/>
  <c r="B492" i="2"/>
  <c r="Y491" i="2"/>
  <c r="W491" i="2"/>
  <c r="U491" i="2"/>
  <c r="S491" i="2"/>
  <c r="Q491" i="2"/>
  <c r="N491" i="2"/>
  <c r="O491" i="2" s="1"/>
  <c r="L491" i="2"/>
  <c r="J491" i="2"/>
  <c r="G491" i="2"/>
  <c r="H491" i="2" s="1"/>
  <c r="E491" i="2" a="1"/>
  <c r="E491" i="2" s="1"/>
  <c r="D491" i="2"/>
  <c r="B491" i="2"/>
  <c r="Y490" i="2"/>
  <c r="W490" i="2"/>
  <c r="U490" i="2"/>
  <c r="S490" i="2"/>
  <c r="Q490" i="2"/>
  <c r="O490" i="2"/>
  <c r="N490" i="2"/>
  <c r="L490" i="2"/>
  <c r="J490" i="2"/>
  <c r="H490" i="2"/>
  <c r="G490" i="2"/>
  <c r="D490" i="2"/>
  <c r="E490" i="2" s="1" a="1"/>
  <c r="E490" i="2" s="1"/>
  <c r="B490" i="2"/>
  <c r="Y489" i="2"/>
  <c r="W489" i="2"/>
  <c r="U489" i="2"/>
  <c r="S489" i="2"/>
  <c r="Q489" i="2"/>
  <c r="N489" i="2"/>
  <c r="O489" i="2" s="1"/>
  <c r="L489" i="2"/>
  <c r="J489" i="2"/>
  <c r="G489" i="2"/>
  <c r="H489" i="2" s="1"/>
  <c r="D489" i="2"/>
  <c r="E489" i="2" s="1" a="1"/>
  <c r="E489" i="2" s="1"/>
  <c r="B489" i="2"/>
  <c r="Y488" i="2"/>
  <c r="W488" i="2"/>
  <c r="U488" i="2"/>
  <c r="S488" i="2"/>
  <c r="Q488" i="2"/>
  <c r="N488" i="2"/>
  <c r="O488" i="2" s="1"/>
  <c r="L488" i="2"/>
  <c r="J488" i="2"/>
  <c r="G488" i="2"/>
  <c r="H488" i="2" s="1"/>
  <c r="E488" i="2" a="1"/>
  <c r="E488" i="2" s="1"/>
  <c r="D488" i="2"/>
  <c r="B488" i="2"/>
  <c r="Y487" i="2"/>
  <c r="W487" i="2"/>
  <c r="U487" i="2"/>
  <c r="S487" i="2"/>
  <c r="Q487" i="2"/>
  <c r="N487" i="2"/>
  <c r="O487" i="2" s="1"/>
  <c r="L487" i="2"/>
  <c r="J487" i="2"/>
  <c r="G487" i="2"/>
  <c r="H487" i="2" s="1"/>
  <c r="E487" i="2" a="1"/>
  <c r="E487" i="2" s="1"/>
  <c r="D487" i="2"/>
  <c r="B487" i="2"/>
  <c r="Y486" i="2"/>
  <c r="W486" i="2"/>
  <c r="U486" i="2"/>
  <c r="S486" i="2"/>
  <c r="Q486" i="2"/>
  <c r="O486" i="2"/>
  <c r="N486" i="2"/>
  <c r="L486" i="2"/>
  <c r="J486" i="2"/>
  <c r="H486" i="2"/>
  <c r="G486" i="2"/>
  <c r="D486" i="2"/>
  <c r="E486" i="2" s="1" a="1"/>
  <c r="E486" i="2" s="1"/>
  <c r="B486" i="2"/>
  <c r="Y485" i="2"/>
  <c r="W485" i="2"/>
  <c r="U485" i="2"/>
  <c r="S485" i="2"/>
  <c r="Q485" i="2"/>
  <c r="N485" i="2"/>
  <c r="O485" i="2" s="1"/>
  <c r="L485" i="2"/>
  <c r="J485" i="2"/>
  <c r="G485" i="2"/>
  <c r="H485" i="2" s="1"/>
  <c r="D485" i="2"/>
  <c r="E485" i="2" s="1" a="1"/>
  <c r="E485" i="2" s="1"/>
  <c r="B485" i="2"/>
  <c r="Y484" i="2"/>
  <c r="W484" i="2"/>
  <c r="U484" i="2"/>
  <c r="S484" i="2"/>
  <c r="Q484" i="2"/>
  <c r="N484" i="2"/>
  <c r="O484" i="2" s="1"/>
  <c r="L484" i="2"/>
  <c r="J484" i="2"/>
  <c r="G484" i="2"/>
  <c r="H484" i="2" s="1"/>
  <c r="E484" i="2" a="1"/>
  <c r="E484" i="2" s="1"/>
  <c r="D484" i="2"/>
  <c r="B484" i="2"/>
  <c r="Y483" i="2"/>
  <c r="W483" i="2"/>
  <c r="U483" i="2"/>
  <c r="S483" i="2"/>
  <c r="Q483" i="2"/>
  <c r="N483" i="2"/>
  <c r="O483" i="2" s="1"/>
  <c r="L483" i="2"/>
  <c r="J483" i="2"/>
  <c r="G483" i="2"/>
  <c r="H483" i="2" s="1"/>
  <c r="E483" i="2" a="1"/>
  <c r="E483" i="2" s="1"/>
  <c r="D483" i="2"/>
  <c r="B483" i="2"/>
  <c r="Y482" i="2"/>
  <c r="W482" i="2"/>
  <c r="U482" i="2"/>
  <c r="S482" i="2"/>
  <c r="Q482" i="2"/>
  <c r="O482" i="2"/>
  <c r="N482" i="2"/>
  <c r="L482" i="2"/>
  <c r="J482" i="2"/>
  <c r="H482" i="2"/>
  <c r="G482" i="2"/>
  <c r="D482" i="2"/>
  <c r="E482" i="2" s="1" a="1"/>
  <c r="E482" i="2" s="1"/>
  <c r="B482" i="2"/>
  <c r="Y481" i="2"/>
  <c r="W481" i="2"/>
  <c r="U481" i="2"/>
  <c r="S481" i="2"/>
  <c r="Q481" i="2"/>
  <c r="N481" i="2"/>
  <c r="O481" i="2" s="1"/>
  <c r="J481" i="2"/>
  <c r="G481" i="2"/>
  <c r="H481" i="2" s="1"/>
  <c r="E481" i="2" a="1"/>
  <c r="E481" i="2" s="1"/>
  <c r="D481" i="2"/>
  <c r="B481" i="2"/>
  <c r="Y480" i="2"/>
  <c r="W480" i="2"/>
  <c r="U480" i="2"/>
  <c r="S480" i="2"/>
  <c r="Q480" i="2"/>
  <c r="N480" i="2"/>
  <c r="O480" i="2" s="1"/>
  <c r="L480" i="2"/>
  <c r="J480" i="2"/>
  <c r="G480" i="2"/>
  <c r="H480" i="2" s="1"/>
  <c r="E480" i="2" a="1"/>
  <c r="E480" i="2"/>
  <c r="D480" i="2"/>
  <c r="B480" i="2"/>
  <c r="Y479" i="2"/>
  <c r="W479" i="2"/>
  <c r="U479" i="2"/>
  <c r="S479" i="2"/>
  <c r="Q479" i="2"/>
  <c r="O479" i="2"/>
  <c r="N479" i="2"/>
  <c r="L479" i="2"/>
  <c r="J479" i="2"/>
  <c r="H479" i="2"/>
  <c r="G479" i="2"/>
  <c r="D479" i="2"/>
  <c r="E479" i="2" s="1" a="1"/>
  <c r="E479" i="2" s="1"/>
  <c r="B479" i="2"/>
  <c r="Y478" i="2"/>
  <c r="W478" i="2"/>
  <c r="U478" i="2"/>
  <c r="S478" i="2"/>
  <c r="Q478" i="2"/>
  <c r="N478" i="2"/>
  <c r="O478" i="2" s="1"/>
  <c r="L478" i="2"/>
  <c r="J478" i="2"/>
  <c r="G478" i="2"/>
  <c r="H478" i="2" s="1"/>
  <c r="D478" i="2"/>
  <c r="E478" i="2" s="1" a="1"/>
  <c r="E478" i="2" s="1"/>
  <c r="B478" i="2"/>
  <c r="Y477" i="2"/>
  <c r="W477" i="2"/>
  <c r="U477" i="2"/>
  <c r="S477" i="2"/>
  <c r="Q477" i="2"/>
  <c r="N477" i="2"/>
  <c r="O477" i="2" s="1"/>
  <c r="L477" i="2"/>
  <c r="J477" i="2"/>
  <c r="G477" i="2"/>
  <c r="H477" i="2" s="1"/>
  <c r="E477" i="2" a="1"/>
  <c r="E477" i="2" s="1"/>
  <c r="D477" i="2"/>
  <c r="B477" i="2"/>
  <c r="Y476" i="2"/>
  <c r="W476" i="2"/>
  <c r="U476" i="2"/>
  <c r="S476" i="2"/>
  <c r="Q476" i="2"/>
  <c r="N476" i="2"/>
  <c r="O476" i="2" s="1"/>
  <c r="L476" i="2"/>
  <c r="J476" i="2"/>
  <c r="G476" i="2"/>
  <c r="H476" i="2" s="1"/>
  <c r="E476" i="2" a="1"/>
  <c r="E476" i="2"/>
  <c r="D476" i="2"/>
  <c r="B476" i="2"/>
  <c r="Y475" i="2"/>
  <c r="W475" i="2"/>
  <c r="U475" i="2"/>
  <c r="S475" i="2"/>
  <c r="Q475" i="2"/>
  <c r="O475" i="2"/>
  <c r="N475" i="2"/>
  <c r="L475" i="2"/>
  <c r="J475" i="2"/>
  <c r="H475" i="2"/>
  <c r="G475" i="2"/>
  <c r="D475" i="2"/>
  <c r="E475" i="2" s="1" a="1"/>
  <c r="E475" i="2" s="1"/>
  <c r="B475" i="2"/>
  <c r="Y474" i="2"/>
  <c r="W474" i="2"/>
  <c r="U474" i="2"/>
  <c r="S474" i="2"/>
  <c r="Q474" i="2"/>
  <c r="N474" i="2"/>
  <c r="O474" i="2" s="1"/>
  <c r="L474" i="2"/>
  <c r="J474" i="2"/>
  <c r="G474" i="2"/>
  <c r="H474" i="2" s="1"/>
  <c r="D474" i="2"/>
  <c r="E474" i="2" s="1" a="1"/>
  <c r="E474" i="2" s="1"/>
  <c r="B474" i="2"/>
  <c r="Y473" i="2"/>
  <c r="W473" i="2"/>
  <c r="U473" i="2"/>
  <c r="S473" i="2"/>
  <c r="Q473" i="2"/>
  <c r="N473" i="2"/>
  <c r="O473" i="2" s="1"/>
  <c r="L473" i="2"/>
  <c r="J473" i="2"/>
  <c r="G473" i="2"/>
  <c r="H473" i="2" s="1"/>
  <c r="E473" i="2" a="1"/>
  <c r="E473" i="2" s="1"/>
  <c r="D473" i="2"/>
  <c r="B473" i="2"/>
  <c r="Y472" i="2"/>
  <c r="W472" i="2"/>
  <c r="U472" i="2"/>
  <c r="S472" i="2"/>
  <c r="Q472" i="2"/>
  <c r="N472" i="2"/>
  <c r="O472" i="2" s="1"/>
  <c r="L472" i="2"/>
  <c r="J472" i="2"/>
  <c r="G472" i="2"/>
  <c r="H472" i="2" s="1"/>
  <c r="E472" i="2" a="1"/>
  <c r="E472" i="2"/>
  <c r="D472" i="2"/>
  <c r="B472" i="2"/>
  <c r="Y471" i="2"/>
  <c r="W471" i="2"/>
  <c r="U471" i="2"/>
  <c r="S471" i="2"/>
  <c r="Q471" i="2"/>
  <c r="O471" i="2"/>
  <c r="N471" i="2"/>
  <c r="L471" i="2"/>
  <c r="J471" i="2"/>
  <c r="H471" i="2"/>
  <c r="G471" i="2"/>
  <c r="D471" i="2"/>
  <c r="E471" i="2" s="1" a="1"/>
  <c r="E471" i="2" s="1"/>
  <c r="B471" i="2"/>
  <c r="Y470" i="2"/>
  <c r="W470" i="2"/>
  <c r="U470" i="2"/>
  <c r="S470" i="2"/>
  <c r="Q470" i="2"/>
  <c r="N470" i="2"/>
  <c r="O470" i="2" s="1"/>
  <c r="L470" i="2"/>
  <c r="J470" i="2"/>
  <c r="G470" i="2"/>
  <c r="H470" i="2" s="1"/>
  <c r="D470" i="2"/>
  <c r="E470" i="2" s="1" a="1"/>
  <c r="E470" i="2" s="1"/>
  <c r="B470" i="2"/>
  <c r="Y469" i="2"/>
  <c r="W469" i="2"/>
  <c r="U469" i="2"/>
  <c r="S469" i="2"/>
  <c r="Q469" i="2"/>
  <c r="N469" i="2"/>
  <c r="O469" i="2" s="1"/>
  <c r="L469" i="2"/>
  <c r="J469" i="2"/>
  <c r="G469" i="2"/>
  <c r="H469" i="2" s="1"/>
  <c r="E469" i="2" a="1"/>
  <c r="E469" i="2" s="1"/>
  <c r="D469" i="2"/>
  <c r="B469" i="2"/>
  <c r="Y468" i="2"/>
  <c r="W468" i="2"/>
  <c r="U468" i="2"/>
  <c r="S468" i="2"/>
  <c r="Q468" i="2"/>
  <c r="N468" i="2"/>
  <c r="O468" i="2" s="1"/>
  <c r="L468" i="2"/>
  <c r="J468" i="2"/>
  <c r="G468" i="2"/>
  <c r="H468" i="2" s="1"/>
  <c r="E468" i="2" a="1"/>
  <c r="E468" i="2"/>
  <c r="D468" i="2"/>
  <c r="B468" i="2"/>
  <c r="Y467" i="2"/>
  <c r="W467" i="2"/>
  <c r="U467" i="2"/>
  <c r="S467" i="2"/>
  <c r="Q467" i="2"/>
  <c r="O467" i="2"/>
  <c r="N467" i="2"/>
  <c r="L467" i="2"/>
  <c r="J467" i="2"/>
  <c r="H467" i="2"/>
  <c r="G467" i="2"/>
  <c r="D467" i="2"/>
  <c r="E467" i="2" s="1" a="1"/>
  <c r="E467" i="2" s="1"/>
  <c r="B467" i="2"/>
  <c r="Y466" i="2"/>
  <c r="W466" i="2"/>
  <c r="U466" i="2"/>
  <c r="S466" i="2"/>
  <c r="Q466" i="2"/>
  <c r="N466" i="2"/>
  <c r="O466" i="2" s="1"/>
  <c r="J466" i="2"/>
  <c r="G466" i="2"/>
  <c r="H466" i="2" s="1"/>
  <c r="E466" i="2" a="1"/>
  <c r="E466" i="2" s="1"/>
  <c r="D466" i="2"/>
  <c r="B466" i="2"/>
  <c r="Y465" i="2"/>
  <c r="W465" i="2"/>
  <c r="U465" i="2"/>
  <c r="S465" i="2"/>
  <c r="Q465" i="2"/>
  <c r="N465" i="2"/>
  <c r="O465" i="2" s="1"/>
  <c r="L465" i="2"/>
  <c r="J465" i="2"/>
  <c r="G465" i="2"/>
  <c r="H465" i="2" s="1"/>
  <c r="E465" i="2" a="1"/>
  <c r="E465" i="2"/>
  <c r="D465" i="2"/>
  <c r="B465" i="2"/>
  <c r="Y464" i="2"/>
  <c r="W464" i="2"/>
  <c r="U464" i="2"/>
  <c r="S464" i="2"/>
  <c r="Q464" i="2"/>
  <c r="O464" i="2"/>
  <c r="N464" i="2"/>
  <c r="L464" i="2"/>
  <c r="J464" i="2"/>
  <c r="H464" i="2"/>
  <c r="G464" i="2"/>
  <c r="D464" i="2"/>
  <c r="E464" i="2" s="1" a="1"/>
  <c r="E464" i="2" s="1"/>
  <c r="B464" i="2"/>
  <c r="Y463" i="2"/>
  <c r="W463" i="2"/>
  <c r="U463" i="2"/>
  <c r="S463" i="2"/>
  <c r="Q463" i="2"/>
  <c r="N463" i="2"/>
  <c r="O463" i="2" s="1"/>
  <c r="L463" i="2"/>
  <c r="J463" i="2"/>
  <c r="G463" i="2"/>
  <c r="H463" i="2" s="1"/>
  <c r="D463" i="2"/>
  <c r="E463" i="2" s="1" a="1"/>
  <c r="E463" i="2" s="1"/>
  <c r="B463" i="2"/>
  <c r="Y462" i="2"/>
  <c r="W462" i="2"/>
  <c r="U462" i="2"/>
  <c r="S462" i="2"/>
  <c r="Q462" i="2"/>
  <c r="N462" i="2"/>
  <c r="O462" i="2" s="1"/>
  <c r="L462" i="2"/>
  <c r="J462" i="2"/>
  <c r="G462" i="2"/>
  <c r="H462" i="2" s="1"/>
  <c r="E462" i="2" a="1"/>
  <c r="E462" i="2" s="1"/>
  <c r="D462" i="2"/>
  <c r="B462" i="2"/>
  <c r="Y461" i="2"/>
  <c r="W461" i="2"/>
  <c r="U461" i="2"/>
  <c r="S461" i="2"/>
  <c r="Q461" i="2"/>
  <c r="N461" i="2"/>
  <c r="O461" i="2" s="1"/>
  <c r="L461" i="2"/>
  <c r="J461" i="2"/>
  <c r="G461" i="2"/>
  <c r="H461" i="2" s="1"/>
  <c r="E461" i="2" a="1"/>
  <c r="E461" i="2"/>
  <c r="D461" i="2"/>
  <c r="B461" i="2"/>
  <c r="Y460" i="2"/>
  <c r="W460" i="2"/>
  <c r="U460" i="2"/>
  <c r="S460" i="2"/>
  <c r="Q460" i="2"/>
  <c r="O460" i="2"/>
  <c r="N460" i="2"/>
  <c r="L460" i="2"/>
  <c r="J460" i="2"/>
  <c r="H460" i="2"/>
  <c r="G460" i="2"/>
  <c r="D460" i="2"/>
  <c r="E460" i="2" s="1" a="1"/>
  <c r="E460" i="2" s="1"/>
  <c r="B460" i="2"/>
  <c r="Y459" i="2"/>
  <c r="W459" i="2"/>
  <c r="U459" i="2"/>
  <c r="S459" i="2"/>
  <c r="Q459" i="2"/>
  <c r="N459" i="2"/>
  <c r="O459" i="2" s="1"/>
  <c r="L459" i="2"/>
  <c r="J459" i="2"/>
  <c r="G459" i="2"/>
  <c r="H459" i="2" s="1"/>
  <c r="D459" i="2"/>
  <c r="E459" i="2" s="1" a="1"/>
  <c r="E459" i="2" s="1"/>
  <c r="B459" i="2"/>
  <c r="Y458" i="2"/>
  <c r="W458" i="2"/>
  <c r="U458" i="2"/>
  <c r="S458" i="2"/>
  <c r="Q458" i="2"/>
  <c r="N458" i="2"/>
  <c r="O458" i="2" s="1"/>
  <c r="J458" i="2"/>
  <c r="G458" i="2"/>
  <c r="H458" i="2" s="1"/>
  <c r="E458" i="2" a="1"/>
  <c r="E458" i="2"/>
  <c r="D458" i="2"/>
  <c r="B458" i="2"/>
  <c r="Y457" i="2"/>
  <c r="W457" i="2"/>
  <c r="U457" i="2"/>
  <c r="S457" i="2"/>
  <c r="Q457" i="2"/>
  <c r="O457" i="2"/>
  <c r="N457" i="2"/>
  <c r="L457" i="2"/>
  <c r="J457" i="2"/>
  <c r="H457" i="2"/>
  <c r="G457" i="2"/>
  <c r="E457" i="2"/>
  <c r="D457" i="2"/>
  <c r="E457" i="2" s="1" a="1"/>
  <c r="B457" i="2"/>
  <c r="Y456" i="2"/>
  <c r="W456" i="2"/>
  <c r="U456" i="2"/>
  <c r="S456" i="2"/>
  <c r="Q456" i="2"/>
  <c r="O456" i="2"/>
  <c r="N456" i="2"/>
  <c r="L456" i="2"/>
  <c r="J456" i="2"/>
  <c r="H456" i="2"/>
  <c r="G456" i="2"/>
  <c r="D456" i="2"/>
  <c r="E456" i="2" s="1" a="1"/>
  <c r="E456" i="2" s="1"/>
  <c r="B456" i="2"/>
  <c r="Y455" i="2"/>
  <c r="W455" i="2"/>
  <c r="U455" i="2"/>
  <c r="S455" i="2"/>
  <c r="Q455" i="2"/>
  <c r="N455" i="2"/>
  <c r="O455" i="2" s="1"/>
  <c r="L455" i="2"/>
  <c r="J455" i="2"/>
  <c r="G455" i="2"/>
  <c r="H455" i="2" s="1"/>
  <c r="E455" i="2" a="1"/>
  <c r="E455" i="2" s="1"/>
  <c r="D455" i="2"/>
  <c r="B455" i="2"/>
  <c r="Y454" i="2"/>
  <c r="W454" i="2"/>
  <c r="U454" i="2"/>
  <c r="S454" i="2"/>
  <c r="Q454" i="2"/>
  <c r="N454" i="2"/>
  <c r="O454" i="2" s="1"/>
  <c r="L454" i="2"/>
  <c r="J454" i="2"/>
  <c r="G454" i="2"/>
  <c r="H454" i="2" s="1"/>
  <c r="E454" i="2" a="1"/>
  <c r="E454" i="2"/>
  <c r="D454" i="2"/>
  <c r="B454" i="2"/>
  <c r="Y453" i="2"/>
  <c r="W453" i="2"/>
  <c r="U453" i="2"/>
  <c r="S453" i="2"/>
  <c r="Q453" i="2"/>
  <c r="O453" i="2"/>
  <c r="N453" i="2"/>
  <c r="L453" i="2"/>
  <c r="J453" i="2"/>
  <c r="H453" i="2"/>
  <c r="G453" i="2"/>
  <c r="E453" i="2"/>
  <c r="D453" i="2"/>
  <c r="E453" i="2" s="1" a="1"/>
  <c r="B453" i="2"/>
  <c r="Y452" i="2"/>
  <c r="W452" i="2"/>
  <c r="U452" i="2"/>
  <c r="S452" i="2"/>
  <c r="Q452" i="2"/>
  <c r="O452" i="2"/>
  <c r="N452" i="2"/>
  <c r="L452" i="2"/>
  <c r="J452" i="2"/>
  <c r="H452" i="2"/>
  <c r="G452" i="2"/>
  <c r="D452" i="2"/>
  <c r="E452" i="2" s="1" a="1"/>
  <c r="E452" i="2" s="1"/>
  <c r="B452" i="2"/>
  <c r="Y451" i="2"/>
  <c r="W451" i="2"/>
  <c r="U451" i="2"/>
  <c r="S451" i="2"/>
  <c r="Q451" i="2"/>
  <c r="N451" i="2"/>
  <c r="O451" i="2" s="1"/>
  <c r="L451" i="2"/>
  <c r="J451" i="2"/>
  <c r="G451" i="2"/>
  <c r="H451" i="2" s="1"/>
  <c r="E451" i="2" a="1"/>
  <c r="E451" i="2" s="1"/>
  <c r="D451" i="2"/>
  <c r="B451" i="2"/>
  <c r="Y450" i="2"/>
  <c r="W450" i="2"/>
  <c r="U450" i="2"/>
  <c r="S450" i="2"/>
  <c r="Q450" i="2"/>
  <c r="N450" i="2"/>
  <c r="O450" i="2" s="1"/>
  <c r="L450" i="2"/>
  <c r="J450" i="2"/>
  <c r="G450" i="2"/>
  <c r="H450" i="2" s="1"/>
  <c r="E450" i="2" a="1"/>
  <c r="E450" i="2" s="1"/>
  <c r="D450" i="2"/>
  <c r="B450" i="2"/>
  <c r="Y449" i="2"/>
  <c r="W449" i="2"/>
  <c r="U449" i="2"/>
  <c r="S449" i="2"/>
  <c r="Q449" i="2"/>
  <c r="O449" i="2"/>
  <c r="N449" i="2"/>
  <c r="L449" i="2"/>
  <c r="J449" i="2"/>
  <c r="H449" i="2"/>
  <c r="G449" i="2"/>
  <c r="E449" i="2"/>
  <c r="D449" i="2"/>
  <c r="E449" i="2" s="1" a="1"/>
  <c r="B449" i="2"/>
  <c r="Y448" i="2"/>
  <c r="W448" i="2"/>
  <c r="U448" i="2"/>
  <c r="S448" i="2"/>
  <c r="Q448" i="2"/>
  <c r="O448" i="2"/>
  <c r="N448" i="2"/>
  <c r="L448" i="2"/>
  <c r="J448" i="2"/>
  <c r="H448" i="2"/>
  <c r="G448" i="2"/>
  <c r="D448" i="2"/>
  <c r="E448" i="2" s="1" a="1"/>
  <c r="E448" i="2" s="1"/>
  <c r="B448" i="2"/>
  <c r="Y447" i="2"/>
  <c r="W447" i="2"/>
  <c r="U447" i="2"/>
  <c r="S447" i="2"/>
  <c r="Q447" i="2"/>
  <c r="N447" i="2"/>
  <c r="O447" i="2" s="1"/>
  <c r="L447" i="2"/>
  <c r="J447" i="2"/>
  <c r="G447" i="2"/>
  <c r="H447" i="2" s="1"/>
  <c r="E447" i="2" a="1"/>
  <c r="E447" i="2" s="1"/>
  <c r="D447" i="2"/>
  <c r="B447" i="2"/>
  <c r="Y446" i="2"/>
  <c r="W446" i="2"/>
  <c r="U446" i="2"/>
  <c r="S446" i="2"/>
  <c r="Q446" i="2"/>
  <c r="N446" i="2"/>
  <c r="O446" i="2" s="1"/>
  <c r="L446" i="2"/>
  <c r="J446" i="2"/>
  <c r="G446" i="2"/>
  <c r="H446" i="2" s="1"/>
  <c r="E446" i="2" a="1"/>
  <c r="E446" i="2" s="1"/>
  <c r="D446" i="2"/>
  <c r="B446" i="2"/>
  <c r="Y445" i="2"/>
  <c r="W445" i="2"/>
  <c r="U445" i="2"/>
  <c r="S445" i="2"/>
  <c r="Q445" i="2"/>
  <c r="O445" i="2"/>
  <c r="N445" i="2"/>
  <c r="L445" i="2"/>
  <c r="J445" i="2"/>
  <c r="H445" i="2"/>
  <c r="G445" i="2"/>
  <c r="E445" i="2"/>
  <c r="D445" i="2"/>
  <c r="E445" i="2" s="1" a="1"/>
  <c r="B445" i="2"/>
  <c r="Y444" i="2"/>
  <c r="W444" i="2"/>
  <c r="U444" i="2"/>
  <c r="S444" i="2"/>
  <c r="Q444" i="2"/>
  <c r="O444" i="2"/>
  <c r="N444" i="2"/>
  <c r="L444" i="2"/>
  <c r="J444" i="2"/>
  <c r="H444" i="2"/>
  <c r="G444" i="2"/>
  <c r="D444" i="2"/>
  <c r="E444" i="2" s="1" a="1"/>
  <c r="E444" i="2" s="1"/>
  <c r="B444" i="2"/>
  <c r="Y443" i="2"/>
  <c r="W443" i="2"/>
  <c r="U443" i="2"/>
  <c r="S443" i="2"/>
  <c r="Q443" i="2"/>
  <c r="N443" i="2"/>
  <c r="O443" i="2" s="1"/>
  <c r="L443" i="2"/>
  <c r="J443" i="2"/>
  <c r="G443" i="2"/>
  <c r="H443" i="2" s="1"/>
  <c r="E443" i="2" a="1"/>
  <c r="E443" i="2" s="1"/>
  <c r="D443" i="2"/>
  <c r="B443" i="2"/>
  <c r="Y442" i="2"/>
  <c r="W442" i="2"/>
  <c r="U442" i="2"/>
  <c r="S442" i="2"/>
  <c r="Q442" i="2"/>
  <c r="N442" i="2"/>
  <c r="O442" i="2" s="1"/>
  <c r="L442" i="2"/>
  <c r="J442" i="2"/>
  <c r="G442" i="2"/>
  <c r="H442" i="2" s="1"/>
  <c r="E442" i="2" a="1"/>
  <c r="E442" i="2" s="1"/>
  <c r="D442" i="2"/>
  <c r="B442" i="2"/>
  <c r="Y441" i="2"/>
  <c r="W441" i="2"/>
  <c r="U441" i="2"/>
  <c r="S441" i="2"/>
  <c r="Q441" i="2"/>
  <c r="O441" i="2"/>
  <c r="N441" i="2"/>
  <c r="L441" i="2"/>
  <c r="J441" i="2"/>
  <c r="H441" i="2"/>
  <c r="G441" i="2"/>
  <c r="E441" i="2"/>
  <c r="D441" i="2"/>
  <c r="E441" i="2" s="1" a="1"/>
  <c r="B441" i="2"/>
  <c r="Y440" i="2"/>
  <c r="W440" i="2"/>
  <c r="U440" i="2"/>
  <c r="S440" i="2"/>
  <c r="Q440" i="2"/>
  <c r="O440" i="2"/>
  <c r="N440" i="2"/>
  <c r="L440" i="2"/>
  <c r="J440" i="2"/>
  <c r="H440" i="2"/>
  <c r="G440" i="2"/>
  <c r="D440" i="2"/>
  <c r="E440" i="2" s="1" a="1"/>
  <c r="E440" i="2" s="1"/>
  <c r="B440" i="2"/>
  <c r="Y439" i="2"/>
  <c r="W439" i="2"/>
  <c r="U439" i="2"/>
  <c r="S439" i="2"/>
  <c r="Q439" i="2"/>
  <c r="N439" i="2"/>
  <c r="O439" i="2" s="1"/>
  <c r="L439" i="2"/>
  <c r="J439" i="2"/>
  <c r="G439" i="2"/>
  <c r="H439" i="2" s="1"/>
  <c r="E439" i="2" a="1"/>
  <c r="E439" i="2" s="1"/>
  <c r="D439" i="2"/>
  <c r="B439" i="2"/>
  <c r="Y438" i="2"/>
  <c r="W438" i="2"/>
  <c r="U438" i="2"/>
  <c r="S438" i="2"/>
  <c r="Q438" i="2"/>
  <c r="N438" i="2"/>
  <c r="O438" i="2" s="1"/>
  <c r="L438" i="2"/>
  <c r="J438" i="2"/>
  <c r="G438" i="2"/>
  <c r="H438" i="2" s="1"/>
  <c r="E438" i="2" a="1"/>
  <c r="E438" i="2" s="1"/>
  <c r="D438" i="2"/>
  <c r="B438" i="2"/>
  <c r="Y437" i="2"/>
  <c r="W437" i="2"/>
  <c r="U437" i="2"/>
  <c r="S437" i="2"/>
  <c r="Q437" i="2"/>
  <c r="O437" i="2"/>
  <c r="N437" i="2"/>
  <c r="L437" i="2"/>
  <c r="J437" i="2"/>
  <c r="H437" i="2"/>
  <c r="G437" i="2"/>
  <c r="E437" i="2"/>
  <c r="D437" i="2"/>
  <c r="E437" i="2" s="1" a="1"/>
  <c r="B437" i="2"/>
  <c r="Y436" i="2"/>
  <c r="W436" i="2"/>
  <c r="U436" i="2"/>
  <c r="S436" i="2"/>
  <c r="Q436" i="2"/>
  <c r="O436" i="2"/>
  <c r="N436" i="2"/>
  <c r="L436" i="2"/>
  <c r="J436" i="2"/>
  <c r="H436" i="2"/>
  <c r="G436" i="2"/>
  <c r="D436" i="2"/>
  <c r="E436" i="2" s="1" a="1"/>
  <c r="E436" i="2" s="1"/>
  <c r="B436" i="2"/>
  <c r="Y435" i="2"/>
  <c r="W435" i="2"/>
  <c r="U435" i="2"/>
  <c r="S435" i="2"/>
  <c r="Q435" i="2"/>
  <c r="N435" i="2"/>
  <c r="O435" i="2" s="1"/>
  <c r="L435" i="2"/>
  <c r="J435" i="2"/>
  <c r="G435" i="2"/>
  <c r="H435" i="2" s="1"/>
  <c r="E435" i="2" a="1"/>
  <c r="E435" i="2" s="1"/>
  <c r="D435" i="2"/>
  <c r="B435" i="2"/>
  <c r="Y434" i="2"/>
  <c r="W434" i="2"/>
  <c r="U434" i="2"/>
  <c r="S434" i="2"/>
  <c r="Q434" i="2"/>
  <c r="N434" i="2"/>
  <c r="O434" i="2" s="1"/>
  <c r="L434" i="2"/>
  <c r="J434" i="2"/>
  <c r="G434" i="2"/>
  <c r="H434" i="2" s="1"/>
  <c r="E434" i="2" a="1"/>
  <c r="E434" i="2" s="1"/>
  <c r="D434" i="2"/>
  <c r="B434" i="2"/>
  <c r="Y433" i="2"/>
  <c r="W433" i="2"/>
  <c r="U433" i="2"/>
  <c r="S433" i="2"/>
  <c r="Q433" i="2"/>
  <c r="O433" i="2"/>
  <c r="N433" i="2"/>
  <c r="L433" i="2"/>
  <c r="J433" i="2"/>
  <c r="H433" i="2"/>
  <c r="G433" i="2"/>
  <c r="E433" i="2"/>
  <c r="D433" i="2"/>
  <c r="E433" i="2" s="1" a="1"/>
  <c r="B433" i="2"/>
  <c r="Y432" i="2"/>
  <c r="W432" i="2"/>
  <c r="U432" i="2"/>
  <c r="S432" i="2"/>
  <c r="Q432" i="2"/>
  <c r="O432" i="2"/>
  <c r="N432" i="2"/>
  <c r="L432" i="2"/>
  <c r="J432" i="2"/>
  <c r="H432" i="2"/>
  <c r="G432" i="2"/>
  <c r="D432" i="2"/>
  <c r="E432" i="2" s="1" a="1"/>
  <c r="E432" i="2" s="1"/>
  <c r="B432" i="2"/>
  <c r="Y431" i="2"/>
  <c r="W431" i="2"/>
  <c r="U431" i="2"/>
  <c r="S431" i="2"/>
  <c r="Q431" i="2"/>
  <c r="N431" i="2"/>
  <c r="O431" i="2" s="1"/>
  <c r="L431" i="2"/>
  <c r="J431" i="2"/>
  <c r="G431" i="2"/>
  <c r="H431" i="2" s="1"/>
  <c r="E431" i="2" a="1"/>
  <c r="E431" i="2" s="1"/>
  <c r="D431" i="2"/>
  <c r="B431" i="2"/>
  <c r="Y430" i="2"/>
  <c r="W430" i="2"/>
  <c r="U430" i="2"/>
  <c r="S430" i="2"/>
  <c r="Q430" i="2"/>
  <c r="N430" i="2"/>
  <c r="O430" i="2" s="1"/>
  <c r="L430" i="2"/>
  <c r="J430" i="2"/>
  <c r="G430" i="2"/>
  <c r="H430" i="2" s="1"/>
  <c r="E430" i="2" a="1"/>
  <c r="E430" i="2" s="1"/>
  <c r="D430" i="2"/>
  <c r="B430" i="2"/>
  <c r="Y429" i="2"/>
  <c r="W429" i="2"/>
  <c r="U429" i="2"/>
  <c r="S429" i="2"/>
  <c r="Q429" i="2"/>
  <c r="O429" i="2"/>
  <c r="N429" i="2"/>
  <c r="L429" i="2"/>
  <c r="J429" i="2"/>
  <c r="H429" i="2"/>
  <c r="G429" i="2"/>
  <c r="E429" i="2"/>
  <c r="D429" i="2"/>
  <c r="E429" i="2" s="1" a="1"/>
  <c r="B429" i="2"/>
  <c r="Y428" i="2"/>
  <c r="W428" i="2"/>
  <c r="U428" i="2"/>
  <c r="S428" i="2"/>
  <c r="Q428" i="2"/>
  <c r="O428" i="2"/>
  <c r="N428" i="2"/>
  <c r="L428" i="2"/>
  <c r="J428" i="2"/>
  <c r="H428" i="2"/>
  <c r="G428" i="2"/>
  <c r="D428" i="2"/>
  <c r="E428" i="2" s="1" a="1"/>
  <c r="E428" i="2" s="1"/>
  <c r="B428" i="2"/>
  <c r="Y427" i="2"/>
  <c r="W427" i="2"/>
  <c r="U427" i="2"/>
  <c r="S427" i="2"/>
  <c r="Q427" i="2"/>
  <c r="N427" i="2"/>
  <c r="O427" i="2" s="1"/>
  <c r="L427" i="2"/>
  <c r="J427" i="2"/>
  <c r="G427" i="2"/>
  <c r="H427" i="2" s="1"/>
  <c r="E427" i="2" a="1"/>
  <c r="E427" i="2" s="1"/>
  <c r="D427" i="2"/>
  <c r="B427" i="2"/>
  <c r="Y426" i="2"/>
  <c r="W426" i="2"/>
  <c r="U426" i="2"/>
  <c r="S426" i="2"/>
  <c r="Q426" i="2"/>
  <c r="N426" i="2"/>
  <c r="O426" i="2" s="1"/>
  <c r="L426" i="2"/>
  <c r="J426" i="2"/>
  <c r="G426" i="2"/>
  <c r="H426" i="2" s="1"/>
  <c r="E426" i="2" a="1"/>
  <c r="E426" i="2" s="1"/>
  <c r="D426" i="2"/>
  <c r="B426" i="2"/>
  <c r="Y425" i="2"/>
  <c r="W425" i="2"/>
  <c r="U425" i="2"/>
  <c r="S425" i="2"/>
  <c r="Q425" i="2"/>
  <c r="O425" i="2"/>
  <c r="N425" i="2"/>
  <c r="L425" i="2"/>
  <c r="J425" i="2"/>
  <c r="H425" i="2"/>
  <c r="G425" i="2"/>
  <c r="E425" i="2"/>
  <c r="D425" i="2"/>
  <c r="E425" i="2" s="1" a="1"/>
  <c r="B425" i="2"/>
  <c r="Y424" i="2"/>
  <c r="W424" i="2"/>
  <c r="U424" i="2"/>
  <c r="S424" i="2"/>
  <c r="Q424" i="2"/>
  <c r="O424" i="2"/>
  <c r="N424" i="2"/>
  <c r="L424" i="2"/>
  <c r="J424" i="2"/>
  <c r="H424" i="2"/>
  <c r="G424" i="2"/>
  <c r="D424" i="2"/>
  <c r="E424" i="2" s="1" a="1"/>
  <c r="E424" i="2" s="1"/>
  <c r="B424" i="2"/>
  <c r="Y423" i="2"/>
  <c r="W423" i="2"/>
  <c r="U423" i="2"/>
  <c r="S423" i="2"/>
  <c r="Q423" i="2"/>
  <c r="N423" i="2"/>
  <c r="O423" i="2" s="1"/>
  <c r="L423" i="2"/>
  <c r="J423" i="2"/>
  <c r="G423" i="2"/>
  <c r="H423" i="2" s="1"/>
  <c r="E423" i="2" a="1"/>
  <c r="E423" i="2" s="1"/>
  <c r="D423" i="2"/>
  <c r="B423" i="2"/>
  <c r="Y422" i="2"/>
  <c r="W422" i="2"/>
  <c r="U422" i="2"/>
  <c r="S422" i="2"/>
  <c r="Q422" i="2"/>
  <c r="N422" i="2"/>
  <c r="O422" i="2" s="1"/>
  <c r="L422" i="2"/>
  <c r="J422" i="2"/>
  <c r="G422" i="2"/>
  <c r="H422" i="2" s="1"/>
  <c r="E422" i="2" a="1"/>
  <c r="E422" i="2" s="1"/>
  <c r="D422" i="2"/>
  <c r="B422" i="2"/>
  <c r="Y421" i="2"/>
  <c r="W421" i="2"/>
  <c r="U421" i="2"/>
  <c r="S421" i="2"/>
  <c r="Q421" i="2"/>
  <c r="O421" i="2"/>
  <c r="N421" i="2"/>
  <c r="L421" i="2"/>
  <c r="J421" i="2"/>
  <c r="H421" i="2"/>
  <c r="G421" i="2"/>
  <c r="E421" i="2"/>
  <c r="D421" i="2"/>
  <c r="E421" i="2" s="1" a="1"/>
  <c r="B421" i="2"/>
  <c r="Y420" i="2"/>
  <c r="W420" i="2"/>
  <c r="U420" i="2"/>
  <c r="S420" i="2"/>
  <c r="Q420" i="2"/>
  <c r="O420" i="2"/>
  <c r="N420" i="2"/>
  <c r="L420" i="2"/>
  <c r="J420" i="2"/>
  <c r="H420" i="2"/>
  <c r="G420" i="2"/>
  <c r="D420" i="2"/>
  <c r="E420" i="2" s="1" a="1"/>
  <c r="E420" i="2" s="1"/>
  <c r="B420" i="2"/>
  <c r="Y419" i="2"/>
  <c r="W419" i="2"/>
  <c r="U419" i="2"/>
  <c r="S419" i="2"/>
  <c r="Q419" i="2"/>
  <c r="N419" i="2"/>
  <c r="O419" i="2" s="1"/>
  <c r="L419" i="2"/>
  <c r="J419" i="2"/>
  <c r="G419" i="2"/>
  <c r="H419" i="2" s="1"/>
  <c r="E419" i="2" a="1"/>
  <c r="E419" i="2" s="1"/>
  <c r="D419" i="2"/>
  <c r="B419" i="2"/>
  <c r="Y418" i="2"/>
  <c r="W418" i="2"/>
  <c r="U418" i="2"/>
  <c r="S418" i="2"/>
  <c r="Q418" i="2"/>
  <c r="N418" i="2"/>
  <c r="O418" i="2" s="1"/>
  <c r="L418" i="2"/>
  <c r="J418" i="2"/>
  <c r="G418" i="2"/>
  <c r="H418" i="2" s="1"/>
  <c r="E418" i="2" a="1"/>
  <c r="E418" i="2" s="1"/>
  <c r="D418" i="2"/>
  <c r="B418" i="2"/>
  <c r="Y417" i="2"/>
  <c r="W417" i="2"/>
  <c r="U417" i="2"/>
  <c r="S417" i="2"/>
  <c r="Q417" i="2"/>
  <c r="O417" i="2"/>
  <c r="N417" i="2"/>
  <c r="L417" i="2"/>
  <c r="J417" i="2"/>
  <c r="H417" i="2"/>
  <c r="G417" i="2"/>
  <c r="D417" i="2"/>
  <c r="E417" i="2" s="1" a="1"/>
  <c r="E417" i="2" s="1"/>
  <c r="B417" i="2"/>
  <c r="Y416" i="2"/>
  <c r="W416" i="2"/>
  <c r="U416" i="2"/>
  <c r="S416" i="2"/>
  <c r="Q416" i="2"/>
  <c r="N416" i="2"/>
  <c r="O416" i="2" s="1"/>
  <c r="L416" i="2"/>
  <c r="J416" i="2"/>
  <c r="G416" i="2"/>
  <c r="H416" i="2" s="1"/>
  <c r="D416" i="2"/>
  <c r="E416" i="2" s="1" a="1"/>
  <c r="E416" i="2" s="1"/>
  <c r="B416" i="2"/>
  <c r="Y415" i="2"/>
  <c r="W415" i="2"/>
  <c r="U415" i="2"/>
  <c r="S415" i="2"/>
  <c r="Q415" i="2"/>
  <c r="N415" i="2"/>
  <c r="O415" i="2" s="1"/>
  <c r="L415" i="2"/>
  <c r="J415" i="2"/>
  <c r="G415" i="2"/>
  <c r="H415" i="2" s="1"/>
  <c r="E415" i="2" a="1"/>
  <c r="E415" i="2" s="1"/>
  <c r="D415" i="2"/>
  <c r="B415" i="2"/>
  <c r="Y414" i="2"/>
  <c r="W414" i="2"/>
  <c r="U414" i="2"/>
  <c r="S414" i="2"/>
  <c r="Q414" i="2"/>
  <c r="N414" i="2"/>
  <c r="O414" i="2" s="1"/>
  <c r="L414" i="2"/>
  <c r="J414" i="2"/>
  <c r="G414" i="2"/>
  <c r="H414" i="2" s="1"/>
  <c r="E414" i="2" a="1"/>
  <c r="E414" i="2" s="1"/>
  <c r="D414" i="2"/>
  <c r="B414" i="2"/>
  <c r="Y413" i="2"/>
  <c r="W413" i="2"/>
  <c r="U413" i="2"/>
  <c r="S413" i="2"/>
  <c r="Q413" i="2"/>
  <c r="O413" i="2"/>
  <c r="N413" i="2"/>
  <c r="L413" i="2"/>
  <c r="J413" i="2"/>
  <c r="H413" i="2"/>
  <c r="G413" i="2"/>
  <c r="E413" i="2"/>
  <c r="D413" i="2"/>
  <c r="E413" i="2" s="1" a="1"/>
  <c r="B413" i="2"/>
  <c r="Y412" i="2"/>
  <c r="W412" i="2"/>
  <c r="U412" i="2"/>
  <c r="S412" i="2"/>
  <c r="Q412" i="2"/>
  <c r="O412" i="2"/>
  <c r="N412" i="2"/>
  <c r="L412" i="2"/>
  <c r="J412" i="2"/>
  <c r="H412" i="2"/>
  <c r="G412" i="2"/>
  <c r="D412" i="2"/>
  <c r="E412" i="2" s="1" a="1"/>
  <c r="E412" i="2" s="1"/>
  <c r="B412" i="2"/>
  <c r="Y411" i="2"/>
  <c r="W411" i="2"/>
  <c r="U411" i="2"/>
  <c r="S411" i="2"/>
  <c r="Q411" i="2"/>
  <c r="N411" i="2"/>
  <c r="O411" i="2" s="1"/>
  <c r="L411" i="2"/>
  <c r="J411" i="2"/>
  <c r="G411" i="2"/>
  <c r="H411" i="2" s="1"/>
  <c r="E411" i="2" a="1"/>
  <c r="E411" i="2" s="1"/>
  <c r="D411" i="2"/>
  <c r="B411" i="2"/>
  <c r="Y410" i="2"/>
  <c r="W410" i="2"/>
  <c r="U410" i="2"/>
  <c r="S410" i="2"/>
  <c r="Q410" i="2"/>
  <c r="N410" i="2"/>
  <c r="O410" i="2" s="1"/>
  <c r="L410" i="2"/>
  <c r="J410" i="2"/>
  <c r="G410" i="2"/>
  <c r="H410" i="2" s="1"/>
  <c r="E410" i="2" a="1"/>
  <c r="E410" i="2" s="1"/>
  <c r="D410" i="2"/>
  <c r="B410" i="2"/>
  <c r="Y409" i="2"/>
  <c r="W409" i="2"/>
  <c r="U409" i="2"/>
  <c r="S409" i="2"/>
  <c r="Q409" i="2"/>
  <c r="O409" i="2"/>
  <c r="N409" i="2"/>
  <c r="L409" i="2"/>
  <c r="J409" i="2"/>
  <c r="H409" i="2"/>
  <c r="G409" i="2"/>
  <c r="D409" i="2"/>
  <c r="E409" i="2" s="1" a="1"/>
  <c r="E409" i="2" s="1"/>
  <c r="B409" i="2"/>
  <c r="Y408" i="2"/>
  <c r="W408" i="2"/>
  <c r="U408" i="2"/>
  <c r="S408" i="2"/>
  <c r="Q408" i="2"/>
  <c r="N408" i="2"/>
  <c r="O408" i="2" s="1"/>
  <c r="L408" i="2"/>
  <c r="J408" i="2"/>
  <c r="G408" i="2"/>
  <c r="H408" i="2" s="1"/>
  <c r="D408" i="2"/>
  <c r="E408" i="2" s="1" a="1"/>
  <c r="E408" i="2" s="1"/>
  <c r="B408" i="2"/>
  <c r="Y407" i="2"/>
  <c r="W407" i="2"/>
  <c r="U407" i="2"/>
  <c r="S407" i="2"/>
  <c r="Q407" i="2"/>
  <c r="N407" i="2"/>
  <c r="O407" i="2" s="1"/>
  <c r="L407" i="2"/>
  <c r="J407" i="2"/>
  <c r="G407" i="2"/>
  <c r="H407" i="2" s="1"/>
  <c r="E407" i="2" a="1"/>
  <c r="E407" i="2" s="1"/>
  <c r="D407" i="2"/>
  <c r="B407" i="2"/>
  <c r="Y406" i="2"/>
  <c r="W406" i="2"/>
  <c r="U406" i="2"/>
  <c r="S406" i="2"/>
  <c r="Q406" i="2"/>
  <c r="N406" i="2"/>
  <c r="O406" i="2" s="1"/>
  <c r="L406" i="2"/>
  <c r="J406" i="2"/>
  <c r="G406" i="2"/>
  <c r="H406" i="2" s="1"/>
  <c r="E406" i="2" a="1"/>
  <c r="E406" i="2" s="1"/>
  <c r="D406" i="2"/>
  <c r="B406" i="2"/>
  <c r="Y405" i="2"/>
  <c r="W405" i="2"/>
  <c r="U405" i="2"/>
  <c r="S405" i="2"/>
  <c r="Q405" i="2"/>
  <c r="O405" i="2"/>
  <c r="N405" i="2"/>
  <c r="L405" i="2"/>
  <c r="J405" i="2"/>
  <c r="H405" i="2"/>
  <c r="G405" i="2"/>
  <c r="E405" i="2" a="1"/>
  <c r="E405" i="2" s="1"/>
  <c r="D405" i="2"/>
  <c r="B405" i="2"/>
  <c r="Y404" i="2"/>
  <c r="W404" i="2"/>
  <c r="U404" i="2"/>
  <c r="S404" i="2"/>
  <c r="Q404" i="2"/>
  <c r="O404" i="2"/>
  <c r="N404" i="2"/>
  <c r="L404" i="2"/>
  <c r="J404" i="2"/>
  <c r="H404" i="2"/>
  <c r="G404" i="2"/>
  <c r="D404" i="2"/>
  <c r="E404" i="2" s="1" a="1"/>
  <c r="E404" i="2" s="1"/>
  <c r="B404" i="2"/>
  <c r="Y403" i="2"/>
  <c r="W403" i="2"/>
  <c r="U403" i="2"/>
  <c r="S403" i="2"/>
  <c r="Q403" i="2"/>
  <c r="N403" i="2"/>
  <c r="O403" i="2" s="1"/>
  <c r="L403" i="2"/>
  <c r="J403" i="2"/>
  <c r="G403" i="2"/>
  <c r="H403" i="2" s="1"/>
  <c r="E403" i="2" a="1"/>
  <c r="E403" i="2" s="1"/>
  <c r="D403" i="2"/>
  <c r="B403" i="2"/>
  <c r="Y402" i="2"/>
  <c r="W402" i="2"/>
  <c r="U402" i="2"/>
  <c r="S402" i="2"/>
  <c r="Q402" i="2"/>
  <c r="N402" i="2"/>
  <c r="O402" i="2" s="1"/>
  <c r="L402" i="2"/>
  <c r="J402" i="2"/>
  <c r="G402" i="2"/>
  <c r="H402" i="2" s="1"/>
  <c r="E402" i="2" a="1"/>
  <c r="E402" i="2" s="1"/>
  <c r="D402" i="2"/>
  <c r="B402" i="2"/>
  <c r="Y401" i="2"/>
  <c r="W401" i="2"/>
  <c r="U401" i="2"/>
  <c r="S401" i="2"/>
  <c r="Q401" i="2"/>
  <c r="O401" i="2"/>
  <c r="N401" i="2"/>
  <c r="L401" i="2"/>
  <c r="J401" i="2"/>
  <c r="H401" i="2"/>
  <c r="G401" i="2"/>
  <c r="E401" i="2" a="1"/>
  <c r="E401" i="2" s="1"/>
  <c r="D401" i="2"/>
  <c r="B401" i="2"/>
  <c r="Y400" i="2"/>
  <c r="W400" i="2"/>
  <c r="U400" i="2"/>
  <c r="S400" i="2"/>
  <c r="Q400" i="2"/>
  <c r="O400" i="2"/>
  <c r="N400" i="2"/>
  <c r="L400" i="2"/>
  <c r="J400" i="2"/>
  <c r="H400" i="2"/>
  <c r="G400" i="2"/>
  <c r="D400" i="2"/>
  <c r="E400" i="2" s="1" a="1"/>
  <c r="E400" i="2" s="1"/>
  <c r="B400" i="2"/>
  <c r="Y399" i="2"/>
  <c r="W399" i="2"/>
  <c r="U399" i="2"/>
  <c r="S399" i="2"/>
  <c r="Q399" i="2"/>
  <c r="N399" i="2"/>
  <c r="O399" i="2" s="1"/>
  <c r="L399" i="2"/>
  <c r="J399" i="2"/>
  <c r="G399" i="2"/>
  <c r="H399" i="2" s="1"/>
  <c r="E399" i="2" a="1"/>
  <c r="E399" i="2" s="1"/>
  <c r="D399" i="2"/>
  <c r="B399" i="2"/>
  <c r="Y398" i="2"/>
  <c r="W398" i="2"/>
  <c r="U398" i="2"/>
  <c r="S398" i="2"/>
  <c r="Q398" i="2"/>
  <c r="N398" i="2"/>
  <c r="O398" i="2" s="1"/>
  <c r="L398" i="2"/>
  <c r="J398" i="2"/>
  <c r="G398" i="2"/>
  <c r="H398" i="2" s="1"/>
  <c r="E398" i="2" a="1"/>
  <c r="E398" i="2" s="1"/>
  <c r="D398" i="2"/>
  <c r="B398" i="2"/>
  <c r="Y397" i="2"/>
  <c r="W397" i="2"/>
  <c r="U397" i="2"/>
  <c r="S397" i="2"/>
  <c r="Q397" i="2"/>
  <c r="O397" i="2"/>
  <c r="N397" i="2"/>
  <c r="L397" i="2"/>
  <c r="J397" i="2"/>
  <c r="H397" i="2"/>
  <c r="G397" i="2"/>
  <c r="E397" i="2" a="1"/>
  <c r="E397" i="2" s="1"/>
  <c r="D397" i="2"/>
  <c r="B397" i="2"/>
  <c r="Y396" i="2"/>
  <c r="W396" i="2"/>
  <c r="U396" i="2"/>
  <c r="S396" i="2"/>
  <c r="Q396" i="2"/>
  <c r="O396" i="2"/>
  <c r="N396" i="2"/>
  <c r="L396" i="2"/>
  <c r="J396" i="2"/>
  <c r="H396" i="2"/>
  <c r="G396" i="2"/>
  <c r="D396" i="2"/>
  <c r="E396" i="2" s="1" a="1"/>
  <c r="E396" i="2" s="1"/>
  <c r="B396" i="2"/>
  <c r="Y395" i="2"/>
  <c r="W395" i="2"/>
  <c r="U395" i="2"/>
  <c r="S395" i="2"/>
  <c r="Q395" i="2"/>
  <c r="N395" i="2"/>
  <c r="O395" i="2" s="1"/>
  <c r="L395" i="2"/>
  <c r="J395" i="2"/>
  <c r="G395" i="2"/>
  <c r="H395" i="2" s="1"/>
  <c r="D395" i="2"/>
  <c r="E395" i="2" s="1" a="1"/>
  <c r="E395" i="2" s="1"/>
  <c r="B395" i="2"/>
  <c r="Y394" i="2"/>
  <c r="W394" i="2"/>
  <c r="U394" i="2"/>
  <c r="S394" i="2"/>
  <c r="Q394" i="2"/>
  <c r="N394" i="2"/>
  <c r="O394" i="2" s="1"/>
  <c r="L394" i="2"/>
  <c r="J394" i="2"/>
  <c r="G394" i="2"/>
  <c r="H394" i="2" s="1"/>
  <c r="E394" i="2" a="1"/>
  <c r="E394" i="2" s="1"/>
  <c r="D394" i="2"/>
  <c r="B394" i="2"/>
  <c r="Y393" i="2"/>
  <c r="W393" i="2"/>
  <c r="U393" i="2"/>
  <c r="S393" i="2"/>
  <c r="Q393" i="2"/>
  <c r="O393" i="2"/>
  <c r="N393" i="2"/>
  <c r="L393" i="2"/>
  <c r="J393" i="2"/>
  <c r="H393" i="2"/>
  <c r="G393" i="2"/>
  <c r="E393" i="2" a="1"/>
  <c r="E393" i="2" s="1"/>
  <c r="D393" i="2"/>
  <c r="B393" i="2"/>
  <c r="Y392" i="2"/>
  <c r="W392" i="2"/>
  <c r="U392" i="2"/>
  <c r="S392" i="2"/>
  <c r="Q392" i="2"/>
  <c r="O392" i="2"/>
  <c r="N392" i="2"/>
  <c r="L392" i="2"/>
  <c r="J392" i="2"/>
  <c r="H392" i="2"/>
  <c r="G392" i="2"/>
  <c r="D392" i="2"/>
  <c r="E392" i="2" s="1" a="1"/>
  <c r="E392" i="2" s="1"/>
  <c r="B392" i="2"/>
  <c r="Y391" i="2"/>
  <c r="W391" i="2"/>
  <c r="U391" i="2"/>
  <c r="S391" i="2"/>
  <c r="Q391" i="2"/>
  <c r="N391" i="2"/>
  <c r="O391" i="2" s="1"/>
  <c r="L391" i="2"/>
  <c r="J391" i="2"/>
  <c r="G391" i="2"/>
  <c r="H391" i="2" s="1"/>
  <c r="D391" i="2"/>
  <c r="E391" i="2" s="1" a="1"/>
  <c r="E391" i="2" s="1"/>
  <c r="B391" i="2"/>
  <c r="Y390" i="2"/>
  <c r="W390" i="2"/>
  <c r="U390" i="2"/>
  <c r="S390" i="2"/>
  <c r="Q390" i="2"/>
  <c r="N390" i="2"/>
  <c r="O390" i="2" s="1"/>
  <c r="L390" i="2"/>
  <c r="J390" i="2"/>
  <c r="G390" i="2"/>
  <c r="H390" i="2" s="1"/>
  <c r="E390" i="2" a="1"/>
  <c r="E390" i="2" s="1"/>
  <c r="D390" i="2"/>
  <c r="B390" i="2"/>
  <c r="Y389" i="2"/>
  <c r="W389" i="2"/>
  <c r="U389" i="2"/>
  <c r="S389" i="2"/>
  <c r="Q389" i="2"/>
  <c r="O389" i="2"/>
  <c r="N389" i="2"/>
  <c r="L389" i="2"/>
  <c r="J389" i="2"/>
  <c r="H389" i="2"/>
  <c r="G389" i="2"/>
  <c r="E389" i="2" a="1"/>
  <c r="E389" i="2" s="1"/>
  <c r="D389" i="2"/>
  <c r="B389" i="2"/>
  <c r="Y388" i="2"/>
  <c r="W388" i="2"/>
  <c r="U388" i="2"/>
  <c r="S388" i="2"/>
  <c r="Q388" i="2"/>
  <c r="O388" i="2"/>
  <c r="N388" i="2"/>
  <c r="J388" i="2"/>
  <c r="H388" i="2"/>
  <c r="G388" i="2"/>
  <c r="D388" i="2"/>
  <c r="E388" i="2" s="1" a="1"/>
  <c r="E388" i="2" s="1"/>
  <c r="B388" i="2"/>
  <c r="Y387" i="2"/>
  <c r="W387" i="2"/>
  <c r="U387" i="2"/>
  <c r="S387" i="2"/>
  <c r="Q387" i="2"/>
  <c r="N387" i="2"/>
  <c r="O387" i="2" s="1"/>
  <c r="L387" i="2"/>
  <c r="J387" i="2"/>
  <c r="G387" i="2"/>
  <c r="H387" i="2" s="1"/>
  <c r="E387" i="2" a="1"/>
  <c r="E387" i="2" s="1"/>
  <c r="D387" i="2"/>
  <c r="B387" i="2"/>
  <c r="Y386" i="2"/>
  <c r="W386" i="2"/>
  <c r="U386" i="2"/>
  <c r="S386" i="2"/>
  <c r="Q386" i="2"/>
  <c r="O386" i="2"/>
  <c r="N386" i="2"/>
  <c r="L386" i="2"/>
  <c r="J386" i="2"/>
  <c r="H386" i="2"/>
  <c r="G386" i="2"/>
  <c r="E386" i="2" a="1"/>
  <c r="E386" i="2"/>
  <c r="D386" i="2"/>
  <c r="B386" i="2"/>
  <c r="Y385" i="2"/>
  <c r="W385" i="2"/>
  <c r="U385" i="2"/>
  <c r="S385" i="2"/>
  <c r="Q385" i="2"/>
  <c r="O385" i="2"/>
  <c r="N385" i="2"/>
  <c r="L385" i="2"/>
  <c r="J385" i="2"/>
  <c r="H385" i="2"/>
  <c r="G385" i="2"/>
  <c r="E385" i="2"/>
  <c r="D385" i="2"/>
  <c r="E385" i="2" s="1" a="1"/>
  <c r="B385" i="2"/>
  <c r="Y384" i="2"/>
  <c r="W384" i="2"/>
  <c r="U384" i="2"/>
  <c r="S384" i="2"/>
  <c r="Q384" i="2"/>
  <c r="O384" i="2"/>
  <c r="N384" i="2"/>
  <c r="L384" i="2"/>
  <c r="J384" i="2"/>
  <c r="H384" i="2"/>
  <c r="G384" i="2"/>
  <c r="D384" i="2"/>
  <c r="E384" i="2" s="1" a="1"/>
  <c r="E384" i="2" s="1"/>
  <c r="B384" i="2"/>
  <c r="Y383" i="2"/>
  <c r="W383" i="2"/>
  <c r="U383" i="2"/>
  <c r="S383" i="2"/>
  <c r="Q383" i="2"/>
  <c r="N383" i="2"/>
  <c r="O383" i="2" s="1"/>
  <c r="L383" i="2"/>
  <c r="J383" i="2"/>
  <c r="G383" i="2"/>
  <c r="H383" i="2" s="1"/>
  <c r="E383" i="2" a="1"/>
  <c r="E383" i="2" s="1"/>
  <c r="D383" i="2"/>
  <c r="B383" i="2"/>
  <c r="Y382" i="2"/>
  <c r="W382" i="2"/>
  <c r="U382" i="2"/>
  <c r="S382" i="2"/>
  <c r="Q382" i="2"/>
  <c r="O382" i="2"/>
  <c r="N382" i="2"/>
  <c r="L382" i="2"/>
  <c r="J382" i="2"/>
  <c r="H382" i="2"/>
  <c r="G382" i="2"/>
  <c r="E382" i="2" a="1"/>
  <c r="E382" i="2" s="1"/>
  <c r="D382" i="2"/>
  <c r="B382" i="2"/>
  <c r="Y381" i="2"/>
  <c r="W381" i="2"/>
  <c r="U381" i="2"/>
  <c r="S381" i="2"/>
  <c r="Q381" i="2"/>
  <c r="O381" i="2"/>
  <c r="N381" i="2"/>
  <c r="L381" i="2"/>
  <c r="J381" i="2"/>
  <c r="H381" i="2"/>
  <c r="G381" i="2"/>
  <c r="E381" i="2"/>
  <c r="D381" i="2"/>
  <c r="E381" i="2" s="1" a="1"/>
  <c r="B381" i="2"/>
  <c r="Y380" i="2"/>
  <c r="W380" i="2"/>
  <c r="U380" i="2"/>
  <c r="S380" i="2"/>
  <c r="Q380" i="2"/>
  <c r="O380" i="2"/>
  <c r="N380" i="2"/>
  <c r="L380" i="2"/>
  <c r="J380" i="2"/>
  <c r="H380" i="2"/>
  <c r="G380" i="2"/>
  <c r="D380" i="2"/>
  <c r="E380" i="2" s="1" a="1"/>
  <c r="E380" i="2" s="1"/>
  <c r="B380" i="2"/>
  <c r="Y379" i="2"/>
  <c r="W379" i="2"/>
  <c r="U379" i="2"/>
  <c r="S379" i="2"/>
  <c r="Q379" i="2"/>
  <c r="N379" i="2"/>
  <c r="O379" i="2" s="1"/>
  <c r="L379" i="2"/>
  <c r="J379" i="2"/>
  <c r="G379" i="2"/>
  <c r="H379" i="2" s="1"/>
  <c r="E379" i="2" a="1"/>
  <c r="E379" i="2" s="1"/>
  <c r="D379" i="2"/>
  <c r="B379" i="2"/>
  <c r="Y378" i="2"/>
  <c r="W378" i="2"/>
  <c r="U378" i="2"/>
  <c r="S378" i="2"/>
  <c r="Q378" i="2"/>
  <c r="O378" i="2"/>
  <c r="N378" i="2"/>
  <c r="L378" i="2"/>
  <c r="J378" i="2"/>
  <c r="H378" i="2"/>
  <c r="G378" i="2"/>
  <c r="E378" i="2" a="1"/>
  <c r="E378" i="2"/>
  <c r="D378" i="2"/>
  <c r="B378" i="2"/>
  <c r="Y377" i="2"/>
  <c r="W377" i="2"/>
  <c r="U377" i="2"/>
  <c r="S377" i="2"/>
  <c r="Q377" i="2"/>
  <c r="O377" i="2"/>
  <c r="N377" i="2"/>
  <c r="L377" i="2"/>
  <c r="J377" i="2"/>
  <c r="H377" i="2"/>
  <c r="G377" i="2"/>
  <c r="E377" i="2"/>
  <c r="D377" i="2"/>
  <c r="E377" i="2" s="1" a="1"/>
  <c r="B377" i="2"/>
  <c r="Y376" i="2"/>
  <c r="W376" i="2"/>
  <c r="U376" i="2"/>
  <c r="S376" i="2"/>
  <c r="Q376" i="2"/>
  <c r="O376" i="2"/>
  <c r="N376" i="2"/>
  <c r="L376" i="2"/>
  <c r="J376" i="2"/>
  <c r="H376" i="2"/>
  <c r="G376" i="2"/>
  <c r="D376" i="2"/>
  <c r="E376" i="2" s="1" a="1"/>
  <c r="E376" i="2" s="1"/>
  <c r="B376" i="2"/>
  <c r="Y375" i="2"/>
  <c r="W375" i="2"/>
  <c r="U375" i="2"/>
  <c r="S375" i="2"/>
  <c r="Q375" i="2"/>
  <c r="N375" i="2"/>
  <c r="O375" i="2" s="1"/>
  <c r="L375" i="2"/>
  <c r="J375" i="2"/>
  <c r="G375" i="2"/>
  <c r="H375" i="2" s="1"/>
  <c r="E375" i="2" a="1"/>
  <c r="E375" i="2" s="1"/>
  <c r="D375" i="2"/>
  <c r="B375" i="2"/>
  <c r="Y374" i="2"/>
  <c r="W374" i="2"/>
  <c r="U374" i="2"/>
  <c r="S374" i="2"/>
  <c r="Q374" i="2"/>
  <c r="O374" i="2"/>
  <c r="N374" i="2"/>
  <c r="L374" i="2"/>
  <c r="J374" i="2"/>
  <c r="H374" i="2"/>
  <c r="G374" i="2"/>
  <c r="E374" i="2" a="1"/>
  <c r="E374" i="2" s="1"/>
  <c r="D374" i="2"/>
  <c r="B374" i="2"/>
  <c r="Y373" i="2"/>
  <c r="W373" i="2"/>
  <c r="U373" i="2"/>
  <c r="S373" i="2"/>
  <c r="Q373" i="2"/>
  <c r="O373" i="2"/>
  <c r="N373" i="2"/>
  <c r="L373" i="2"/>
  <c r="J373" i="2"/>
  <c r="H373" i="2"/>
  <c r="G373" i="2"/>
  <c r="E373" i="2"/>
  <c r="D373" i="2"/>
  <c r="E373" i="2" s="1" a="1"/>
  <c r="B373" i="2"/>
  <c r="Y372" i="2"/>
  <c r="W372" i="2"/>
  <c r="U372" i="2"/>
  <c r="S372" i="2"/>
  <c r="Q372" i="2"/>
  <c r="O372" i="2"/>
  <c r="N372" i="2"/>
  <c r="L372" i="2"/>
  <c r="J372" i="2"/>
  <c r="H372" i="2"/>
  <c r="G372" i="2"/>
  <c r="D372" i="2"/>
  <c r="E372" i="2" s="1" a="1"/>
  <c r="E372" i="2" s="1"/>
  <c r="B372" i="2"/>
  <c r="Y371" i="2"/>
  <c r="W371" i="2"/>
  <c r="U371" i="2"/>
  <c r="S371" i="2"/>
  <c r="Q371" i="2"/>
  <c r="N371" i="2"/>
  <c r="O371" i="2" s="1"/>
  <c r="L371" i="2"/>
  <c r="J371" i="2"/>
  <c r="G371" i="2"/>
  <c r="H371" i="2" s="1"/>
  <c r="E371" i="2" a="1"/>
  <c r="E371" i="2" s="1"/>
  <c r="D371" i="2"/>
  <c r="B371" i="2"/>
  <c r="Y370" i="2"/>
  <c r="W370" i="2"/>
  <c r="U370" i="2"/>
  <c r="S370" i="2"/>
  <c r="Q370" i="2"/>
  <c r="O370" i="2"/>
  <c r="N370" i="2"/>
  <c r="L370" i="2"/>
  <c r="J370" i="2"/>
  <c r="H370" i="2"/>
  <c r="G370" i="2"/>
  <c r="E370" i="2" a="1"/>
  <c r="E370" i="2"/>
  <c r="D370" i="2"/>
  <c r="B370" i="2"/>
  <c r="Y369" i="2"/>
  <c r="W369" i="2"/>
  <c r="U369" i="2"/>
  <c r="S369" i="2"/>
  <c r="Q369" i="2"/>
  <c r="O369" i="2"/>
  <c r="N369" i="2"/>
  <c r="L369" i="2"/>
  <c r="J369" i="2"/>
  <c r="H369" i="2"/>
  <c r="G369" i="2"/>
  <c r="E369" i="2"/>
  <c r="D369" i="2"/>
  <c r="E369" i="2" s="1" a="1"/>
  <c r="B369" i="2"/>
  <c r="Y368" i="2"/>
  <c r="W368" i="2"/>
  <c r="U368" i="2"/>
  <c r="S368" i="2"/>
  <c r="Q368" i="2"/>
  <c r="O368" i="2"/>
  <c r="N368" i="2"/>
  <c r="L368" i="2"/>
  <c r="J368" i="2"/>
  <c r="H368" i="2"/>
  <c r="G368" i="2"/>
  <c r="D368" i="2"/>
  <c r="E368" i="2" s="1" a="1"/>
  <c r="E368" i="2" s="1"/>
  <c r="B368" i="2"/>
  <c r="Y367" i="2"/>
  <c r="W367" i="2"/>
  <c r="U367" i="2"/>
  <c r="S367" i="2"/>
  <c r="Q367" i="2"/>
  <c r="N367" i="2"/>
  <c r="O367" i="2" s="1"/>
  <c r="L367" i="2"/>
  <c r="J367" i="2"/>
  <c r="G367" i="2"/>
  <c r="H367" i="2" s="1"/>
  <c r="E367" i="2" a="1"/>
  <c r="E367" i="2" s="1"/>
  <c r="D367" i="2"/>
  <c r="B367" i="2"/>
  <c r="Y366" i="2"/>
  <c r="W366" i="2"/>
  <c r="U366" i="2"/>
  <c r="S366" i="2"/>
  <c r="Q366" i="2"/>
  <c r="O366" i="2"/>
  <c r="N366" i="2"/>
  <c r="L366" i="2"/>
  <c r="J366" i="2"/>
  <c r="H366" i="2"/>
  <c r="G366" i="2"/>
  <c r="E366" i="2" a="1"/>
  <c r="E366" i="2" s="1"/>
  <c r="D366" i="2"/>
  <c r="B366" i="2"/>
  <c r="Y365" i="2"/>
  <c r="W365" i="2"/>
  <c r="U365" i="2"/>
  <c r="S365" i="2"/>
  <c r="Q365" i="2"/>
  <c r="O365" i="2"/>
  <c r="N365" i="2"/>
  <c r="L365" i="2"/>
  <c r="J365" i="2"/>
  <c r="H365" i="2"/>
  <c r="G365" i="2"/>
  <c r="E365" i="2"/>
  <c r="D365" i="2"/>
  <c r="E365" i="2" s="1" a="1"/>
  <c r="B365" i="2"/>
  <c r="Y364" i="2"/>
  <c r="W364" i="2"/>
  <c r="U364" i="2"/>
  <c r="S364" i="2"/>
  <c r="Q364" i="2"/>
  <c r="O364" i="2"/>
  <c r="N364" i="2"/>
  <c r="L364" i="2"/>
  <c r="J364" i="2"/>
  <c r="H364" i="2"/>
  <c r="G364" i="2"/>
  <c r="D364" i="2"/>
  <c r="E364" i="2" s="1" a="1"/>
  <c r="E364" i="2" s="1"/>
  <c r="B364" i="2"/>
  <c r="Y363" i="2"/>
  <c r="W363" i="2"/>
  <c r="U363" i="2"/>
  <c r="S363" i="2"/>
  <c r="Q363" i="2"/>
  <c r="N363" i="2"/>
  <c r="O363" i="2" s="1"/>
  <c r="L363" i="2"/>
  <c r="J363" i="2"/>
  <c r="G363" i="2"/>
  <c r="H363" i="2" s="1"/>
  <c r="E363" i="2" a="1"/>
  <c r="E363" i="2" s="1"/>
  <c r="D363" i="2"/>
  <c r="B363" i="2"/>
  <c r="Y362" i="2"/>
  <c r="W362" i="2"/>
  <c r="U362" i="2"/>
  <c r="S362" i="2"/>
  <c r="Q362" i="2"/>
  <c r="O362" i="2"/>
  <c r="N362" i="2"/>
  <c r="L362" i="2"/>
  <c r="J362" i="2"/>
  <c r="H362" i="2"/>
  <c r="G362" i="2"/>
  <c r="E362" i="2" a="1"/>
  <c r="E362" i="2"/>
  <c r="D362" i="2"/>
  <c r="B362" i="2"/>
  <c r="Y361" i="2"/>
  <c r="W361" i="2"/>
  <c r="U361" i="2"/>
  <c r="S361" i="2"/>
  <c r="Q361" i="2"/>
  <c r="O361" i="2"/>
  <c r="N361" i="2"/>
  <c r="L361" i="2"/>
  <c r="J361" i="2"/>
  <c r="H361" i="2"/>
  <c r="G361" i="2"/>
  <c r="E361" i="2"/>
  <c r="D361" i="2"/>
  <c r="E361" i="2" s="1" a="1"/>
  <c r="B361" i="2"/>
  <c r="Y360" i="2"/>
  <c r="W360" i="2"/>
  <c r="U360" i="2"/>
  <c r="S360" i="2"/>
  <c r="Q360" i="2"/>
  <c r="O360" i="2"/>
  <c r="N360" i="2"/>
  <c r="L360" i="2"/>
  <c r="J360" i="2"/>
  <c r="H360" i="2"/>
  <c r="G360" i="2"/>
  <c r="D360" i="2"/>
  <c r="E360" i="2" s="1" a="1"/>
  <c r="E360" i="2" s="1"/>
  <c r="B360" i="2"/>
  <c r="Y359" i="2"/>
  <c r="W359" i="2"/>
  <c r="U359" i="2"/>
  <c r="S359" i="2"/>
  <c r="Q359" i="2"/>
  <c r="N359" i="2"/>
  <c r="O359" i="2" s="1"/>
  <c r="L359" i="2"/>
  <c r="J359" i="2"/>
  <c r="G359" i="2"/>
  <c r="H359" i="2" s="1"/>
  <c r="E359" i="2" a="1"/>
  <c r="E359" i="2" s="1"/>
  <c r="D359" i="2"/>
  <c r="B359" i="2"/>
  <c r="Y358" i="2"/>
  <c r="W358" i="2"/>
  <c r="U358" i="2"/>
  <c r="S358" i="2"/>
  <c r="Q358" i="2"/>
  <c r="O358" i="2"/>
  <c r="N358" i="2"/>
  <c r="L358" i="2"/>
  <c r="J358" i="2"/>
  <c r="H358" i="2"/>
  <c r="G358" i="2"/>
  <c r="E358" i="2" a="1"/>
  <c r="E358" i="2" s="1"/>
  <c r="D358" i="2"/>
  <c r="B358" i="2"/>
  <c r="Y357" i="2"/>
  <c r="W357" i="2"/>
  <c r="U357" i="2"/>
  <c r="S357" i="2"/>
  <c r="Q357" i="2"/>
  <c r="O357" i="2"/>
  <c r="N357" i="2"/>
  <c r="L357" i="2"/>
  <c r="J357" i="2"/>
  <c r="H357" i="2"/>
  <c r="G357" i="2"/>
  <c r="D357" i="2"/>
  <c r="E357" i="2" s="1" a="1"/>
  <c r="E357" i="2" s="1"/>
  <c r="B357" i="2"/>
  <c r="Y356" i="2"/>
  <c r="W356" i="2"/>
  <c r="U356" i="2"/>
  <c r="S356" i="2"/>
  <c r="Q356" i="2"/>
  <c r="N356" i="2"/>
  <c r="O356" i="2" s="1"/>
  <c r="L356" i="2"/>
  <c r="J356" i="2"/>
  <c r="G356" i="2"/>
  <c r="H356" i="2" s="1"/>
  <c r="D356" i="2"/>
  <c r="E356" i="2" s="1" a="1"/>
  <c r="E356" i="2" s="1"/>
  <c r="B356" i="2"/>
  <c r="Y355" i="2"/>
  <c r="W355" i="2"/>
  <c r="U355" i="2"/>
  <c r="S355" i="2"/>
  <c r="Q355" i="2"/>
  <c r="N355" i="2"/>
  <c r="O355" i="2" s="1"/>
  <c r="L355" i="2"/>
  <c r="J355" i="2"/>
  <c r="G355" i="2"/>
  <c r="H355" i="2" s="1"/>
  <c r="E355" i="2" a="1"/>
  <c r="E355" i="2" s="1"/>
  <c r="D355" i="2"/>
  <c r="B355" i="2"/>
  <c r="Y354" i="2"/>
  <c r="W354" i="2"/>
  <c r="U354" i="2"/>
  <c r="S354" i="2"/>
  <c r="Q354" i="2"/>
  <c r="O354" i="2"/>
  <c r="N354" i="2"/>
  <c r="L354" i="2"/>
  <c r="J354" i="2"/>
  <c r="H354" i="2"/>
  <c r="G354" i="2"/>
  <c r="E354" i="2" a="1"/>
  <c r="E354" i="2"/>
  <c r="D354" i="2"/>
  <c r="B354" i="2"/>
  <c r="Y353" i="2"/>
  <c r="W353" i="2"/>
  <c r="U353" i="2"/>
  <c r="S353" i="2"/>
  <c r="Q353" i="2"/>
  <c r="O353" i="2"/>
  <c r="N353" i="2"/>
  <c r="L353" i="2"/>
  <c r="J353" i="2"/>
  <c r="H353" i="2"/>
  <c r="G353" i="2"/>
  <c r="E353" i="2"/>
  <c r="D353" i="2"/>
  <c r="E353" i="2" s="1" a="1"/>
  <c r="B353" i="2"/>
  <c r="Y352" i="2"/>
  <c r="W352" i="2"/>
  <c r="U352" i="2"/>
  <c r="S352" i="2"/>
  <c r="Q352" i="2"/>
  <c r="O352" i="2"/>
  <c r="N352" i="2"/>
  <c r="L352" i="2"/>
  <c r="J352" i="2"/>
  <c r="H352" i="2"/>
  <c r="G352" i="2"/>
  <c r="D352" i="2"/>
  <c r="E352" i="2" s="1" a="1"/>
  <c r="E352" i="2" s="1"/>
  <c r="B352" i="2"/>
  <c r="Y351" i="2"/>
  <c r="W351" i="2"/>
  <c r="U351" i="2"/>
  <c r="S351" i="2"/>
  <c r="Q351" i="2"/>
  <c r="N351" i="2"/>
  <c r="O351" i="2" s="1"/>
  <c r="L351" i="2"/>
  <c r="J351" i="2"/>
  <c r="G351" i="2"/>
  <c r="H351" i="2" s="1"/>
  <c r="E351" i="2" a="1"/>
  <c r="E351" i="2" s="1"/>
  <c r="D351" i="2"/>
  <c r="B351" i="2"/>
  <c r="Y350" i="2"/>
  <c r="W350" i="2"/>
  <c r="U350" i="2"/>
  <c r="S350" i="2"/>
  <c r="Q350" i="2"/>
  <c r="O350" i="2"/>
  <c r="N350" i="2"/>
  <c r="L350" i="2"/>
  <c r="J350" i="2"/>
  <c r="H350" i="2"/>
  <c r="G350" i="2"/>
  <c r="E350" i="2" a="1"/>
  <c r="E350" i="2" s="1"/>
  <c r="D350" i="2"/>
  <c r="B350" i="2"/>
  <c r="Y349" i="2"/>
  <c r="W349" i="2"/>
  <c r="U349" i="2"/>
  <c r="S349" i="2"/>
  <c r="Q349" i="2"/>
  <c r="O349" i="2"/>
  <c r="N349" i="2"/>
  <c r="L349" i="2"/>
  <c r="J349" i="2"/>
  <c r="H349" i="2"/>
  <c r="G349" i="2"/>
  <c r="D349" i="2"/>
  <c r="E349" i="2" s="1" a="1"/>
  <c r="E349" i="2" s="1"/>
  <c r="B349" i="2"/>
  <c r="Y348" i="2"/>
  <c r="W348" i="2"/>
  <c r="U348" i="2"/>
  <c r="S348" i="2"/>
  <c r="Q348" i="2"/>
  <c r="N348" i="2"/>
  <c r="O348" i="2" s="1"/>
  <c r="J348" i="2"/>
  <c r="G348" i="2"/>
  <c r="H348" i="2" s="1"/>
  <c r="E348" i="2" a="1"/>
  <c r="E348" i="2"/>
  <c r="D348" i="2"/>
  <c r="B348" i="2"/>
  <c r="Y347" i="2"/>
  <c r="W347" i="2"/>
  <c r="U347" i="2"/>
  <c r="S347" i="2"/>
  <c r="Q347" i="2"/>
  <c r="O347" i="2"/>
  <c r="N347" i="2"/>
  <c r="L347" i="2"/>
  <c r="J347" i="2"/>
  <c r="H347" i="2"/>
  <c r="G347" i="2"/>
  <c r="D347" i="2"/>
  <c r="E347" i="2" s="1" a="1"/>
  <c r="E347" i="2" s="1"/>
  <c r="B347" i="2"/>
  <c r="Y346" i="2"/>
  <c r="W346" i="2"/>
  <c r="U346" i="2"/>
  <c r="S346" i="2"/>
  <c r="Q346" i="2"/>
  <c r="N346" i="2"/>
  <c r="O346" i="2" s="1"/>
  <c r="L346" i="2"/>
  <c r="J346" i="2"/>
  <c r="G346" i="2"/>
  <c r="H346" i="2" s="1"/>
  <c r="D346" i="2"/>
  <c r="E346" i="2" s="1" a="1"/>
  <c r="E346" i="2" s="1"/>
  <c r="B346" i="2"/>
  <c r="Y345" i="2"/>
  <c r="W345" i="2"/>
  <c r="U345" i="2"/>
  <c r="S345" i="2"/>
  <c r="Q345" i="2"/>
  <c r="N345" i="2"/>
  <c r="O345" i="2" s="1"/>
  <c r="L345" i="2"/>
  <c r="J345" i="2"/>
  <c r="G345" i="2"/>
  <c r="H345" i="2" s="1"/>
  <c r="D345" i="2"/>
  <c r="E345" i="2" s="1" a="1"/>
  <c r="E345" i="2" s="1"/>
  <c r="B345" i="2"/>
  <c r="Y344" i="2"/>
  <c r="W344" i="2"/>
  <c r="U344" i="2"/>
  <c r="S344" i="2"/>
  <c r="Q344" i="2"/>
  <c r="N344" i="2"/>
  <c r="O344" i="2" s="1"/>
  <c r="L344" i="2"/>
  <c r="J344" i="2"/>
  <c r="G344" i="2"/>
  <c r="H344" i="2" s="1"/>
  <c r="E344" i="2" a="1"/>
  <c r="E344" i="2"/>
  <c r="D344" i="2"/>
  <c r="B344" i="2"/>
  <c r="Y343" i="2"/>
  <c r="W343" i="2"/>
  <c r="U343" i="2"/>
  <c r="S343" i="2"/>
  <c r="Q343" i="2"/>
  <c r="O343" i="2"/>
  <c r="N343" i="2"/>
  <c r="L343" i="2"/>
  <c r="J343" i="2"/>
  <c r="H343" i="2"/>
  <c r="G343" i="2"/>
  <c r="D343" i="2"/>
  <c r="E343" i="2" s="1" a="1"/>
  <c r="E343" i="2" s="1"/>
  <c r="B343" i="2"/>
  <c r="Y342" i="2"/>
  <c r="W342" i="2"/>
  <c r="U342" i="2"/>
  <c r="S342" i="2"/>
  <c r="Q342" i="2"/>
  <c r="N342" i="2"/>
  <c r="O342" i="2" s="1"/>
  <c r="L342" i="2"/>
  <c r="J342" i="2"/>
  <c r="G342" i="2"/>
  <c r="H342" i="2" s="1"/>
  <c r="D342" i="2"/>
  <c r="E342" i="2" s="1" a="1"/>
  <c r="E342" i="2" s="1"/>
  <c r="B342" i="2"/>
  <c r="Y341" i="2"/>
  <c r="W341" i="2"/>
  <c r="U341" i="2"/>
  <c r="S341" i="2"/>
  <c r="Q341" i="2"/>
  <c r="N341" i="2"/>
  <c r="O341" i="2" s="1"/>
  <c r="L341" i="2"/>
  <c r="J341" i="2"/>
  <c r="G341" i="2"/>
  <c r="H341" i="2" s="1"/>
  <c r="D341" i="2"/>
  <c r="E341" i="2" s="1" a="1"/>
  <c r="E341" i="2" s="1"/>
  <c r="B341" i="2"/>
  <c r="Y340" i="2"/>
  <c r="W340" i="2"/>
  <c r="U340" i="2"/>
  <c r="S340" i="2"/>
  <c r="Q340" i="2"/>
  <c r="N340" i="2"/>
  <c r="O340" i="2" s="1"/>
  <c r="L340" i="2"/>
  <c r="J340" i="2"/>
  <c r="G340" i="2"/>
  <c r="H340" i="2" s="1"/>
  <c r="E340" i="2" a="1"/>
  <c r="E340" i="2"/>
  <c r="D340" i="2"/>
  <c r="B340" i="2"/>
  <c r="Y339" i="2"/>
  <c r="W339" i="2"/>
  <c r="U339" i="2"/>
  <c r="S339" i="2"/>
  <c r="Q339" i="2"/>
  <c r="O339" i="2"/>
  <c r="N339" i="2"/>
  <c r="L339" i="2"/>
  <c r="J339" i="2"/>
  <c r="H339" i="2"/>
  <c r="G339" i="2"/>
  <c r="D339" i="2"/>
  <c r="E339" i="2" s="1" a="1"/>
  <c r="E339" i="2" s="1"/>
  <c r="B339" i="2"/>
  <c r="Y338" i="2"/>
  <c r="W338" i="2"/>
  <c r="U338" i="2"/>
  <c r="S338" i="2"/>
  <c r="Q338" i="2"/>
  <c r="N338" i="2"/>
  <c r="O338" i="2" s="1"/>
  <c r="L338" i="2"/>
  <c r="J338" i="2"/>
  <c r="G338" i="2"/>
  <c r="H338" i="2" s="1"/>
  <c r="D338" i="2"/>
  <c r="E338" i="2" s="1" a="1"/>
  <c r="E338" i="2" s="1"/>
  <c r="B338" i="2"/>
  <c r="Y337" i="2"/>
  <c r="W337" i="2"/>
  <c r="U337" i="2"/>
  <c r="S337" i="2"/>
  <c r="Q337" i="2"/>
  <c r="N337" i="2"/>
  <c r="O337" i="2" s="1"/>
  <c r="L337" i="2"/>
  <c r="J337" i="2"/>
  <c r="G337" i="2"/>
  <c r="H337" i="2" s="1"/>
  <c r="D337" i="2"/>
  <c r="E337" i="2" s="1" a="1"/>
  <c r="E337" i="2" s="1"/>
  <c r="B337" i="2"/>
  <c r="Y336" i="2"/>
  <c r="W336" i="2"/>
  <c r="U336" i="2"/>
  <c r="S336" i="2"/>
  <c r="Q336" i="2"/>
  <c r="N336" i="2"/>
  <c r="O336" i="2" s="1"/>
  <c r="L336" i="2"/>
  <c r="J336" i="2"/>
  <c r="G336" i="2"/>
  <c r="H336" i="2" s="1"/>
  <c r="E336" i="2" a="1"/>
  <c r="E336" i="2" s="1"/>
  <c r="D336" i="2"/>
  <c r="B336" i="2"/>
  <c r="Y335" i="2"/>
  <c r="W335" i="2"/>
  <c r="U335" i="2"/>
  <c r="S335" i="2"/>
  <c r="Q335" i="2"/>
  <c r="O335" i="2"/>
  <c r="N335" i="2"/>
  <c r="L335" i="2"/>
  <c r="J335" i="2"/>
  <c r="H335" i="2"/>
  <c r="G335" i="2"/>
  <c r="D335" i="2"/>
  <c r="E335" i="2" s="1" a="1"/>
  <c r="E335" i="2" s="1"/>
  <c r="B335" i="2"/>
  <c r="Y334" i="2"/>
  <c r="W334" i="2"/>
  <c r="U334" i="2"/>
  <c r="S334" i="2"/>
  <c r="Q334" i="2"/>
  <c r="O334" i="2"/>
  <c r="N334" i="2"/>
  <c r="L334" i="2"/>
  <c r="J334" i="2"/>
  <c r="H334" i="2"/>
  <c r="G334" i="2"/>
  <c r="D334" i="2"/>
  <c r="E334" i="2" s="1" a="1"/>
  <c r="E334" i="2" s="1"/>
  <c r="B334" i="2"/>
  <c r="Y333" i="2"/>
  <c r="W333" i="2"/>
  <c r="U333" i="2"/>
  <c r="S333" i="2"/>
  <c r="Q333" i="2"/>
  <c r="N333" i="2"/>
  <c r="O333" i="2" s="1"/>
  <c r="L333" i="2"/>
  <c r="J333" i="2"/>
  <c r="G333" i="2"/>
  <c r="H333" i="2" s="1"/>
  <c r="E333" i="2" a="1"/>
  <c r="E333" i="2" s="1"/>
  <c r="D333" i="2"/>
  <c r="B333" i="2"/>
  <c r="Y332" i="2"/>
  <c r="W332" i="2"/>
  <c r="U332" i="2"/>
  <c r="S332" i="2"/>
  <c r="Q332" i="2"/>
  <c r="N332" i="2"/>
  <c r="O332" i="2" s="1"/>
  <c r="L332" i="2"/>
  <c r="J332" i="2"/>
  <c r="G332" i="2"/>
  <c r="H332" i="2" s="1"/>
  <c r="E332" i="2" a="1"/>
  <c r="E332" i="2" s="1"/>
  <c r="D332" i="2"/>
  <c r="B332" i="2"/>
  <c r="Y331" i="2"/>
  <c r="W331" i="2"/>
  <c r="U331" i="2"/>
  <c r="S331" i="2"/>
  <c r="Q331" i="2"/>
  <c r="O331" i="2"/>
  <c r="N331" i="2"/>
  <c r="L331" i="2"/>
  <c r="J331" i="2"/>
  <c r="H331" i="2"/>
  <c r="G331" i="2"/>
  <c r="D331" i="2"/>
  <c r="E331" i="2" s="1" a="1"/>
  <c r="E331" i="2" s="1"/>
  <c r="B331" i="2"/>
  <c r="Y330" i="2"/>
  <c r="W330" i="2"/>
  <c r="U330" i="2"/>
  <c r="S330" i="2"/>
  <c r="Q330" i="2"/>
  <c r="O330" i="2"/>
  <c r="N330" i="2"/>
  <c r="L330" i="2"/>
  <c r="J330" i="2"/>
  <c r="H330" i="2"/>
  <c r="G330" i="2"/>
  <c r="D330" i="2"/>
  <c r="E330" i="2" s="1" a="1"/>
  <c r="E330" i="2" s="1"/>
  <c r="B330" i="2"/>
  <c r="Y329" i="2"/>
  <c r="W329" i="2"/>
  <c r="U329" i="2"/>
  <c r="S329" i="2"/>
  <c r="Q329" i="2"/>
  <c r="N329" i="2"/>
  <c r="O329" i="2" s="1"/>
  <c r="L329" i="2"/>
  <c r="J329" i="2"/>
  <c r="G329" i="2"/>
  <c r="H329" i="2" s="1"/>
  <c r="E329" i="2" a="1"/>
  <c r="E329" i="2" s="1"/>
  <c r="D329" i="2"/>
  <c r="B329" i="2"/>
  <c r="Y328" i="2"/>
  <c r="W328" i="2"/>
  <c r="U328" i="2"/>
  <c r="S328" i="2"/>
  <c r="Q328" i="2"/>
  <c r="N328" i="2"/>
  <c r="O328" i="2" s="1"/>
  <c r="L328" i="2"/>
  <c r="J328" i="2"/>
  <c r="G328" i="2"/>
  <c r="H328" i="2" s="1"/>
  <c r="E328" i="2" a="1"/>
  <c r="E328" i="2" s="1"/>
  <c r="D328" i="2"/>
  <c r="B328" i="2"/>
  <c r="Y327" i="2"/>
  <c r="W327" i="2"/>
  <c r="U327" i="2"/>
  <c r="S327" i="2"/>
  <c r="Q327" i="2"/>
  <c r="O327" i="2"/>
  <c r="N327" i="2"/>
  <c r="L327" i="2"/>
  <c r="J327" i="2"/>
  <c r="H327" i="2"/>
  <c r="G327" i="2"/>
  <c r="D327" i="2"/>
  <c r="E327" i="2" s="1" a="1"/>
  <c r="E327" i="2" s="1"/>
  <c r="B327" i="2"/>
  <c r="Y326" i="2"/>
  <c r="W326" i="2"/>
  <c r="U326" i="2"/>
  <c r="S326" i="2"/>
  <c r="Q326" i="2"/>
  <c r="O326" i="2"/>
  <c r="N326" i="2"/>
  <c r="J326" i="2"/>
  <c r="G326" i="2"/>
  <c r="H326" i="2" s="1"/>
  <c r="E326" i="2" a="1"/>
  <c r="E326" i="2" s="1"/>
  <c r="D326" i="2"/>
  <c r="B326" i="2"/>
  <c r="Y325" i="2"/>
  <c r="W325" i="2"/>
  <c r="U325" i="2"/>
  <c r="S325" i="2"/>
  <c r="Q325" i="2"/>
  <c r="N325" i="2"/>
  <c r="O325" i="2" s="1"/>
  <c r="L325" i="2"/>
  <c r="J325" i="2"/>
  <c r="G325" i="2"/>
  <c r="H325" i="2" s="1"/>
  <c r="E325" i="2" a="1"/>
  <c r="E325" i="2" s="1"/>
  <c r="D325" i="2"/>
  <c r="B325" i="2"/>
  <c r="Y324" i="2"/>
  <c r="W324" i="2"/>
  <c r="U324" i="2"/>
  <c r="S324" i="2"/>
  <c r="Q324" i="2"/>
  <c r="O324" i="2"/>
  <c r="N324" i="2"/>
  <c r="L324" i="2"/>
  <c r="J324" i="2"/>
  <c r="H324" i="2"/>
  <c r="G324" i="2"/>
  <c r="E324" i="2" a="1"/>
  <c r="E324" i="2" s="1"/>
  <c r="D324" i="2"/>
  <c r="B324" i="2"/>
  <c r="Y323" i="2"/>
  <c r="W323" i="2"/>
  <c r="U323" i="2"/>
  <c r="S323" i="2"/>
  <c r="Q323" i="2"/>
  <c r="O323" i="2"/>
  <c r="N323" i="2"/>
  <c r="L323" i="2"/>
  <c r="J323" i="2"/>
  <c r="H323" i="2"/>
  <c r="G323" i="2"/>
  <c r="D323" i="2"/>
  <c r="E323" i="2" s="1" a="1"/>
  <c r="E323" i="2" s="1"/>
  <c r="B323" i="2"/>
  <c r="Y322" i="2"/>
  <c r="W322" i="2"/>
  <c r="U322" i="2"/>
  <c r="S322" i="2"/>
  <c r="Q322" i="2"/>
  <c r="N322" i="2"/>
  <c r="O322" i="2" s="1"/>
  <c r="L322" i="2"/>
  <c r="J322" i="2"/>
  <c r="G322" i="2"/>
  <c r="H322" i="2" s="1"/>
  <c r="E322" i="2" a="1"/>
  <c r="E322" i="2" s="1"/>
  <c r="D322" i="2"/>
  <c r="B322" i="2"/>
  <c r="Y321" i="2"/>
  <c r="W321" i="2"/>
  <c r="U321" i="2"/>
  <c r="S321" i="2"/>
  <c r="Q321" i="2"/>
  <c r="N321" i="2"/>
  <c r="O321" i="2" s="1"/>
  <c r="L321" i="2"/>
  <c r="J321" i="2"/>
  <c r="G321" i="2"/>
  <c r="H321" i="2" s="1"/>
  <c r="E321" i="2" a="1"/>
  <c r="E321" i="2" s="1"/>
  <c r="D321" i="2"/>
  <c r="B321" i="2"/>
  <c r="Y320" i="2"/>
  <c r="W320" i="2"/>
  <c r="U320" i="2"/>
  <c r="S320" i="2"/>
  <c r="Q320" i="2"/>
  <c r="O320" i="2"/>
  <c r="N320" i="2"/>
  <c r="L320" i="2"/>
  <c r="J320" i="2"/>
  <c r="H320" i="2"/>
  <c r="G320" i="2"/>
  <c r="E320" i="2" a="1"/>
  <c r="E320" i="2" s="1"/>
  <c r="D320" i="2"/>
  <c r="B320" i="2"/>
  <c r="Y319" i="2"/>
  <c r="W319" i="2"/>
  <c r="U319" i="2"/>
  <c r="S319" i="2"/>
  <c r="Q319" i="2"/>
  <c r="O319" i="2"/>
  <c r="N319" i="2"/>
  <c r="L319" i="2"/>
  <c r="J319" i="2"/>
  <c r="H319" i="2"/>
  <c r="G319" i="2"/>
  <c r="D319" i="2"/>
  <c r="E319" i="2" s="1" a="1"/>
  <c r="E319" i="2" s="1"/>
  <c r="B319" i="2"/>
  <c r="Y318" i="2"/>
  <c r="W318" i="2"/>
  <c r="U318" i="2"/>
  <c r="S318" i="2"/>
  <c r="Q318" i="2"/>
  <c r="N318" i="2"/>
  <c r="O318" i="2" s="1"/>
  <c r="L318" i="2"/>
  <c r="J318" i="2"/>
  <c r="G318" i="2"/>
  <c r="H318" i="2" s="1"/>
  <c r="E318" i="2" a="1"/>
  <c r="E318" i="2" s="1"/>
  <c r="D318" i="2"/>
  <c r="B318" i="2"/>
  <c r="Y317" i="2"/>
  <c r="W317" i="2"/>
  <c r="U317" i="2"/>
  <c r="S317" i="2"/>
  <c r="Q317" i="2"/>
  <c r="N317" i="2"/>
  <c r="O317" i="2" s="1"/>
  <c r="L317" i="2"/>
  <c r="J317" i="2"/>
  <c r="G317" i="2"/>
  <c r="H317" i="2" s="1"/>
  <c r="E317" i="2" a="1"/>
  <c r="E317" i="2" s="1"/>
  <c r="D317" i="2"/>
  <c r="B317" i="2"/>
  <c r="Y316" i="2"/>
  <c r="W316" i="2"/>
  <c r="U316" i="2"/>
  <c r="S316" i="2"/>
  <c r="Q316" i="2"/>
  <c r="O316" i="2"/>
  <c r="N316" i="2"/>
  <c r="L316" i="2"/>
  <c r="J316" i="2"/>
  <c r="H316" i="2"/>
  <c r="G316" i="2"/>
  <c r="E316" i="2" a="1"/>
  <c r="E316" i="2"/>
  <c r="D316" i="2"/>
  <c r="B316" i="2"/>
  <c r="Y315" i="2"/>
  <c r="W315" i="2"/>
  <c r="U315" i="2"/>
  <c r="S315" i="2"/>
  <c r="Q315" i="2"/>
  <c r="O315" i="2"/>
  <c r="N315" i="2"/>
  <c r="L315" i="2"/>
  <c r="J315" i="2"/>
  <c r="H315" i="2"/>
  <c r="G315" i="2"/>
  <c r="D315" i="2"/>
  <c r="E315" i="2" s="1" a="1"/>
  <c r="E315" i="2" s="1"/>
  <c r="B315" i="2"/>
  <c r="Y314" i="2"/>
  <c r="W314" i="2"/>
  <c r="U314" i="2"/>
  <c r="S314" i="2"/>
  <c r="Q314" i="2"/>
  <c r="N314" i="2"/>
  <c r="O314" i="2" s="1"/>
  <c r="J314" i="2"/>
  <c r="G314" i="2"/>
  <c r="H314" i="2" s="1"/>
  <c r="E314" i="2" a="1"/>
  <c r="E314" i="2"/>
  <c r="D314" i="2"/>
  <c r="B314" i="2"/>
  <c r="Y313" i="2"/>
  <c r="W313" i="2"/>
  <c r="U313" i="2"/>
  <c r="S313" i="2"/>
  <c r="Q313" i="2"/>
  <c r="O313" i="2"/>
  <c r="N313" i="2"/>
  <c r="L313" i="2"/>
  <c r="J313" i="2"/>
  <c r="H313" i="2"/>
  <c r="G313" i="2"/>
  <c r="D313" i="2"/>
  <c r="E313" i="2" s="1" a="1"/>
  <c r="E313" i="2" s="1"/>
  <c r="B313" i="2"/>
  <c r="Y312" i="2"/>
  <c r="W312" i="2"/>
  <c r="U312" i="2"/>
  <c r="S312" i="2"/>
  <c r="Q312" i="2"/>
  <c r="N312" i="2"/>
  <c r="O312" i="2" s="1"/>
  <c r="L312" i="2"/>
  <c r="J312" i="2"/>
  <c r="G312" i="2"/>
  <c r="H312" i="2" s="1"/>
  <c r="E312" i="2"/>
  <c r="D312" i="2"/>
  <c r="E312" i="2" s="1" a="1"/>
  <c r="B312" i="2"/>
  <c r="Y311" i="2"/>
  <c r="W311" i="2"/>
  <c r="U311" i="2"/>
  <c r="S311" i="2"/>
  <c r="Q311" i="2"/>
  <c r="O311" i="2"/>
  <c r="N311" i="2"/>
  <c r="L311" i="2"/>
  <c r="J311" i="2"/>
  <c r="H311" i="2"/>
  <c r="G311" i="2"/>
  <c r="D311" i="2"/>
  <c r="E311" i="2" s="1" a="1"/>
  <c r="E311" i="2" s="1"/>
  <c r="B311" i="2"/>
  <c r="Y310" i="2"/>
  <c r="W310" i="2"/>
  <c r="U310" i="2"/>
  <c r="S310" i="2"/>
  <c r="Q310" i="2"/>
  <c r="N310" i="2"/>
  <c r="O310" i="2" s="1"/>
  <c r="L310" i="2"/>
  <c r="J310" i="2"/>
  <c r="G310" i="2"/>
  <c r="H310" i="2" s="1"/>
  <c r="E310" i="2" a="1"/>
  <c r="E310" i="2"/>
  <c r="D310" i="2"/>
  <c r="B310" i="2"/>
  <c r="Y309" i="2"/>
  <c r="W309" i="2"/>
  <c r="U309" i="2"/>
  <c r="S309" i="2"/>
  <c r="Q309" i="2"/>
  <c r="O309" i="2"/>
  <c r="N309" i="2"/>
  <c r="L309" i="2"/>
  <c r="J309" i="2"/>
  <c r="H309" i="2"/>
  <c r="G309" i="2"/>
  <c r="D309" i="2"/>
  <c r="E309" i="2" s="1" a="1"/>
  <c r="E309" i="2" s="1"/>
  <c r="B309" i="2"/>
  <c r="Y308" i="2"/>
  <c r="W308" i="2"/>
  <c r="U308" i="2"/>
  <c r="S308" i="2"/>
  <c r="Q308" i="2"/>
  <c r="N308" i="2"/>
  <c r="O308" i="2" s="1"/>
  <c r="L308" i="2"/>
  <c r="J308" i="2"/>
  <c r="G308" i="2"/>
  <c r="H308" i="2" s="1"/>
  <c r="E308" i="2"/>
  <c r="D308" i="2"/>
  <c r="E308" i="2" s="1" a="1"/>
  <c r="B308" i="2"/>
  <c r="Y307" i="2"/>
  <c r="W307" i="2"/>
  <c r="U307" i="2"/>
  <c r="S307" i="2"/>
  <c r="Q307" i="2"/>
  <c r="O307" i="2"/>
  <c r="N307" i="2"/>
  <c r="L307" i="2"/>
  <c r="J307" i="2"/>
  <c r="H307" i="2"/>
  <c r="G307" i="2"/>
  <c r="D307" i="2"/>
  <c r="E307" i="2" s="1" a="1"/>
  <c r="E307" i="2" s="1"/>
  <c r="B307" i="2"/>
  <c r="Y306" i="2"/>
  <c r="W306" i="2"/>
  <c r="U306" i="2"/>
  <c r="S306" i="2"/>
  <c r="Q306" i="2"/>
  <c r="N306" i="2"/>
  <c r="O306" i="2" s="1"/>
  <c r="J306" i="2"/>
  <c r="H306" i="2"/>
  <c r="G306" i="2"/>
  <c r="D306" i="2"/>
  <c r="E306" i="2" s="1" a="1"/>
  <c r="E306" i="2" s="1"/>
  <c r="B306" i="2"/>
  <c r="Y305" i="2"/>
  <c r="W305" i="2"/>
  <c r="U305" i="2"/>
  <c r="S305" i="2"/>
  <c r="Q305" i="2"/>
  <c r="N305" i="2"/>
  <c r="O305" i="2" s="1"/>
  <c r="L305" i="2"/>
  <c r="J305" i="2"/>
  <c r="G305" i="2"/>
  <c r="H305" i="2" s="1"/>
  <c r="D305" i="2"/>
  <c r="E305" i="2" s="1" a="1"/>
  <c r="E305" i="2" s="1"/>
  <c r="B305" i="2"/>
  <c r="Y304" i="2"/>
  <c r="W304" i="2"/>
  <c r="U304" i="2"/>
  <c r="S304" i="2"/>
  <c r="Q304" i="2"/>
  <c r="N304" i="2"/>
  <c r="O304" i="2" s="1"/>
  <c r="L304" i="2"/>
  <c r="J304" i="2"/>
  <c r="G304" i="2"/>
  <c r="H304" i="2" s="1"/>
  <c r="D304" i="2"/>
  <c r="E304" i="2" s="1" a="1"/>
  <c r="E304" i="2" s="1"/>
  <c r="B304" i="2"/>
  <c r="Y303" i="2"/>
  <c r="W303" i="2"/>
  <c r="U303" i="2"/>
  <c r="S303" i="2"/>
  <c r="Q303" i="2"/>
  <c r="N303" i="2"/>
  <c r="O303" i="2" s="1"/>
  <c r="L303" i="2"/>
  <c r="J303" i="2"/>
  <c r="G303" i="2"/>
  <c r="H303" i="2" s="1"/>
  <c r="E303" i="2" a="1"/>
  <c r="E303" i="2"/>
  <c r="D303" i="2"/>
  <c r="B303" i="2"/>
  <c r="Y302" i="2"/>
  <c r="W302" i="2"/>
  <c r="U302" i="2"/>
  <c r="S302" i="2"/>
  <c r="Q302" i="2"/>
  <c r="O302" i="2"/>
  <c r="N302" i="2"/>
  <c r="L302" i="2"/>
  <c r="J302" i="2"/>
  <c r="H302" i="2"/>
  <c r="G302" i="2"/>
  <c r="D302" i="2"/>
  <c r="E302" i="2" s="1" a="1"/>
  <c r="E302" i="2" s="1"/>
  <c r="B302" i="2"/>
  <c r="Y301" i="2"/>
  <c r="W301" i="2"/>
  <c r="U301" i="2"/>
  <c r="S301" i="2"/>
  <c r="Q301" i="2"/>
  <c r="N301" i="2"/>
  <c r="O301" i="2" s="1"/>
  <c r="L301" i="2"/>
  <c r="J301" i="2"/>
  <c r="G301" i="2"/>
  <c r="H301" i="2" s="1"/>
  <c r="D301" i="2"/>
  <c r="E301" i="2" s="1" a="1"/>
  <c r="E301" i="2" s="1"/>
  <c r="B301" i="2"/>
  <c r="Y300" i="2"/>
  <c r="W300" i="2"/>
  <c r="U300" i="2"/>
  <c r="S300" i="2"/>
  <c r="Q300" i="2"/>
  <c r="N300" i="2"/>
  <c r="O300" i="2" s="1"/>
  <c r="L300" i="2"/>
  <c r="J300" i="2"/>
  <c r="G300" i="2"/>
  <c r="H300" i="2" s="1"/>
  <c r="D300" i="2"/>
  <c r="E300" i="2" s="1" a="1"/>
  <c r="E300" i="2" s="1"/>
  <c r="B300" i="2"/>
  <c r="Y299" i="2"/>
  <c r="W299" i="2"/>
  <c r="U299" i="2"/>
  <c r="S299" i="2"/>
  <c r="Q299" i="2"/>
  <c r="N299" i="2"/>
  <c r="O299" i="2" s="1"/>
  <c r="L299" i="2"/>
  <c r="J299" i="2"/>
  <c r="G299" i="2"/>
  <c r="H299" i="2" s="1"/>
  <c r="E299" i="2" a="1"/>
  <c r="E299" i="2"/>
  <c r="D299" i="2"/>
  <c r="B299" i="2"/>
  <c r="Y298" i="2"/>
  <c r="W298" i="2"/>
  <c r="U298" i="2"/>
  <c r="S298" i="2"/>
  <c r="Q298" i="2"/>
  <c r="O298" i="2"/>
  <c r="N298" i="2"/>
  <c r="L298" i="2"/>
  <c r="J298" i="2"/>
  <c r="H298" i="2"/>
  <c r="G298" i="2"/>
  <c r="D298" i="2"/>
  <c r="E298" i="2" s="1" a="1"/>
  <c r="E298" i="2" s="1"/>
  <c r="B298" i="2"/>
  <c r="Y297" i="2"/>
  <c r="W297" i="2"/>
  <c r="U297" i="2"/>
  <c r="S297" i="2"/>
  <c r="Q297" i="2"/>
  <c r="N297" i="2"/>
  <c r="O297" i="2" s="1"/>
  <c r="J297" i="2"/>
  <c r="G297" i="2"/>
  <c r="H297" i="2" s="1"/>
  <c r="E297" i="2" a="1"/>
  <c r="E297" i="2" s="1"/>
  <c r="D297" i="2"/>
  <c r="B297" i="2"/>
  <c r="Y296" i="2"/>
  <c r="W296" i="2"/>
  <c r="U296" i="2"/>
  <c r="S296" i="2"/>
  <c r="Q296" i="2"/>
  <c r="N296" i="2"/>
  <c r="O296" i="2" s="1"/>
  <c r="J296" i="2"/>
  <c r="H296" i="2"/>
  <c r="G296" i="2"/>
  <c r="E296" i="2" a="1"/>
  <c r="E296" i="2" s="1"/>
  <c r="D296" i="2"/>
  <c r="B296" i="2"/>
  <c r="Y295" i="2"/>
  <c r="W295" i="2"/>
  <c r="U295" i="2"/>
  <c r="S295" i="2"/>
  <c r="Q295" i="2"/>
  <c r="N295" i="2"/>
  <c r="O295" i="2" s="1"/>
  <c r="L295" i="2"/>
  <c r="J295" i="2"/>
  <c r="G295" i="2"/>
  <c r="H295" i="2" s="1"/>
  <c r="D295" i="2"/>
  <c r="E295" i="2" s="1" a="1"/>
  <c r="E295" i="2" s="1"/>
  <c r="B295" i="2"/>
  <c r="Y294" i="2"/>
  <c r="W294" i="2"/>
  <c r="U294" i="2"/>
  <c r="S294" i="2"/>
  <c r="Q294" i="2"/>
  <c r="N294" i="2"/>
  <c r="O294" i="2" s="1"/>
  <c r="L294" i="2"/>
  <c r="J294" i="2"/>
  <c r="G294" i="2"/>
  <c r="H294" i="2" s="1"/>
  <c r="D294" i="2"/>
  <c r="E294" i="2" s="1" a="1"/>
  <c r="E294" i="2" s="1"/>
  <c r="B294" i="2"/>
  <c r="Y293" i="2"/>
  <c r="W293" i="2"/>
  <c r="U293" i="2"/>
  <c r="S293" i="2"/>
  <c r="Q293" i="2"/>
  <c r="N293" i="2"/>
  <c r="O293" i="2" s="1"/>
  <c r="L293" i="2"/>
  <c r="J293" i="2"/>
  <c r="G293" i="2"/>
  <c r="H293" i="2" s="1"/>
  <c r="E293" i="2" a="1"/>
  <c r="E293" i="2"/>
  <c r="D293" i="2"/>
  <c r="B293" i="2"/>
  <c r="Y292" i="2"/>
  <c r="W292" i="2"/>
  <c r="U292" i="2"/>
  <c r="S292" i="2"/>
  <c r="Q292" i="2"/>
  <c r="O292" i="2"/>
  <c r="N292" i="2"/>
  <c r="L292" i="2"/>
  <c r="J292" i="2"/>
  <c r="H292" i="2"/>
  <c r="G292" i="2"/>
  <c r="E292" i="2" a="1"/>
  <c r="E292" i="2" s="1"/>
  <c r="D292" i="2"/>
  <c r="B292" i="2"/>
  <c r="Y291" i="2"/>
  <c r="W291" i="2"/>
  <c r="U291" i="2"/>
  <c r="S291" i="2"/>
  <c r="Q291" i="2"/>
  <c r="N291" i="2"/>
  <c r="O291" i="2" s="1"/>
  <c r="L291" i="2"/>
  <c r="J291" i="2"/>
  <c r="G291" i="2"/>
  <c r="H291" i="2" s="1"/>
  <c r="D291" i="2"/>
  <c r="E291" i="2" s="1" a="1"/>
  <c r="E291" i="2" s="1"/>
  <c r="B291" i="2"/>
  <c r="Y290" i="2"/>
  <c r="W290" i="2"/>
  <c r="U290" i="2"/>
  <c r="S290" i="2"/>
  <c r="Q290" i="2"/>
  <c r="N290" i="2"/>
  <c r="O290" i="2" s="1"/>
  <c r="L290" i="2"/>
  <c r="J290" i="2"/>
  <c r="G290" i="2"/>
  <c r="H290" i="2" s="1"/>
  <c r="D290" i="2"/>
  <c r="E290" i="2" s="1" a="1"/>
  <c r="E290" i="2" s="1"/>
  <c r="B290" i="2"/>
  <c r="Y289" i="2"/>
  <c r="W289" i="2"/>
  <c r="U289" i="2"/>
  <c r="S289" i="2"/>
  <c r="Q289" i="2"/>
  <c r="N289" i="2"/>
  <c r="O289" i="2" s="1"/>
  <c r="L289" i="2"/>
  <c r="J289" i="2"/>
  <c r="G289" i="2"/>
  <c r="H289" i="2" s="1"/>
  <c r="E289" i="2" a="1"/>
  <c r="E289" i="2"/>
  <c r="D289" i="2"/>
  <c r="B289" i="2"/>
  <c r="Y288" i="2"/>
  <c r="W288" i="2"/>
  <c r="U288" i="2"/>
  <c r="S288" i="2"/>
  <c r="Q288" i="2"/>
  <c r="O288" i="2"/>
  <c r="N288" i="2"/>
  <c r="L288" i="2"/>
  <c r="J288" i="2"/>
  <c r="H288" i="2"/>
  <c r="G288" i="2"/>
  <c r="E288" i="2" a="1"/>
  <c r="E288" i="2" s="1"/>
  <c r="D288" i="2"/>
  <c r="B288" i="2"/>
  <c r="Y287" i="2"/>
  <c r="W287" i="2"/>
  <c r="U287" i="2"/>
  <c r="S287" i="2"/>
  <c r="Q287" i="2"/>
  <c r="N287" i="2"/>
  <c r="O287" i="2" s="1"/>
  <c r="L287" i="2"/>
  <c r="J287" i="2"/>
  <c r="G287" i="2"/>
  <c r="H287" i="2" s="1"/>
  <c r="D287" i="2"/>
  <c r="E287" i="2" s="1" a="1"/>
  <c r="E287" i="2" s="1"/>
  <c r="B287" i="2"/>
  <c r="Y286" i="2"/>
  <c r="W286" i="2"/>
  <c r="U286" i="2"/>
  <c r="S286" i="2"/>
  <c r="Q286" i="2"/>
  <c r="N286" i="2"/>
  <c r="O286" i="2" s="1"/>
  <c r="L286" i="2"/>
  <c r="J286" i="2"/>
  <c r="G286" i="2"/>
  <c r="H286" i="2" s="1"/>
  <c r="D286" i="2"/>
  <c r="E286" i="2" s="1" a="1"/>
  <c r="E286" i="2" s="1"/>
  <c r="B286" i="2"/>
  <c r="Y285" i="2"/>
  <c r="W285" i="2"/>
  <c r="U285" i="2"/>
  <c r="S285" i="2"/>
  <c r="Q285" i="2"/>
  <c r="N285" i="2"/>
  <c r="O285" i="2" s="1"/>
  <c r="L285" i="2"/>
  <c r="J285" i="2"/>
  <c r="G285" i="2"/>
  <c r="H285" i="2" s="1"/>
  <c r="E285" i="2" a="1"/>
  <c r="E285" i="2"/>
  <c r="D285" i="2"/>
  <c r="B285" i="2"/>
  <c r="Y284" i="2"/>
  <c r="W284" i="2"/>
  <c r="U284" i="2"/>
  <c r="S284" i="2"/>
  <c r="Q284" i="2"/>
  <c r="O284" i="2"/>
  <c r="N284" i="2"/>
  <c r="L284" i="2"/>
  <c r="J284" i="2"/>
  <c r="H284" i="2"/>
  <c r="G284" i="2"/>
  <c r="E284" i="2" a="1"/>
  <c r="E284" i="2" s="1"/>
  <c r="D284" i="2"/>
  <c r="B284" i="2"/>
  <c r="Y283" i="2"/>
  <c r="W283" i="2"/>
  <c r="U283" i="2"/>
  <c r="S283" i="2"/>
  <c r="Q283" i="2"/>
  <c r="N283" i="2"/>
  <c r="O283" i="2" s="1"/>
  <c r="L283" i="2"/>
  <c r="J283" i="2"/>
  <c r="G283" i="2"/>
  <c r="H283" i="2" s="1"/>
  <c r="D283" i="2"/>
  <c r="E283" i="2" s="1" a="1"/>
  <c r="E283" i="2" s="1"/>
  <c r="B283" i="2"/>
  <c r="Y282" i="2"/>
  <c r="W282" i="2"/>
  <c r="U282" i="2"/>
  <c r="S282" i="2"/>
  <c r="Q282" i="2"/>
  <c r="N282" i="2"/>
  <c r="O282" i="2" s="1"/>
  <c r="L282" i="2"/>
  <c r="J282" i="2"/>
  <c r="G282" i="2"/>
  <c r="H282" i="2" s="1"/>
  <c r="D282" i="2"/>
  <c r="E282" i="2" s="1" a="1"/>
  <c r="E282" i="2" s="1"/>
  <c r="B282" i="2"/>
  <c r="Y281" i="2"/>
  <c r="W281" i="2"/>
  <c r="U281" i="2"/>
  <c r="S281" i="2"/>
  <c r="Q281" i="2"/>
  <c r="N281" i="2"/>
  <c r="O281" i="2" s="1"/>
  <c r="L281" i="2"/>
  <c r="J281" i="2"/>
  <c r="G281" i="2"/>
  <c r="H281" i="2" s="1"/>
  <c r="E281" i="2" a="1"/>
  <c r="E281" i="2"/>
  <c r="D281" i="2"/>
  <c r="B281" i="2"/>
  <c r="Y280" i="2"/>
  <c r="W280" i="2"/>
  <c r="U280" i="2"/>
  <c r="S280" i="2"/>
  <c r="Q280" i="2"/>
  <c r="O280" i="2"/>
  <c r="N280" i="2"/>
  <c r="L280" i="2"/>
  <c r="J280" i="2"/>
  <c r="H280" i="2"/>
  <c r="G280" i="2"/>
  <c r="E280" i="2" a="1"/>
  <c r="E280" i="2" s="1"/>
  <c r="D280" i="2"/>
  <c r="B280" i="2"/>
  <c r="Y279" i="2"/>
  <c r="W279" i="2"/>
  <c r="U279" i="2"/>
  <c r="S279" i="2"/>
  <c r="Q279" i="2"/>
  <c r="N279" i="2"/>
  <c r="O279" i="2" s="1"/>
  <c r="L279" i="2"/>
  <c r="J279" i="2"/>
  <c r="G279" i="2"/>
  <c r="H279" i="2" s="1"/>
  <c r="D279" i="2"/>
  <c r="E279" i="2" s="1" a="1"/>
  <c r="E279" i="2" s="1"/>
  <c r="B279" i="2"/>
  <c r="Y278" i="2"/>
  <c r="W278" i="2"/>
  <c r="U278" i="2"/>
  <c r="S278" i="2"/>
  <c r="Q278" i="2"/>
  <c r="N278" i="2"/>
  <c r="O278" i="2" s="1"/>
  <c r="L278" i="2"/>
  <c r="J278" i="2"/>
  <c r="G278" i="2"/>
  <c r="H278" i="2" s="1"/>
  <c r="D278" i="2"/>
  <c r="E278" i="2" s="1" a="1"/>
  <c r="E278" i="2" s="1"/>
  <c r="B278" i="2"/>
  <c r="Y277" i="2"/>
  <c r="W277" i="2"/>
  <c r="U277" i="2"/>
  <c r="S277" i="2"/>
  <c r="Q277" i="2"/>
  <c r="N277" i="2"/>
  <c r="O277" i="2" s="1"/>
  <c r="L277" i="2"/>
  <c r="J277" i="2"/>
  <c r="G277" i="2"/>
  <c r="H277" i="2" s="1"/>
  <c r="E277" i="2" a="1"/>
  <c r="E277" i="2"/>
  <c r="D277" i="2"/>
  <c r="B277" i="2"/>
  <c r="Y276" i="2"/>
  <c r="W276" i="2"/>
  <c r="U276" i="2"/>
  <c r="S276" i="2"/>
  <c r="Q276" i="2"/>
  <c r="O276" i="2"/>
  <c r="N276" i="2"/>
  <c r="L276" i="2"/>
  <c r="J276" i="2"/>
  <c r="H276" i="2"/>
  <c r="G276" i="2"/>
  <c r="E276" i="2" a="1"/>
  <c r="E276" i="2" s="1"/>
  <c r="D276" i="2"/>
  <c r="B276" i="2"/>
  <c r="Y275" i="2"/>
  <c r="W275" i="2"/>
  <c r="U275" i="2"/>
  <c r="S275" i="2"/>
  <c r="Q275" i="2"/>
  <c r="N275" i="2"/>
  <c r="O275" i="2" s="1"/>
  <c r="L275" i="2"/>
  <c r="J275" i="2"/>
  <c r="G275" i="2"/>
  <c r="H275" i="2" s="1"/>
  <c r="D275" i="2"/>
  <c r="E275" i="2" s="1" a="1"/>
  <c r="E275" i="2" s="1"/>
  <c r="B275" i="2"/>
  <c r="Y274" i="2"/>
  <c r="W274" i="2"/>
  <c r="U274" i="2"/>
  <c r="S274" i="2"/>
  <c r="Q274" i="2"/>
  <c r="N274" i="2"/>
  <c r="O274" i="2" s="1"/>
  <c r="L274" i="2"/>
  <c r="J274" i="2"/>
  <c r="G274" i="2"/>
  <c r="H274" i="2" s="1"/>
  <c r="D274" i="2"/>
  <c r="E274" i="2" s="1" a="1"/>
  <c r="E274" i="2" s="1"/>
  <c r="B274" i="2"/>
  <c r="Y273" i="2"/>
  <c r="W273" i="2"/>
  <c r="U273" i="2"/>
  <c r="S273" i="2"/>
  <c r="Q273" i="2"/>
  <c r="N273" i="2"/>
  <c r="O273" i="2" s="1"/>
  <c r="L273" i="2"/>
  <c r="J273" i="2"/>
  <c r="G273" i="2"/>
  <c r="H273" i="2" s="1"/>
  <c r="E273" i="2" a="1"/>
  <c r="E273" i="2"/>
  <c r="D273" i="2"/>
  <c r="B273" i="2"/>
  <c r="Y272" i="2"/>
  <c r="W272" i="2"/>
  <c r="U272" i="2"/>
  <c r="S272" i="2"/>
  <c r="Q272" i="2"/>
  <c r="O272" i="2"/>
  <c r="N272" i="2"/>
  <c r="L272" i="2"/>
  <c r="J272" i="2"/>
  <c r="H272" i="2"/>
  <c r="G272" i="2"/>
  <c r="E272" i="2" a="1"/>
  <c r="E272" i="2" s="1"/>
  <c r="D272" i="2"/>
  <c r="B272" i="2"/>
  <c r="Y271" i="2"/>
  <c r="W271" i="2"/>
  <c r="U271" i="2"/>
  <c r="S271" i="2"/>
  <c r="Q271" i="2"/>
  <c r="N271" i="2"/>
  <c r="O271" i="2" s="1"/>
  <c r="L271" i="2"/>
  <c r="J271" i="2"/>
  <c r="G271" i="2"/>
  <c r="H271" i="2" s="1"/>
  <c r="D271" i="2"/>
  <c r="E271" i="2" s="1" a="1"/>
  <c r="E271" i="2" s="1"/>
  <c r="B271" i="2"/>
  <c r="Y270" i="2"/>
  <c r="W270" i="2"/>
  <c r="U270" i="2"/>
  <c r="S270" i="2"/>
  <c r="Q270" i="2"/>
  <c r="N270" i="2"/>
  <c r="O270" i="2" s="1"/>
  <c r="L270" i="2"/>
  <c r="J270" i="2"/>
  <c r="G270" i="2"/>
  <c r="H270" i="2" s="1"/>
  <c r="D270" i="2"/>
  <c r="E270" i="2" s="1" a="1"/>
  <c r="E270" i="2" s="1"/>
  <c r="B270" i="2"/>
  <c r="Y269" i="2"/>
  <c r="W269" i="2"/>
  <c r="U269" i="2"/>
  <c r="S269" i="2"/>
  <c r="Q269" i="2"/>
  <c r="N269" i="2"/>
  <c r="O269" i="2" s="1"/>
  <c r="L269" i="2"/>
  <c r="J269" i="2"/>
  <c r="G269" i="2"/>
  <c r="H269" i="2" s="1"/>
  <c r="E269" i="2" a="1"/>
  <c r="E269" i="2"/>
  <c r="D269" i="2"/>
  <c r="B269" i="2"/>
  <c r="Y268" i="2"/>
  <c r="W268" i="2"/>
  <c r="U268" i="2"/>
  <c r="S268" i="2"/>
  <c r="Q268" i="2"/>
  <c r="O268" i="2"/>
  <c r="N268" i="2"/>
  <c r="L268" i="2"/>
  <c r="J268" i="2"/>
  <c r="H268" i="2"/>
  <c r="G268" i="2"/>
  <c r="E268" i="2" a="1"/>
  <c r="E268" i="2" s="1"/>
  <c r="D268" i="2"/>
  <c r="B268" i="2"/>
  <c r="Y267" i="2"/>
  <c r="W267" i="2"/>
  <c r="U267" i="2"/>
  <c r="S267" i="2"/>
  <c r="Q267" i="2"/>
  <c r="N267" i="2"/>
  <c r="O267" i="2" s="1"/>
  <c r="L267" i="2"/>
  <c r="J267" i="2"/>
  <c r="G267" i="2"/>
  <c r="H267" i="2" s="1"/>
  <c r="D267" i="2"/>
  <c r="E267" i="2" s="1" a="1"/>
  <c r="E267" i="2" s="1"/>
  <c r="B267" i="2"/>
  <c r="Y266" i="2"/>
  <c r="W266" i="2"/>
  <c r="U266" i="2"/>
  <c r="S266" i="2"/>
  <c r="Q266" i="2"/>
  <c r="N266" i="2"/>
  <c r="O266" i="2" s="1"/>
  <c r="L266" i="2"/>
  <c r="J266" i="2"/>
  <c r="G266" i="2"/>
  <c r="H266" i="2" s="1"/>
  <c r="D266" i="2"/>
  <c r="E266" i="2" s="1" a="1"/>
  <c r="E266" i="2" s="1"/>
  <c r="B266" i="2"/>
  <c r="Y265" i="2"/>
  <c r="W265" i="2"/>
  <c r="U265" i="2"/>
  <c r="S265" i="2"/>
  <c r="Q265" i="2"/>
  <c r="N265" i="2"/>
  <c r="O265" i="2" s="1"/>
  <c r="J265" i="2"/>
  <c r="H265" i="2"/>
  <c r="G265" i="2"/>
  <c r="D265" i="2"/>
  <c r="E265" i="2" s="1" a="1"/>
  <c r="E265" i="2" s="1"/>
  <c r="B265" i="2"/>
  <c r="Y264" i="2"/>
  <c r="W264" i="2"/>
  <c r="U264" i="2"/>
  <c r="S264" i="2"/>
  <c r="Q264" i="2"/>
  <c r="N264" i="2"/>
  <c r="O264" i="2" s="1"/>
  <c r="L264" i="2"/>
  <c r="J264" i="2"/>
  <c r="G264" i="2"/>
  <c r="H264" i="2" s="1"/>
  <c r="E264" i="2"/>
  <c r="D264" i="2"/>
  <c r="E264" i="2" s="1" a="1"/>
  <c r="B264" i="2"/>
  <c r="Y263" i="2"/>
  <c r="W263" i="2"/>
  <c r="U263" i="2"/>
  <c r="S263" i="2"/>
  <c r="Q263" i="2"/>
  <c r="O263" i="2"/>
  <c r="N263" i="2"/>
  <c r="L263" i="2"/>
  <c r="J263" i="2"/>
  <c r="H263" i="2"/>
  <c r="G263" i="2"/>
  <c r="D263" i="2"/>
  <c r="E263" i="2" s="1" a="1"/>
  <c r="E263" i="2" s="1"/>
  <c r="B263" i="2"/>
  <c r="Y262" i="2"/>
  <c r="W262" i="2"/>
  <c r="U262" i="2"/>
  <c r="S262" i="2"/>
  <c r="Q262" i="2"/>
  <c r="N262" i="2"/>
  <c r="O262" i="2" s="1"/>
  <c r="J262" i="2"/>
  <c r="H262" i="2"/>
  <c r="G262" i="2"/>
  <c r="D262" i="2"/>
  <c r="E262" i="2" s="1" a="1"/>
  <c r="E262" i="2" s="1"/>
  <c r="B262" i="2"/>
  <c r="Y261" i="2"/>
  <c r="W261" i="2"/>
  <c r="U261" i="2"/>
  <c r="S261" i="2"/>
  <c r="Q261" i="2"/>
  <c r="N261" i="2"/>
  <c r="O261" i="2" s="1"/>
  <c r="L261" i="2"/>
  <c r="J261" i="2"/>
  <c r="G261" i="2"/>
  <c r="H261" i="2" s="1"/>
  <c r="D261" i="2"/>
  <c r="E261" i="2" s="1" a="1"/>
  <c r="E261" i="2" s="1"/>
  <c r="B261" i="2"/>
  <c r="Y260" i="2"/>
  <c r="W260" i="2"/>
  <c r="U260" i="2"/>
  <c r="S260" i="2"/>
  <c r="Q260" i="2"/>
  <c r="N260" i="2"/>
  <c r="O260" i="2" s="1"/>
  <c r="L260" i="2"/>
  <c r="J260" i="2"/>
  <c r="G260" i="2"/>
  <c r="H260" i="2" s="1"/>
  <c r="D260" i="2"/>
  <c r="E260" i="2" s="1" a="1"/>
  <c r="E260" i="2" s="1"/>
  <c r="B260" i="2"/>
  <c r="Y259" i="2"/>
  <c r="W259" i="2"/>
  <c r="U259" i="2"/>
  <c r="S259" i="2"/>
  <c r="Q259" i="2"/>
  <c r="N259" i="2"/>
  <c r="O259" i="2" s="1"/>
  <c r="L259" i="2"/>
  <c r="J259" i="2"/>
  <c r="G259" i="2"/>
  <c r="H259" i="2" s="1"/>
  <c r="E259" i="2" a="1"/>
  <c r="E259" i="2"/>
  <c r="D259" i="2"/>
  <c r="B259" i="2"/>
  <c r="Y258" i="2"/>
  <c r="W258" i="2"/>
  <c r="U258" i="2"/>
  <c r="S258" i="2"/>
  <c r="Q258" i="2"/>
  <c r="O258" i="2"/>
  <c r="N258" i="2"/>
  <c r="L258" i="2"/>
  <c r="J258" i="2"/>
  <c r="H258" i="2"/>
  <c r="G258" i="2"/>
  <c r="D258" i="2"/>
  <c r="E258" i="2" s="1" a="1"/>
  <c r="E258" i="2" s="1"/>
  <c r="B258" i="2"/>
  <c r="Y257" i="2"/>
  <c r="W257" i="2"/>
  <c r="U257" i="2"/>
  <c r="S257" i="2"/>
  <c r="Q257" i="2"/>
  <c r="N257" i="2"/>
  <c r="O257" i="2" s="1"/>
  <c r="J257" i="2"/>
  <c r="G257" i="2"/>
  <c r="H257" i="2" s="1"/>
  <c r="E257" i="2" a="1"/>
  <c r="E257" i="2" s="1"/>
  <c r="D257" i="2"/>
  <c r="B257" i="2"/>
  <c r="Y256" i="2"/>
  <c r="W256" i="2"/>
  <c r="U256" i="2"/>
  <c r="S256" i="2"/>
  <c r="Q256" i="2"/>
  <c r="N256" i="2"/>
  <c r="O256" i="2" s="1"/>
  <c r="L256" i="2"/>
  <c r="J256" i="2"/>
  <c r="G256" i="2"/>
  <c r="H256" i="2" s="1"/>
  <c r="E256" i="2" a="1"/>
  <c r="E256" i="2" s="1"/>
  <c r="D256" i="2"/>
  <c r="B256" i="2"/>
  <c r="Y255" i="2"/>
  <c r="W255" i="2"/>
  <c r="U255" i="2"/>
  <c r="S255" i="2"/>
  <c r="Q255" i="2"/>
  <c r="O255" i="2"/>
  <c r="N255" i="2"/>
  <c r="L255" i="2"/>
  <c r="J255" i="2"/>
  <c r="H255" i="2"/>
  <c r="G255" i="2"/>
  <c r="E255" i="2" a="1"/>
  <c r="E255" i="2"/>
  <c r="D255" i="2"/>
  <c r="B255" i="2"/>
  <c r="Y254" i="2"/>
  <c r="W254" i="2"/>
  <c r="U254" i="2"/>
  <c r="S254" i="2"/>
  <c r="Q254" i="2"/>
  <c r="O254" i="2"/>
  <c r="N254" i="2"/>
  <c r="L254" i="2"/>
  <c r="J254" i="2"/>
  <c r="H254" i="2"/>
  <c r="G254" i="2"/>
  <c r="D254" i="2"/>
  <c r="E254" i="2" s="1" a="1"/>
  <c r="E254" i="2" s="1"/>
  <c r="B254" i="2"/>
  <c r="Y253" i="2"/>
  <c r="W253" i="2"/>
  <c r="U253" i="2"/>
  <c r="S253" i="2"/>
  <c r="Q253" i="2"/>
  <c r="N253" i="2"/>
  <c r="O253" i="2" s="1"/>
  <c r="L253" i="2"/>
  <c r="J253" i="2"/>
  <c r="G253" i="2"/>
  <c r="H253" i="2" s="1"/>
  <c r="E253" i="2" a="1"/>
  <c r="E253" i="2" s="1"/>
  <c r="D253" i="2"/>
  <c r="B253" i="2"/>
  <c r="Y252" i="2"/>
  <c r="W252" i="2"/>
  <c r="U252" i="2"/>
  <c r="S252" i="2"/>
  <c r="Q252" i="2"/>
  <c r="N252" i="2"/>
  <c r="O252" i="2" s="1"/>
  <c r="L252" i="2"/>
  <c r="J252" i="2"/>
  <c r="G252" i="2"/>
  <c r="H252" i="2" s="1"/>
  <c r="E252" i="2" a="1"/>
  <c r="E252" i="2"/>
  <c r="D252" i="2"/>
  <c r="B252" i="2"/>
  <c r="Y251" i="2"/>
  <c r="W251" i="2"/>
  <c r="U251" i="2"/>
  <c r="S251" i="2"/>
  <c r="Q251" i="2"/>
  <c r="O251" i="2"/>
  <c r="N251" i="2"/>
  <c r="L251" i="2"/>
  <c r="J251" i="2"/>
  <c r="H251" i="2"/>
  <c r="G251" i="2"/>
  <c r="D251" i="2"/>
  <c r="E251" i="2" s="1" a="1"/>
  <c r="E251" i="2" s="1"/>
  <c r="B251" i="2"/>
  <c r="Y250" i="2"/>
  <c r="W250" i="2"/>
  <c r="U250" i="2"/>
  <c r="S250" i="2"/>
  <c r="Q250" i="2"/>
  <c r="N250" i="2"/>
  <c r="O250" i="2" s="1"/>
  <c r="L250" i="2"/>
  <c r="J250" i="2"/>
  <c r="G250" i="2"/>
  <c r="H250" i="2" s="1"/>
  <c r="D250" i="2"/>
  <c r="E250" i="2" s="1" a="1"/>
  <c r="E250" i="2" s="1"/>
  <c r="B250" i="2"/>
  <c r="Y249" i="2"/>
  <c r="W249" i="2"/>
  <c r="U249" i="2"/>
  <c r="S249" i="2"/>
  <c r="Q249" i="2"/>
  <c r="N249" i="2"/>
  <c r="O249" i="2" s="1"/>
  <c r="J249" i="2"/>
  <c r="G249" i="2"/>
  <c r="H249" i="2" s="1"/>
  <c r="E249" i="2" a="1"/>
  <c r="E249" i="2"/>
  <c r="D249" i="2"/>
  <c r="B249" i="2"/>
  <c r="Y248" i="2"/>
  <c r="W248" i="2"/>
  <c r="U248" i="2"/>
  <c r="S248" i="2"/>
  <c r="Q248" i="2"/>
  <c r="O248" i="2"/>
  <c r="N248" i="2"/>
  <c r="L248" i="2"/>
  <c r="J248" i="2"/>
  <c r="H248" i="2"/>
  <c r="G248" i="2"/>
  <c r="D248" i="2"/>
  <c r="E248" i="2" s="1" a="1"/>
  <c r="E248" i="2" s="1"/>
  <c r="B248" i="2"/>
  <c r="Y247" i="2"/>
  <c r="W247" i="2"/>
  <c r="U247" i="2"/>
  <c r="S247" i="2"/>
  <c r="Q247" i="2"/>
  <c r="N247" i="2"/>
  <c r="O247" i="2" s="1"/>
  <c r="L247" i="2"/>
  <c r="J247" i="2"/>
  <c r="G247" i="2"/>
  <c r="H247" i="2" s="1"/>
  <c r="D247" i="2"/>
  <c r="E247" i="2" s="1" a="1"/>
  <c r="E247" i="2" s="1"/>
  <c r="B247" i="2"/>
  <c r="Y246" i="2"/>
  <c r="W246" i="2"/>
  <c r="U246" i="2"/>
  <c r="S246" i="2"/>
  <c r="Q246" i="2"/>
  <c r="N246" i="2"/>
  <c r="O246" i="2" s="1"/>
  <c r="L246" i="2"/>
  <c r="J246" i="2"/>
  <c r="G246" i="2"/>
  <c r="H246" i="2" s="1"/>
  <c r="E246" i="2" a="1"/>
  <c r="E246" i="2" s="1"/>
  <c r="D246" i="2"/>
  <c r="B246" i="2"/>
  <c r="Y245" i="2"/>
  <c r="W245" i="2"/>
  <c r="U245" i="2"/>
  <c r="S245" i="2"/>
  <c r="Q245" i="2"/>
  <c r="N245" i="2"/>
  <c r="O245" i="2" s="1"/>
  <c r="L245" i="2"/>
  <c r="J245" i="2"/>
  <c r="G245" i="2"/>
  <c r="H245" i="2" s="1"/>
  <c r="E245" i="2" a="1"/>
  <c r="E245" i="2"/>
  <c r="D245" i="2"/>
  <c r="B245" i="2"/>
  <c r="Y244" i="2"/>
  <c r="W244" i="2"/>
  <c r="U244" i="2"/>
  <c r="S244" i="2"/>
  <c r="Q244" i="2"/>
  <c r="O244" i="2"/>
  <c r="N244" i="2"/>
  <c r="L244" i="2"/>
  <c r="J244" i="2"/>
  <c r="H244" i="2"/>
  <c r="G244" i="2"/>
  <c r="D244" i="2"/>
  <c r="E244" i="2" s="1" a="1"/>
  <c r="E244" i="2" s="1"/>
  <c r="B244" i="2"/>
  <c r="Y243" i="2"/>
  <c r="W243" i="2"/>
  <c r="U243" i="2"/>
  <c r="S243" i="2"/>
  <c r="Q243" i="2"/>
  <c r="N243" i="2"/>
  <c r="O243" i="2" s="1"/>
  <c r="J243" i="2"/>
  <c r="G243" i="2"/>
  <c r="H243" i="2" s="1"/>
  <c r="E243" i="2" a="1"/>
  <c r="E243" i="2" s="1"/>
  <c r="D243" i="2"/>
  <c r="B243" i="2"/>
  <c r="Y242" i="2"/>
  <c r="W242" i="2"/>
  <c r="U242" i="2"/>
  <c r="S242" i="2"/>
  <c r="Q242" i="2"/>
  <c r="N242" i="2"/>
  <c r="O242" i="2" s="1"/>
  <c r="L242" i="2"/>
  <c r="J242" i="2"/>
  <c r="G242" i="2"/>
  <c r="H242" i="2" s="1"/>
  <c r="E242" i="2" a="1"/>
  <c r="E242" i="2"/>
  <c r="D242" i="2"/>
  <c r="B242" i="2"/>
  <c r="Y241" i="2"/>
  <c r="W241" i="2"/>
  <c r="U241" i="2"/>
  <c r="S241" i="2"/>
  <c r="Q241" i="2"/>
  <c r="O241" i="2"/>
  <c r="N241" i="2"/>
  <c r="L241" i="2"/>
  <c r="J241" i="2"/>
  <c r="H241" i="2"/>
  <c r="G241" i="2"/>
  <c r="D241" i="2"/>
  <c r="E241" i="2" s="1" a="1"/>
  <c r="E241" i="2" s="1"/>
  <c r="B241" i="2"/>
  <c r="Y240" i="2"/>
  <c r="W240" i="2"/>
  <c r="U240" i="2"/>
  <c r="S240" i="2"/>
  <c r="Q240" i="2"/>
  <c r="N240" i="2"/>
  <c r="O240" i="2" s="1"/>
  <c r="L240" i="2"/>
  <c r="J240" i="2"/>
  <c r="G240" i="2"/>
  <c r="H240" i="2" s="1"/>
  <c r="D240" i="2"/>
  <c r="E240" i="2" s="1" a="1"/>
  <c r="E240" i="2" s="1"/>
  <c r="B240" i="2"/>
  <c r="Y239" i="2"/>
  <c r="W239" i="2"/>
  <c r="U239" i="2"/>
  <c r="S239" i="2"/>
  <c r="Q239" i="2"/>
  <c r="N239" i="2"/>
  <c r="O239" i="2" s="1"/>
  <c r="L239" i="2"/>
  <c r="J239" i="2"/>
  <c r="G239" i="2"/>
  <c r="H239" i="2" s="1"/>
  <c r="E239" i="2" a="1"/>
  <c r="E239" i="2" s="1"/>
  <c r="D239" i="2"/>
  <c r="B239" i="2"/>
  <c r="Y238" i="2"/>
  <c r="W238" i="2"/>
  <c r="U238" i="2"/>
  <c r="S238" i="2"/>
  <c r="Q238" i="2"/>
  <c r="O238" i="2"/>
  <c r="N238" i="2"/>
  <c r="L238" i="2"/>
  <c r="J238" i="2"/>
  <c r="H238" i="2"/>
  <c r="G238" i="2"/>
  <c r="E238" i="2" a="1"/>
  <c r="E238" i="2"/>
  <c r="D238" i="2"/>
  <c r="B238" i="2"/>
  <c r="Y237" i="2"/>
  <c r="W237" i="2"/>
  <c r="U237" i="2"/>
  <c r="S237" i="2"/>
  <c r="Q237" i="2"/>
  <c r="O237" i="2"/>
  <c r="N237" i="2"/>
  <c r="L237" i="2"/>
  <c r="J237" i="2"/>
  <c r="H237" i="2"/>
  <c r="G237" i="2"/>
  <c r="D237" i="2"/>
  <c r="E237" i="2" s="1" a="1"/>
  <c r="E237" i="2" s="1"/>
  <c r="B237" i="2"/>
  <c r="Y236" i="2"/>
  <c r="W236" i="2"/>
  <c r="U236" i="2"/>
  <c r="S236" i="2"/>
  <c r="Q236" i="2"/>
  <c r="N236" i="2"/>
  <c r="O236" i="2" s="1"/>
  <c r="L236" i="2"/>
  <c r="J236" i="2"/>
  <c r="G236" i="2"/>
  <c r="H236" i="2" s="1"/>
  <c r="D236" i="2"/>
  <c r="E236" i="2" s="1" a="1"/>
  <c r="E236" i="2" s="1"/>
  <c r="B236" i="2"/>
  <c r="Y235" i="2"/>
  <c r="W235" i="2"/>
  <c r="U235" i="2"/>
  <c r="S235" i="2"/>
  <c r="Q235" i="2"/>
  <c r="N235" i="2"/>
  <c r="O235" i="2" s="1"/>
  <c r="L235" i="2"/>
  <c r="J235" i="2"/>
  <c r="G235" i="2"/>
  <c r="H235" i="2" s="1"/>
  <c r="E235" i="2" a="1"/>
  <c r="E235" i="2" s="1"/>
  <c r="D235" i="2"/>
  <c r="B235" i="2"/>
  <c r="Y234" i="2"/>
  <c r="W234" i="2"/>
  <c r="U234" i="2"/>
  <c r="S234" i="2"/>
  <c r="Q234" i="2"/>
  <c r="O234" i="2"/>
  <c r="N234" i="2"/>
  <c r="L234" i="2"/>
  <c r="J234" i="2"/>
  <c r="H234" i="2"/>
  <c r="G234" i="2"/>
  <c r="E234" i="2" a="1"/>
  <c r="E234" i="2"/>
  <c r="D234" i="2"/>
  <c r="B234" i="2"/>
  <c r="Y233" i="2"/>
  <c r="W233" i="2"/>
  <c r="U233" i="2"/>
  <c r="S233" i="2"/>
  <c r="Q233" i="2"/>
  <c r="O233" i="2"/>
  <c r="N233" i="2"/>
  <c r="L233" i="2"/>
  <c r="J233" i="2"/>
  <c r="H233" i="2"/>
  <c r="G233" i="2"/>
  <c r="D233" i="2"/>
  <c r="E233" i="2" s="1" a="1"/>
  <c r="E233" i="2" s="1"/>
  <c r="B233" i="2"/>
  <c r="Y232" i="2"/>
  <c r="W232" i="2"/>
  <c r="U232" i="2"/>
  <c r="S232" i="2"/>
  <c r="Q232" i="2"/>
  <c r="N232" i="2"/>
  <c r="O232" i="2" s="1"/>
  <c r="L232" i="2"/>
  <c r="J232" i="2"/>
  <c r="G232" i="2"/>
  <c r="H232" i="2" s="1"/>
  <c r="D232" i="2"/>
  <c r="E232" i="2" s="1" a="1"/>
  <c r="E232" i="2" s="1"/>
  <c r="B232" i="2"/>
  <c r="Y231" i="2"/>
  <c r="W231" i="2"/>
  <c r="U231" i="2"/>
  <c r="S231" i="2"/>
  <c r="Q231" i="2"/>
  <c r="N231" i="2"/>
  <c r="O231" i="2" s="1"/>
  <c r="L231" i="2"/>
  <c r="J231" i="2"/>
  <c r="G231" i="2"/>
  <c r="H231" i="2" s="1"/>
  <c r="E231" i="2" a="1"/>
  <c r="E231" i="2" s="1"/>
  <c r="D231" i="2"/>
  <c r="B231" i="2"/>
  <c r="Y230" i="2"/>
  <c r="W230" i="2"/>
  <c r="U230" i="2"/>
  <c r="S230" i="2"/>
  <c r="Q230" i="2"/>
  <c r="O230" i="2"/>
  <c r="N230" i="2"/>
  <c r="L230" i="2"/>
  <c r="J230" i="2"/>
  <c r="H230" i="2"/>
  <c r="G230" i="2"/>
  <c r="E230" i="2" a="1"/>
  <c r="E230" i="2"/>
  <c r="D230" i="2"/>
  <c r="B230" i="2"/>
  <c r="Y229" i="2"/>
  <c r="W229" i="2"/>
  <c r="U229" i="2"/>
  <c r="S229" i="2"/>
  <c r="Q229" i="2"/>
  <c r="O229" i="2"/>
  <c r="N229" i="2"/>
  <c r="L229" i="2"/>
  <c r="J229" i="2"/>
  <c r="H229" i="2"/>
  <c r="G229" i="2"/>
  <c r="D229" i="2"/>
  <c r="E229" i="2" s="1" a="1"/>
  <c r="E229" i="2" s="1"/>
  <c r="B229" i="2"/>
  <c r="Y228" i="2"/>
  <c r="W228" i="2"/>
  <c r="U228" i="2"/>
  <c r="S228" i="2"/>
  <c r="Q228" i="2"/>
  <c r="N228" i="2"/>
  <c r="O228" i="2" s="1"/>
  <c r="L228" i="2"/>
  <c r="J228" i="2"/>
  <c r="G228" i="2"/>
  <c r="H228" i="2" s="1"/>
  <c r="D228" i="2"/>
  <c r="E228" i="2" s="1" a="1"/>
  <c r="E228" i="2" s="1"/>
  <c r="B228" i="2"/>
  <c r="Y227" i="2"/>
  <c r="W227" i="2"/>
  <c r="U227" i="2"/>
  <c r="S227" i="2"/>
  <c r="Q227" i="2"/>
  <c r="N227" i="2"/>
  <c r="O227" i="2" s="1"/>
  <c r="L227" i="2"/>
  <c r="J227" i="2"/>
  <c r="G227" i="2"/>
  <c r="H227" i="2" s="1"/>
  <c r="E227" i="2" a="1"/>
  <c r="E227" i="2" s="1"/>
  <c r="D227" i="2"/>
  <c r="B227" i="2"/>
  <c r="Y226" i="2"/>
  <c r="W226" i="2"/>
  <c r="U226" i="2"/>
  <c r="S226" i="2"/>
  <c r="Q226" i="2"/>
  <c r="O226" i="2"/>
  <c r="N226" i="2"/>
  <c r="L226" i="2"/>
  <c r="J226" i="2"/>
  <c r="H226" i="2"/>
  <c r="G226" i="2"/>
  <c r="E226" i="2" a="1"/>
  <c r="E226" i="2"/>
  <c r="D226" i="2"/>
  <c r="B226" i="2"/>
  <c r="Y225" i="2"/>
  <c r="W225" i="2"/>
  <c r="U225" i="2"/>
  <c r="S225" i="2"/>
  <c r="Q225" i="2"/>
  <c r="O225" i="2"/>
  <c r="N225" i="2"/>
  <c r="L225" i="2"/>
  <c r="J225" i="2"/>
  <c r="H225" i="2"/>
  <c r="G225" i="2"/>
  <c r="D225" i="2"/>
  <c r="E225" i="2" s="1" a="1"/>
  <c r="E225" i="2" s="1"/>
  <c r="B225" i="2"/>
  <c r="Y224" i="2"/>
  <c r="W224" i="2"/>
  <c r="U224" i="2"/>
  <c r="S224" i="2"/>
  <c r="Q224" i="2"/>
  <c r="N224" i="2"/>
  <c r="O224" i="2" s="1"/>
  <c r="L224" i="2"/>
  <c r="J224" i="2"/>
  <c r="G224" i="2"/>
  <c r="H224" i="2" s="1"/>
  <c r="D224" i="2"/>
  <c r="E224" i="2" s="1" a="1"/>
  <c r="E224" i="2" s="1"/>
  <c r="B224" i="2"/>
  <c r="Y223" i="2"/>
  <c r="W223" i="2"/>
  <c r="U223" i="2"/>
  <c r="S223" i="2"/>
  <c r="Q223" i="2"/>
  <c r="N223" i="2"/>
  <c r="O223" i="2" s="1"/>
  <c r="L223" i="2"/>
  <c r="J223" i="2"/>
  <c r="G223" i="2"/>
  <c r="H223" i="2" s="1"/>
  <c r="E223" i="2" a="1"/>
  <c r="E223" i="2" s="1"/>
  <c r="D223" i="2"/>
  <c r="B223" i="2"/>
  <c r="Y222" i="2"/>
  <c r="W222" i="2"/>
  <c r="U222" i="2"/>
  <c r="S222" i="2"/>
  <c r="Q222" i="2"/>
  <c r="O222" i="2"/>
  <c r="N222" i="2"/>
  <c r="L222" i="2"/>
  <c r="J222" i="2"/>
  <c r="H222" i="2"/>
  <c r="G222" i="2"/>
  <c r="E222" i="2" a="1"/>
  <c r="E222" i="2"/>
  <c r="D222" i="2"/>
  <c r="B222" i="2"/>
  <c r="Y221" i="2"/>
  <c r="W221" i="2"/>
  <c r="U221" i="2"/>
  <c r="S221" i="2"/>
  <c r="Q221" i="2"/>
  <c r="O221" i="2"/>
  <c r="N221" i="2"/>
  <c r="L221" i="2"/>
  <c r="J221" i="2"/>
  <c r="H221" i="2"/>
  <c r="G221" i="2"/>
  <c r="D221" i="2"/>
  <c r="E221" i="2" s="1" a="1"/>
  <c r="E221" i="2" s="1"/>
  <c r="B221" i="2"/>
  <c r="Y220" i="2"/>
  <c r="W220" i="2"/>
  <c r="U220" i="2"/>
  <c r="S220" i="2"/>
  <c r="Q220" i="2"/>
  <c r="N220" i="2"/>
  <c r="O220" i="2" s="1"/>
  <c r="L220" i="2"/>
  <c r="J220" i="2"/>
  <c r="G220" i="2"/>
  <c r="H220" i="2" s="1"/>
  <c r="D220" i="2"/>
  <c r="E220" i="2" s="1" a="1"/>
  <c r="E220" i="2" s="1"/>
  <c r="B220" i="2"/>
  <c r="Y219" i="2"/>
  <c r="W219" i="2"/>
  <c r="U219" i="2"/>
  <c r="S219" i="2"/>
  <c r="Q219" i="2"/>
  <c r="N219" i="2"/>
  <c r="O219" i="2" s="1"/>
  <c r="L219" i="2"/>
  <c r="J219" i="2"/>
  <c r="G219" i="2"/>
  <c r="H219" i="2" s="1"/>
  <c r="E219" i="2" a="1"/>
  <c r="E219" i="2" s="1"/>
  <c r="D219" i="2"/>
  <c r="B219" i="2"/>
  <c r="Y218" i="2"/>
  <c r="W218" i="2"/>
  <c r="U218" i="2"/>
  <c r="S218" i="2"/>
  <c r="Q218" i="2"/>
  <c r="O218" i="2"/>
  <c r="N218" i="2"/>
  <c r="L218" i="2"/>
  <c r="J218" i="2"/>
  <c r="H218" i="2"/>
  <c r="G218" i="2"/>
  <c r="E218" i="2" a="1"/>
  <c r="E218" i="2"/>
  <c r="D218" i="2"/>
  <c r="B218" i="2"/>
  <c r="Y217" i="2"/>
  <c r="W217" i="2"/>
  <c r="U217" i="2"/>
  <c r="S217" i="2"/>
  <c r="Q217" i="2"/>
  <c r="O217" i="2"/>
  <c r="N217" i="2"/>
  <c r="L217" i="2"/>
  <c r="J217" i="2"/>
  <c r="H217" i="2"/>
  <c r="G217" i="2"/>
  <c r="D217" i="2"/>
  <c r="E217" i="2" s="1" a="1"/>
  <c r="E217" i="2" s="1"/>
  <c r="B217" i="2"/>
  <c r="Y216" i="2"/>
  <c r="W216" i="2"/>
  <c r="U216" i="2"/>
  <c r="S216" i="2"/>
  <c r="Q216" i="2"/>
  <c r="N216" i="2"/>
  <c r="O216" i="2" s="1"/>
  <c r="L216" i="2"/>
  <c r="J216" i="2"/>
  <c r="G216" i="2"/>
  <c r="H216" i="2" s="1"/>
  <c r="D216" i="2"/>
  <c r="E216" i="2" s="1" a="1"/>
  <c r="E216" i="2" s="1"/>
  <c r="B216" i="2"/>
  <c r="Y215" i="2"/>
  <c r="W215" i="2"/>
  <c r="U215" i="2"/>
  <c r="S215" i="2"/>
  <c r="Q215" i="2"/>
  <c r="N215" i="2"/>
  <c r="O215" i="2" s="1"/>
  <c r="L215" i="2"/>
  <c r="J215" i="2"/>
  <c r="G215" i="2"/>
  <c r="H215" i="2" s="1"/>
  <c r="E215" i="2" a="1"/>
  <c r="E215" i="2" s="1"/>
  <c r="D215" i="2"/>
  <c r="B215" i="2"/>
  <c r="Y214" i="2"/>
  <c r="W214" i="2"/>
  <c r="U214" i="2"/>
  <c r="S214" i="2"/>
  <c r="Q214" i="2"/>
  <c r="O214" i="2"/>
  <c r="N214" i="2"/>
  <c r="L214" i="2"/>
  <c r="J214" i="2"/>
  <c r="H214" i="2"/>
  <c r="G214" i="2"/>
  <c r="E214" i="2" a="1"/>
  <c r="E214" i="2"/>
  <c r="D214" i="2"/>
  <c r="B214" i="2"/>
  <c r="Y213" i="2"/>
  <c r="W213" i="2"/>
  <c r="U213" i="2"/>
  <c r="S213" i="2"/>
  <c r="Q213" i="2"/>
  <c r="O213" i="2"/>
  <c r="N213" i="2"/>
  <c r="L213" i="2"/>
  <c r="J213" i="2"/>
  <c r="H213" i="2"/>
  <c r="G213" i="2"/>
  <c r="D213" i="2"/>
  <c r="E213" i="2" s="1" a="1"/>
  <c r="E213" i="2" s="1"/>
  <c r="B213" i="2"/>
  <c r="Y212" i="2"/>
  <c r="W212" i="2"/>
  <c r="U212" i="2"/>
  <c r="S212" i="2"/>
  <c r="Q212" i="2"/>
  <c r="N212" i="2"/>
  <c r="O212" i="2" s="1"/>
  <c r="L212" i="2"/>
  <c r="J212" i="2"/>
  <c r="G212" i="2"/>
  <c r="H212" i="2" s="1"/>
  <c r="D212" i="2"/>
  <c r="E212" i="2" s="1" a="1"/>
  <c r="E212" i="2" s="1"/>
  <c r="B212" i="2"/>
  <c r="Y211" i="2"/>
  <c r="W211" i="2"/>
  <c r="U211" i="2"/>
  <c r="S211" i="2"/>
  <c r="Q211" i="2"/>
  <c r="N211" i="2"/>
  <c r="O211" i="2" s="1"/>
  <c r="L211" i="2"/>
  <c r="J211" i="2"/>
  <c r="G211" i="2"/>
  <c r="H211" i="2" s="1"/>
  <c r="E211" i="2" a="1"/>
  <c r="E211" i="2" s="1"/>
  <c r="D211" i="2"/>
  <c r="B211" i="2"/>
  <c r="Y210" i="2"/>
  <c r="W210" i="2"/>
  <c r="U210" i="2"/>
  <c r="S210" i="2"/>
  <c r="Q210" i="2"/>
  <c r="O210" i="2"/>
  <c r="N210" i="2"/>
  <c r="L210" i="2"/>
  <c r="J210" i="2"/>
  <c r="H210" i="2"/>
  <c r="G210" i="2"/>
  <c r="E210" i="2" a="1"/>
  <c r="E210" i="2"/>
  <c r="D210" i="2"/>
  <c r="B210" i="2"/>
  <c r="Y209" i="2"/>
  <c r="W209" i="2"/>
  <c r="U209" i="2"/>
  <c r="S209" i="2"/>
  <c r="Q209" i="2"/>
  <c r="O209" i="2"/>
  <c r="N209" i="2"/>
  <c r="L209" i="2"/>
  <c r="J209" i="2"/>
  <c r="H209" i="2"/>
  <c r="G209" i="2"/>
  <c r="D209" i="2"/>
  <c r="E209" i="2" s="1" a="1"/>
  <c r="E209" i="2" s="1"/>
  <c r="B209" i="2"/>
  <c r="Y208" i="2"/>
  <c r="W208" i="2"/>
  <c r="U208" i="2"/>
  <c r="S208" i="2"/>
  <c r="Q208" i="2"/>
  <c r="N208" i="2"/>
  <c r="O208" i="2" s="1"/>
  <c r="L208" i="2"/>
  <c r="J208" i="2"/>
  <c r="G208" i="2"/>
  <c r="H208" i="2" s="1"/>
  <c r="D208" i="2"/>
  <c r="E208" i="2" s="1" a="1"/>
  <c r="E208" i="2" s="1"/>
  <c r="B208" i="2"/>
  <c r="Y207" i="2"/>
  <c r="W207" i="2"/>
  <c r="U207" i="2"/>
  <c r="S207" i="2"/>
  <c r="Q207" i="2"/>
  <c r="N207" i="2"/>
  <c r="O207" i="2" s="1"/>
  <c r="L207" i="2"/>
  <c r="J207" i="2"/>
  <c r="G207" i="2"/>
  <c r="H207" i="2" s="1"/>
  <c r="E207" i="2" a="1"/>
  <c r="E207" i="2" s="1"/>
  <c r="D207" i="2"/>
  <c r="B207" i="2"/>
  <c r="Y206" i="2"/>
  <c r="W206" i="2"/>
  <c r="U206" i="2"/>
  <c r="S206" i="2"/>
  <c r="Q206" i="2"/>
  <c r="O206" i="2"/>
  <c r="N206" i="2"/>
  <c r="L206" i="2"/>
  <c r="J206" i="2"/>
  <c r="H206" i="2"/>
  <c r="G206" i="2"/>
  <c r="E206" i="2" a="1"/>
  <c r="E206" i="2"/>
  <c r="D206" i="2"/>
  <c r="B206" i="2"/>
  <c r="Y205" i="2"/>
  <c r="W205" i="2"/>
  <c r="U205" i="2"/>
  <c r="S205" i="2"/>
  <c r="Q205" i="2"/>
  <c r="O205" i="2"/>
  <c r="N205" i="2"/>
  <c r="L205" i="2"/>
  <c r="J205" i="2"/>
  <c r="H205" i="2"/>
  <c r="G205" i="2"/>
  <c r="D205" i="2"/>
  <c r="E205" i="2" s="1" a="1"/>
  <c r="E205" i="2" s="1"/>
  <c r="B205" i="2"/>
  <c r="Y204" i="2"/>
  <c r="W204" i="2"/>
  <c r="U204" i="2"/>
  <c r="S204" i="2"/>
  <c r="Q204" i="2"/>
  <c r="N204" i="2"/>
  <c r="O204" i="2" s="1"/>
  <c r="L204" i="2"/>
  <c r="J204" i="2"/>
  <c r="G204" i="2"/>
  <c r="H204" i="2" s="1"/>
  <c r="D204" i="2"/>
  <c r="E204" i="2" s="1" a="1"/>
  <c r="E204" i="2" s="1"/>
  <c r="B204" i="2"/>
  <c r="Y203" i="2"/>
  <c r="W203" i="2"/>
  <c r="U203" i="2"/>
  <c r="S203" i="2"/>
  <c r="Q203" i="2"/>
  <c r="N203" i="2"/>
  <c r="O203" i="2" s="1"/>
  <c r="L203" i="2"/>
  <c r="J203" i="2"/>
  <c r="G203" i="2"/>
  <c r="H203" i="2" s="1"/>
  <c r="E203" i="2" a="1"/>
  <c r="E203" i="2" s="1"/>
  <c r="D203" i="2"/>
  <c r="B203" i="2"/>
  <c r="Y202" i="2"/>
  <c r="W202" i="2"/>
  <c r="U202" i="2"/>
  <c r="S202" i="2"/>
  <c r="Q202" i="2"/>
  <c r="O202" i="2"/>
  <c r="N202" i="2"/>
  <c r="L202" i="2"/>
  <c r="J202" i="2"/>
  <c r="H202" i="2"/>
  <c r="G202" i="2"/>
  <c r="E202" i="2" a="1"/>
  <c r="E202" i="2"/>
  <c r="D202" i="2"/>
  <c r="B202" i="2"/>
  <c r="Y201" i="2"/>
  <c r="W201" i="2"/>
  <c r="U201" i="2"/>
  <c r="S201" i="2"/>
  <c r="Q201" i="2"/>
  <c r="O201" i="2"/>
  <c r="N201" i="2"/>
  <c r="L201" i="2"/>
  <c r="J201" i="2"/>
  <c r="H201" i="2"/>
  <c r="G201" i="2"/>
  <c r="D201" i="2"/>
  <c r="E201" i="2" s="1" a="1"/>
  <c r="E201" i="2" s="1"/>
  <c r="B201" i="2"/>
  <c r="Y200" i="2"/>
  <c r="W200" i="2"/>
  <c r="U200" i="2"/>
  <c r="S200" i="2"/>
  <c r="Q200" i="2"/>
  <c r="N200" i="2"/>
  <c r="O200" i="2" s="1"/>
  <c r="L200" i="2"/>
  <c r="J200" i="2"/>
  <c r="G200" i="2"/>
  <c r="H200" i="2" s="1"/>
  <c r="D200" i="2"/>
  <c r="E200" i="2" s="1" a="1"/>
  <c r="E200" i="2" s="1"/>
  <c r="B200" i="2"/>
  <c r="Y199" i="2"/>
  <c r="W199" i="2"/>
  <c r="U199" i="2"/>
  <c r="S199" i="2"/>
  <c r="Q199" i="2"/>
  <c r="N199" i="2"/>
  <c r="O199" i="2" s="1"/>
  <c r="L199" i="2"/>
  <c r="J199" i="2"/>
  <c r="G199" i="2"/>
  <c r="H199" i="2" s="1"/>
  <c r="E199" i="2" a="1"/>
  <c r="E199" i="2" s="1"/>
  <c r="D199" i="2"/>
  <c r="B199" i="2"/>
  <c r="Y198" i="2"/>
  <c r="W198" i="2"/>
  <c r="U198" i="2"/>
  <c r="S198" i="2"/>
  <c r="Q198" i="2"/>
  <c r="O198" i="2"/>
  <c r="N198" i="2"/>
  <c r="L198" i="2"/>
  <c r="J198" i="2"/>
  <c r="H198" i="2"/>
  <c r="G198" i="2"/>
  <c r="E198" i="2" a="1"/>
  <c r="E198" i="2"/>
  <c r="D198" i="2"/>
  <c r="B198" i="2"/>
  <c r="Y197" i="2"/>
  <c r="W197" i="2"/>
  <c r="U197" i="2"/>
  <c r="S197" i="2"/>
  <c r="Q197" i="2"/>
  <c r="O197" i="2"/>
  <c r="N197" i="2"/>
  <c r="L197" i="2"/>
  <c r="J197" i="2"/>
  <c r="H197" i="2"/>
  <c r="G197" i="2"/>
  <c r="D197" i="2"/>
  <c r="E197" i="2" s="1" a="1"/>
  <c r="E197" i="2" s="1"/>
  <c r="B197" i="2"/>
  <c r="Y196" i="2"/>
  <c r="W196" i="2"/>
  <c r="U196" i="2"/>
  <c r="S196" i="2"/>
  <c r="Q196" i="2"/>
  <c r="N196" i="2"/>
  <c r="O196" i="2" s="1"/>
  <c r="L196" i="2"/>
  <c r="J196" i="2"/>
  <c r="G196" i="2"/>
  <c r="H196" i="2" s="1"/>
  <c r="D196" i="2"/>
  <c r="E196" i="2" s="1" a="1"/>
  <c r="E196" i="2" s="1"/>
  <c r="B196" i="2"/>
  <c r="Y195" i="2"/>
  <c r="W195" i="2"/>
  <c r="U195" i="2"/>
  <c r="S195" i="2"/>
  <c r="Q195" i="2"/>
  <c r="N195" i="2"/>
  <c r="O195" i="2" s="1"/>
  <c r="L195" i="2"/>
  <c r="J195" i="2"/>
  <c r="G195" i="2"/>
  <c r="H195" i="2" s="1"/>
  <c r="E195" i="2" a="1"/>
  <c r="E195" i="2" s="1"/>
  <c r="D195" i="2"/>
  <c r="B195" i="2"/>
  <c r="Y194" i="2"/>
  <c r="W194" i="2"/>
  <c r="U194" i="2"/>
  <c r="S194" i="2"/>
  <c r="Q194" i="2"/>
  <c r="O194" i="2"/>
  <c r="N194" i="2"/>
  <c r="L194" i="2"/>
  <c r="J194" i="2"/>
  <c r="H194" i="2"/>
  <c r="G194" i="2"/>
  <c r="E194" i="2" a="1"/>
  <c r="E194" i="2"/>
  <c r="D194" i="2"/>
  <c r="B194" i="2"/>
  <c r="Y193" i="2"/>
  <c r="W193" i="2"/>
  <c r="U193" i="2"/>
  <c r="S193" i="2"/>
  <c r="Q193" i="2"/>
  <c r="O193" i="2"/>
  <c r="N193" i="2"/>
  <c r="L193" i="2"/>
  <c r="J193" i="2"/>
  <c r="H193" i="2"/>
  <c r="G193" i="2"/>
  <c r="D193" i="2"/>
  <c r="E193" i="2" s="1" a="1"/>
  <c r="E193" i="2" s="1"/>
  <c r="B193" i="2"/>
  <c r="Y192" i="2"/>
  <c r="W192" i="2"/>
  <c r="U192" i="2"/>
  <c r="S192" i="2"/>
  <c r="Q192" i="2"/>
  <c r="N192" i="2"/>
  <c r="O192" i="2" s="1"/>
  <c r="L192" i="2"/>
  <c r="J192" i="2"/>
  <c r="G192" i="2"/>
  <c r="H192" i="2" s="1"/>
  <c r="D192" i="2"/>
  <c r="E192" i="2" s="1" a="1"/>
  <c r="E192" i="2" s="1"/>
  <c r="B192" i="2"/>
  <c r="Y191" i="2"/>
  <c r="W191" i="2"/>
  <c r="U191" i="2"/>
  <c r="S191" i="2"/>
  <c r="Q191" i="2"/>
  <c r="N191" i="2"/>
  <c r="O191" i="2" s="1"/>
  <c r="L191" i="2"/>
  <c r="J191" i="2"/>
  <c r="G191" i="2"/>
  <c r="H191" i="2" s="1"/>
  <c r="E191" i="2" a="1"/>
  <c r="E191" i="2" s="1"/>
  <c r="D191" i="2"/>
  <c r="B191" i="2"/>
  <c r="Y190" i="2"/>
  <c r="W190" i="2"/>
  <c r="U190" i="2"/>
  <c r="S190" i="2"/>
  <c r="Q190" i="2"/>
  <c r="O190" i="2"/>
  <c r="N190" i="2"/>
  <c r="L190" i="2"/>
  <c r="J190" i="2"/>
  <c r="H190" i="2"/>
  <c r="G190" i="2"/>
  <c r="E190" i="2" a="1"/>
  <c r="E190" i="2"/>
  <c r="D190" i="2"/>
  <c r="B190" i="2"/>
  <c r="Y189" i="2"/>
  <c r="W189" i="2"/>
  <c r="U189" i="2"/>
  <c r="S189" i="2"/>
  <c r="Q189" i="2"/>
  <c r="O189" i="2"/>
  <c r="N189" i="2"/>
  <c r="L189" i="2"/>
  <c r="J189" i="2"/>
  <c r="H189" i="2"/>
  <c r="G189" i="2"/>
  <c r="D189" i="2"/>
  <c r="E189" i="2" s="1" a="1"/>
  <c r="E189" i="2" s="1"/>
  <c r="B189" i="2"/>
  <c r="Y188" i="2"/>
  <c r="W188" i="2"/>
  <c r="U188" i="2"/>
  <c r="S188" i="2"/>
  <c r="Q188" i="2"/>
  <c r="N188" i="2"/>
  <c r="O188" i="2" s="1"/>
  <c r="L188" i="2"/>
  <c r="J188" i="2"/>
  <c r="G188" i="2"/>
  <c r="H188" i="2" s="1"/>
  <c r="D188" i="2"/>
  <c r="E188" i="2" s="1" a="1"/>
  <c r="E188" i="2" s="1"/>
  <c r="B188" i="2"/>
  <c r="Y187" i="2"/>
  <c r="W187" i="2"/>
  <c r="U187" i="2"/>
  <c r="S187" i="2"/>
  <c r="Q187" i="2"/>
  <c r="N187" i="2"/>
  <c r="O187" i="2" s="1"/>
  <c r="L187" i="2"/>
  <c r="J187" i="2"/>
  <c r="G187" i="2"/>
  <c r="H187" i="2" s="1"/>
  <c r="E187" i="2" a="1"/>
  <c r="E187" i="2" s="1"/>
  <c r="D187" i="2"/>
  <c r="B187" i="2"/>
  <c r="Y186" i="2"/>
  <c r="W186" i="2"/>
  <c r="U186" i="2"/>
  <c r="S186" i="2"/>
  <c r="Q186" i="2"/>
  <c r="O186" i="2"/>
  <c r="N186" i="2"/>
  <c r="L186" i="2"/>
  <c r="J186" i="2"/>
  <c r="H186" i="2"/>
  <c r="G186" i="2"/>
  <c r="E186" i="2" a="1"/>
  <c r="E186" i="2"/>
  <c r="D186" i="2"/>
  <c r="B186" i="2"/>
  <c r="Y185" i="2"/>
  <c r="W185" i="2"/>
  <c r="U185" i="2"/>
  <c r="S185" i="2"/>
  <c r="Q185" i="2"/>
  <c r="O185" i="2"/>
  <c r="N185" i="2"/>
  <c r="L185" i="2"/>
  <c r="J185" i="2"/>
  <c r="H185" i="2"/>
  <c r="G185" i="2"/>
  <c r="D185" i="2"/>
  <c r="E185" i="2" s="1" a="1"/>
  <c r="E185" i="2" s="1"/>
  <c r="B185" i="2"/>
  <c r="Y184" i="2"/>
  <c r="W184" i="2"/>
  <c r="U184" i="2"/>
  <c r="S184" i="2"/>
  <c r="Q184" i="2"/>
  <c r="N184" i="2"/>
  <c r="O184" i="2" s="1"/>
  <c r="J184" i="2"/>
  <c r="G184" i="2"/>
  <c r="H184" i="2" s="1"/>
  <c r="E184" i="2" a="1"/>
  <c r="E184" i="2" s="1"/>
  <c r="D184" i="2"/>
  <c r="B184" i="2"/>
  <c r="Y183" i="2"/>
  <c r="W183" i="2"/>
  <c r="U183" i="2"/>
  <c r="S183" i="2"/>
  <c r="Q183" i="2"/>
  <c r="O183" i="2"/>
  <c r="N183" i="2"/>
  <c r="L183" i="2"/>
  <c r="J183" i="2"/>
  <c r="H183" i="2"/>
  <c r="G183" i="2"/>
  <c r="E183" i="2" a="1"/>
  <c r="E183" i="2"/>
  <c r="D183" i="2"/>
  <c r="B183" i="2"/>
  <c r="Y182" i="2"/>
  <c r="W182" i="2"/>
  <c r="U182" i="2"/>
  <c r="S182" i="2"/>
  <c r="Q182" i="2"/>
  <c r="O182" i="2"/>
  <c r="N182" i="2"/>
  <c r="L182" i="2"/>
  <c r="J182" i="2"/>
  <c r="H182" i="2"/>
  <c r="G182" i="2"/>
  <c r="D182" i="2"/>
  <c r="E182" i="2" s="1" a="1"/>
  <c r="E182" i="2" s="1"/>
  <c r="B182" i="2"/>
  <c r="Y181" i="2"/>
  <c r="W181" i="2"/>
  <c r="U181" i="2"/>
  <c r="S181" i="2"/>
  <c r="Q181" i="2"/>
  <c r="N181" i="2"/>
  <c r="O181" i="2" s="1"/>
  <c r="L181" i="2"/>
  <c r="J181" i="2"/>
  <c r="G181" i="2"/>
  <c r="H181" i="2" s="1"/>
  <c r="D181" i="2"/>
  <c r="E181" i="2" s="1" a="1"/>
  <c r="E181" i="2" s="1"/>
  <c r="B181" i="2"/>
  <c r="Y180" i="2"/>
  <c r="W180" i="2"/>
  <c r="U180" i="2"/>
  <c r="S180" i="2"/>
  <c r="Q180" i="2"/>
  <c r="N180" i="2"/>
  <c r="O180" i="2" s="1"/>
  <c r="L180" i="2"/>
  <c r="J180" i="2"/>
  <c r="G180" i="2"/>
  <c r="H180" i="2" s="1"/>
  <c r="E180" i="2" a="1"/>
  <c r="E180" i="2" s="1"/>
  <c r="D180" i="2"/>
  <c r="B180" i="2"/>
  <c r="Y179" i="2"/>
  <c r="W179" i="2"/>
  <c r="U179" i="2"/>
  <c r="S179" i="2"/>
  <c r="Q179" i="2"/>
  <c r="O179" i="2"/>
  <c r="N179" i="2"/>
  <c r="L179" i="2"/>
  <c r="J179" i="2"/>
  <c r="H179" i="2"/>
  <c r="G179" i="2"/>
  <c r="E179" i="2" a="1"/>
  <c r="E179" i="2"/>
  <c r="D179" i="2"/>
  <c r="B179" i="2"/>
  <c r="Y178" i="2"/>
  <c r="W178" i="2"/>
  <c r="U178" i="2"/>
  <c r="S178" i="2"/>
  <c r="Q178" i="2"/>
  <c r="O178" i="2"/>
  <c r="N178" i="2"/>
  <c r="L178" i="2"/>
  <c r="J178" i="2"/>
  <c r="H178" i="2"/>
  <c r="G178" i="2"/>
  <c r="D178" i="2"/>
  <c r="E178" i="2" s="1" a="1"/>
  <c r="E178" i="2" s="1"/>
  <c r="B178" i="2"/>
  <c r="Y177" i="2"/>
  <c r="W177" i="2"/>
  <c r="U177" i="2"/>
  <c r="S177" i="2"/>
  <c r="Q177" i="2"/>
  <c r="N177" i="2"/>
  <c r="O177" i="2" s="1"/>
  <c r="L177" i="2"/>
  <c r="J177" i="2"/>
  <c r="G177" i="2"/>
  <c r="H177" i="2" s="1"/>
  <c r="D177" i="2"/>
  <c r="E177" i="2" s="1" a="1"/>
  <c r="E177" i="2" s="1"/>
  <c r="B177" i="2"/>
  <c r="Y176" i="2"/>
  <c r="W176" i="2"/>
  <c r="U176" i="2"/>
  <c r="S176" i="2"/>
  <c r="Q176" i="2"/>
  <c r="N176" i="2"/>
  <c r="O176" i="2" s="1"/>
  <c r="L176" i="2"/>
  <c r="J176" i="2"/>
  <c r="G176" i="2"/>
  <c r="H176" i="2" s="1"/>
  <c r="E176" i="2" a="1"/>
  <c r="E176" i="2" s="1"/>
  <c r="D176" i="2"/>
  <c r="B176" i="2"/>
  <c r="Y175" i="2"/>
  <c r="W175" i="2"/>
  <c r="U175" i="2"/>
  <c r="S175" i="2"/>
  <c r="Q175" i="2"/>
  <c r="O175" i="2"/>
  <c r="N175" i="2"/>
  <c r="L175" i="2"/>
  <c r="J175" i="2"/>
  <c r="H175" i="2"/>
  <c r="G175" i="2"/>
  <c r="E175" i="2" a="1"/>
  <c r="E175" i="2"/>
  <c r="D175" i="2"/>
  <c r="B175" i="2"/>
  <c r="Y174" i="2"/>
  <c r="W174" i="2"/>
  <c r="U174" i="2"/>
  <c r="S174" i="2"/>
  <c r="Q174" i="2"/>
  <c r="O174" i="2"/>
  <c r="N174" i="2"/>
  <c r="L174" i="2"/>
  <c r="J174" i="2"/>
  <c r="H174" i="2"/>
  <c r="G174" i="2"/>
  <c r="D174" i="2"/>
  <c r="E174" i="2" s="1" a="1"/>
  <c r="E174" i="2" s="1"/>
  <c r="B174" i="2"/>
  <c r="Y173" i="2"/>
  <c r="W173" i="2"/>
  <c r="U173" i="2"/>
  <c r="S173" i="2"/>
  <c r="Q173" i="2"/>
  <c r="N173" i="2"/>
  <c r="O173" i="2" s="1"/>
  <c r="L173" i="2"/>
  <c r="J173" i="2"/>
  <c r="G173" i="2"/>
  <c r="H173" i="2" s="1"/>
  <c r="D173" i="2"/>
  <c r="E173" i="2" s="1" a="1"/>
  <c r="E173" i="2" s="1"/>
  <c r="B173" i="2"/>
  <c r="Y172" i="2"/>
  <c r="W172" i="2"/>
  <c r="U172" i="2"/>
  <c r="S172" i="2"/>
  <c r="Q172" i="2"/>
  <c r="N172" i="2"/>
  <c r="O172" i="2" s="1"/>
  <c r="L172" i="2"/>
  <c r="J172" i="2"/>
  <c r="G172" i="2"/>
  <c r="H172" i="2" s="1"/>
  <c r="E172" i="2" a="1"/>
  <c r="E172" i="2" s="1"/>
  <c r="D172" i="2"/>
  <c r="B172" i="2"/>
  <c r="Y171" i="2"/>
  <c r="W171" i="2"/>
  <c r="U171" i="2"/>
  <c r="S171" i="2"/>
  <c r="Q171" i="2"/>
  <c r="O171" i="2"/>
  <c r="N171" i="2"/>
  <c r="L171" i="2"/>
  <c r="J171" i="2"/>
  <c r="H171" i="2"/>
  <c r="G171" i="2"/>
  <c r="E171" i="2" a="1"/>
  <c r="E171" i="2"/>
  <c r="D171" i="2"/>
  <c r="B171" i="2"/>
  <c r="Y170" i="2"/>
  <c r="W170" i="2"/>
  <c r="U170" i="2"/>
  <c r="S170" i="2"/>
  <c r="Q170" i="2"/>
  <c r="O170" i="2"/>
  <c r="N170" i="2"/>
  <c r="L170" i="2"/>
  <c r="J170" i="2"/>
  <c r="H170" i="2"/>
  <c r="G170" i="2"/>
  <c r="D170" i="2"/>
  <c r="E170" i="2" s="1" a="1"/>
  <c r="E170" i="2" s="1"/>
  <c r="B170" i="2"/>
  <c r="Y169" i="2"/>
  <c r="W169" i="2"/>
  <c r="U169" i="2"/>
  <c r="S169" i="2"/>
  <c r="Q169" i="2"/>
  <c r="N169" i="2"/>
  <c r="O169" i="2" s="1"/>
  <c r="L169" i="2"/>
  <c r="J169" i="2"/>
  <c r="G169" i="2"/>
  <c r="H169" i="2" s="1"/>
  <c r="D169" i="2"/>
  <c r="E169" i="2" s="1" a="1"/>
  <c r="E169" i="2" s="1"/>
  <c r="B169" i="2"/>
  <c r="Y168" i="2"/>
  <c r="W168" i="2"/>
  <c r="U168" i="2"/>
  <c r="S168" i="2"/>
  <c r="Q168" i="2"/>
  <c r="N168" i="2"/>
  <c r="O168" i="2" s="1"/>
  <c r="L168" i="2"/>
  <c r="J168" i="2"/>
  <c r="G168" i="2"/>
  <c r="H168" i="2" s="1"/>
  <c r="E168" i="2" a="1"/>
  <c r="E168" i="2" s="1"/>
  <c r="D168" i="2"/>
  <c r="B168" i="2"/>
  <c r="Y167" i="2"/>
  <c r="W167" i="2"/>
  <c r="U167" i="2"/>
  <c r="S167" i="2"/>
  <c r="Q167" i="2"/>
  <c r="O167" i="2"/>
  <c r="N167" i="2"/>
  <c r="L167" i="2"/>
  <c r="J167" i="2"/>
  <c r="H167" i="2"/>
  <c r="G167" i="2"/>
  <c r="E167" i="2" a="1"/>
  <c r="E167" i="2"/>
  <c r="D167" i="2"/>
  <c r="B167" i="2"/>
  <c r="Y166" i="2"/>
  <c r="W166" i="2"/>
  <c r="U166" i="2"/>
  <c r="S166" i="2"/>
  <c r="Q166" i="2"/>
  <c r="O166" i="2"/>
  <c r="N166" i="2"/>
  <c r="L166" i="2"/>
  <c r="J166" i="2"/>
  <c r="H166" i="2"/>
  <c r="G166" i="2"/>
  <c r="D166" i="2"/>
  <c r="E166" i="2" s="1" a="1"/>
  <c r="E166" i="2" s="1"/>
  <c r="B166" i="2"/>
  <c r="Y165" i="2"/>
  <c r="W165" i="2"/>
  <c r="U165" i="2"/>
  <c r="S165" i="2"/>
  <c r="Q165" i="2"/>
  <c r="N165" i="2"/>
  <c r="O165" i="2" s="1"/>
  <c r="L165" i="2"/>
  <c r="J165" i="2"/>
  <c r="G165" i="2"/>
  <c r="H165" i="2" s="1"/>
  <c r="D165" i="2"/>
  <c r="E165" i="2" s="1" a="1"/>
  <c r="E165" i="2" s="1"/>
  <c r="B165" i="2"/>
  <c r="Y164" i="2"/>
  <c r="W164" i="2"/>
  <c r="U164" i="2"/>
  <c r="S164" i="2"/>
  <c r="Q164" i="2"/>
  <c r="N164" i="2"/>
  <c r="O164" i="2" s="1"/>
  <c r="L164" i="2"/>
  <c r="J164" i="2"/>
  <c r="G164" i="2"/>
  <c r="H164" i="2" s="1"/>
  <c r="E164" i="2" a="1"/>
  <c r="E164" i="2" s="1"/>
  <c r="D164" i="2"/>
  <c r="B164" i="2"/>
  <c r="Y163" i="2"/>
  <c r="W163" i="2"/>
  <c r="U163" i="2"/>
  <c r="S163" i="2"/>
  <c r="Q163" i="2"/>
  <c r="O163" i="2"/>
  <c r="N163" i="2"/>
  <c r="L163" i="2"/>
  <c r="J163" i="2"/>
  <c r="H163" i="2"/>
  <c r="G163" i="2"/>
  <c r="E163" i="2" a="1"/>
  <c r="E163" i="2"/>
  <c r="D163" i="2"/>
  <c r="B163" i="2"/>
  <c r="Y162" i="2"/>
  <c r="W162" i="2"/>
  <c r="U162" i="2"/>
  <c r="S162" i="2"/>
  <c r="Q162" i="2"/>
  <c r="O162" i="2"/>
  <c r="N162" i="2"/>
  <c r="L162" i="2"/>
  <c r="J162" i="2"/>
  <c r="H162" i="2"/>
  <c r="G162" i="2"/>
  <c r="D162" i="2"/>
  <c r="E162" i="2" s="1" a="1"/>
  <c r="E162" i="2" s="1"/>
  <c r="B162" i="2"/>
  <c r="Y161" i="2"/>
  <c r="W161" i="2"/>
  <c r="U161" i="2"/>
  <c r="S161" i="2"/>
  <c r="Q161" i="2"/>
  <c r="N161" i="2"/>
  <c r="O161" i="2" s="1"/>
  <c r="L161" i="2"/>
  <c r="J161" i="2"/>
  <c r="G161" i="2"/>
  <c r="H161" i="2" s="1"/>
  <c r="D161" i="2"/>
  <c r="E161" i="2" s="1" a="1"/>
  <c r="E161" i="2" s="1"/>
  <c r="B161" i="2"/>
  <c r="Y160" i="2"/>
  <c r="W160" i="2"/>
  <c r="U160" i="2"/>
  <c r="S160" i="2"/>
  <c r="Q160" i="2"/>
  <c r="N160" i="2"/>
  <c r="O160" i="2" s="1"/>
  <c r="L160" i="2"/>
  <c r="J160" i="2"/>
  <c r="G160" i="2"/>
  <c r="H160" i="2" s="1"/>
  <c r="E160" i="2" a="1"/>
  <c r="E160" i="2" s="1"/>
  <c r="D160" i="2"/>
  <c r="B160" i="2"/>
  <c r="Y159" i="2"/>
  <c r="W159" i="2"/>
  <c r="U159" i="2"/>
  <c r="S159" i="2"/>
  <c r="Q159" i="2"/>
  <c r="O159" i="2"/>
  <c r="N159" i="2"/>
  <c r="L159" i="2"/>
  <c r="J159" i="2"/>
  <c r="H159" i="2"/>
  <c r="G159" i="2"/>
  <c r="E159" i="2" a="1"/>
  <c r="E159" i="2"/>
  <c r="D159" i="2"/>
  <c r="B159" i="2"/>
  <c r="Y158" i="2"/>
  <c r="W158" i="2"/>
  <c r="U158" i="2"/>
  <c r="S158" i="2"/>
  <c r="Q158" i="2"/>
  <c r="O158" i="2"/>
  <c r="N158" i="2"/>
  <c r="L158" i="2"/>
  <c r="J158" i="2"/>
  <c r="H158" i="2"/>
  <c r="G158" i="2"/>
  <c r="D158" i="2"/>
  <c r="E158" i="2" s="1" a="1"/>
  <c r="E158" i="2" s="1"/>
  <c r="B158" i="2"/>
  <c r="Y157" i="2"/>
  <c r="W157" i="2"/>
  <c r="U157" i="2"/>
  <c r="S157" i="2"/>
  <c r="Q157" i="2"/>
  <c r="N157" i="2"/>
  <c r="O157" i="2" s="1"/>
  <c r="L157" i="2"/>
  <c r="J157" i="2"/>
  <c r="G157" i="2"/>
  <c r="H157" i="2" s="1"/>
  <c r="D157" i="2"/>
  <c r="E157" i="2" s="1" a="1"/>
  <c r="E157" i="2" s="1"/>
  <c r="B157" i="2"/>
  <c r="Y156" i="2"/>
  <c r="W156" i="2"/>
  <c r="U156" i="2"/>
  <c r="S156" i="2"/>
  <c r="Q156" i="2"/>
  <c r="N156" i="2"/>
  <c r="O156" i="2" s="1"/>
  <c r="L156" i="2"/>
  <c r="J156" i="2"/>
  <c r="G156" i="2"/>
  <c r="H156" i="2" s="1"/>
  <c r="E156" i="2" a="1"/>
  <c r="E156" i="2" s="1"/>
  <c r="D156" i="2"/>
  <c r="B156" i="2"/>
  <c r="Y155" i="2"/>
  <c r="W155" i="2"/>
  <c r="U155" i="2"/>
  <c r="S155" i="2"/>
  <c r="Q155" i="2"/>
  <c r="O155" i="2"/>
  <c r="N155" i="2"/>
  <c r="L155" i="2"/>
  <c r="J155" i="2"/>
  <c r="H155" i="2"/>
  <c r="G155" i="2"/>
  <c r="E155" i="2" a="1"/>
  <c r="E155" i="2"/>
  <c r="D155" i="2"/>
  <c r="B155" i="2"/>
  <c r="Y154" i="2"/>
  <c r="W154" i="2"/>
  <c r="U154" i="2"/>
  <c r="S154" i="2"/>
  <c r="Q154" i="2"/>
  <c r="O154" i="2"/>
  <c r="N154" i="2"/>
  <c r="L154" i="2"/>
  <c r="J154" i="2"/>
  <c r="H154" i="2"/>
  <c r="G154" i="2"/>
  <c r="D154" i="2"/>
  <c r="E154" i="2" s="1" a="1"/>
  <c r="E154" i="2" s="1"/>
  <c r="B154" i="2"/>
  <c r="Y153" i="2"/>
  <c r="W153" i="2"/>
  <c r="U153" i="2"/>
  <c r="S153" i="2"/>
  <c r="Q153" i="2"/>
  <c r="N153" i="2"/>
  <c r="O153" i="2" s="1"/>
  <c r="L153" i="2"/>
  <c r="J153" i="2"/>
  <c r="G153" i="2"/>
  <c r="H153" i="2" s="1"/>
  <c r="D153" i="2"/>
  <c r="E153" i="2" s="1" a="1"/>
  <c r="E153" i="2" s="1"/>
  <c r="B153" i="2"/>
  <c r="Y152" i="2"/>
  <c r="W152" i="2"/>
  <c r="U152" i="2"/>
  <c r="S152" i="2"/>
  <c r="Q152" i="2"/>
  <c r="N152" i="2"/>
  <c r="O152" i="2" s="1"/>
  <c r="L152" i="2"/>
  <c r="J152" i="2"/>
  <c r="G152" i="2"/>
  <c r="H152" i="2" s="1"/>
  <c r="E152" i="2" a="1"/>
  <c r="E152" i="2" s="1"/>
  <c r="D152" i="2"/>
  <c r="B152" i="2"/>
  <c r="Y151" i="2"/>
  <c r="W151" i="2"/>
  <c r="U151" i="2"/>
  <c r="S151" i="2"/>
  <c r="Q151" i="2"/>
  <c r="O151" i="2"/>
  <c r="N151" i="2"/>
  <c r="L151" i="2"/>
  <c r="J151" i="2"/>
  <c r="H151" i="2"/>
  <c r="G151" i="2"/>
  <c r="E151" i="2" a="1"/>
  <c r="E151" i="2"/>
  <c r="D151" i="2"/>
  <c r="B151" i="2"/>
  <c r="Y150" i="2"/>
  <c r="W150" i="2"/>
  <c r="U150" i="2"/>
  <c r="S150" i="2"/>
  <c r="Q150" i="2"/>
  <c r="O150" i="2"/>
  <c r="N150" i="2"/>
  <c r="L150" i="2"/>
  <c r="J150" i="2"/>
  <c r="H150" i="2"/>
  <c r="G150" i="2"/>
  <c r="D150" i="2"/>
  <c r="E150" i="2" s="1" a="1"/>
  <c r="E150" i="2" s="1"/>
  <c r="B150" i="2"/>
  <c r="Y149" i="2"/>
  <c r="W149" i="2"/>
  <c r="U149" i="2"/>
  <c r="S149" i="2"/>
  <c r="Q149" i="2"/>
  <c r="N149" i="2"/>
  <c r="O149" i="2" s="1"/>
  <c r="L149" i="2"/>
  <c r="J149" i="2"/>
  <c r="G149" i="2"/>
  <c r="H149" i="2" s="1"/>
  <c r="D149" i="2"/>
  <c r="E149" i="2" s="1" a="1"/>
  <c r="E149" i="2" s="1"/>
  <c r="B149" i="2"/>
  <c r="Y148" i="2"/>
  <c r="W148" i="2"/>
  <c r="U148" i="2"/>
  <c r="S148" i="2"/>
  <c r="Q148" i="2"/>
  <c r="N148" i="2"/>
  <c r="O148" i="2" s="1"/>
  <c r="L148" i="2"/>
  <c r="J148" i="2"/>
  <c r="G148" i="2"/>
  <c r="H148" i="2" s="1"/>
  <c r="E148" i="2" a="1"/>
  <c r="E148" i="2" s="1"/>
  <c r="D148" i="2"/>
  <c r="B148" i="2"/>
  <c r="Y147" i="2"/>
  <c r="W147" i="2"/>
  <c r="U147" i="2"/>
  <c r="S147" i="2"/>
  <c r="Q147" i="2"/>
  <c r="O147" i="2"/>
  <c r="N147" i="2"/>
  <c r="L147" i="2"/>
  <c r="J147" i="2"/>
  <c r="H147" i="2"/>
  <c r="G147" i="2"/>
  <c r="E147" i="2" a="1"/>
  <c r="E147" i="2"/>
  <c r="D147" i="2"/>
  <c r="B147" i="2"/>
  <c r="Y146" i="2"/>
  <c r="W146" i="2"/>
  <c r="U146" i="2"/>
  <c r="S146" i="2"/>
  <c r="Q146" i="2"/>
  <c r="O146" i="2"/>
  <c r="N146" i="2"/>
  <c r="L146" i="2"/>
  <c r="J146" i="2"/>
  <c r="H146" i="2"/>
  <c r="G146" i="2"/>
  <c r="D146" i="2"/>
  <c r="E146" i="2" s="1" a="1"/>
  <c r="E146" i="2" s="1"/>
  <c r="B146" i="2"/>
  <c r="Y145" i="2"/>
  <c r="W145" i="2"/>
  <c r="U145" i="2"/>
  <c r="S145" i="2"/>
  <c r="Q145" i="2"/>
  <c r="N145" i="2"/>
  <c r="O145" i="2" s="1"/>
  <c r="L145" i="2"/>
  <c r="J145" i="2"/>
  <c r="G145" i="2"/>
  <c r="H145" i="2" s="1"/>
  <c r="D145" i="2"/>
  <c r="E145" i="2" s="1" a="1"/>
  <c r="E145" i="2" s="1"/>
  <c r="B145" i="2"/>
  <c r="Y144" i="2"/>
  <c r="W144" i="2"/>
  <c r="U144" i="2"/>
  <c r="S144" i="2"/>
  <c r="Q144" i="2"/>
  <c r="N144" i="2"/>
  <c r="O144" i="2" s="1"/>
  <c r="L144" i="2"/>
  <c r="J144" i="2"/>
  <c r="G144" i="2"/>
  <c r="H144" i="2" s="1"/>
  <c r="E144" i="2" a="1"/>
  <c r="E144" i="2" s="1"/>
  <c r="D144" i="2"/>
  <c r="B144" i="2"/>
  <c r="Y143" i="2"/>
  <c r="W143" i="2"/>
  <c r="U143" i="2"/>
  <c r="S143" i="2"/>
  <c r="Q143" i="2"/>
  <c r="O143" i="2"/>
  <c r="N143" i="2"/>
  <c r="L143" i="2"/>
  <c r="J143" i="2"/>
  <c r="H143" i="2"/>
  <c r="G143" i="2"/>
  <c r="E143" i="2" a="1"/>
  <c r="E143" i="2"/>
  <c r="D143" i="2"/>
  <c r="B143" i="2"/>
  <c r="Y142" i="2"/>
  <c r="W142" i="2"/>
  <c r="U142" i="2"/>
  <c r="S142" i="2"/>
  <c r="Q142" i="2"/>
  <c r="O142" i="2"/>
  <c r="N142" i="2"/>
  <c r="L142" i="2"/>
  <c r="J142" i="2"/>
  <c r="H142" i="2"/>
  <c r="G142" i="2"/>
  <c r="D142" i="2"/>
  <c r="E142" i="2" s="1" a="1"/>
  <c r="E142" i="2" s="1"/>
  <c r="B142" i="2"/>
  <c r="Y141" i="2"/>
  <c r="W141" i="2"/>
  <c r="U141" i="2"/>
  <c r="S141" i="2"/>
  <c r="Q141" i="2"/>
  <c r="N141" i="2"/>
  <c r="O141" i="2" s="1"/>
  <c r="L141" i="2"/>
  <c r="J141" i="2"/>
  <c r="G141" i="2"/>
  <c r="H141" i="2" s="1"/>
  <c r="D141" i="2"/>
  <c r="E141" i="2" s="1" a="1"/>
  <c r="E141" i="2" s="1"/>
  <c r="B141" i="2"/>
  <c r="Y140" i="2"/>
  <c r="W140" i="2"/>
  <c r="U140" i="2"/>
  <c r="S140" i="2"/>
  <c r="Q140" i="2"/>
  <c r="N140" i="2"/>
  <c r="O140" i="2" s="1"/>
  <c r="L140" i="2"/>
  <c r="J140" i="2"/>
  <c r="G140" i="2"/>
  <c r="H140" i="2" s="1"/>
  <c r="E140" i="2" a="1"/>
  <c r="E140" i="2" s="1"/>
  <c r="D140" i="2"/>
  <c r="B140" i="2"/>
  <c r="Y139" i="2"/>
  <c r="W139" i="2"/>
  <c r="U139" i="2"/>
  <c r="S139" i="2"/>
  <c r="Q139" i="2"/>
  <c r="O139" i="2"/>
  <c r="N139" i="2"/>
  <c r="L139" i="2"/>
  <c r="J139" i="2"/>
  <c r="H139" i="2"/>
  <c r="G139" i="2"/>
  <c r="E139" i="2" a="1"/>
  <c r="E139" i="2"/>
  <c r="D139" i="2"/>
  <c r="B139" i="2"/>
  <c r="Y138" i="2"/>
  <c r="W138" i="2"/>
  <c r="U138" i="2"/>
  <c r="S138" i="2"/>
  <c r="Q138" i="2"/>
  <c r="O138" i="2"/>
  <c r="N138" i="2"/>
  <c r="L138" i="2"/>
  <c r="J138" i="2"/>
  <c r="H138" i="2"/>
  <c r="G138" i="2"/>
  <c r="D138" i="2"/>
  <c r="E138" i="2" s="1" a="1"/>
  <c r="E138" i="2" s="1"/>
  <c r="B138" i="2"/>
  <c r="Y137" i="2"/>
  <c r="W137" i="2"/>
  <c r="U137" i="2"/>
  <c r="S137" i="2"/>
  <c r="Q137" i="2"/>
  <c r="N137" i="2"/>
  <c r="O137" i="2" s="1"/>
  <c r="L137" i="2"/>
  <c r="J137" i="2"/>
  <c r="G137" i="2"/>
  <c r="H137" i="2" s="1"/>
  <c r="D137" i="2"/>
  <c r="E137" i="2" s="1" a="1"/>
  <c r="E137" i="2" s="1"/>
  <c r="B137" i="2"/>
  <c r="Y136" i="2"/>
  <c r="W136" i="2"/>
  <c r="U136" i="2"/>
  <c r="S136" i="2"/>
  <c r="Q136" i="2"/>
  <c r="N136" i="2"/>
  <c r="O136" i="2" s="1"/>
  <c r="L136" i="2"/>
  <c r="J136" i="2"/>
  <c r="G136" i="2"/>
  <c r="H136" i="2" s="1"/>
  <c r="E136" i="2" a="1"/>
  <c r="E136" i="2" s="1"/>
  <c r="D136" i="2"/>
  <c r="B136" i="2"/>
  <c r="Y135" i="2"/>
  <c r="W135" i="2"/>
  <c r="U135" i="2"/>
  <c r="S135" i="2"/>
  <c r="Q135" i="2"/>
  <c r="O135" i="2"/>
  <c r="N135" i="2"/>
  <c r="L135" i="2"/>
  <c r="J135" i="2"/>
  <c r="H135" i="2"/>
  <c r="G135" i="2"/>
  <c r="E135" i="2" a="1"/>
  <c r="E135" i="2"/>
  <c r="D135" i="2"/>
  <c r="B135" i="2"/>
  <c r="Y134" i="2"/>
  <c r="W134" i="2"/>
  <c r="U134" i="2"/>
  <c r="S134" i="2"/>
  <c r="Q134" i="2"/>
  <c r="O134" i="2"/>
  <c r="N134" i="2"/>
  <c r="L134" i="2"/>
  <c r="J134" i="2"/>
  <c r="H134" i="2"/>
  <c r="G134" i="2"/>
  <c r="D134" i="2"/>
  <c r="E134" i="2" s="1" a="1"/>
  <c r="E134" i="2" s="1"/>
  <c r="B134" i="2"/>
  <c r="Y133" i="2"/>
  <c r="W133" i="2"/>
  <c r="U133" i="2"/>
  <c r="S133" i="2"/>
  <c r="Q133" i="2"/>
  <c r="N133" i="2"/>
  <c r="O133" i="2" s="1"/>
  <c r="L133" i="2"/>
  <c r="J133" i="2"/>
  <c r="G133" i="2"/>
  <c r="H133" i="2" s="1"/>
  <c r="D133" i="2"/>
  <c r="E133" i="2" s="1" a="1"/>
  <c r="E133" i="2" s="1"/>
  <c r="B133" i="2"/>
  <c r="Y132" i="2"/>
  <c r="W132" i="2"/>
  <c r="U132" i="2"/>
  <c r="S132" i="2"/>
  <c r="Q132" i="2"/>
  <c r="N132" i="2"/>
  <c r="O132" i="2" s="1"/>
  <c r="L132" i="2"/>
  <c r="J132" i="2"/>
  <c r="G132" i="2"/>
  <c r="H132" i="2" s="1"/>
  <c r="E132" i="2" a="1"/>
  <c r="E132" i="2" s="1"/>
  <c r="D132" i="2"/>
  <c r="B132" i="2"/>
  <c r="Y131" i="2"/>
  <c r="W131" i="2"/>
  <c r="U131" i="2"/>
  <c r="S131" i="2"/>
  <c r="Q131" i="2"/>
  <c r="O131" i="2"/>
  <c r="N131" i="2"/>
  <c r="L131" i="2"/>
  <c r="J131" i="2"/>
  <c r="H131" i="2"/>
  <c r="G131" i="2"/>
  <c r="E131" i="2" a="1"/>
  <c r="E131" i="2"/>
  <c r="D131" i="2"/>
  <c r="B131" i="2"/>
  <c r="Y130" i="2"/>
  <c r="W130" i="2"/>
  <c r="U130" i="2"/>
  <c r="S130" i="2"/>
  <c r="Q130" i="2"/>
  <c r="O130" i="2"/>
  <c r="N130" i="2"/>
  <c r="L130" i="2"/>
  <c r="J130" i="2"/>
  <c r="H130" i="2"/>
  <c r="G130" i="2"/>
  <c r="D130" i="2"/>
  <c r="E130" i="2" s="1" a="1"/>
  <c r="E130" i="2" s="1"/>
  <c r="B130" i="2"/>
  <c r="Y129" i="2"/>
  <c r="W129" i="2"/>
  <c r="U129" i="2"/>
  <c r="S129" i="2"/>
  <c r="Q129" i="2"/>
  <c r="N129" i="2"/>
  <c r="O129" i="2" s="1"/>
  <c r="L129" i="2"/>
  <c r="J129" i="2"/>
  <c r="G129" i="2"/>
  <c r="H129" i="2" s="1"/>
  <c r="D129" i="2"/>
  <c r="E129" i="2" s="1" a="1"/>
  <c r="E129" i="2" s="1"/>
  <c r="B129" i="2"/>
  <c r="Y128" i="2"/>
  <c r="W128" i="2"/>
  <c r="U128" i="2"/>
  <c r="S128" i="2"/>
  <c r="Q128" i="2"/>
  <c r="N128" i="2"/>
  <c r="O128" i="2" s="1"/>
  <c r="L128" i="2"/>
  <c r="J128" i="2"/>
  <c r="G128" i="2"/>
  <c r="H128" i="2" s="1"/>
  <c r="E128" i="2" a="1"/>
  <c r="E128" i="2" s="1"/>
  <c r="D128" i="2"/>
  <c r="B128" i="2"/>
  <c r="Y127" i="2"/>
  <c r="W127" i="2"/>
  <c r="U127" i="2"/>
  <c r="S127" i="2"/>
  <c r="Q127" i="2"/>
  <c r="O127" i="2"/>
  <c r="N127" i="2"/>
  <c r="L127" i="2"/>
  <c r="J127" i="2"/>
  <c r="H127" i="2"/>
  <c r="G127" i="2"/>
  <c r="E127" i="2" a="1"/>
  <c r="E127" i="2"/>
  <c r="D127" i="2"/>
  <c r="B127" i="2"/>
  <c r="Y126" i="2"/>
  <c r="W126" i="2"/>
  <c r="U126" i="2"/>
  <c r="S126" i="2"/>
  <c r="Q126" i="2"/>
  <c r="O126" i="2"/>
  <c r="N126" i="2"/>
  <c r="L126" i="2"/>
  <c r="J126" i="2"/>
  <c r="H126" i="2"/>
  <c r="G126" i="2"/>
  <c r="D126" i="2"/>
  <c r="E126" i="2" s="1" a="1"/>
  <c r="E126" i="2" s="1"/>
  <c r="B126" i="2"/>
  <c r="Y125" i="2"/>
  <c r="W125" i="2"/>
  <c r="U125" i="2"/>
  <c r="S125" i="2"/>
  <c r="Q125" i="2"/>
  <c r="N125" i="2"/>
  <c r="O125" i="2" s="1"/>
  <c r="L125" i="2"/>
  <c r="J125" i="2"/>
  <c r="G125" i="2"/>
  <c r="H125" i="2" s="1"/>
  <c r="D125" i="2"/>
  <c r="E125" i="2" s="1" a="1"/>
  <c r="E125" i="2" s="1"/>
  <c r="B125" i="2"/>
  <c r="Y124" i="2"/>
  <c r="W124" i="2"/>
  <c r="U124" i="2"/>
  <c r="S124" i="2"/>
  <c r="Q124" i="2"/>
  <c r="N124" i="2"/>
  <c r="O124" i="2" s="1"/>
  <c r="L124" i="2"/>
  <c r="J124" i="2"/>
  <c r="G124" i="2"/>
  <c r="H124" i="2" s="1"/>
  <c r="E124" i="2" a="1"/>
  <c r="E124" i="2" s="1"/>
  <c r="D124" i="2"/>
  <c r="Y123" i="2"/>
  <c r="W123" i="2"/>
  <c r="U123" i="2"/>
  <c r="S123" i="2"/>
  <c r="Q123" i="2"/>
  <c r="O123" i="2"/>
  <c r="N123" i="2"/>
  <c r="L123" i="2"/>
  <c r="J123" i="2"/>
  <c r="H123" i="2"/>
  <c r="G123" i="2"/>
  <c r="E123" i="2" a="1"/>
  <c r="E123" i="2"/>
  <c r="D123" i="2"/>
  <c r="B123" i="2"/>
  <c r="Y122" i="2"/>
  <c r="W122" i="2"/>
  <c r="U122" i="2"/>
  <c r="S122" i="2"/>
  <c r="Q122" i="2"/>
  <c r="O122" i="2"/>
  <c r="N122" i="2"/>
  <c r="L122" i="2"/>
  <c r="J122" i="2"/>
  <c r="H122" i="2"/>
  <c r="G122" i="2"/>
  <c r="D122" i="2"/>
  <c r="E122" i="2" s="1" a="1"/>
  <c r="E122" i="2" s="1"/>
  <c r="B122" i="2"/>
  <c r="Y121" i="2"/>
  <c r="W121" i="2"/>
  <c r="U121" i="2"/>
  <c r="S121" i="2"/>
  <c r="Q121" i="2"/>
  <c r="N121" i="2"/>
  <c r="O121" i="2" s="1"/>
  <c r="L121" i="2"/>
  <c r="J121" i="2"/>
  <c r="G121" i="2"/>
  <c r="H121" i="2" s="1"/>
  <c r="D121" i="2"/>
  <c r="E121" i="2" s="1" a="1"/>
  <c r="E121" i="2" s="1"/>
  <c r="B121" i="2"/>
  <c r="Y120" i="2"/>
  <c r="W120" i="2"/>
  <c r="U120" i="2"/>
  <c r="S120" i="2"/>
  <c r="Q120" i="2"/>
  <c r="N120" i="2"/>
  <c r="O120" i="2" s="1"/>
  <c r="L120" i="2"/>
  <c r="J120" i="2"/>
  <c r="G120" i="2"/>
  <c r="H120" i="2" s="1"/>
  <c r="E120" i="2" a="1"/>
  <c r="E120" i="2" s="1"/>
  <c r="D120" i="2"/>
  <c r="B120" i="2"/>
  <c r="Y119" i="2"/>
  <c r="W119" i="2"/>
  <c r="U119" i="2"/>
  <c r="S119" i="2"/>
  <c r="Q119" i="2"/>
  <c r="O119" i="2"/>
  <c r="N119" i="2"/>
  <c r="L119" i="2"/>
  <c r="J119" i="2"/>
  <c r="H119" i="2"/>
  <c r="G119" i="2"/>
  <c r="E119" i="2" a="1"/>
  <c r="E119" i="2"/>
  <c r="D119" i="2"/>
  <c r="B119" i="2"/>
  <c r="Y118" i="2"/>
  <c r="W118" i="2"/>
  <c r="U118" i="2"/>
  <c r="S118" i="2"/>
  <c r="Q118" i="2"/>
  <c r="O118" i="2"/>
  <c r="N118" i="2"/>
  <c r="L118" i="2"/>
  <c r="J118" i="2"/>
  <c r="H118" i="2"/>
  <c r="G118" i="2"/>
  <c r="D118" i="2"/>
  <c r="E118" i="2" s="1" a="1"/>
  <c r="E118" i="2" s="1"/>
  <c r="B118" i="2"/>
  <c r="Y117" i="2"/>
  <c r="W117" i="2"/>
  <c r="U117" i="2"/>
  <c r="S117" i="2"/>
  <c r="Q117" i="2"/>
  <c r="N117" i="2"/>
  <c r="O117" i="2" s="1"/>
  <c r="L117" i="2"/>
  <c r="J117" i="2"/>
  <c r="G117" i="2"/>
  <c r="H117" i="2" s="1"/>
  <c r="D117" i="2"/>
  <c r="E117" i="2" s="1" a="1"/>
  <c r="E117" i="2" s="1"/>
  <c r="B117" i="2"/>
  <c r="Y116" i="2"/>
  <c r="W116" i="2"/>
  <c r="U116" i="2"/>
  <c r="S116" i="2"/>
  <c r="Q116" i="2"/>
  <c r="N116" i="2"/>
  <c r="O116" i="2" s="1"/>
  <c r="L116" i="2"/>
  <c r="J116" i="2"/>
  <c r="G116" i="2"/>
  <c r="H116" i="2" s="1"/>
  <c r="E116" i="2" a="1"/>
  <c r="E116" i="2" s="1"/>
  <c r="D116" i="2"/>
  <c r="B116" i="2"/>
  <c r="Y115" i="2"/>
  <c r="W115" i="2"/>
  <c r="U115" i="2"/>
  <c r="S115" i="2"/>
  <c r="Q115" i="2"/>
  <c r="O115" i="2"/>
  <c r="N115" i="2"/>
  <c r="L115" i="2"/>
  <c r="J115" i="2"/>
  <c r="H115" i="2"/>
  <c r="G115" i="2"/>
  <c r="E115" i="2" a="1"/>
  <c r="E115" i="2"/>
  <c r="D115" i="2"/>
  <c r="B115" i="2"/>
  <c r="Y114" i="2"/>
  <c r="W114" i="2"/>
  <c r="U114" i="2"/>
  <c r="S114" i="2"/>
  <c r="Q114" i="2"/>
  <c r="O114" i="2"/>
  <c r="N114" i="2"/>
  <c r="L114" i="2"/>
  <c r="J114" i="2"/>
  <c r="H114" i="2"/>
  <c r="G114" i="2"/>
  <c r="D114" i="2"/>
  <c r="E114" i="2" s="1" a="1"/>
  <c r="E114" i="2" s="1"/>
  <c r="B114" i="2"/>
  <c r="Y113" i="2"/>
  <c r="W113" i="2"/>
  <c r="U113" i="2"/>
  <c r="S113" i="2"/>
  <c r="Q113" i="2"/>
  <c r="N113" i="2"/>
  <c r="O113" i="2" s="1"/>
  <c r="L113" i="2"/>
  <c r="J113" i="2"/>
  <c r="G113" i="2"/>
  <c r="H113" i="2" s="1"/>
  <c r="D113" i="2"/>
  <c r="E113" i="2" s="1" a="1"/>
  <c r="E113" i="2" s="1"/>
  <c r="B113" i="2"/>
  <c r="Y112" i="2"/>
  <c r="W112" i="2"/>
  <c r="U112" i="2"/>
  <c r="S112" i="2"/>
  <c r="Q112" i="2"/>
  <c r="N112" i="2"/>
  <c r="O112" i="2" s="1"/>
  <c r="L112" i="2"/>
  <c r="J112" i="2"/>
  <c r="G112" i="2"/>
  <c r="H112" i="2" s="1"/>
  <c r="E112" i="2" a="1"/>
  <c r="E112" i="2" s="1"/>
  <c r="D112" i="2"/>
  <c r="B112" i="2"/>
  <c r="Y111" i="2"/>
  <c r="W111" i="2"/>
  <c r="U111" i="2"/>
  <c r="S111" i="2"/>
  <c r="Q111" i="2"/>
  <c r="O111" i="2"/>
  <c r="N111" i="2"/>
  <c r="L111" i="2"/>
  <c r="J111" i="2"/>
  <c r="H111" i="2"/>
  <c r="G111" i="2"/>
  <c r="E111" i="2" a="1"/>
  <c r="E111" i="2"/>
  <c r="D111" i="2"/>
  <c r="B111" i="2"/>
  <c r="Y110" i="2"/>
  <c r="W110" i="2"/>
  <c r="U110" i="2"/>
  <c r="S110" i="2"/>
  <c r="Q110" i="2"/>
  <c r="O110" i="2"/>
  <c r="N110" i="2"/>
  <c r="L110" i="2"/>
  <c r="J110" i="2"/>
  <c r="H110" i="2"/>
  <c r="G110" i="2"/>
  <c r="D110" i="2"/>
  <c r="E110" i="2" s="1" a="1"/>
  <c r="E110" i="2" s="1"/>
  <c r="B110" i="2"/>
  <c r="Y109" i="2"/>
  <c r="W109" i="2"/>
  <c r="U109" i="2"/>
  <c r="S109" i="2"/>
  <c r="Q109" i="2"/>
  <c r="N109" i="2"/>
  <c r="O109" i="2" s="1"/>
  <c r="L109" i="2"/>
  <c r="J109" i="2"/>
  <c r="G109" i="2"/>
  <c r="H109" i="2" s="1"/>
  <c r="D109" i="2"/>
  <c r="E109" i="2" s="1" a="1"/>
  <c r="E109" i="2" s="1"/>
  <c r="B109" i="2"/>
  <c r="Y108" i="2"/>
  <c r="W108" i="2"/>
  <c r="U108" i="2"/>
  <c r="S108" i="2"/>
  <c r="Q108" i="2"/>
  <c r="N108" i="2"/>
  <c r="O108" i="2" s="1"/>
  <c r="L108" i="2"/>
  <c r="J108" i="2"/>
  <c r="G108" i="2"/>
  <c r="H108" i="2" s="1"/>
  <c r="E108" i="2" a="1"/>
  <c r="E108" i="2" s="1"/>
  <c r="D108" i="2"/>
  <c r="B108" i="2"/>
  <c r="Y107" i="2"/>
  <c r="W107" i="2"/>
  <c r="U107" i="2"/>
  <c r="S107" i="2"/>
  <c r="Q107" i="2"/>
  <c r="O107" i="2"/>
  <c r="N107" i="2"/>
  <c r="L107" i="2"/>
  <c r="J107" i="2"/>
  <c r="H107" i="2"/>
  <c r="G107" i="2"/>
  <c r="E107" i="2" a="1"/>
  <c r="E107" i="2"/>
  <c r="D107" i="2"/>
  <c r="B107" i="2"/>
  <c r="Y106" i="2"/>
  <c r="W106" i="2"/>
  <c r="U106" i="2"/>
  <c r="S106" i="2"/>
  <c r="Q106" i="2"/>
  <c r="O106" i="2"/>
  <c r="N106" i="2"/>
  <c r="L106" i="2"/>
  <c r="J106" i="2"/>
  <c r="H106" i="2"/>
  <c r="G106" i="2"/>
  <c r="D106" i="2"/>
  <c r="E106" i="2" s="1" a="1"/>
  <c r="E106" i="2" s="1"/>
  <c r="B106" i="2"/>
  <c r="Y105" i="2"/>
  <c r="W105" i="2"/>
  <c r="U105" i="2"/>
  <c r="S105" i="2"/>
  <c r="Q105" i="2"/>
  <c r="N105" i="2"/>
  <c r="O105" i="2" s="1"/>
  <c r="L105" i="2"/>
  <c r="J105" i="2"/>
  <c r="G105" i="2"/>
  <c r="H105" i="2" s="1"/>
  <c r="D105" i="2"/>
  <c r="E105" i="2" s="1" a="1"/>
  <c r="E105" i="2" s="1"/>
  <c r="B105" i="2"/>
  <c r="Y104" i="2"/>
  <c r="W104" i="2"/>
  <c r="U104" i="2"/>
  <c r="S104" i="2"/>
  <c r="Q104" i="2"/>
  <c r="N104" i="2"/>
  <c r="O104" i="2" s="1"/>
  <c r="L104" i="2"/>
  <c r="J104" i="2"/>
  <c r="G104" i="2"/>
  <c r="H104" i="2" s="1"/>
  <c r="E104" i="2" a="1"/>
  <c r="E104" i="2" s="1"/>
  <c r="D104" i="2"/>
  <c r="B104" i="2"/>
  <c r="Y103" i="2"/>
  <c r="W103" i="2"/>
  <c r="U103" i="2"/>
  <c r="S103" i="2"/>
  <c r="Q103" i="2"/>
  <c r="O103" i="2"/>
  <c r="N103" i="2"/>
  <c r="L103" i="2"/>
  <c r="J103" i="2"/>
  <c r="H103" i="2"/>
  <c r="G103" i="2"/>
  <c r="E103" i="2" a="1"/>
  <c r="E103" i="2"/>
  <c r="D103" i="2"/>
  <c r="B103" i="2"/>
  <c r="Y102" i="2"/>
  <c r="W102" i="2"/>
  <c r="U102" i="2"/>
  <c r="S102" i="2"/>
  <c r="Q102" i="2"/>
  <c r="O102" i="2"/>
  <c r="N102" i="2"/>
  <c r="L102" i="2"/>
  <c r="J102" i="2"/>
  <c r="H102" i="2"/>
  <c r="G102" i="2"/>
  <c r="D102" i="2"/>
  <c r="E102" i="2" s="1" a="1"/>
  <c r="E102" i="2" s="1"/>
  <c r="B102" i="2"/>
  <c r="Y101" i="2"/>
  <c r="W101" i="2"/>
  <c r="U101" i="2"/>
  <c r="S101" i="2"/>
  <c r="Q101" i="2"/>
  <c r="N101" i="2"/>
  <c r="O101" i="2" s="1"/>
  <c r="L101" i="2"/>
  <c r="J101" i="2"/>
  <c r="G101" i="2"/>
  <c r="H101" i="2" s="1"/>
  <c r="D101" i="2"/>
  <c r="E101" i="2" s="1" a="1"/>
  <c r="E101" i="2" s="1"/>
  <c r="B101" i="2"/>
  <c r="Y100" i="2"/>
  <c r="W100" i="2"/>
  <c r="U100" i="2"/>
  <c r="S100" i="2"/>
  <c r="Q100" i="2"/>
  <c r="N100" i="2"/>
  <c r="O100" i="2" s="1"/>
  <c r="L100" i="2"/>
  <c r="J100" i="2"/>
  <c r="G100" i="2"/>
  <c r="H100" i="2" s="1"/>
  <c r="E100" i="2" a="1"/>
  <c r="E100" i="2" s="1"/>
  <c r="D100" i="2"/>
  <c r="B100" i="2"/>
  <c r="Y99" i="2"/>
  <c r="W99" i="2"/>
  <c r="U99" i="2"/>
  <c r="S99" i="2"/>
  <c r="Q99" i="2"/>
  <c r="O99" i="2"/>
  <c r="N99" i="2"/>
  <c r="L99" i="2"/>
  <c r="J99" i="2"/>
  <c r="H99" i="2"/>
  <c r="G99" i="2"/>
  <c r="E99" i="2" a="1"/>
  <c r="E99" i="2"/>
  <c r="D99" i="2"/>
  <c r="B99" i="2"/>
  <c r="Y98" i="2"/>
  <c r="W98" i="2"/>
  <c r="U98" i="2"/>
  <c r="S98" i="2"/>
  <c r="Q98" i="2"/>
  <c r="O98" i="2"/>
  <c r="N98" i="2"/>
  <c r="L98" i="2"/>
  <c r="J98" i="2"/>
  <c r="H98" i="2"/>
  <c r="G98" i="2"/>
  <c r="D98" i="2"/>
  <c r="E98" i="2" s="1" a="1"/>
  <c r="E98" i="2" s="1"/>
  <c r="B98" i="2"/>
  <c r="Y97" i="2"/>
  <c r="W97" i="2"/>
  <c r="U97" i="2"/>
  <c r="S97" i="2"/>
  <c r="Q97" i="2"/>
  <c r="N97" i="2"/>
  <c r="O97" i="2" s="1"/>
  <c r="L97" i="2"/>
  <c r="J97" i="2"/>
  <c r="G97" i="2"/>
  <c r="H97" i="2" s="1"/>
  <c r="D97" i="2"/>
  <c r="E97" i="2" s="1" a="1"/>
  <c r="E97" i="2" s="1"/>
  <c r="B97" i="2"/>
  <c r="Y96" i="2"/>
  <c r="W96" i="2"/>
  <c r="U96" i="2"/>
  <c r="S96" i="2"/>
  <c r="Q96" i="2"/>
  <c r="N96" i="2"/>
  <c r="O96" i="2" s="1"/>
  <c r="L96" i="2"/>
  <c r="J96" i="2"/>
  <c r="G96" i="2"/>
  <c r="H96" i="2" s="1"/>
  <c r="E96" i="2" a="1"/>
  <c r="E96" i="2" s="1"/>
  <c r="D96" i="2"/>
  <c r="B96" i="2"/>
  <c r="Y95" i="2"/>
  <c r="W95" i="2"/>
  <c r="U95" i="2"/>
  <c r="S95" i="2"/>
  <c r="Q95" i="2"/>
  <c r="O95" i="2"/>
  <c r="N95" i="2"/>
  <c r="L95" i="2"/>
  <c r="J95" i="2"/>
  <c r="H95" i="2"/>
  <c r="G95" i="2"/>
  <c r="E95" i="2" a="1"/>
  <c r="E95" i="2"/>
  <c r="D95" i="2"/>
  <c r="B95" i="2"/>
  <c r="Y94" i="2"/>
  <c r="W94" i="2"/>
  <c r="U94" i="2"/>
  <c r="S94" i="2"/>
  <c r="Q94" i="2"/>
  <c r="O94" i="2"/>
  <c r="N94" i="2"/>
  <c r="L94" i="2"/>
  <c r="J94" i="2"/>
  <c r="H94" i="2"/>
  <c r="G94" i="2"/>
  <c r="D94" i="2"/>
  <c r="E94" i="2" s="1" a="1"/>
  <c r="E94" i="2" s="1"/>
  <c r="B94" i="2"/>
  <c r="Y93" i="2"/>
  <c r="W93" i="2"/>
  <c r="U93" i="2"/>
  <c r="S93" i="2"/>
  <c r="Q93" i="2"/>
  <c r="N93" i="2"/>
  <c r="O93" i="2" s="1"/>
  <c r="L93" i="2"/>
  <c r="J93" i="2"/>
  <c r="G93" i="2"/>
  <c r="H93" i="2" s="1"/>
  <c r="D93" i="2"/>
  <c r="E93" i="2" s="1" a="1"/>
  <c r="E93" i="2" s="1"/>
  <c r="B93" i="2"/>
  <c r="Y92" i="2"/>
  <c r="W92" i="2"/>
  <c r="U92" i="2"/>
  <c r="S92" i="2"/>
  <c r="Q92" i="2"/>
  <c r="N92" i="2"/>
  <c r="O92" i="2" s="1"/>
  <c r="L92" i="2"/>
  <c r="J92" i="2"/>
  <c r="G92" i="2"/>
  <c r="H92" i="2" s="1"/>
  <c r="E92" i="2" a="1"/>
  <c r="E92" i="2" s="1"/>
  <c r="D92" i="2"/>
  <c r="B92" i="2"/>
  <c r="Y91" i="2"/>
  <c r="W91" i="2"/>
  <c r="U91" i="2"/>
  <c r="S91" i="2"/>
  <c r="Q91" i="2"/>
  <c r="O91" i="2"/>
  <c r="N91" i="2"/>
  <c r="L91" i="2"/>
  <c r="J91" i="2"/>
  <c r="H91" i="2"/>
  <c r="G91" i="2"/>
  <c r="E91" i="2" a="1"/>
  <c r="E91" i="2"/>
  <c r="D91" i="2"/>
  <c r="B91" i="2"/>
  <c r="Y90" i="2"/>
  <c r="W90" i="2"/>
  <c r="U90" i="2"/>
  <c r="S90" i="2"/>
  <c r="Q90" i="2"/>
  <c r="O90" i="2"/>
  <c r="N90" i="2"/>
  <c r="L90" i="2"/>
  <c r="J90" i="2"/>
  <c r="H90" i="2"/>
  <c r="G90" i="2"/>
  <c r="D90" i="2"/>
  <c r="E90" i="2" s="1" a="1"/>
  <c r="E90" i="2" s="1"/>
  <c r="B90" i="2"/>
  <c r="Y89" i="2"/>
  <c r="W89" i="2"/>
  <c r="U89" i="2"/>
  <c r="S89" i="2"/>
  <c r="Q89" i="2"/>
  <c r="N89" i="2"/>
  <c r="O89" i="2" s="1"/>
  <c r="L89" i="2"/>
  <c r="J89" i="2"/>
  <c r="G89" i="2"/>
  <c r="H89" i="2" s="1"/>
  <c r="D89" i="2"/>
  <c r="E89" i="2" s="1" a="1"/>
  <c r="E89" i="2" s="1"/>
  <c r="B89" i="2"/>
  <c r="Y88" i="2"/>
  <c r="W88" i="2"/>
  <c r="U88" i="2"/>
  <c r="S88" i="2"/>
  <c r="Q88" i="2"/>
  <c r="N88" i="2"/>
  <c r="O88" i="2" s="1"/>
  <c r="L88" i="2"/>
  <c r="J88" i="2"/>
  <c r="G88" i="2"/>
  <c r="H88" i="2" s="1"/>
  <c r="E88" i="2" a="1"/>
  <c r="E88" i="2" s="1"/>
  <c r="D88" i="2"/>
  <c r="B88" i="2"/>
  <c r="Y87" i="2"/>
  <c r="W87" i="2"/>
  <c r="U87" i="2"/>
  <c r="S87" i="2"/>
  <c r="Q87" i="2"/>
  <c r="O87" i="2"/>
  <c r="N87" i="2"/>
  <c r="L87" i="2"/>
  <c r="J87" i="2"/>
  <c r="H87" i="2"/>
  <c r="G87" i="2"/>
  <c r="E87" i="2" a="1"/>
  <c r="E87" i="2"/>
  <c r="D87" i="2"/>
  <c r="B87" i="2"/>
  <c r="Y86" i="2"/>
  <c r="W86" i="2"/>
  <c r="U86" i="2"/>
  <c r="S86" i="2"/>
  <c r="Q86" i="2"/>
  <c r="O86" i="2"/>
  <c r="N86" i="2"/>
  <c r="L86" i="2"/>
  <c r="J86" i="2"/>
  <c r="H86" i="2"/>
  <c r="G86" i="2"/>
  <c r="D86" i="2"/>
  <c r="E86" i="2" s="1" a="1"/>
  <c r="E86" i="2" s="1"/>
  <c r="B86" i="2"/>
  <c r="Y85" i="2"/>
  <c r="W85" i="2"/>
  <c r="U85" i="2"/>
  <c r="S85" i="2"/>
  <c r="Q85" i="2"/>
  <c r="N85" i="2"/>
  <c r="O85" i="2" s="1"/>
  <c r="L85" i="2"/>
  <c r="J85" i="2"/>
  <c r="G85" i="2"/>
  <c r="H85" i="2" s="1"/>
  <c r="D85" i="2"/>
  <c r="E85" i="2" s="1" a="1"/>
  <c r="E85" i="2" s="1"/>
  <c r="B85" i="2"/>
  <c r="Y84" i="2"/>
  <c r="W84" i="2"/>
  <c r="U84" i="2"/>
  <c r="S84" i="2"/>
  <c r="Q84" i="2"/>
  <c r="N84" i="2"/>
  <c r="O84" i="2" s="1"/>
  <c r="L84" i="2"/>
  <c r="J84" i="2"/>
  <c r="G84" i="2"/>
  <c r="H84" i="2" s="1"/>
  <c r="E84" i="2" a="1"/>
  <c r="E84" i="2" s="1"/>
  <c r="D84" i="2"/>
  <c r="B84" i="2"/>
  <c r="Y83" i="2"/>
  <c r="W83" i="2"/>
  <c r="U83" i="2"/>
  <c r="S83" i="2"/>
  <c r="Q83" i="2"/>
  <c r="O83" i="2"/>
  <c r="N83" i="2"/>
  <c r="L83" i="2"/>
  <c r="J83" i="2"/>
  <c r="H83" i="2"/>
  <c r="G83" i="2"/>
  <c r="E83" i="2" a="1"/>
  <c r="E83" i="2"/>
  <c r="D83" i="2"/>
  <c r="B83" i="2"/>
  <c r="Y82" i="2"/>
  <c r="W82" i="2"/>
  <c r="U82" i="2"/>
  <c r="S82" i="2"/>
  <c r="Q82" i="2"/>
  <c r="O82" i="2"/>
  <c r="N82" i="2"/>
  <c r="L82" i="2"/>
  <c r="J82" i="2"/>
  <c r="H82" i="2"/>
  <c r="G82" i="2"/>
  <c r="D82" i="2"/>
  <c r="E82" i="2" s="1" a="1"/>
  <c r="E82" i="2" s="1"/>
  <c r="B82" i="2"/>
  <c r="Y81" i="2"/>
  <c r="W81" i="2"/>
  <c r="U81" i="2"/>
  <c r="S81" i="2"/>
  <c r="Q81" i="2"/>
  <c r="N81" i="2"/>
  <c r="O81" i="2" s="1"/>
  <c r="L81" i="2"/>
  <c r="J81" i="2"/>
  <c r="G81" i="2"/>
  <c r="H81" i="2" s="1"/>
  <c r="D81" i="2"/>
  <c r="E81" i="2" s="1" a="1"/>
  <c r="E81" i="2" s="1"/>
  <c r="B81" i="2"/>
  <c r="Y80" i="2"/>
  <c r="W80" i="2"/>
  <c r="U80" i="2"/>
  <c r="S80" i="2"/>
  <c r="Q80" i="2"/>
  <c r="N80" i="2"/>
  <c r="O80" i="2" s="1"/>
  <c r="L80" i="2"/>
  <c r="J80" i="2"/>
  <c r="G80" i="2"/>
  <c r="H80" i="2" s="1"/>
  <c r="E80" i="2" a="1"/>
  <c r="E80" i="2" s="1"/>
  <c r="D80" i="2"/>
  <c r="B80" i="2"/>
  <c r="Y79" i="2"/>
  <c r="W79" i="2"/>
  <c r="U79" i="2"/>
  <c r="S79" i="2"/>
  <c r="Q79" i="2"/>
  <c r="O79" i="2"/>
  <c r="N79" i="2"/>
  <c r="L79" i="2"/>
  <c r="J79" i="2"/>
  <c r="H79" i="2"/>
  <c r="G79" i="2"/>
  <c r="E79" i="2" a="1"/>
  <c r="E79" i="2"/>
  <c r="D79" i="2"/>
  <c r="B79" i="2"/>
  <c r="Y78" i="2"/>
  <c r="W78" i="2"/>
  <c r="U78" i="2"/>
  <c r="S78" i="2"/>
  <c r="Q78" i="2"/>
  <c r="O78" i="2"/>
  <c r="N78" i="2"/>
  <c r="L78" i="2"/>
  <c r="J78" i="2"/>
  <c r="H78" i="2"/>
  <c r="G78" i="2"/>
  <c r="D78" i="2"/>
  <c r="E78" i="2" s="1" a="1"/>
  <c r="E78" i="2" s="1"/>
  <c r="B78" i="2"/>
  <c r="Y77" i="2"/>
  <c r="W77" i="2"/>
  <c r="U77" i="2"/>
  <c r="S77" i="2"/>
  <c r="Q77" i="2"/>
  <c r="N77" i="2"/>
  <c r="O77" i="2" s="1"/>
  <c r="L77" i="2"/>
  <c r="J77" i="2"/>
  <c r="G77" i="2"/>
  <c r="H77" i="2" s="1"/>
  <c r="D77" i="2"/>
  <c r="E77" i="2" s="1" a="1"/>
  <c r="E77" i="2" s="1"/>
  <c r="B77" i="2"/>
  <c r="Y76" i="2"/>
  <c r="W76" i="2"/>
  <c r="U76" i="2"/>
  <c r="S76" i="2"/>
  <c r="Q76" i="2"/>
  <c r="N76" i="2"/>
  <c r="O76" i="2" s="1"/>
  <c r="L76" i="2"/>
  <c r="J76" i="2"/>
  <c r="G76" i="2"/>
  <c r="H76" i="2" s="1"/>
  <c r="E76" i="2" a="1"/>
  <c r="E76" i="2" s="1"/>
  <c r="D76" i="2"/>
  <c r="B76" i="2"/>
  <c r="Y75" i="2"/>
  <c r="W75" i="2"/>
  <c r="U75" i="2"/>
  <c r="S75" i="2"/>
  <c r="Q75" i="2"/>
  <c r="O75" i="2"/>
  <c r="N75" i="2"/>
  <c r="L75" i="2"/>
  <c r="J75" i="2"/>
  <c r="H75" i="2"/>
  <c r="G75" i="2"/>
  <c r="E75" i="2" a="1"/>
  <c r="E75" i="2"/>
  <c r="D75" i="2"/>
  <c r="B75" i="2"/>
  <c r="Y74" i="2"/>
  <c r="W74" i="2"/>
  <c r="U74" i="2"/>
  <c r="S74" i="2"/>
  <c r="Q74" i="2"/>
  <c r="O74" i="2"/>
  <c r="N74" i="2"/>
  <c r="L74" i="2"/>
  <c r="J74" i="2"/>
  <c r="H74" i="2"/>
  <c r="G74" i="2"/>
  <c r="D74" i="2"/>
  <c r="E74" i="2" s="1" a="1"/>
  <c r="E74" i="2" s="1"/>
  <c r="B74" i="2"/>
  <c r="Y73" i="2"/>
  <c r="W73" i="2"/>
  <c r="U73" i="2"/>
  <c r="S73" i="2"/>
  <c r="Q73" i="2"/>
  <c r="N73" i="2"/>
  <c r="O73" i="2" s="1"/>
  <c r="L73" i="2"/>
  <c r="J73" i="2"/>
  <c r="G73" i="2"/>
  <c r="H73" i="2" s="1"/>
  <c r="D73" i="2"/>
  <c r="E73" i="2" s="1" a="1"/>
  <c r="E73" i="2" s="1"/>
  <c r="B73" i="2"/>
  <c r="Y72" i="2"/>
  <c r="W72" i="2"/>
  <c r="U72" i="2"/>
  <c r="S72" i="2"/>
  <c r="Q72" i="2"/>
  <c r="N72" i="2"/>
  <c r="O72" i="2" s="1"/>
  <c r="L72" i="2"/>
  <c r="J72" i="2"/>
  <c r="G72" i="2"/>
  <c r="H72" i="2" s="1"/>
  <c r="E72" i="2" a="1"/>
  <c r="E72" i="2" s="1"/>
  <c r="D72" i="2"/>
  <c r="B72" i="2"/>
  <c r="Y71" i="2"/>
  <c r="W71" i="2"/>
  <c r="U71" i="2"/>
  <c r="S71" i="2"/>
  <c r="Q71" i="2"/>
  <c r="O71" i="2"/>
  <c r="N71" i="2"/>
  <c r="L71" i="2"/>
  <c r="J71" i="2"/>
  <c r="H71" i="2"/>
  <c r="G71" i="2"/>
  <c r="E71" i="2" a="1"/>
  <c r="E71" i="2"/>
  <c r="D71" i="2"/>
  <c r="B71" i="2"/>
  <c r="Y70" i="2"/>
  <c r="W70" i="2"/>
  <c r="U70" i="2"/>
  <c r="S70" i="2"/>
  <c r="Q70" i="2"/>
  <c r="O70" i="2"/>
  <c r="N70" i="2"/>
  <c r="L70" i="2"/>
  <c r="J70" i="2"/>
  <c r="H70" i="2"/>
  <c r="G70" i="2"/>
  <c r="D70" i="2"/>
  <c r="E70" i="2" s="1" a="1"/>
  <c r="E70" i="2" s="1"/>
  <c r="B70" i="2"/>
  <c r="Y69" i="2"/>
  <c r="W69" i="2"/>
  <c r="U69" i="2"/>
  <c r="S69" i="2"/>
  <c r="Q69" i="2"/>
  <c r="N69" i="2"/>
  <c r="O69" i="2" s="1"/>
  <c r="L69" i="2"/>
  <c r="J69" i="2"/>
  <c r="G69" i="2"/>
  <c r="H69" i="2" s="1"/>
  <c r="D69" i="2"/>
  <c r="E69" i="2" s="1" a="1"/>
  <c r="E69" i="2" s="1"/>
  <c r="B69" i="2"/>
  <c r="Y68" i="2"/>
  <c r="W68" i="2"/>
  <c r="U68" i="2"/>
  <c r="S68" i="2"/>
  <c r="Q68" i="2"/>
  <c r="N68" i="2"/>
  <c r="O68" i="2" s="1"/>
  <c r="L68" i="2"/>
  <c r="J68" i="2"/>
  <c r="G68" i="2"/>
  <c r="H68" i="2" s="1"/>
  <c r="E68" i="2" a="1"/>
  <c r="E68" i="2" s="1"/>
  <c r="D68" i="2"/>
  <c r="B68" i="2"/>
  <c r="Y67" i="2"/>
  <c r="W67" i="2"/>
  <c r="U67" i="2"/>
  <c r="S67" i="2"/>
  <c r="Q67" i="2"/>
  <c r="O67" i="2"/>
  <c r="N67" i="2"/>
  <c r="L67" i="2"/>
  <c r="J67" i="2"/>
  <c r="H67" i="2"/>
  <c r="G67" i="2"/>
  <c r="E67" i="2" a="1"/>
  <c r="E67" i="2"/>
  <c r="D67" i="2"/>
  <c r="B67" i="2"/>
  <c r="Y66" i="2"/>
  <c r="W66" i="2"/>
  <c r="U66" i="2"/>
  <c r="S66" i="2"/>
  <c r="Q66" i="2"/>
  <c r="O66" i="2"/>
  <c r="N66" i="2"/>
  <c r="L66" i="2"/>
  <c r="J66" i="2"/>
  <c r="H66" i="2"/>
  <c r="G66" i="2"/>
  <c r="D66" i="2"/>
  <c r="E66" i="2" s="1" a="1"/>
  <c r="E66" i="2" s="1"/>
  <c r="B66" i="2"/>
  <c r="Y65" i="2"/>
  <c r="W65" i="2"/>
  <c r="U65" i="2"/>
  <c r="S65" i="2"/>
  <c r="Q65" i="2"/>
  <c r="N65" i="2"/>
  <c r="O65" i="2" s="1"/>
  <c r="L65" i="2"/>
  <c r="J65" i="2"/>
  <c r="G65" i="2"/>
  <c r="H65" i="2" s="1"/>
  <c r="D65" i="2"/>
  <c r="E65" i="2" s="1" a="1"/>
  <c r="E65" i="2" s="1"/>
  <c r="B65" i="2"/>
  <c r="Y64" i="2"/>
  <c r="W64" i="2"/>
  <c r="U64" i="2"/>
  <c r="S64" i="2"/>
  <c r="Q64" i="2"/>
  <c r="N64" i="2"/>
  <c r="O64" i="2" s="1"/>
  <c r="L64" i="2"/>
  <c r="J64" i="2"/>
  <c r="G64" i="2"/>
  <c r="H64" i="2" s="1"/>
  <c r="E64" i="2" a="1"/>
  <c r="E64" i="2" s="1"/>
  <c r="D64" i="2"/>
  <c r="B64" i="2"/>
  <c r="Y63" i="2"/>
  <c r="W63" i="2"/>
  <c r="U63" i="2"/>
  <c r="S63" i="2"/>
  <c r="Q63" i="2"/>
  <c r="O63" i="2"/>
  <c r="N63" i="2"/>
  <c r="L63" i="2"/>
  <c r="J63" i="2"/>
  <c r="H63" i="2"/>
  <c r="G63" i="2"/>
  <c r="E63" i="2" a="1"/>
  <c r="E63" i="2"/>
  <c r="D63" i="2"/>
  <c r="B63" i="2"/>
  <c r="Y62" i="2"/>
  <c r="W62" i="2"/>
  <c r="U62" i="2"/>
  <c r="S62" i="2"/>
  <c r="Q62" i="2"/>
  <c r="O62" i="2"/>
  <c r="N62" i="2"/>
  <c r="L62" i="2"/>
  <c r="J62" i="2"/>
  <c r="H62" i="2"/>
  <c r="G62" i="2"/>
  <c r="D62" i="2"/>
  <c r="E62" i="2" s="1" a="1"/>
  <c r="E62" i="2" s="1"/>
  <c r="B62" i="2"/>
  <c r="Y61" i="2"/>
  <c r="W61" i="2"/>
  <c r="U61" i="2"/>
  <c r="S61" i="2"/>
  <c r="Q61" i="2"/>
  <c r="N61" i="2"/>
  <c r="O61" i="2" s="1"/>
  <c r="L61" i="2"/>
  <c r="J61" i="2"/>
  <c r="G61" i="2"/>
  <c r="H61" i="2" s="1"/>
  <c r="D61" i="2"/>
  <c r="E61" i="2" s="1" a="1"/>
  <c r="E61" i="2" s="1"/>
  <c r="B61" i="2"/>
  <c r="Y60" i="2"/>
  <c r="W60" i="2"/>
  <c r="U60" i="2"/>
  <c r="S60" i="2"/>
  <c r="Q60" i="2"/>
  <c r="N60" i="2"/>
  <c r="O60" i="2" s="1"/>
  <c r="L60" i="2"/>
  <c r="J60" i="2"/>
  <c r="G60" i="2"/>
  <c r="H60" i="2" s="1"/>
  <c r="E60" i="2" a="1"/>
  <c r="E60" i="2" s="1"/>
  <c r="D60" i="2"/>
  <c r="B60" i="2"/>
  <c r="Y59" i="2"/>
  <c r="W59" i="2"/>
  <c r="U59" i="2"/>
  <c r="S59" i="2"/>
  <c r="Q59" i="2"/>
  <c r="O59" i="2"/>
  <c r="N59" i="2"/>
  <c r="L59" i="2"/>
  <c r="J59" i="2"/>
  <c r="H59" i="2"/>
  <c r="G59" i="2"/>
  <c r="E59" i="2" a="1"/>
  <c r="E59" i="2"/>
  <c r="D59" i="2"/>
  <c r="B59" i="2"/>
  <c r="Y58" i="2"/>
  <c r="W58" i="2"/>
  <c r="U58" i="2"/>
  <c r="S58" i="2"/>
  <c r="Q58" i="2"/>
  <c r="O58" i="2"/>
  <c r="N58" i="2"/>
  <c r="L58" i="2"/>
  <c r="J58" i="2"/>
  <c r="H58" i="2"/>
  <c r="G58" i="2"/>
  <c r="D58" i="2"/>
  <c r="E58" i="2" s="1" a="1"/>
  <c r="E58" i="2" s="1"/>
  <c r="B58" i="2"/>
  <c r="Y57" i="2"/>
  <c r="W57" i="2"/>
  <c r="U57" i="2"/>
  <c r="S57" i="2"/>
  <c r="Q57" i="2"/>
  <c r="N57" i="2"/>
  <c r="O57" i="2" s="1"/>
  <c r="L57" i="2"/>
  <c r="J57" i="2"/>
  <c r="G57" i="2"/>
  <c r="H57" i="2" s="1"/>
  <c r="D57" i="2"/>
  <c r="E57" i="2" s="1" a="1"/>
  <c r="E57" i="2" s="1"/>
  <c r="B57" i="2"/>
  <c r="Y56" i="2"/>
  <c r="W56" i="2"/>
  <c r="U56" i="2"/>
  <c r="S56" i="2"/>
  <c r="Q56" i="2"/>
  <c r="N56" i="2"/>
  <c r="O56" i="2" s="1"/>
  <c r="L56" i="2"/>
  <c r="J56" i="2"/>
  <c r="G56" i="2"/>
  <c r="H56" i="2" s="1"/>
  <c r="E56" i="2" a="1"/>
  <c r="E56" i="2" s="1"/>
  <c r="D56" i="2"/>
  <c r="B56" i="2"/>
  <c r="Y55" i="2"/>
  <c r="W55" i="2"/>
  <c r="U55" i="2"/>
  <c r="S55" i="2"/>
  <c r="Q55" i="2"/>
  <c r="O55" i="2"/>
  <c r="N55" i="2"/>
  <c r="L55" i="2"/>
  <c r="J55" i="2"/>
  <c r="H55" i="2"/>
  <c r="G55" i="2"/>
  <c r="E55" i="2" a="1"/>
  <c r="E55" i="2"/>
  <c r="D55" i="2"/>
  <c r="B55" i="2"/>
  <c r="Y54" i="2"/>
  <c r="W54" i="2"/>
  <c r="U54" i="2"/>
  <c r="S54" i="2"/>
  <c r="Q54" i="2"/>
  <c r="O54" i="2"/>
  <c r="N54" i="2"/>
  <c r="L54" i="2"/>
  <c r="J54" i="2"/>
  <c r="H54" i="2"/>
  <c r="G54" i="2"/>
  <c r="D54" i="2"/>
  <c r="E54" i="2" s="1" a="1"/>
  <c r="E54" i="2" s="1"/>
  <c r="B54" i="2"/>
  <c r="Y53" i="2"/>
  <c r="W53" i="2"/>
  <c r="U53" i="2"/>
  <c r="S53" i="2"/>
  <c r="Q53" i="2"/>
  <c r="N53" i="2"/>
  <c r="O53" i="2" s="1"/>
  <c r="L53" i="2"/>
  <c r="J53" i="2"/>
  <c r="G53" i="2"/>
  <c r="H53" i="2" s="1"/>
  <c r="D53" i="2"/>
  <c r="E53" i="2" s="1" a="1"/>
  <c r="E53" i="2" s="1"/>
  <c r="B53" i="2"/>
  <c r="Y52" i="2"/>
  <c r="W52" i="2"/>
  <c r="U52" i="2"/>
  <c r="S52" i="2"/>
  <c r="Q52" i="2"/>
  <c r="N52" i="2"/>
  <c r="O52" i="2" s="1"/>
  <c r="L52" i="2"/>
  <c r="J52" i="2"/>
  <c r="G52" i="2"/>
  <c r="H52" i="2" s="1"/>
  <c r="E52" i="2" a="1"/>
  <c r="E52" i="2" s="1"/>
  <c r="D52" i="2"/>
  <c r="B52" i="2"/>
  <c r="Y51" i="2"/>
  <c r="W51" i="2"/>
  <c r="U51" i="2"/>
  <c r="S51" i="2"/>
  <c r="Q51" i="2"/>
  <c r="O51" i="2"/>
  <c r="N51" i="2"/>
  <c r="L51" i="2"/>
  <c r="J51" i="2"/>
  <c r="H51" i="2"/>
  <c r="G51" i="2"/>
  <c r="E51" i="2" a="1"/>
  <c r="E51" i="2"/>
  <c r="D51" i="2"/>
  <c r="B51" i="2"/>
  <c r="Y50" i="2"/>
  <c r="W50" i="2"/>
  <c r="U50" i="2"/>
  <c r="S50" i="2"/>
  <c r="Q50" i="2"/>
  <c r="O50" i="2"/>
  <c r="N50" i="2"/>
  <c r="L50" i="2"/>
  <c r="J50" i="2"/>
  <c r="H50" i="2"/>
  <c r="G50" i="2"/>
  <c r="D50" i="2"/>
  <c r="E50" i="2" s="1" a="1"/>
  <c r="E50" i="2" s="1"/>
  <c r="B50" i="2"/>
  <c r="Y49" i="2"/>
  <c r="W49" i="2"/>
  <c r="U49" i="2"/>
  <c r="S49" i="2"/>
  <c r="Q49" i="2"/>
  <c r="N49" i="2"/>
  <c r="O49" i="2" s="1"/>
  <c r="L49" i="2"/>
  <c r="J49" i="2"/>
  <c r="G49" i="2"/>
  <c r="H49" i="2" s="1"/>
  <c r="D49" i="2"/>
  <c r="E49" i="2" s="1" a="1"/>
  <c r="E49" i="2" s="1"/>
  <c r="B49" i="2"/>
  <c r="Y48" i="2"/>
  <c r="W48" i="2"/>
  <c r="U48" i="2"/>
  <c r="S48" i="2"/>
  <c r="Q48" i="2"/>
  <c r="N48" i="2"/>
  <c r="O48" i="2" s="1"/>
  <c r="L48" i="2"/>
  <c r="J48" i="2"/>
  <c r="G48" i="2"/>
  <c r="H48" i="2" s="1"/>
  <c r="E48" i="2" a="1"/>
  <c r="E48" i="2" s="1"/>
  <c r="D48" i="2"/>
  <c r="B48" i="2"/>
  <c r="Y47" i="2"/>
  <c r="W47" i="2"/>
  <c r="U47" i="2"/>
  <c r="S47" i="2"/>
  <c r="Q47" i="2"/>
  <c r="O47" i="2"/>
  <c r="N47" i="2"/>
  <c r="L47" i="2"/>
  <c r="J47" i="2"/>
  <c r="H47" i="2"/>
  <c r="G47" i="2"/>
  <c r="E47" i="2" a="1"/>
  <c r="E47" i="2"/>
  <c r="D47" i="2"/>
  <c r="B47" i="2"/>
  <c r="Y46" i="2"/>
  <c r="W46" i="2"/>
  <c r="U46" i="2"/>
  <c r="S46" i="2"/>
  <c r="Q46" i="2"/>
  <c r="O46" i="2"/>
  <c r="N46" i="2"/>
  <c r="L46" i="2"/>
  <c r="J46" i="2"/>
  <c r="H46" i="2"/>
  <c r="G46" i="2"/>
  <c r="D46" i="2"/>
  <c r="E46" i="2" s="1" a="1"/>
  <c r="E46" i="2" s="1"/>
  <c r="B46" i="2"/>
  <c r="Y45" i="2"/>
  <c r="W45" i="2"/>
  <c r="U45" i="2"/>
  <c r="S45" i="2"/>
  <c r="Q45" i="2"/>
  <c r="N45" i="2"/>
  <c r="O45" i="2" s="1"/>
  <c r="L45" i="2"/>
  <c r="J45" i="2"/>
  <c r="G45" i="2"/>
  <c r="H45" i="2" s="1"/>
  <c r="D45" i="2"/>
  <c r="E45" i="2" s="1" a="1"/>
  <c r="E45" i="2" s="1"/>
  <c r="B45" i="2"/>
  <c r="Y44" i="2"/>
  <c r="W44" i="2"/>
  <c r="U44" i="2"/>
  <c r="S44" i="2"/>
  <c r="Q44" i="2"/>
  <c r="N44" i="2"/>
  <c r="O44" i="2" s="1"/>
  <c r="L44" i="2"/>
  <c r="J44" i="2"/>
  <c r="G44" i="2"/>
  <c r="H44" i="2" s="1"/>
  <c r="E44" i="2" a="1"/>
  <c r="E44" i="2" s="1"/>
  <c r="D44" i="2"/>
  <c r="B44" i="2"/>
  <c r="Y43" i="2"/>
  <c r="W43" i="2"/>
  <c r="U43" i="2"/>
  <c r="S43" i="2"/>
  <c r="Q43" i="2"/>
  <c r="O43" i="2"/>
  <c r="N43" i="2"/>
  <c r="L43" i="2"/>
  <c r="J43" i="2"/>
  <c r="H43" i="2"/>
  <c r="G43" i="2"/>
  <c r="E43" i="2" a="1"/>
  <c r="E43" i="2"/>
  <c r="D43" i="2"/>
  <c r="B43" i="2"/>
  <c r="Y42" i="2"/>
  <c r="W42" i="2"/>
  <c r="U42" i="2"/>
  <c r="S42" i="2"/>
  <c r="Q42" i="2"/>
  <c r="O42" i="2"/>
  <c r="N42" i="2"/>
  <c r="L42" i="2"/>
  <c r="J42" i="2"/>
  <c r="H42" i="2"/>
  <c r="G42" i="2"/>
  <c r="D42" i="2"/>
  <c r="E42" i="2" s="1" a="1"/>
  <c r="E42" i="2" s="1"/>
  <c r="B42" i="2"/>
  <c r="Y41" i="2"/>
  <c r="W41" i="2"/>
  <c r="U41" i="2"/>
  <c r="S41" i="2"/>
  <c r="Q41" i="2"/>
  <c r="N41" i="2"/>
  <c r="O41" i="2" s="1"/>
  <c r="L41" i="2"/>
  <c r="J41" i="2"/>
  <c r="G41" i="2"/>
  <c r="H41" i="2" s="1"/>
  <c r="D41" i="2"/>
  <c r="E41" i="2" s="1" a="1"/>
  <c r="E41" i="2" s="1"/>
  <c r="B41" i="2"/>
  <c r="Y40" i="2"/>
  <c r="W40" i="2"/>
  <c r="U40" i="2"/>
  <c r="S40" i="2"/>
  <c r="Q40" i="2"/>
  <c r="N40" i="2"/>
  <c r="O40" i="2" s="1"/>
  <c r="L40" i="2"/>
  <c r="J40" i="2"/>
  <c r="G40" i="2"/>
  <c r="H40" i="2" s="1"/>
  <c r="E40" i="2" a="1"/>
  <c r="E40" i="2" s="1"/>
  <c r="D40" i="2"/>
  <c r="B40" i="2"/>
  <c r="Y39" i="2"/>
  <c r="W39" i="2"/>
  <c r="U39" i="2"/>
  <c r="S39" i="2"/>
  <c r="Q39" i="2"/>
  <c r="O39" i="2"/>
  <c r="N39" i="2"/>
  <c r="L39" i="2"/>
  <c r="J39" i="2"/>
  <c r="H39" i="2"/>
  <c r="G39" i="2"/>
  <c r="E39" i="2" a="1"/>
  <c r="E39" i="2"/>
  <c r="D39" i="2"/>
  <c r="B39" i="2"/>
  <c r="Y38" i="2"/>
  <c r="W38" i="2"/>
  <c r="U38" i="2"/>
  <c r="S38" i="2"/>
  <c r="Q38" i="2"/>
  <c r="O38" i="2"/>
  <c r="N38" i="2"/>
  <c r="L38" i="2"/>
  <c r="J38" i="2"/>
  <c r="H38" i="2"/>
  <c r="G38" i="2"/>
  <c r="D38" i="2"/>
  <c r="E38" i="2" s="1" a="1"/>
  <c r="E38" i="2" s="1"/>
  <c r="B38" i="2"/>
  <c r="Y37" i="2"/>
  <c r="W37" i="2"/>
  <c r="U37" i="2"/>
  <c r="S37" i="2"/>
  <c r="Q37" i="2"/>
  <c r="N37" i="2"/>
  <c r="O37" i="2" s="1"/>
  <c r="L37" i="2"/>
  <c r="J37" i="2"/>
  <c r="G37" i="2"/>
  <c r="H37" i="2" s="1"/>
  <c r="D37" i="2"/>
  <c r="E37" i="2" s="1" a="1"/>
  <c r="E37" i="2" s="1"/>
  <c r="B37" i="2"/>
  <c r="Y36" i="2"/>
  <c r="W36" i="2"/>
  <c r="U36" i="2"/>
  <c r="S36" i="2"/>
  <c r="Q36" i="2"/>
  <c r="N36" i="2"/>
  <c r="O36" i="2" s="1"/>
  <c r="L36" i="2"/>
  <c r="J36" i="2"/>
  <c r="G36" i="2"/>
  <c r="H36" i="2" s="1"/>
  <c r="E36" i="2" a="1"/>
  <c r="E36" i="2" s="1"/>
  <c r="D36" i="2"/>
  <c r="B36" i="2"/>
  <c r="Y35" i="2"/>
  <c r="W35" i="2"/>
  <c r="U35" i="2"/>
  <c r="S35" i="2"/>
  <c r="Q35" i="2"/>
  <c r="O35" i="2"/>
  <c r="N35" i="2"/>
  <c r="L35" i="2"/>
  <c r="J35" i="2"/>
  <c r="H35" i="2"/>
  <c r="G35" i="2"/>
  <c r="E35" i="2" a="1"/>
  <c r="E35" i="2"/>
  <c r="D35" i="2"/>
  <c r="B35" i="2"/>
  <c r="Y34" i="2"/>
  <c r="W34" i="2"/>
  <c r="U34" i="2"/>
  <c r="S34" i="2"/>
  <c r="Q34" i="2"/>
  <c r="O34" i="2"/>
  <c r="N34" i="2"/>
  <c r="L34" i="2"/>
  <c r="J34" i="2"/>
  <c r="H34" i="2"/>
  <c r="G34" i="2"/>
  <c r="D34" i="2"/>
  <c r="E34" i="2" s="1" a="1"/>
  <c r="E34" i="2" s="1"/>
  <c r="B34" i="2"/>
  <c r="Y33" i="2"/>
  <c r="W33" i="2"/>
  <c r="U33" i="2"/>
  <c r="S33" i="2"/>
  <c r="Q33" i="2"/>
  <c r="N33" i="2"/>
  <c r="O33" i="2" s="1"/>
  <c r="L33" i="2"/>
  <c r="J33" i="2"/>
  <c r="G33" i="2"/>
  <c r="H33" i="2" s="1"/>
  <c r="D33" i="2"/>
  <c r="E33" i="2" s="1" a="1"/>
  <c r="E33" i="2" s="1"/>
  <c r="B33" i="2"/>
  <c r="Y32" i="2"/>
  <c r="W32" i="2"/>
  <c r="U32" i="2"/>
  <c r="S32" i="2"/>
  <c r="Q32" i="2"/>
  <c r="N32" i="2"/>
  <c r="O32" i="2" s="1"/>
  <c r="L32" i="2"/>
  <c r="J32" i="2"/>
  <c r="G32" i="2"/>
  <c r="H32" i="2" s="1"/>
  <c r="E32" i="2" a="1"/>
  <c r="E32" i="2" s="1"/>
  <c r="D32" i="2"/>
  <c r="B32" i="2"/>
  <c r="Y31" i="2"/>
  <c r="W31" i="2"/>
  <c r="U31" i="2"/>
  <c r="S31" i="2"/>
  <c r="Q31" i="2"/>
  <c r="O31" i="2"/>
  <c r="N31" i="2"/>
  <c r="L31" i="2"/>
  <c r="J31" i="2"/>
  <c r="H31" i="2"/>
  <c r="G31" i="2"/>
  <c r="E31" i="2" a="1"/>
  <c r="E31" i="2"/>
  <c r="D31" i="2"/>
  <c r="B31" i="2"/>
  <c r="Y30" i="2"/>
  <c r="W30" i="2"/>
  <c r="U30" i="2"/>
  <c r="S30" i="2"/>
  <c r="Q30" i="2"/>
  <c r="O30" i="2"/>
  <c r="N30" i="2"/>
  <c r="L30" i="2"/>
  <c r="J30" i="2"/>
  <c r="H30" i="2"/>
  <c r="G30" i="2"/>
  <c r="D30" i="2"/>
  <c r="E30" i="2" s="1" a="1"/>
  <c r="E30" i="2" s="1"/>
  <c r="B30" i="2"/>
  <c r="Y29" i="2"/>
  <c r="W29" i="2"/>
  <c r="U29" i="2"/>
  <c r="S29" i="2"/>
  <c r="Q29" i="2"/>
  <c r="N29" i="2"/>
  <c r="O29" i="2" s="1"/>
  <c r="L29" i="2"/>
  <c r="J29" i="2"/>
  <c r="G29" i="2"/>
  <c r="H29" i="2" s="1"/>
  <c r="D29" i="2"/>
  <c r="E29" i="2" s="1" a="1"/>
  <c r="E29" i="2" s="1"/>
  <c r="B29" i="2"/>
  <c r="Y28" i="2"/>
  <c r="W28" i="2"/>
  <c r="U28" i="2"/>
  <c r="S28" i="2"/>
  <c r="Q28" i="2"/>
  <c r="N28" i="2"/>
  <c r="O28" i="2" s="1"/>
  <c r="L28" i="2"/>
  <c r="J28" i="2"/>
  <c r="G28" i="2"/>
  <c r="H28" i="2" s="1"/>
  <c r="E28" i="2" a="1"/>
  <c r="E28" i="2" s="1"/>
  <c r="D28" i="2"/>
  <c r="B28" i="2"/>
  <c r="Y27" i="2"/>
  <c r="W27" i="2"/>
  <c r="U27" i="2"/>
  <c r="S27" i="2"/>
  <c r="Q27" i="2"/>
  <c r="O27" i="2"/>
  <c r="N27" i="2"/>
  <c r="L27" i="2"/>
  <c r="J27" i="2"/>
  <c r="H27" i="2"/>
  <c r="G27" i="2"/>
  <c r="E27" i="2" a="1"/>
  <c r="E27" i="2"/>
  <c r="D27" i="2"/>
  <c r="B27" i="2"/>
  <c r="Y26" i="2"/>
  <c r="W26" i="2"/>
  <c r="U26" i="2"/>
  <c r="S26" i="2"/>
  <c r="Q26" i="2"/>
  <c r="O26" i="2"/>
  <c r="N26" i="2"/>
  <c r="L26" i="2"/>
  <c r="J26" i="2"/>
  <c r="H26" i="2"/>
  <c r="G26" i="2"/>
  <c r="D26" i="2"/>
  <c r="E26" i="2" s="1" a="1"/>
  <c r="E26" i="2" s="1"/>
  <c r="B26" i="2"/>
  <c r="Y25" i="2"/>
  <c r="W25" i="2"/>
  <c r="U25" i="2"/>
  <c r="S25" i="2"/>
  <c r="Q25" i="2"/>
  <c r="N25" i="2"/>
  <c r="O25" i="2" s="1"/>
  <c r="L25" i="2"/>
  <c r="J25" i="2"/>
  <c r="G25" i="2"/>
  <c r="H25" i="2" s="1"/>
  <c r="D25" i="2"/>
  <c r="E25" i="2" s="1" a="1"/>
  <c r="E25" i="2" s="1"/>
  <c r="B25" i="2"/>
  <c r="AI24" i="2"/>
  <c r="AH24" i="2"/>
  <c r="AG24" i="2"/>
  <c r="AF24" i="2"/>
  <c r="AE24" i="2"/>
  <c r="Y24" i="2"/>
  <c r="W24" i="2"/>
  <c r="U24" i="2"/>
  <c r="S24" i="2"/>
  <c r="Q24" i="2"/>
  <c r="N24" i="2"/>
  <c r="O24" i="2" s="1"/>
  <c r="L24" i="2"/>
  <c r="J24" i="2"/>
  <c r="G24" i="2"/>
  <c r="H24" i="2" s="1"/>
  <c r="D24" i="2"/>
  <c r="E24" i="2" s="1" a="1"/>
  <c r="E24" i="2" s="1"/>
  <c r="B24" i="2"/>
  <c r="Y23" i="2"/>
  <c r="W23" i="2"/>
  <c r="U23" i="2"/>
  <c r="S23" i="2"/>
  <c r="Q23" i="2"/>
  <c r="N23" i="2"/>
  <c r="O23" i="2" s="1"/>
  <c r="L23" i="2"/>
  <c r="J23" i="2"/>
  <c r="G23" i="2"/>
  <c r="H23" i="2" s="1"/>
  <c r="E23" i="2" a="1"/>
  <c r="E23" i="2" s="1"/>
  <c r="D23" i="2"/>
  <c r="B23" i="2"/>
  <c r="Y22" i="2"/>
  <c r="W22" i="2"/>
  <c r="U22" i="2"/>
  <c r="S22" i="2"/>
  <c r="Q22" i="2"/>
  <c r="O22" i="2"/>
  <c r="N22" i="2"/>
  <c r="L22" i="2"/>
  <c r="J22" i="2"/>
  <c r="H22" i="2"/>
  <c r="G22" i="2"/>
  <c r="E22" i="2" a="1"/>
  <c r="E22" i="2"/>
  <c r="D22" i="2"/>
  <c r="B22" i="2"/>
  <c r="AI21" i="2"/>
  <c r="AH21" i="2"/>
  <c r="AG21" i="2"/>
  <c r="AF21" i="2"/>
  <c r="AE21" i="2"/>
  <c r="Y21" i="2"/>
  <c r="W21" i="2"/>
  <c r="U21" i="2"/>
  <c r="S21" i="2"/>
  <c r="Q21" i="2"/>
  <c r="O21" i="2"/>
  <c r="N21" i="2"/>
  <c r="L21" i="2"/>
  <c r="J21" i="2"/>
  <c r="H21" i="2"/>
  <c r="G21" i="2"/>
  <c r="E21" i="2" a="1"/>
  <c r="E21" i="2"/>
  <c r="D21" i="2"/>
  <c r="B21" i="2"/>
  <c r="Y20" i="2"/>
  <c r="W20" i="2"/>
  <c r="U20" i="2"/>
  <c r="S20" i="2"/>
  <c r="Q20" i="2"/>
  <c r="O20" i="2"/>
  <c r="N20" i="2"/>
  <c r="L20" i="2"/>
  <c r="J20" i="2"/>
  <c r="H20" i="2"/>
  <c r="G20" i="2"/>
  <c r="D20" i="2"/>
  <c r="E20" i="2" s="1" a="1"/>
  <c r="E20" i="2" s="1"/>
  <c r="B20" i="2"/>
  <c r="Y19" i="2"/>
  <c r="W19" i="2"/>
  <c r="U19" i="2"/>
  <c r="S19" i="2"/>
  <c r="Q19" i="2"/>
  <c r="N19" i="2"/>
  <c r="O19" i="2" s="1"/>
  <c r="L19" i="2"/>
  <c r="J19" i="2"/>
  <c r="G19" i="2"/>
  <c r="H19" i="2" s="1"/>
  <c r="D19" i="2"/>
  <c r="E19" i="2" s="1" a="1"/>
  <c r="E19" i="2" s="1"/>
  <c r="B19" i="2"/>
  <c r="AI18" i="2"/>
  <c r="AH18" i="2"/>
  <c r="AG18" i="2"/>
  <c r="AF18" i="2"/>
  <c r="AE18" i="2"/>
  <c r="Y18" i="2"/>
  <c r="W18" i="2"/>
  <c r="U18" i="2"/>
  <c r="S18" i="2"/>
  <c r="Q18" i="2"/>
  <c r="N18" i="2"/>
  <c r="O18" i="2" s="1"/>
  <c r="L18" i="2"/>
  <c r="J18" i="2"/>
  <c r="G18" i="2"/>
  <c r="H18" i="2" s="1"/>
  <c r="D18" i="2"/>
  <c r="E18" i="2" s="1" a="1"/>
  <c r="E18" i="2" s="1"/>
  <c r="B18" i="2"/>
  <c r="Y17" i="2"/>
  <c r="W17" i="2"/>
  <c r="U17" i="2"/>
  <c r="S17" i="2"/>
  <c r="Q17" i="2"/>
  <c r="N17" i="2"/>
  <c r="O17" i="2" s="1"/>
  <c r="L17" i="2"/>
  <c r="J17" i="2"/>
  <c r="G17" i="2"/>
  <c r="H17" i="2" s="1"/>
  <c r="E17" i="2" a="1"/>
  <c r="E17" i="2" s="1"/>
  <c r="D17" i="2"/>
  <c r="B17" i="2"/>
  <c r="Y16" i="2"/>
  <c r="W16" i="2"/>
  <c r="U16" i="2"/>
  <c r="S16" i="2"/>
  <c r="Q16" i="2"/>
  <c r="O16" i="2"/>
  <c r="N16" i="2"/>
  <c r="L16" i="2"/>
  <c r="J16" i="2"/>
  <c r="H16" i="2"/>
  <c r="G16" i="2"/>
  <c r="E16" i="2" a="1"/>
  <c r="E16" i="2"/>
  <c r="D16" i="2"/>
  <c r="B16" i="2"/>
  <c r="AI15" i="2"/>
  <c r="AH15" i="2"/>
  <c r="AG15" i="2"/>
  <c r="AF15" i="2"/>
  <c r="AE15" i="2"/>
  <c r="Y15" i="2"/>
  <c r="W15" i="2"/>
  <c r="U15" i="2"/>
  <c r="S15" i="2"/>
  <c r="Q15" i="2"/>
  <c r="O15" i="2"/>
  <c r="N15" i="2"/>
  <c r="L15" i="2"/>
  <c r="J15" i="2"/>
  <c r="H15" i="2"/>
  <c r="G15" i="2"/>
  <c r="E15" i="2" a="1"/>
  <c r="E15" i="2"/>
  <c r="D15" i="2"/>
  <c r="B15" i="2"/>
  <c r="Y14" i="2"/>
  <c r="W14" i="2"/>
  <c r="U14" i="2"/>
  <c r="S14" i="2"/>
  <c r="Q14" i="2"/>
  <c r="O14" i="2"/>
  <c r="N14" i="2"/>
  <c r="L14" i="2"/>
  <c r="J14" i="2"/>
  <c r="H14" i="2"/>
  <c r="G14" i="2"/>
  <c r="D14" i="2"/>
  <c r="E14" i="2" s="1" a="1"/>
  <c r="E14" i="2" s="1"/>
  <c r="B14" i="2"/>
  <c r="Y13" i="2"/>
  <c r="W13" i="2"/>
  <c r="U13" i="2"/>
  <c r="S13" i="2"/>
  <c r="Q13" i="2"/>
  <c r="N13" i="2"/>
  <c r="O13" i="2" s="1"/>
  <c r="L13" i="2"/>
  <c r="J13" i="2"/>
  <c r="G13" i="2"/>
  <c r="H13" i="2" s="1"/>
  <c r="D13" i="2"/>
  <c r="E13" i="2" s="1" a="1"/>
  <c r="E13" i="2" s="1"/>
  <c r="B13" i="2"/>
  <c r="AI12" i="2"/>
  <c r="AH12" i="2"/>
  <c r="AG12" i="2"/>
  <c r="AF12" i="2"/>
  <c r="AE12" i="2"/>
  <c r="Y12" i="2"/>
  <c r="W12" i="2"/>
  <c r="U12" i="2"/>
  <c r="S12" i="2"/>
  <c r="Q12" i="2"/>
  <c r="N12" i="2"/>
  <c r="O12" i="2" s="1"/>
  <c r="L12" i="2"/>
  <c r="J12" i="2"/>
  <c r="G12" i="2"/>
  <c r="H12" i="2" s="1"/>
  <c r="D12" i="2"/>
  <c r="E12" i="2" s="1" a="1"/>
  <c r="E12" i="2" s="1"/>
  <c r="B12" i="2"/>
  <c r="Y11" i="2"/>
  <c r="W11" i="2"/>
  <c r="U11" i="2"/>
  <c r="S11" i="2"/>
  <c r="Q11" i="2"/>
  <c r="N11" i="2"/>
  <c r="O11" i="2" s="1"/>
  <c r="L11" i="2"/>
  <c r="J11" i="2"/>
  <c r="G11" i="2"/>
  <c r="H11" i="2" s="1"/>
  <c r="E11" i="2" a="1"/>
  <c r="E11" i="2" s="1"/>
  <c r="D11" i="2"/>
  <c r="B11" i="2"/>
  <c r="Y10" i="2"/>
  <c r="W10" i="2"/>
  <c r="U10" i="2"/>
  <c r="S10" i="2"/>
  <c r="Q10" i="2"/>
  <c r="O10" i="2"/>
  <c r="N10" i="2"/>
  <c r="L10" i="2"/>
  <c r="J10" i="2"/>
  <c r="H10" i="2"/>
  <c r="G10" i="2"/>
  <c r="E10" i="2" a="1"/>
  <c r="E10" i="2"/>
  <c r="D10" i="2"/>
  <c r="B10" i="2"/>
  <c r="Y9" i="2"/>
  <c r="W9" i="2"/>
  <c r="U9" i="2"/>
  <c r="S9" i="2"/>
  <c r="Q9" i="2"/>
  <c r="O9" i="2"/>
  <c r="N9" i="2"/>
  <c r="L9" i="2"/>
  <c r="J9" i="2"/>
  <c r="H9" i="2"/>
  <c r="G9" i="2"/>
  <c r="E9" i="2"/>
  <c r="D9" i="2"/>
  <c r="E9" i="2" s="1" a="1"/>
  <c r="B9" i="2"/>
  <c r="AI8" i="2"/>
  <c r="AH8" i="2"/>
  <c r="AG8" i="2"/>
  <c r="AF8" i="2"/>
  <c r="AE8" i="2"/>
  <c r="Y8" i="2"/>
  <c r="W8" i="2"/>
  <c r="U8" i="2"/>
  <c r="S8" i="2"/>
  <c r="Q8" i="2"/>
  <c r="O8" i="2"/>
  <c r="N8" i="2"/>
  <c r="L8" i="2"/>
  <c r="J8" i="2"/>
  <c r="H8" i="2"/>
  <c r="G8" i="2"/>
  <c r="D8" i="2"/>
  <c r="E8" i="2" s="1" a="1"/>
  <c r="E8" i="2" s="1"/>
  <c r="B8" i="2"/>
  <c r="Y7" i="2"/>
  <c r="W7" i="2"/>
  <c r="U7" i="2"/>
  <c r="S7" i="2"/>
  <c r="Q7" i="2"/>
  <c r="N7" i="2"/>
  <c r="O7" i="2" s="1"/>
  <c r="L7" i="2"/>
  <c r="J7" i="2"/>
  <c r="G7" i="2"/>
  <c r="H7" i="2" s="1"/>
  <c r="D7" i="2"/>
  <c r="E7" i="2" s="1" a="1"/>
  <c r="E7" i="2" s="1"/>
  <c r="B7" i="2"/>
  <c r="Y6" i="2"/>
  <c r="W6" i="2"/>
  <c r="U6" i="2"/>
  <c r="S6" i="2"/>
  <c r="Q6" i="2"/>
  <c r="N6" i="2"/>
  <c r="O6" i="2" s="1"/>
  <c r="L6" i="2"/>
  <c r="J6" i="2"/>
  <c r="G6" i="2"/>
  <c r="H6" i="2" s="1"/>
  <c r="E6" i="2" a="1"/>
  <c r="E6" i="2" s="1"/>
  <c r="D6" i="2"/>
  <c r="B6" i="2"/>
  <c r="Y5" i="2"/>
  <c r="W5" i="2"/>
  <c r="U5" i="2"/>
  <c r="S5" i="2"/>
  <c r="Q5" i="2"/>
  <c r="O5" i="2"/>
  <c r="N5" i="2"/>
  <c r="L5" i="2"/>
  <c r="J5" i="2"/>
  <c r="H5" i="2"/>
  <c r="G5" i="2"/>
  <c r="E5" i="2" a="1"/>
  <c r="E5" i="2"/>
  <c r="D5" i="2"/>
  <c r="B5" i="2"/>
  <c r="Y4" i="2"/>
  <c r="W4" i="2"/>
  <c r="U4" i="2"/>
  <c r="S4" i="2"/>
  <c r="Q4" i="2"/>
  <c r="O4" i="2"/>
  <c r="N4" i="2"/>
  <c r="L4" i="2"/>
  <c r="J4" i="2"/>
  <c r="H4" i="2"/>
  <c r="G4" i="2"/>
  <c r="D4" i="2"/>
  <c r="E4" i="2" s="1" a="1"/>
  <c r="E4" i="2" s="1"/>
  <c r="B4" i="2"/>
  <c r="Y3" i="2"/>
  <c r="W3" i="2"/>
  <c r="U3" i="2"/>
  <c r="S3" i="2"/>
  <c r="Q3" i="2"/>
  <c r="N3" i="2"/>
  <c r="O3" i="2" s="1"/>
  <c r="L3" i="2"/>
  <c r="J3" i="2"/>
  <c r="G3" i="2"/>
  <c r="H2" i="2" s="1"/>
  <c r="D3" i="2"/>
  <c r="E3" i="2" s="1" a="1"/>
  <c r="E3" i="2" s="1"/>
  <c r="B3" i="2"/>
  <c r="Y2" i="2"/>
  <c r="W2" i="2"/>
  <c r="U2" i="2"/>
  <c r="S2" i="2"/>
  <c r="Q2" i="2"/>
  <c r="N2" i="2"/>
  <c r="O2" i="2" s="1"/>
  <c r="L2" i="2"/>
  <c r="J2" i="2"/>
  <c r="G2" i="2"/>
  <c r="E2" i="2" a="1"/>
  <c r="E2" i="2" s="1"/>
  <c r="B124" i="2" s="1"/>
  <c r="D2" i="2"/>
  <c r="B2" i="2"/>
  <c r="H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scheme val="minor"/>
          </rPr>
          <t>======
ID#AAAB1Jf3mbc
Joy Ibe    (2026-02-26 14:06:37)
That's a lot of folders. When I open the Task 2, I expect to immediately see the spreadsheet and report doc, not extra folders.</t>
        </r>
      </text>
    </comment>
  </commentList>
  <extLst>
    <ext xmlns:r="http://schemas.openxmlformats.org/officeDocument/2006/relationships" uri="GoogleSheetsCustomDataVersion2">
      <go:sheetsCustomData xmlns:go="http://customooxmlschemas.google.com/" r:id="rId1" roundtripDataSignature="AMtx7miOxuVemcfHvrXqCEfxTUWHiysmNg=="/>
    </ext>
  </extLst>
</comments>
</file>

<file path=xl/sharedStrings.xml><?xml version="1.0" encoding="utf-8"?>
<sst xmlns="http://schemas.openxmlformats.org/spreadsheetml/2006/main" count="44677" uniqueCount="5861">
  <si>
    <t>Brand:</t>
  </si>
  <si>
    <t>Product name</t>
  </si>
  <si>
    <t>Processor</t>
  </si>
  <si>
    <t>Video graphics</t>
  </si>
  <si>
    <t>Video graphics Memorey</t>
  </si>
  <si>
    <t>RAM</t>
  </si>
  <si>
    <t>Hard drive</t>
  </si>
  <si>
    <t>Display</t>
  </si>
  <si>
    <t>Display Resolution</t>
  </si>
  <si>
    <t>Display Refresh Rate</t>
  </si>
  <si>
    <t>Operating System</t>
  </si>
  <si>
    <t>Keyboard</t>
  </si>
  <si>
    <t>Battery</t>
  </si>
  <si>
    <t>Webcam</t>
  </si>
  <si>
    <t>Connections</t>
  </si>
  <si>
    <t>Dimensions</t>
  </si>
  <si>
    <t>Weight</t>
  </si>
  <si>
    <t>Colors</t>
  </si>
  <si>
    <t>Warranty</t>
  </si>
  <si>
    <t>Price</t>
  </si>
  <si>
    <t>Processor Generation</t>
  </si>
  <si>
    <t>Processor Details</t>
  </si>
  <si>
    <t>Product number</t>
  </si>
  <si>
    <t>Power supply type</t>
  </si>
  <si>
    <t>Laptop Color</t>
  </si>
  <si>
    <t>Finger Print</t>
  </si>
  <si>
    <t>SUPPORT SSD M2</t>
  </si>
  <si>
    <t>Pointing device</t>
  </si>
  <si>
    <t>Optical drive</t>
  </si>
  <si>
    <t>Series :</t>
  </si>
  <si>
    <t>MSI</t>
  </si>
  <si>
    <t>Titan 18 HX Dragon Edition Norse Myth A2XWJG</t>
  </si>
  <si>
    <t>Intel Core Ultra 9 285HX</t>
  </si>
  <si>
    <t>Nvidia GeForce RTX 5090 24GB</t>
  </si>
  <si>
    <t>24GB GDDR7</t>
  </si>
  <si>
    <t>96GB DDR5 6400MHz 48GB*2</t>
  </si>
  <si>
    <t>6TB, 2TB NVMe PCIe Gen5x4 SSD w/o DRAM + 2TB NVMe PCIe Gen4x4 SSD x2</t>
  </si>
  <si>
    <t>18" 16:10 UHD+ (3840x2400), MiniLED, 120Hz, 100% DCI-P3 (Typ.), IPS-Level panel</t>
  </si>
  <si>
    <t>3840x2400</t>
  </si>
  <si>
    <t>120 Hz</t>
  </si>
  <si>
    <t>Windows® 11 Home</t>
  </si>
  <si>
    <t>Cherry Mechanical Per-Key RGB Gaming Keyboard by SteelSeries</t>
  </si>
  <si>
    <t>4-Cell 99 Battery (Whr)</t>
  </si>
  <si>
    <t>IR FHD type (30fps@1080p) with HDR 3D Noise Reduction+ (3DNR+)</t>
  </si>
  <si>
    <t>2x Thunderbolt™ 5 (DisplayPort™/ Power Delivery 3.1) 3x Type-A USB3.2 Gen2 1x SD Express Card Reader 1x HDMI™ 2.1 (8K @ 60Hz / 4K @ 120Hz)</t>
  </si>
  <si>
    <t>404 x 307.5 x 24-32.05 mm</t>
  </si>
  <si>
    <t>3.6 kg</t>
  </si>
  <si>
    <t>Core Black</t>
  </si>
  <si>
    <t>2 Year</t>
  </si>
  <si>
    <t>Katana 15 HX 14XWGK</t>
  </si>
  <si>
    <t>Intel Core i9-14900HX</t>
  </si>
  <si>
    <t>Nvidia GeForce RTX 5070 8GB</t>
  </si>
  <si>
    <t>8GB GDDR7</t>
  </si>
  <si>
    <t>16GB DDR5 8GB*2</t>
  </si>
  <si>
    <t>1TB NVMe PCIe SSD Gen4x4</t>
  </si>
  <si>
    <t>15.6" QHD (2560*1440), 165Hz DCI-P3 100% typical</t>
  </si>
  <si>
    <t>2560*1440</t>
  </si>
  <si>
    <t>165 HZ</t>
  </si>
  <si>
    <t>4-Zone RGB Gaming Keyboard</t>
  </si>
  <si>
    <t>4 cell, 75Whr</t>
  </si>
  <si>
    <t>HD Webcam (720p @ 30fps)</t>
  </si>
  <si>
    <t>1x USB Type-C (USB 3.2 Gen2 / DisplayPort / Power Delivery 3.0) 3x USB Type-A (USB 3.2 Gen2) 1x HDMI 2.1 (8K@60Hz / 4K@120Hz) 1x Mic-in/Headphone-out Combo Jack 1x RJ45 (Gb LAN)</t>
  </si>
  <si>
    <t>359 x 262 x 25.5 mm</t>
  </si>
  <si>
    <t>2.4 kg</t>
  </si>
  <si>
    <t>Black</t>
  </si>
  <si>
    <t>14th generation</t>
  </si>
  <si>
    <t>Acer</t>
  </si>
  <si>
    <t>NITRO V15-ANV15-51-51H9</t>
  </si>
  <si>
    <t>Intel Core I5-13420H</t>
  </si>
  <si>
    <t>Nvidia GeForce RTX 4050 6GB</t>
  </si>
  <si>
    <t>6GB GDDR6</t>
  </si>
  <si>
    <t>8 GB DDR5-SDRAM</t>
  </si>
  <si>
    <t>512 GB SSD</t>
  </si>
  <si>
    <t>15.6'' Inch FHD IPS LED backlight aspect ratio 16:9 refresh rate 144 Hz</t>
  </si>
  <si>
    <t>1920x1080</t>
  </si>
  <si>
    <t>144 Hz</t>
  </si>
  <si>
    <t>57 Wh</t>
  </si>
  <si>
    <t>USB 3.2 Gen 1 (3.1 Gen 1) Type-A ports quantity 3 HDMI ports quantity 1 USB 3.2 Gen 2 (3.1 Gen 2) Type-C ports quantity 1 Ethernet LAN (RJ-45) ports 1</t>
  </si>
  <si>
    <t>1 Year</t>
  </si>
  <si>
    <t>13th generation</t>
  </si>
  <si>
    <t>8C (4P + 4E) / 12T, P-core 2.1 / 4.6GHz, E-core 1.5 / 3.4GHz, 12MB</t>
  </si>
  <si>
    <t>Dell</t>
  </si>
  <si>
    <t>Alienware 16 Aurora AC16250</t>
  </si>
  <si>
    <t>Intel Core 7 240H</t>
  </si>
  <si>
    <t>NVIDIA(R) GeForce RTX(TM) 5050</t>
  </si>
  <si>
    <t>8 GB GDDR7</t>
  </si>
  <si>
    <t>16GB, 2x8GB, DDR5, 5600 MT/s ( 5200 MT/s with Intel Core 5 CP U)</t>
  </si>
  <si>
    <t>512GB M.2 PCIe NVMe SSD</t>
  </si>
  <si>
    <t>16" WQXGA 120Hz, 300 nits, ComfortView Plus, 1 00% sRGB color gamut</t>
  </si>
  <si>
    <t>2560 x 1600</t>
  </si>
  <si>
    <t>Windows 11 Home</t>
  </si>
  <si>
    <t>6-Cell Battery, 96 Whr (Integr ated)</t>
  </si>
  <si>
    <t>2 USB 3.2 Gen 1 (5 Gbps) ports 1 USB 3.2 Gen 2 (10 Gbps) Type-C® port with DisplayPort™ 1.4a ports 1 USB 3.2 Gen 2 (10 Gbps) Type-C® port with Power Delivery 1 HDMI 2.1 port with Discrete Graphics Controller Direct Output  1 universal audio jack (RCA, 3.5</t>
  </si>
  <si>
    <t>356.98 x 265.43 x 15.20 mm</t>
  </si>
  <si>
    <t>2.49 kg</t>
  </si>
  <si>
    <t>240H (24MB cache, 1 0 cores, 1.80 to 5.20 GHz P-Co re)</t>
  </si>
  <si>
    <t>Intel Core 9 270H</t>
  </si>
  <si>
    <t>Nvidia GeForce RTX 5060 8GB</t>
  </si>
  <si>
    <t>16GB, 2x8GB, DDR5, 5600 MT/s</t>
  </si>
  <si>
    <t>1TB M.2 PCIe NVMe SSD</t>
  </si>
  <si>
    <t>16" WQXGA 120Hz, 300 nits, ComfortView Plus, 100% sRGB color gamut</t>
  </si>
  <si>
    <t>DOS</t>
  </si>
  <si>
    <t>Alienware White Backlit Keyboard</t>
  </si>
  <si>
    <t>6-Cell Battery, 96 Whr (Integrated)</t>
  </si>
  <si>
    <t>720p at 30 fps HD camera, Dual-array microphones</t>
  </si>
  <si>
    <t>2 USB Type-A 3.2 Gen 1 Port 1 Type-C® Port (USB 3.2 Gen 2, DisplayPort™ 1.4) (iGPU) 1 Type-C® Port (USB 3.2 Gen 2, DisplayPort™ 1.4a) (iGPU) 1 HDMI 2.1 (dGPU) 1 Power/DC-in Port 1 RJ-45 Ethernet 1 Global headset jack</t>
  </si>
  <si>
    <t>356.98 x 265.43 x 22.70 mm</t>
  </si>
  <si>
    <t>24MB cache, 14 cores, 2.00 to 5.80 GHz P-Core</t>
  </si>
  <si>
    <t>Nvidia GeForce RTX 5060</t>
  </si>
  <si>
    <t>32GB, 2x16GB, DDR5, 5600 MT/s</t>
  </si>
  <si>
    <t>Nvidia GeForce RTX 5050</t>
  </si>
  <si>
    <t>120Hz</t>
  </si>
  <si>
    <t>HP</t>
  </si>
  <si>
    <t>Victus 15-fa2318TX</t>
  </si>
  <si>
    <t>Intel® Core™ i7-13620H</t>
  </si>
  <si>
    <t>NVIDIA® GeForce RTX™ 3050</t>
  </si>
  <si>
    <t>6 GB GDDR6</t>
  </si>
  <si>
    <t>16 GB DDR4-3200 MT/s (1 x 16 GB)</t>
  </si>
  <si>
    <t>512 GB PCIe® Gen4 NVMe™ M.2 SSD</t>
  </si>
  <si>
    <t>39.6 cm (15.6") diagonal, FHD, 144 Hz, IPS, micro-edge, anti-glare, 300 nits, 62.5% sRGB</t>
  </si>
  <si>
    <t>1920 x 1080</t>
  </si>
  <si>
    <t>Dos</t>
  </si>
  <si>
    <t>Full-size, backlit, moonstone gray keyboard with numeric keypad</t>
  </si>
  <si>
    <t>3-cell, 52.5 Wh Li-ion polymer</t>
  </si>
  <si>
    <t>HP Wide Vision 720p HD camera with temporal noise reduction and integrated dual array digital microphones</t>
  </si>
  <si>
    <t>1 USB Type-A 5Gbps signaling rate (HP Sleep and Charge); 1 USB Type-A 5Gbps signaling rate; 1 AC smart pin; 1 HDMI 2.1; 1 headphone/microphone combo; 1 RJ-45; 1 USB Type-C® 5Gbps signaling rate (DisplayPort™ 1.4a, HP Sleep and Charge) 10</t>
  </si>
  <si>
    <t>357.9 x 255 x 23.5 mm</t>
  </si>
  <si>
    <t>2.29 kg</t>
  </si>
  <si>
    <t>Mica silver</t>
  </si>
  <si>
    <t>1 year</t>
  </si>
  <si>
    <t>up to 4.9 GHz with Intel® Turbo Boost Technology, 24 MB L3 cache, 10 cores, 16 threads</t>
  </si>
  <si>
    <t>C34KHPA</t>
  </si>
  <si>
    <t>Victus 16-r1042ne</t>
  </si>
  <si>
    <t>Intel® Core™ i7-14700HX</t>
  </si>
  <si>
    <t>NVIDIA® GeForce RTX™ 4050</t>
  </si>
  <si>
    <t>16 GB DDR5-5600 MT/s (2 x 8 GB) Transfer rates up to 5600 MT/s. 2 x 8 GB</t>
  </si>
  <si>
    <t>512 GB PCIe® Gen4 NVMe™ TLC M.2 SSD</t>
  </si>
  <si>
    <t>16.1''inch FHD</t>
  </si>
  <si>
    <t>Full-size, backlit, moonstone grey keyboard with numeric keypad</t>
  </si>
  <si>
    <t>4-cell, 70 Wh Li-ion polymer</t>
  </si>
  <si>
    <t>HP True Vision 1080p FHD camera with temporal noise reduction and integrated dual array digital microphones</t>
  </si>
  <si>
    <t>1 USB Type-A 5Gbps signaling rate (HP Sleep and Charge); 1 USB Type-C® 5Gbps signaling rate (USB Power Delivery, DisplayPort™ 1.4, HP Sleep and Charge); 2 USB Type-A 5Gbps signaling rate; 1 HDMI 2.1; 1 RJ-45; 1 AC smart pin; 1 headphone/microphone combo</t>
  </si>
  <si>
    <t>2.31 kg</t>
  </si>
  <si>
    <t>up to 5.5 GHz with Intel® Turbo Boost Technology, 33 MB L3 cache, 20 cores, 28 threads</t>
  </si>
  <si>
    <t>A7KC6EA</t>
  </si>
  <si>
    <t>Victus 15-FA2317TX</t>
  </si>
  <si>
    <t>16 GB DDR4-3200 MT/s (1 x 16 GB) Transfer rates up to 3200 MT/s. 1 x 16 GB</t>
  </si>
  <si>
    <t>15.6'' Inch FHD</t>
  </si>
  <si>
    <t>1 USB Type-A 5Gbps signaling rate (HP Sleep and Charge); 1 USB Type-A 5Gbps signaling rate; 1 AC smart pin; 1 HDMI 2.1; 1 headphone/microphone combo; 1 RJ-45; 1 USB Type-C® 5Gbps signaling rate (DisplayPort™ 1.4a, HP Sleep and Charge)</t>
  </si>
  <si>
    <t>35.79 x 25.5 x 2.35 cm</t>
  </si>
  <si>
    <t>C34K7PA</t>
  </si>
  <si>
    <t>Lenovo</t>
  </si>
  <si>
    <t>LOQ 15IAX9E</t>
  </si>
  <si>
    <t>Intel® Core™ i5-12450HX</t>
  </si>
  <si>
    <t>Nvidia GeForce RTX 3050 6GB</t>
  </si>
  <si>
    <t>1x 16GB SO-DIMM DDR5-4800</t>
  </si>
  <si>
    <t>512GB SSD M.2 2242 PCIe® 4.0x4 NVMe®</t>
  </si>
  <si>
    <t>15.6" FHD (1920x1080) IPS 300nits Anti-glare, 100% sRGB, 144Hz</t>
  </si>
  <si>
    <t>White Backlit, Arabic</t>
  </si>
  <si>
    <t>Integrated 57Wh</t>
  </si>
  <si>
    <t>HD 720p with Privacy Shutter</t>
  </si>
  <si>
    <t>2x USB-A (USB 5Gbps / USB 3.2 Gen 1) 1x USB-C® (USB 5Gbps / USB 3.2 Gen 1), data transfer only 1x HDMI® 2.1, up to 8K/60Hz 1x Headphone / microphone combo jack (3.5mm) 1x Ethernet (RJ-45) 1x Card reader 1x Power connector</t>
  </si>
  <si>
    <t>359.3 x 236 x 19.9-22.95 mm</t>
  </si>
  <si>
    <t>1.77 kg</t>
  </si>
  <si>
    <t>Luna Grey</t>
  </si>
  <si>
    <t>2 Years</t>
  </si>
  <si>
    <t>12th generation</t>
  </si>
  <si>
    <t>8C (4P + 4E) / 12T, P-core up to 4.4GHz, E-core up to 3.1GHz, 12MB</t>
  </si>
  <si>
    <t>83LK0060ED</t>
  </si>
  <si>
    <t>Victus 16-r1066ne</t>
  </si>
  <si>
    <t>Intel® Core™ i5-14450HX</t>
  </si>
  <si>
    <t>1 TB PCIe® Gen4 NVMe™ M.2 SSD</t>
  </si>
  <si>
    <t>16.1″diagonal, FHD , 144 Hz, IPS, micro-edge, anti-glare, 300 nits, 62.5% sRGB</t>
  </si>
  <si>
    <t>369 x 259.4 x 22.9 mm</t>
  </si>
  <si>
    <t>up to 4.8 GHz with Intel® Turbo Boost Technology, 20 MB L3 cache, 10 cores, 16 threads</t>
  </si>
  <si>
    <t>B0VX8EA</t>
  </si>
  <si>
    <t>Victus 16-r1062ne</t>
  </si>
  <si>
    <t>16.1″ diagonal, FHD, 144 Hz, IPS, micro-edge, anti-glare, 300 nits, 62.5% sRGB</t>
  </si>
  <si>
    <t>1920 x 1080)</t>
  </si>
  <si>
    <t>Full-size, backlit, performance blue opaque keyboard with numeric keypad</t>
  </si>
  <si>
    <t>Performance blue</t>
  </si>
  <si>
    <t>A95G4EA</t>
  </si>
  <si>
    <t>Victus 15-fa1103ne</t>
  </si>
  <si>
    <t>Intel® Core™ i5-13420H</t>
  </si>
  <si>
    <t>8 GB DDR4-3200 MT/s (1 x 8 GB) Transfer rates up to 3200 MT/s. 1 x 8 GB</t>
  </si>
  <si>
    <t>15.6″ FHD (1920 × 1080), IPS, 144 Hz, 9 ms, anti-glare, 250 nits, 45% NTSC</t>
  </si>
  <si>
    <t>Full-size, backlit, performance blue keyboard with numeric keypad</t>
  </si>
  <si>
    <t>1 USB Type-A 5Gbps signaling rate; 1 USB Type-A 5Gbps signaling rate (HP Sleep and Charge); 1 USB Type-C® 5Gbps signaling rate (DisplayPort™ 1.4, HP Sleep and Charge); 1 HDMI 2.1; 1 RJ-45; 1 AC smart pin; 1 headphone/microphone combo</t>
  </si>
  <si>
    <t>357 x 255 x 23.5 mm</t>
  </si>
  <si>
    <t>up to 4.6 GHz with Intel® Turbo Boost Technology, 12 MB L3 cache, 8 cores, 12 threads</t>
  </si>
  <si>
    <t>8Y5V3EA</t>
  </si>
  <si>
    <t>VICTUS 15-FA1112NIA</t>
  </si>
  <si>
    <t>15.6″ FHD (1920×1080), IPS, 144 Hz, 250 nits, 45% NTSC, anti-glare</t>
  </si>
  <si>
    <t>Full-size, backlit, mica silver keyboard with numeric keypad</t>
  </si>
  <si>
    <t>255 × 357 × 23.5 mm</t>
  </si>
  <si>
    <t>8Y605EA</t>
  </si>
  <si>
    <t>OMEN Slim 16-an0119nrav</t>
  </si>
  <si>
    <t>Intel® Core™ Ultra 9 285H</t>
  </si>
  <si>
    <t>NVIDIA® GeForce RTX™ 5070</t>
  </si>
  <si>
    <t>16" diagonal WQXGA display</t>
  </si>
  <si>
    <t>240Hz</t>
  </si>
  <si>
    <t>Windows11 Home</t>
  </si>
  <si>
    <t>Full-size, 4-zone RGB backlit, shadow black keyboard with numeric keypad and 26-Key Rollover Anti-Ghosting Key technology</t>
  </si>
  <si>
    <t>1 USB Type-A 10Gbps signaling rate; 2 USB Type-A 5Gbps signaling rate; 1 AC smart pin; 1 HDMI 2.1; 1 headphone/microphone combo; 1 RJ-45; 1 USB Type-C® 10Gbps signaling rate (USB Power Delivery 3.0, DisplayPort™ 1.4, HP Sleep and Charge)</t>
  </si>
  <si>
    <t>357 x 268 x 19.8 mm</t>
  </si>
  <si>
    <t>2.42 kg</t>
  </si>
  <si>
    <t>Shadow black</t>
  </si>
  <si>
    <t>up to 5.4 GHz with Intel® Turbo Boost Technology, 24 MB L3 cache, 16 cores, 16 threads</t>
  </si>
  <si>
    <t>BM7B9UA</t>
  </si>
  <si>
    <t>OMEN 16-AP0097NR</t>
  </si>
  <si>
    <t>AMD Ryzen™ AI 9 365</t>
  </si>
  <si>
    <t>32 GB DDR5-5600 MT/s (2 x 16 GB)</t>
  </si>
  <si>
    <t>16" diagonal, WQXGA , 60-240 Hz, 3 ms response time, IPS, micro-edge, anti-glare, Low Blue Light, 500 nits, 100% sRGB</t>
  </si>
  <si>
    <t>6-cell, 83 Wh Li-ion polymer</t>
  </si>
  <si>
    <t>1 USB Type-A 10Gbps signaling rate; 2 USB Type-A 5Gbps signaling rate; 1 AC smart pin; 1 HDMI 2.1; 1 headphone/microphone combo; 1 RJ-45; 1 USB Type-C® 10Gbps signaling rate (USB Power Delivery 3.0, DisplayPort™ 1.4, HP Sleep and Charge)[19,42]</t>
  </si>
  <si>
    <t>357 x 268 x 23.8 mm</t>
  </si>
  <si>
    <t>2.44kg</t>
  </si>
  <si>
    <t>Shadow Black</t>
  </si>
  <si>
    <t>up to 5.0 GHz max boost clock, 24 MB L3 cache, 10 cores, 20 threads</t>
  </si>
  <si>
    <t>Legion 5 15IRX10</t>
  </si>
  <si>
    <t>Intel® Core i9-14900HX</t>
  </si>
  <si>
    <t>1x 16GB SO-DIMM DDR5-5600</t>
  </si>
  <si>
    <t>1TB SSD M.2 2242 PCIe® 4.0x4 NVMe®</t>
  </si>
  <si>
    <t>15.1" WQXGA OLED 1000nits (peak) / 500nits (typical) glossy, 100% DCI-P3, 165Hz, Dolby Vision®, DisplayHDR™ True Black 600</t>
  </si>
  <si>
    <t>2560x1600</t>
  </si>
  <si>
    <t>24-Zone RGB Backlit, English</t>
  </si>
  <si>
    <t>80Wh</t>
  </si>
  <si>
    <t>5.0MP with E-shutter</t>
  </si>
  <si>
    <t>2x USB-A (USB 5Gbps / USB 3.2 Gen 1) 1x USB-A (USB 5Gbps / USB 3.2 Gen 1), Always On 1x USB-C® (USB 10Gbps / USB 3.2 Gen 2), with USB PD 65-100W and DisplayPort™ 2.1 1x USB-C® (USB 10Gbps / USB 3.2 Gen 2), with DisplayPort™ 1.4 1x HDMI® 2.1, up to 8K/60Hz</t>
  </si>
  <si>
    <t>344.9 x 255.35 x 19.95-21.54 mm</t>
  </si>
  <si>
    <t>1.9 kg</t>
  </si>
  <si>
    <t>Eclipse Black</t>
  </si>
  <si>
    <t>24C (8P + 16E) / 32T, P-core 2.2 / 5.8GHz, E-core 1.6 / 4.1GHz, 36MB</t>
  </si>
  <si>
    <t>83LY0007US</t>
  </si>
  <si>
    <t>ASUS</t>
  </si>
  <si>
    <t>ROG Zephyrus G16 GA605KP-AI327W</t>
  </si>
  <si>
    <t>AMD Ryzen™ AI 7 350</t>
  </si>
  <si>
    <t>NVIDIA® GeForce RTX™ 5070 Laptop GPU</t>
  </si>
  <si>
    <t>32GB LPDDR5X 7500 on board(Actual memory speeds may vary by CPU configuration.)</t>
  </si>
  <si>
    <t>1TB PCIe® 4.0 NVMe™ M.2 SSD</t>
  </si>
  <si>
    <t>16-inch 2.5K , WQXGA) 16:10 aspect ratio</t>
  </si>
  <si>
    <t>90WHrs, 4S1P, 4-cell Li-ion</t>
  </si>
  <si>
    <t>1080P FHD IR Camera for Windows Hello</t>
  </si>
  <si>
    <t>1x Type-C USB 4 with support for DisplayPort™ / power delivery (data speed up to 40Gbps) 1x USB 3.2 Gen 2 Type-C with support for DisplayPort™ / power delivery (data speed up to 10Gbps) 2x USB 3.2 Gen 2 Type-A (data speed up to 10Gbps) 1x card reader (SD</t>
  </si>
  <si>
    <t>354 x 246 x 14.9 x 16.4 mm</t>
  </si>
  <si>
    <t>1.85 Kg</t>
  </si>
  <si>
    <t>Gray</t>
  </si>
  <si>
    <t>2.0GHz (24MB Cache, up to 5.0GHz, 8 cores, 16 Threads); AMD XDNA™ NPU up to 50TOPS</t>
  </si>
  <si>
    <t>90NR0NC1-M00240</t>
  </si>
  <si>
    <t>Legion Pro 7 16IAX10H</t>
  </si>
  <si>
    <t>Intel® Core Ultra 9 275HX</t>
  </si>
  <si>
    <t>NVIDIA® GeForce RTX™ 5080</t>
  </si>
  <si>
    <t>16GB GDDR7</t>
  </si>
  <si>
    <t>2x 32GB CSODIMM DDR5-6400</t>
  </si>
  <si>
    <t>2x 1TB SSD M.2 2280 PCIe® 4.0x4 NVMe®</t>
  </si>
  <si>
    <t>16" WQXGA OLED 500nits (Typical) / 1100nits (Peak) Glossy, 100% DCI-P3, 240Hz, DisplayHDR™ True Black 1000, Dolby Vision®, G-SYNC®, Low Blue Light, High Gaming Performance, Flicker Free</t>
  </si>
  <si>
    <t>240 HZ</t>
  </si>
  <si>
    <t>Windows® 11 Pro</t>
  </si>
  <si>
    <t>Per-key RGB Backlit, English</t>
  </si>
  <si>
    <t>99.9Wh</t>
  </si>
  <si>
    <t>2x USB-A (USB 5Gbps / USB 3.2 Gen 1) 1x USB-A (USB 10Gbps / USB 3.2 Gen 2), Always On 1x USB-C® (USB 10Gbps / USB 3.2 Gen 2), with USB PD 65-100W and DisplayPort™ 2.1 1x Thunderbolt™ 4 / USB4® 40Gbps (support data transfer and DisplayPort™ 2.1) 1x HDMI® 2</t>
  </si>
  <si>
    <t>364.38 x 275.94 x 21.9-26.65 mm</t>
  </si>
  <si>
    <t>2.57 kg</t>
  </si>
  <si>
    <t>24C (8P + 16E) / 24T, Max Turbo up to 5.4GHz, 36MB</t>
  </si>
  <si>
    <t>83F5006HUS</t>
  </si>
  <si>
    <t>Victus 16-r1046ne</t>
  </si>
  <si>
    <t>16.1″ diagonal, FHD (1920 x 1080), 144 Hz, IPS, micro-edge, anti-glare, 300 nits, 62.5% sRGB</t>
  </si>
  <si>
    <t>2.33 kg</t>
  </si>
  <si>
    <t>9X706EA</t>
  </si>
  <si>
    <t>ROG Strix G16 G614PR-RV161W</t>
  </si>
  <si>
    <t>AMD Ryzen™ 9 8940HX</t>
  </si>
  <si>
    <t>NVIDIA® GeForce RTX™ 5070 Ti</t>
  </si>
  <si>
    <t>12GB GDDR7</t>
  </si>
  <si>
    <t>16GB DDR5-5200 SO-DIMM</t>
  </si>
  <si>
    <t>16-inch FHD+ 16:10 (1920 x 1200, WUXGA) IPS-level anti-glare display sRGB: 100% Refresh Rate: 165Hz Response Time: 3ms G-Sync</t>
  </si>
  <si>
    <t>1920 x 1200</t>
  </si>
  <si>
    <t>Backlit Chiclet Keyboard 4-Zone RGB Touchpad</t>
  </si>
  <si>
    <t>1080p FHD camera</t>
  </si>
  <si>
    <t>1x 3.5mm Combo Audio Jack 1x HDMI 2.1 FRL 2x USB 3.2 Gen 2 Type-A (data speed up to 10Gbps) 1x Type-C USB 4 with support for DisplayPort™ / power delivery / G-SYNC (data speed up to 40Gbps) 1x Type-C USB 4 with support for DisplayPort™ / G-SYNC (data spee</t>
  </si>
  <si>
    <t>354 x 264 x 22.6 x 30.4 mm</t>
  </si>
  <si>
    <t>2.50 Kg</t>
  </si>
  <si>
    <t>Eclipse Gray</t>
  </si>
  <si>
    <t>سنه</t>
  </si>
  <si>
    <t>2.4GHz (80MB Cache, up to 5.3GHz, 16 cores, 32 Threads)</t>
  </si>
  <si>
    <t>ROG Strix G16 G614FP-GR169W</t>
  </si>
  <si>
    <t>AMD Ryzen 9 9955HX</t>
  </si>
  <si>
    <t>16GB DDR5-5600 SO-DIMM</t>
  </si>
  <si>
    <t>16-inch FHD+ 16:10 (1920 x 1200, WUXGA) 165Hz, 3ms IPS-level 300nits 100% SRGB</t>
  </si>
  <si>
    <t>Backlit Chiclet Keyboard 4-Zone RGB</t>
  </si>
  <si>
    <t>1x RJ45 LAN port 1x Type-C USB 4 with support for DisplayPort™ (data speed up to 40Gbps) 1x Type-C USB 4 with support for DisplayPort™ / power delivery (data speed up to 40Gbps) 2x USB 3.2 Gen 2 Type-A (data speed up to 10Gbps)</t>
  </si>
  <si>
    <t>354 x 264 x 22.6 ~ 30.4 mm</t>
  </si>
  <si>
    <t>2.5GHz (80MB Cache, up to 5.4GHz, 16 cores, 32 Threads</t>
  </si>
  <si>
    <t>TUF Gaming A16 FA608UH-RV007W</t>
  </si>
  <si>
    <t>AMD Ryzen™ 7 260</t>
  </si>
  <si>
    <t>NVIDIA® GeForce RTX™ 5050</t>
  </si>
  <si>
    <t>512GB PCIe® 4.0 NVMe™ M.2 SSD</t>
  </si>
  <si>
    <t>16-inch, FHD+ 16:10 , WUXGA), IPS-level, Anti-glare display, sRGB:100%, Adobe:75.35%, Refresh Rate:165Hz, Response Time:3ms, G-Sync, MUX Switch</t>
  </si>
  <si>
    <t>Backlit Chiclet Keyboard 1-Zone RGB Touchpad With Copilot key</t>
  </si>
  <si>
    <t>1x 3.5mm Combo Audio Jack 1x HDMI 2.1 FRL 2x USB 3.2 Gen 2 Type-A (data speed up to 10Gbps) 1x USB 3.2 Gen 2 Type-C with support for DisplayPort™ / power delivery / G-SYNC (data speed up to 10Gbps) 1x USB 2.0 Type-A (data speed up to 480Mbps) 1x Type-C US</t>
  </si>
  <si>
    <t>354 x 269 x 17.9 x 179 mm</t>
  </si>
  <si>
    <t>2.20 Kg</t>
  </si>
  <si>
    <t>Grey</t>
  </si>
  <si>
    <t>3.8GHz (24MB Cache, up to 5.1 GHz, 8 cores, 16 Threads); AMD XDNA™ NPU up to 16TOPS AMD Ryzen™ 7 H 260 Processor 3.8GHz (24MB Cache, up to 5.1 GHz, 8 cores, 16 Threads); AMD XDNA™ NPU up to 16TOPS</t>
  </si>
  <si>
    <t>TUF Gaming A14 FA401KH-RG019W</t>
  </si>
  <si>
    <t>16GB*2 LPDDR5X 7500 on board, Max Capacity</t>
  </si>
  <si>
    <t>14-inch, 2.5K (2560 x 1600, WQXGA) 16:10 aspect ratio, IPS-level, Anti-glare display</t>
  </si>
  <si>
    <t>73WHrs, 4S1P, 4-cell Li-ion</t>
  </si>
  <si>
    <t>1x 3.5mm Combo Audio Jack 1x HDMI 2.1 FRL 2x USB 3.2 Gen 2 Type-A (data speed up to 10Gbps) 1x USB 3.2 Gen 2 Type-C with support for DisplayPort™ / G-SYNC (data speed up to 10Gbps) 1x Type-C USB 4 with support for DisplayPort™ / power delivery (data speed</t>
  </si>
  <si>
    <t>311 x 227 x 16.9 x 19.9 mm</t>
  </si>
  <si>
    <t>1.46 Kg</t>
  </si>
  <si>
    <t>TUF Gaming A14 FA401UU-RG028W</t>
  </si>
  <si>
    <t>AMD Ryzen 7 8845HS</t>
  </si>
  <si>
    <t>NVIDIA® GeForce RTX™ 4050 6GB</t>
  </si>
  <si>
    <t>16GB 8GB*2 LPDDR5X 7500 on board</t>
  </si>
  <si>
    <t>14-inch, 2.5K (2560 x 1600, WQXGA) 16:10 aspect ratio, IPS-level, Anti-glare display, sRGB:100.00%, Refresh Rate:165Hz, G-Sync, MUX Switch + NVIDIA® Advanced Optimus</t>
  </si>
  <si>
    <t>Backlit Chiclet Keyboard Single Light</t>
  </si>
  <si>
    <t>1x 3.5mm Combo Audio Jack 1x HDMI 2.1 FRL 2x USB 3.2 Gen 2 Type-A (data speed up to 10Gbps) 1x USB 3.2 Gen 2 Type-C with support for DisplayPort™ (data speed up to 10Gbps) 1x Type-C USB 4 with support for DisplayPort™ / power delivery (data speed up to 40</t>
  </si>
  <si>
    <t>311 x 227 x 16.9 ~ 19.9 mm</t>
  </si>
  <si>
    <t>24MB Cache, up to 5.1 GHz, 8 cores, 16 Threads</t>
  </si>
  <si>
    <t>Crosshair 18 HX AI A2XWGKG</t>
  </si>
  <si>
    <t>Intel Core Ultra 9 275HX</t>
  </si>
  <si>
    <t>32GB</t>
  </si>
  <si>
    <t>1TB SSD</t>
  </si>
  <si>
    <t>18” QHD+ (2560x1600), 240Hz, IPS-Level</t>
  </si>
  <si>
    <t>24-Zone RGB Gaming Keyboard with Copilot Key</t>
  </si>
  <si>
    <t>4-Cell 90 Battery (Whr)</t>
  </si>
  <si>
    <t>HD type (30fps@720p) 3D Noise Reduction (3DNR)</t>
  </si>
  <si>
    <t>1x Thunderbolt™ 4 (DisplayPort™/ Power Delivery 3.0) 3x Type-A USB3.2 Gen1 1x HDMI™ 2.1 (8K @ 60Hz / 4K @ 120Hz)</t>
  </si>
  <si>
    <t>404 x 280 x 25.6-29.9 mm</t>
  </si>
  <si>
    <t>3.1 kg</t>
  </si>
  <si>
    <t>9S7-184111-025</t>
  </si>
  <si>
    <t>Vector 17 HX AI A2XWJG</t>
  </si>
  <si>
    <t>NVIDIA® GeForce RTX™ 5090 24GB</t>
  </si>
  <si>
    <t>32GB DDR5-6400</t>
  </si>
  <si>
    <t>17” QHD+ (2560x1600), 240Hz, IPS-Level</t>
  </si>
  <si>
    <t>2x Thunderbolt™ 5 (DisplayPort™/ Power Delivery 3.1) 2x Type-A USB3.2 Gen2 1x SD Express Card Reader 1x HDMI™ 2.1 (8K @ 60Hz / 4K @ 120Hz)</t>
  </si>
  <si>
    <t>380.34 x 297.97 x 22.85-28.75 mm</t>
  </si>
  <si>
    <t>3 kg</t>
  </si>
  <si>
    <t>Cosmos Gray</t>
  </si>
  <si>
    <t>2 years</t>
  </si>
  <si>
    <t>9S7-17S372-204</t>
  </si>
  <si>
    <t>Raider 18 HX AI A2XWJG</t>
  </si>
  <si>
    <t>64GB DDR5 6400MHz 32GB*2</t>
  </si>
  <si>
    <t>2TB NVMe PCIe Gen5x4 SSD</t>
  </si>
  <si>
    <t>18” UHD+, MiniLED, 120Hz</t>
  </si>
  <si>
    <t>3840 x 2400</t>
  </si>
  <si>
    <t>Per-Key RGB Gaming Keyboard by SteelSeries with Copilot Key</t>
  </si>
  <si>
    <t>2x Thunderbolt™ 5 (DisplayPort™/ Power Delivery 3.1) 3x Type-A USB3.2 Gen2 1x SD Express Card Reader</t>
  </si>
  <si>
    <t>Aspire 5 A515-57G-59VY</t>
  </si>
  <si>
    <t>Intel Core i5-1235U</t>
  </si>
  <si>
    <t>Nvidia GeForce RTX 2050 4GB</t>
  </si>
  <si>
    <t>8GB DDR4 SDRAM</t>
  </si>
  <si>
    <t>512GB PCIe NVMe SSD</t>
  </si>
  <si>
    <t>15.6-inch Full HD (1920×1080) IPS, ComfyView (Matte), 16:9 aspect ratio</t>
  </si>
  <si>
    <t>Full-size keyboard</t>
  </si>
  <si>
    <t>3-cell Li-Ion, 50Wh</t>
  </si>
  <si>
    <t>HD webcam</t>
  </si>
  <si>
    <t>3 × USB Type-A 3.2 Gen 1 1 × USB Type-C 3.2 Gen 1 1 × HDMI 1 × Headphone/Microphone Combo Jack (3.5mm) 1 × RJ-45 (Ethernet Port)</t>
  </si>
  <si>
    <t>362 x 237 x 17.9 mm</t>
  </si>
  <si>
    <t>1.8 kg</t>
  </si>
  <si>
    <t>Victus 15-FA1023NIA</t>
  </si>
  <si>
    <t>Intel Core i5-13500H</t>
  </si>
  <si>
    <t>6GB GDDR6 dedicated</t>
  </si>
  <si>
    <t>8 GB DDR4-3200 MT/s (1 x 8 GB)</t>
  </si>
  <si>
    <t>39.6 cm (15.6") diagonal, FHD, 144 Hz, 9 ms response time, IPS, micro-edge, anti-glare, 250 nits, 45% NTSC</t>
  </si>
  <si>
    <t>up to 4.7 GHz with Intel® Turbo Boost Technology, 18 MB L3 cache, 12 cores, 16 threads</t>
  </si>
  <si>
    <t>803C1EA</t>
  </si>
  <si>
    <t>Thin 15 B2RVE</t>
  </si>
  <si>
    <t>16GB 2x 8GB</t>
  </si>
  <si>
    <t>512GB M.2 SSD NVMe PCIe Gen4</t>
  </si>
  <si>
    <t>15.6" FHD (1920x1080), 144Hz, IPS-Level</t>
  </si>
  <si>
    <t>Single Backlit Keyboard (Blue) with Copilot Key</t>
  </si>
  <si>
    <t>3-Cell 52.4 Battery (Whr)</t>
  </si>
  <si>
    <t>HD type (30fps@720p)</t>
  </si>
  <si>
    <t>1x Type-C (USB3.2 Gen1 / DisplayPort™) 3x Type-A USB3.2 Gen1 1x HDMI™ (4K @ 30Hz)</t>
  </si>
  <si>
    <t>359 x 254 x 21.7 mm</t>
  </si>
  <si>
    <t>1.86 kg</t>
  </si>
  <si>
    <t>Katana 15 HX B14WFK</t>
  </si>
  <si>
    <t>Intel® Core™ i7-14650HX</t>
  </si>
  <si>
    <t>NVIDIA® GeForce RTX™ 5060 Laptop GPU</t>
  </si>
  <si>
    <t>GDDR7 8GB</t>
  </si>
  <si>
    <t>DDR5 8GB*2</t>
  </si>
  <si>
    <t>512GB NVMe PCIe SSD Gen4x4 w/o DRAM</t>
  </si>
  <si>
    <t>1x Type-C (USB3.2 Gen2 / DisplayPort™/ Power Delivery 3.0) 3x Type-A USB3.2 Gen2 1x HDMI™ 2.1 (8K @ 60Hz / 4K @ 120Hz)</t>
  </si>
  <si>
    <t>Intel® Core™ i9-14900HX</t>
  </si>
  <si>
    <t>NVIDIA® GeForce RTX™ 5060</t>
  </si>
  <si>
    <t>16GB 8GB*2 DDR5</t>
  </si>
  <si>
    <t>15.6" QHD, 165Hz DCI-P3 100% typical</t>
  </si>
  <si>
    <t>4-Zone RGB Gaming Keyboard with Copilot Key</t>
  </si>
  <si>
    <t>LOQ 15ARP9</t>
  </si>
  <si>
    <t>AMD Ryzen™ 7 7435HS</t>
  </si>
  <si>
    <t>NVIDIA® GeForce RTX™ 4050 6GB GDDR6</t>
  </si>
  <si>
    <t>12GB SO-DIMM DDR5-4800</t>
  </si>
  <si>
    <t>15.6" FHD IPS 300nits Anti-glare, 100% sRGB, 144Hz, G-SYNC®</t>
  </si>
  <si>
    <t>60Wh</t>
  </si>
  <si>
    <t>HD 720p with E-Shutter</t>
  </si>
  <si>
    <t>3x USB-A (USB 5Gbps / USB 3.2 Gen 1) 1x USB-C® (USB 10Gbps / USB 3.2 Gen 2), with Lenovo® PD 140W and DisplayPort™ 1.4 1x HDMI® 2.1, up to 8K/60Hz 1x Headphone / microphone combo jack (3.5mm) 1x Ethernet (RJ-45) 1x Power connector</t>
  </si>
  <si>
    <t>359.86 x 258.7 x 21.9-23.9 mm</t>
  </si>
  <si>
    <t>2.38 kg</t>
  </si>
  <si>
    <t>8C / 16T, 3.1 / 4.5GHz, 4MB L2 / 16MB L3</t>
  </si>
  <si>
    <t>83JC00H2ED</t>
  </si>
  <si>
    <t>Victus 16-r0053nia</t>
  </si>
  <si>
    <t>Intel® Core™ i7-13700H</t>
  </si>
  <si>
    <t>16 GB DDR5-5200 MT/s</t>
  </si>
  <si>
    <t>16.1" diagonal, FHD, 144 Hz, IPS, micro-edge, anti-glare, 250 nits, 45% NTSC</t>
  </si>
  <si>
    <t>369 x 259 x 22.9 mm</t>
  </si>
  <si>
    <t>up to 5.0 GHz with Intel® Turbo Boost Technology, 24 MB L3 cache, 14 cores, 20 threads</t>
  </si>
  <si>
    <t>81Q11EA</t>
  </si>
  <si>
    <t>AMD Ryzen 7 7435HS</t>
  </si>
  <si>
    <t>Nvidia GeForce RTX 4060 8GB</t>
  </si>
  <si>
    <t>8GB GDDR6</t>
  </si>
  <si>
    <t>1x 12GB SO-DIMM DDR5-4800</t>
  </si>
  <si>
    <t>(8C / 16T, 3.1 / 4.5GHz, 4MB L2 / 16MB L3)</t>
  </si>
  <si>
    <t>83JC00H1ED</t>
  </si>
  <si>
    <t>G15 5530</t>
  </si>
  <si>
    <t>Intel Core I5-13450HX</t>
  </si>
  <si>
    <t>16GB, 1x16GB, DDR5, 4800MT/s</t>
  </si>
  <si>
    <t>512GB, M.2, PCIe NVMe, SSD</t>
  </si>
  <si>
    <t>15.6" FHD (1920x1080) 120Hz</t>
  </si>
  <si>
    <t>Arabic Qwerty 4-Zone RGB Backlit Keyboard with Numeric Keypad and G-Key</t>
  </si>
  <si>
    <t>3-Cell Battery, 56WHr</t>
  </si>
  <si>
    <t>1 headset (headphone and microphone combo) port 1 RJ45 Ethernet port 3 USB 3.2 Gen 1 ports 1 HDMI 2.1 port 1 USB-C 3.2 Gen 2 port with DisplayPort™</t>
  </si>
  <si>
    <t>357.26 x 274.52 x 26.95 mm</t>
  </si>
  <si>
    <t>2.81 kg</t>
  </si>
  <si>
    <t>Dark Gray</t>
  </si>
  <si>
    <t>3 Years</t>
  </si>
  <si>
    <t>20 MB cache, 1 0 core, up to 4.60 GHz</t>
  </si>
  <si>
    <t>180W AC Adapter</t>
  </si>
  <si>
    <t>Legion Pro 5 16IRX10</t>
  </si>
  <si>
    <t>Intel Core i7-14650HX</t>
  </si>
  <si>
    <t>Nvidia GeForce RTX 5050 8GB</t>
  </si>
  <si>
    <t>16" WQXGA IPS 500nits Anti-glare, 100% DCI-P3, 240Hz, DisplayHDR™ 400, Dolby Vision®, G-SYNC®, Low Blue Light, High Gaming Performance</t>
  </si>
  <si>
    <t>24-Zone RGB Backlit, Arabic</t>
  </si>
  <si>
    <t>2x USB-A (USB 5Gbps / USB 3.2 Gen 1) 1x USB-A (USB 10Gbps / USB 3.2 Gen 2), Always On 1x USB-C® (USB 10Gbps / USB 3.2 Gen 2), with USB PD 65-100W and DisplayPort™ 2.1 1x USB-C® (USB 10Gbps / USB 3.2 Gen 2), with DisplayPort™ 1.4 1x HDMI® 2.1, up to 8K/60H</t>
  </si>
  <si>
    <t>364.38 x 268.06 x 21.69-25.95 mm</t>
  </si>
  <si>
    <t>16C (8P + 8E) / 24T, P-core 2.2 / 5.2GHz, E-core 1.6 / 3.7GHz, 30MB</t>
  </si>
  <si>
    <t>83NN001SED</t>
  </si>
  <si>
    <t>Victus 15-fa1034nia</t>
  </si>
  <si>
    <t>NVIDIA® GeForce RTX™ 2050</t>
  </si>
  <si>
    <t>4 GB GDDR6</t>
  </si>
  <si>
    <t>8 GB DDR4-3200 MT/s</t>
  </si>
  <si>
    <t>15.6" diagonal, FHD, 144 Hz, 9 ms response time, IPS, micro-edge, anti-glare, 250 nits, 45% NTSC</t>
  </si>
  <si>
    <t>Up to 6 hours and 30 minutes 7</t>
  </si>
  <si>
    <t>801R1EA</t>
  </si>
  <si>
    <t>Victus 15-fa1033nia</t>
  </si>
  <si>
    <t>Supports battery fast charge: approximately 50% in 30 minutes</t>
  </si>
  <si>
    <t>801R0EA</t>
  </si>
  <si>
    <t>32GB 2x 16GB SO-DIMM DDR5-5600</t>
  </si>
  <si>
    <t>15.1" WQXGA OLED 500nits glossy, 100% DCI-P3, 165Hz, Dolby Vision®, DisplayHDR™ True Black 600</t>
  </si>
  <si>
    <t>24-Zone RGB Backlit, English (UK)</t>
  </si>
  <si>
    <t>83LY0077PS</t>
  </si>
  <si>
    <t>ROG Strix G16 ​G614FM-RV169W</t>
  </si>
  <si>
    <t>16GB DDR5</t>
  </si>
  <si>
    <t>1TB PCIe 4.0 NVMe SSD</t>
  </si>
  <si>
    <t>16” FHD+ (1920x1200), 165Hz, WUXGA IPS, 16:10 aspect ratio</t>
  </si>
  <si>
    <t>RGB Keyboard Per-key Aura Sync lighting</t>
  </si>
  <si>
    <t>1x RJ45 LAN port   1x Type-C USB 4 with support for DisplayPort™ / G-SYNC (data speed up to 40Gbps)   1x Type-C USB 4 with support for DisplayPort™ / power delivery / G-SYNC (data speed up to 40Gbps)   2x USB 3.2 Gen 2 Type-A (data speed up to 10Gbps)"</t>
  </si>
  <si>
    <t>2.5GHz (80MB Cache, up to 5.4GHz, 16 cores, 32 Threads)</t>
  </si>
  <si>
    <t>90NR0L17-M001B0</t>
  </si>
  <si>
    <t>TUF Gaming F16 FX607VJ-RL805W</t>
  </si>
  <si>
    <t>Intel Core 5 210H</t>
  </si>
  <si>
    <t>Nvidia GeForce RTX 3050</t>
  </si>
  <si>
    <t>8GB DDR4</t>
  </si>
  <si>
    <t>16 FHD+ 16:10 (1920 x 1200, WUXGA) 144HZ</t>
  </si>
  <si>
    <t>56WHrs, 4S1P, 4-cell Li-ion</t>
  </si>
  <si>
    <t>720P HD camera</t>
  </si>
  <si>
    <t>354 x 251 x 22.1 ~ 26.7 mm</t>
  </si>
  <si>
    <t>Mecha Gray</t>
  </si>
  <si>
    <t>2.2 GHz (12MB Cache, up to 4.8 GHz, 8 cores, 12 Threads</t>
  </si>
  <si>
    <t>90NR0MZ6-M000R0</t>
  </si>
  <si>
    <t>ROG Strix SCAR 18 G835LR-AI3201W</t>
  </si>
  <si>
    <t>Nvidia GeForce RTX 5070 Ti 12GB</t>
  </si>
  <si>
    <t>1TB PCIe® 4.0 NVMe™ M.2 Performance SSD</t>
  </si>
  <si>
    <t>ROG Nebula Display 18-inch 2.5K (2560 x 1600, WQXGA) 16:10 aspect ratio IPS-level anti-glare display DCI-P3: 100% Refresh Rate: 240Hz G-Sync Pantone Validated MUX Switch + NVIDIA® Advanced Optimus Support Dolby Vision HDR : Yes</t>
  </si>
  <si>
    <t>Backlit Chiclet Keyboard Per-Key RGB Touchpad</t>
  </si>
  <si>
    <t>1x 3.5mm Combo Audio Jack 1x HDMI 2.1 FRL 3x USB 3.2 Gen 2 Type-A (data speed up to 10Gbps) 1x 2.5G LAN port 2x Thunderbolt™ 5 with support for DisplayPort™ / power delivery / G-SYNC (data speed up to 120Gbps)</t>
  </si>
  <si>
    <t>399 x 298 x 23.5 mm</t>
  </si>
  <si>
    <t>3.30 Kg</t>
  </si>
  <si>
    <t>off Black</t>
  </si>
  <si>
    <t>2.7 GHz (36MB Cache, up to 5.4 GHz, 24 cores, 24 Threads); Intel® AI Boost NPU up to 13TOPS</t>
  </si>
  <si>
    <t>90NR0LS1-M00200</t>
  </si>
  <si>
    <t>ROG Strix G16 G615LR-VG132W</t>
  </si>
  <si>
    <t>Nvidia GeForce RTX 5070Ti 12GB</t>
  </si>
  <si>
    <t>32GB DDR5-5600 SO-DIMM</t>
  </si>
  <si>
    <t>16-inch FHD+ 16:10 (1920 x 1200, WUXGA) IPS-level anti-glare display sRGB: 100% Refresh Rate: 165Hz Response Time: 3ms G-Sync MUX Switch + NVIDIA® Advanced Optimus Support Dolby Vision HDR : Yes</t>
  </si>
  <si>
    <t>Backlit Chiclet Keyboard 4-Zone RGB Touchpad With Copilot key</t>
  </si>
  <si>
    <t>354 x 268 x 22.8 ~ 30.8 mm</t>
  </si>
  <si>
    <t>2.65 Kg</t>
  </si>
  <si>
    <t>90NR0LR2-M005L0</t>
  </si>
  <si>
    <t>ROG Strix G16 G614JVR-N3044W</t>
  </si>
  <si>
    <t>Intel Core I9-14900HX</t>
  </si>
  <si>
    <t>16GB Ram</t>
  </si>
  <si>
    <t>16-inch FHD+ 16:10 (1920 x 1200, WUXGA) IPS-level anti-glare display sRGB: 100% Refresh Rate: 165Hz Response Time: 7ms G-Sync MUX Switch + NVIDIA® Advanced Optimus Support Dolby Vision HDR : Yes</t>
  </si>
  <si>
    <t>Backlit Chiclet Keyboard Per-Key RGB Touchpad Support NumberPad</t>
  </si>
  <si>
    <t>1x 3.5mm Combo Audio Jack 1x HDMI 2.1 FRL 1x USB 3.2 Gen 2 Type-C support displayport / power delivery / G-SYNC 2x USB 3.2 Gen 2 Type-A (data speed up to 10Gbps) 1x RJ45 LAN port 1x Thunderbolt™ 4 with support for DisplayPort™ (data speed up to 40Gbps)</t>
  </si>
  <si>
    <t>2.2 GHz (36MB Cache, up to 5.8 GHz, 24 cores, 32 Threads)</t>
  </si>
  <si>
    <t>90NR0II5-M001P0</t>
  </si>
  <si>
    <t>Sword 16 HX B14VFKG</t>
  </si>
  <si>
    <t>Nvida GeForce RTX 4060 8GB</t>
  </si>
  <si>
    <t>16" 16:10 FHD+ (1920 x 1200), 144Hz, IPS-level panel</t>
  </si>
  <si>
    <t>4-Cell 65 Battery (Whr)</t>
  </si>
  <si>
    <t>1x Type-C (USB3.2 Gen2 / DisplayPort™/ Power Delivery 3.0) 3x Type-A USB3.2 Gen1 1x HDMI™ 2.1 (8K @ 60Hz / 4K @ 120Hz)</t>
  </si>
  <si>
    <t>359 x 266.4 x 21.8-27.7 mm</t>
  </si>
  <si>
    <t>2.3 kg</t>
  </si>
  <si>
    <t>36M Cache, up to 5.80 GHz</t>
  </si>
  <si>
    <t>LOQ 15IAX9</t>
  </si>
  <si>
    <t>Intel Core I5-12450HX</t>
  </si>
  <si>
    <t>4GB GDDR6</t>
  </si>
  <si>
    <t>White backlit, English (US)</t>
  </si>
  <si>
    <t>ROG Zephyrus G16 GU605MI-G16.U94070</t>
  </si>
  <si>
    <t>Intel Core Ultra 9 185H</t>
  </si>
  <si>
    <t>Nvidia Geforce RTX 4070</t>
  </si>
  <si>
    <t>8GB</t>
  </si>
  <si>
    <t>16GB RAM</t>
  </si>
  <si>
    <t>ROG Nebula Display 16-inch 2.5K (2560 x 1600, WQXGA) 16:10 aspect ratio OLED glossy display Refresh Rate: 240Hz</t>
  </si>
  <si>
    <t>Backlit Chiclet Keyboard 1-Zone RGB Touchpad</t>
  </si>
  <si>
    <t>1x 3.5mm Combo Audio Jack 1x HDMI 2.1 FRL 2x USB 3.2 Gen 2 Type-A (data speed up to 10Gbps) 1x USB 3.2 Gen 2 Type-C with support for DisplayPort™ / power delivery (data speed up to 10Gbps) 1x Thunderbolt™ 4 with support for DisplayPort™ / power delivery (</t>
  </si>
  <si>
    <t>354 x 246 x 149 ~ 174 mm</t>
  </si>
  <si>
    <t>1.95 Kg</t>
  </si>
  <si>
    <t>24MB Cache, up to 5.1 GHz, 16 cores, 22 Threads); Intel® AI Boost NPU</t>
  </si>
  <si>
    <t>90NR0IS1-M007T0</t>
  </si>
  <si>
    <t>Stealth 16 AI Studio A1VGG</t>
  </si>
  <si>
    <t>Nvidia GeForce RTX 4070 8GB</t>
  </si>
  <si>
    <t>32GB Ram DDR5-5600</t>
  </si>
  <si>
    <t>1 TB NVMe PCIe Gen4 SSD</t>
  </si>
  <si>
    <t>16” QHD+ (2560x1600), 240Hz, IPS-Level</t>
  </si>
  <si>
    <t>4-Cell 99.9 Battery (Whr)</t>
  </si>
  <si>
    <t>1x Type-C (USB3.2 Gen2 / DisplayPort™) 1x Thunderbolt™ 4 (DisplayPort™/ Power Delivery 3.0) 1x Type-A USB3.2 Gen2 1x Micro SD Card Reader 1x HDMI™ 2.1 (8K @ 60Hz / 4K @ 120Hz)</t>
  </si>
  <si>
    <t>355.8 x 259.7 x 19.95 mm</t>
  </si>
  <si>
    <t>1.99 kg</t>
  </si>
  <si>
    <t>Star Blue</t>
  </si>
  <si>
    <t>24M Cache, up to 5.10 GHz</t>
  </si>
  <si>
    <t>Vector 16 HX AI A2XWIG</t>
  </si>
  <si>
    <t>Nvidia GeForce RTX 5080 16GB</t>
  </si>
  <si>
    <t>16GB DDR5-6400</t>
  </si>
  <si>
    <t>16” QHD+, 240Hz, IPS-Level</t>
  </si>
  <si>
    <t>357 x 284 x 22.20-28.55 mm</t>
  </si>
  <si>
    <t>2.7 kg</t>
  </si>
  <si>
    <t>Omen 16-AE0075CL</t>
  </si>
  <si>
    <t>Intel Core i7-14700HX</t>
  </si>
  <si>
    <t>8 GB GDDR6</t>
  </si>
  <si>
    <t>16 GB DDR5-5600 MT/s (2 x 8 GB)</t>
  </si>
  <si>
    <t>1 TB PCIe® NVMe™ M.2 SSD</t>
  </si>
  <si>
    <t>16.1" diagonal FHD 144Hz display</t>
  </si>
  <si>
    <t>Full-size, 1-zone RGB backlit, shadow black keyboard with numeric keypad</t>
  </si>
  <si>
    <t>1 USB Type-C® 5Gbps signaling rate (USB Power Delivery, DisplayPort™ 1.4, HP Sleep and Charge); 2 USB Type-A 5Gbps signaling rate; 1 USB Type-A 5Gbps signaling rate (HP Sleep and Charge); 1 AC smart pin; 1 HDMI-out 2.1; 1 headphone/microphone combo; 1 RJ-</t>
  </si>
  <si>
    <t>14.53 x 10.21 x 0.94 in</t>
  </si>
  <si>
    <t>2.31 Kg</t>
  </si>
  <si>
    <t>Meteor silver</t>
  </si>
  <si>
    <t>AM9B3UA</t>
  </si>
  <si>
    <t>Vector 16 HX A14VIG</t>
  </si>
  <si>
    <t>Nvidia GeForce RTX 4090 16GB</t>
  </si>
  <si>
    <t>16GB GDDR6</t>
  </si>
  <si>
    <t>32GB Ram</t>
  </si>
  <si>
    <t>1TB M.2 SSD</t>
  </si>
  <si>
    <t>Windows 11</t>
  </si>
  <si>
    <t>1x Thunderbolt™ 4 (DisplayPort™) 1x Type-C (USB3.2 Gen2 / DisplayPort™) 1x Type-C (USB3.2 Gen2 / DisplayPort™/ Power Delivery 3.0) 1x Type-A USB3.2 Gen1 1x Type-A USB3.2 Gen2 1x SD Express Card Reader 1x HDMI™ 2.1 (8K @ 60Hz / 4K @ 120Hz)</t>
  </si>
  <si>
    <t>Vector 16 HX AI A2XWHG</t>
  </si>
  <si>
    <t>GeForce RTX™ 5070 Ti</t>
  </si>
  <si>
    <t>32GB 2 x 16 Up to DDR5-6400</t>
  </si>
  <si>
    <t>1TB NVMe PCIe SSD Gen4x4 w/o DRAM</t>
  </si>
  <si>
    <t>16" 16:10 QHD, 240Hz, 100% DCI-P3, IPS-level panel</t>
  </si>
  <si>
    <t>Nvidia GeForce RTX 5080</t>
  </si>
  <si>
    <t>32GB 2 x 16 DDR5-6400</t>
  </si>
  <si>
    <t>Titan 18 HX AI A2XWJG</t>
  </si>
  <si>
    <t>Nvidia GeForce RTX™ 5090</t>
  </si>
  <si>
    <t>4TB SSD - 2TB NVMe PCIe Gen5x4 SSD + 2TB NVMe PCIe Gen4x4 SSD</t>
  </si>
  <si>
    <t>Cherry Mechanical Per-Key RGB Gaming Keyboard by SteelSeries with Copilot Key</t>
  </si>
  <si>
    <t>LOQ 15IRX9</t>
  </si>
  <si>
    <t>Intel® Core™ i5-13450HX</t>
  </si>
  <si>
    <t>2x 12GB SO-DIMM DDR5-4800</t>
  </si>
  <si>
    <t>FHD 1080p with E-shutter</t>
  </si>
  <si>
    <t>10C (6P + 4E) / 16T, P-core 2.4 / 4.6GHz, E-core 1.8 / 3.4GHz, 20MB</t>
  </si>
  <si>
    <t>83DV012HED</t>
  </si>
  <si>
    <t>ROG Strix SCAR 16 G635LW-AI264W</t>
  </si>
  <si>
    <t>64GB DDR5-5600 SO-DIMM</t>
  </si>
  <si>
    <t>2TB PCIe® 4.0 NVMe™ M.2 Performance SSD</t>
  </si>
  <si>
    <t>16-inch 2.5K, WQXGA 16:10 aspect ratio IPS-level anti-glare display DCI-P3: 100% Refresh Rate: 240Hz Response Time: 3ms G-Sync Pantone Validated MUX Switch + NVIDIA® Advanced Optimus Support Dolby Vision HDR : Yes</t>
  </si>
  <si>
    <t>354 x 268 x 22.8 x 30.8 mm</t>
  </si>
  <si>
    <t>2.80 Kg</t>
  </si>
  <si>
    <t>90NR0LD1-M00710</t>
  </si>
  <si>
    <t>ROG Strix SCAR 16 G635LR-AI321W</t>
  </si>
  <si>
    <t>​Intel Core Ultra 9 275HX</t>
  </si>
  <si>
    <t>16-inch 2.5K WQXGA 16:10 aspect ratio IPS-level anti-glare display DCI-P3: 100% Refresh Rate: 240Hz Response Time: 3ms G-Sync Pantone Validated MUX Switch + NVIDIA® Advanced Optimus Support Dolby Vision HDR : Yes</t>
  </si>
  <si>
    <t>90NR0LU1-M004R0</t>
  </si>
  <si>
    <t>ROG Zephyrus G16 GU605CR-QR232W</t>
  </si>
  <si>
    <t>Intel Core Ultra 9 285H</t>
  </si>
  <si>
    <t>Nvidia GeForce RTX 5070</t>
  </si>
  <si>
    <t>32GB LPDDR5X 7467</t>
  </si>
  <si>
    <t>2TB PCIe® 4.0 NVMe™ M.2 SSD</t>
  </si>
  <si>
    <t>16 2.5K WQXGA OLED 240HZ</t>
  </si>
  <si>
    <t>RGB Backlit Chiclet Keyboard Touchpad</t>
  </si>
  <si>
    <t>4-cell 90 Wh lithium-ion 4S1P battery</t>
  </si>
  <si>
    <t>1x 3.5mm Combo Audio Jack 1x HDMI 2.1 FRL 2x USB 3.2 Gen 2 Type-A (data speed up to 10Gbps) 1x Thunderbolt™ 4 with support for DisplayPort™ / power delivery (data speed up to 40Gbps) 1x card reader (SD) (UHS-II, 312MB/s)</t>
  </si>
  <si>
    <t>354 x 246 x 14.9 x 17.4 mm</t>
  </si>
  <si>
    <t>2.9 GHz (24MB Cache, up to 5.4 GHz, 16 cores, 16 Threads); Intel® AI Boost NPU up to 13TOPS</t>
  </si>
  <si>
    <t>90NR0LZ5-M009S0</t>
  </si>
  <si>
    <t>Omen Max AH0097</t>
  </si>
  <si>
    <t>Intel® Core™ Ultra 9 275HX</t>
  </si>
  <si>
    <t>16 GB</t>
  </si>
  <si>
    <t>16" diagonal, WQXGA, 60-240 Hz, 3 ms response time, IPS, micro-edge, anti-glare, Low Blue Light, 500 nits, 100% sRGB</t>
  </si>
  <si>
    <t>Full-size, per key RGB backlit, shadow black keyboard with numeric keypad and NKRO Anti-Ghosting Key technology</t>
  </si>
  <si>
    <t>HP True Vision 1080p FHD IR camera with temporal noise reduction and integrated dual array digital microphones</t>
  </si>
  <si>
    <t>2 Thunderbolt™ 4 with USB Type-C® 40Gbps signaling rate (USB Power Delivery, DisplayPort™ 2.1, HP Sleep and Charge); 2 USB Type-A 10Gbps signaling rate; 1 AC smart pin; 1 HDMI 2.1; 1 headphone/microphone combo; 1 RJ-45[19,42]</t>
  </si>
  <si>
    <t>356 x 268 x22.8 mm</t>
  </si>
  <si>
    <t>2.76 kg</t>
  </si>
  <si>
    <t>up to 5.4 GHz with Intel® Turbo Boost Technology, 36 MB L3 cache, 24 cores, 24 threads)[6,7]</t>
  </si>
  <si>
    <t>B64BNUA#ABA</t>
  </si>
  <si>
    <t>Victus 16-R0026NIA</t>
  </si>
  <si>
    <t>16 GB DDR5-5200 MT/s (2 x 8 GB)</t>
  </si>
  <si>
    <t>512GB PCIe® Gen4 NVMe™ M.2 SSD</t>
  </si>
  <si>
    <t>40.9 cm (16.1") diagonal, FHD, 144Hz, IPS, micro-edge, anti-glare, 250 nits, 45% NTSC</t>
  </si>
  <si>
    <t>Mica silver, black chrome logo</t>
  </si>
  <si>
    <t>81P69EA</t>
  </si>
  <si>
    <t>16GB 2x 8GB SO-DIMM DDR5-5600</t>
  </si>
  <si>
    <t>15.6" FHD (1920x1080) IPS 300nits Anti-glare, 100% sRGB, 144Hz, G-SYNC®</t>
  </si>
  <si>
    <t>1920 X 1080</t>
  </si>
  <si>
    <t>Integrated 60Wh</t>
  </si>
  <si>
    <t>1x HDMI® 2.1, up to 8K/60Hz 1x Headphone / microphone combo jack (3.5mm) 1x Ethernet (RJ-45) 3x USB-A (USB 5Gbps / USB 3.2 Gen 1) 1x USB-C® (USB 10Gbps / USB 3.2 Gen 2), with Lenovo® PD 140W and DisplayPort™ 1.4 1x Power connector</t>
  </si>
  <si>
    <t>20C (8P + 12E) / 28T, P-core 2.1 / 5.5GHz, E-core 1.5 / 3.9GHz, 33MB</t>
  </si>
  <si>
    <t>83DV00UUDP</t>
  </si>
  <si>
    <t>TUF Gaming F16 FX607VU-RL805W</t>
  </si>
  <si>
    <t>8GB DDR5-5600 SO-DIMM</t>
  </si>
  <si>
    <t>16-inch, FHD+ 16:10 (1920 x 1200, WUXGA), Value IPS-level, Anti-glare display, Refresh Rate:144Hz, Response Time:7ms, G-Sync, MUX Switch + NVIDIA® Advanced Optimus</t>
  </si>
  <si>
    <t>1x 3.5mm Combo Audio Jack 1x HDMI 2.1 FRL 2x USB 3.2 Gen 1 Type-A (data speed up to 5Gbps) 1x USB 3.2 Gen 2 Type-C with support for DisplayPort™ / power delivery / G-SYNC (data speed up to 10Gbps) 1x RJ45 LAN port 1x Thunderbolt™ 4 with support for Displa</t>
  </si>
  <si>
    <t>12MB Cache, up to 4.8 GHz, 8 cores, 12 Threads</t>
  </si>
  <si>
    <t>Vivobook 16X K3605ZF-RP005W</t>
  </si>
  <si>
    <t>Intel Core I5-12500H</t>
  </si>
  <si>
    <t>8GB DDR4 on board</t>
  </si>
  <si>
    <t>512GB M.2 NVMe™ PCIe® 4.0 SSD</t>
  </si>
  <si>
    <t>16.0-inch, WUXGA 16:10 aspect ratio, IPS-level Panel, LED Backlit, 144Hz refresh rate, 300nits, 45% NTSC color gamut, Anti-glare display, TÜV Rheinland-certified, (Screen-to-body ratio)86%</t>
  </si>
  <si>
    <t>Chiclet Keyboard with Num-key, 1.4mm Key-travel, Precision Touchpad</t>
  </si>
  <si>
    <t>50WHrs, 3S1P, 3-cell Li-ion</t>
  </si>
  <si>
    <t>720p HD camera With privacy shutter</t>
  </si>
  <si>
    <t>1x USB 3.2 Gen 1 Type-C with support for power delivery (data speed up to 5Gbps) 2x USB 3.2 Gen 1 Type-A (data speed up to 5Gbps) 1x HDMI 2.1 TMDS 1x 3.5mm Combo Audio Jack 1x DC-in SD 4.0 card reader</t>
  </si>
  <si>
    <t>358.6 x 249.1 x 18.9 mm</t>
  </si>
  <si>
    <t>1.80 kg</t>
  </si>
  <si>
    <t>Indie Black</t>
  </si>
  <si>
    <t>2.5 GHz (18M Cache, up to 4.5 GHz, 4P+8E cores)</t>
  </si>
  <si>
    <t>Intel Core I7-14700HX</t>
  </si>
  <si>
    <t>NVIDIA® GeForce RTX™ 4060 8GB</t>
  </si>
  <si>
    <t>83DV00VMED</t>
  </si>
  <si>
    <t>Thin 15 A B7VF</t>
  </si>
  <si>
    <t>AMD Ryzen 7 7735HS</t>
  </si>
  <si>
    <t>512GB NVMe PCIe SSD</t>
  </si>
  <si>
    <t>Single Backlit Keyboard (Blue)</t>
  </si>
  <si>
    <t>1x Type-C (USB3.2 Gen2 / DisplayPort™/ Power Delivery 3.0) 3x Type-A USB3.2 Gen1 1x HDMI™ 2.1 (8K @ 60Hz / 4K @ 120Hz) 1x RJ45</t>
  </si>
  <si>
    <t>Katana A15 AI B8VE</t>
  </si>
  <si>
    <t>AMD Ryzen 9 8945HS</t>
  </si>
  <si>
    <t>3-Cell 53.5 Battery (Whr)</t>
  </si>
  <si>
    <t>1x Type-C (USB3.2 Gen1 / DisplayPort™) 2x Type-A USB3.2 Gen1 1x Type-A USB2.0 1x HDMI™ 2.1 (8K @ 60Hz / 4K @ 120Hz) 1x RJ45</t>
  </si>
  <si>
    <t>359 x 259 x 24.9 mm</t>
  </si>
  <si>
    <t>2.25 kg</t>
  </si>
  <si>
    <t>Katana A15 AI B8VF</t>
  </si>
  <si>
    <t>Thin 15 B13UC</t>
  </si>
  <si>
    <t>Intel Core i7-13620H</t>
  </si>
  <si>
    <t>16GB</t>
  </si>
  <si>
    <t>512GB SSD slot (NVMe PCIe Gen4)</t>
  </si>
  <si>
    <t>1x Type-C (USB3.2 Gen1 / DisplayPort™) 3x Type-A USB3.2 Gen1 1x HDMI™ (4K @ 30Hz) 1x RJ45</t>
  </si>
  <si>
    <t>Cosmos grey</t>
  </si>
  <si>
    <t>Victus 16-r1032nia</t>
  </si>
  <si>
    <t>Intel Core i5-14450HX</t>
  </si>
  <si>
    <t>40.9 cm (16.1") diagonal, FHD , 144 Hz, IPS, micro-edge, anti-glare, 300 nits, 62.5% sRGB</t>
  </si>
  <si>
    <t>B1UM1EA</t>
  </si>
  <si>
    <t>Victus 15-FA1018NIA</t>
  </si>
  <si>
    <t>16 GB DDR4-3200 MT/s (2 x 8 GB)</t>
  </si>
  <si>
    <t>803B9EA</t>
  </si>
  <si>
    <t>TUF Gaming A14 FA401WV-RG053W</t>
  </si>
  <si>
    <t>AMD Ryzen AI 9 HX 370</t>
  </si>
  <si>
    <t>NVIDIA® GeForce RTX™ 4060</t>
  </si>
  <si>
    <t>16GB 8GB*2 LPDDR5X 7500 on board, Max Capacity:16GB</t>
  </si>
  <si>
    <t>2.0GHz (36MB Cache, up to 5.1GHz, 12 cores, 24 Threads); AMD XDNA™ NPU up to 50TOPS</t>
  </si>
  <si>
    <t>90NR0J41-M003N0</t>
  </si>
  <si>
    <t>Victus 15-FA1017NIA</t>
  </si>
  <si>
    <t>39.6 cm (15.6") diagonal, FHD (1920 x 1080), 144 Hz, 9 ms response time, IPS, micro-edge, anti-glare, 250 nits, 45% NTSC</t>
  </si>
  <si>
    <t>803B8EA</t>
  </si>
  <si>
    <t>Intel Core i5-12450HX</t>
  </si>
  <si>
    <t>83LK0062ED</t>
  </si>
  <si>
    <t>OMEN 16T-WF000​</t>
  </si>
  <si>
    <t>Nvidia GeForce RTX 4070 8GB​</t>
  </si>
  <si>
    <t>16 GB RAM</t>
  </si>
  <si>
    <t>16'' Inch FHD 165HZ</t>
  </si>
  <si>
    <t>1 USB Type-A 5Gbps signaling rate; 1 USB Type-A 5Gbps signaling rate (HP Sleep and Charge); 2 Thunderbolt™ 4 with USB Type-C® 40Gbps signaling rate (USB Power Delivery, DisplayPort™ 1.4, HP Sleep and Charge); 1 HDMI 2.1; 1 RJ-45; 1 AC smart pin; 1 headpho</t>
  </si>
  <si>
    <t>369 x 259 x 23.622 mm</t>
  </si>
  <si>
    <t>2.39 kg</t>
  </si>
  <si>
    <t>(up to 5.5 GHz with Intel® Turbo Boost Technology, 33 MB L3 cache, 20 cores, 28 threads)</t>
  </si>
  <si>
    <t>Victus 15-FA1082WM</t>
  </si>
  <si>
    <t>Intel Core i5-13420H</t>
  </si>
  <si>
    <t>15.6" diagonal FHD display</t>
  </si>
  <si>
    <t>1 USB Type-A 5Gbps signaling rate; 1 USB Type-A 5Gbps signaling rate (HP Sleep and Charge); 1 USB Type-C® 5Gbps signaling rate (DisplayPort™ 1.4, HP Sleep and Charge); 1 HDMI 2.1; 1 RJ-45; 1 AC smart pin; 1 headphone/microphone combov</t>
  </si>
  <si>
    <t>357 x 255 x 23.6 mm</t>
  </si>
  <si>
    <t>A2BZ7UA</t>
  </si>
  <si>
    <t>Victus 15-FA1039NE</t>
  </si>
  <si>
    <t>Intel Core i7-13700H</t>
  </si>
  <si>
    <t>NVIDIA® GeForce RTX™ 3050 6GB</t>
  </si>
  <si>
    <t>801U6EA</t>
  </si>
  <si>
    <t>Victus 16-r1048ne</t>
  </si>
  <si>
    <t>16GB DDR5 5600MB/s</t>
  </si>
  <si>
    <t>1TB PCIe® Gen4 NVMe™ TLC M.2 SSD</t>
  </si>
  <si>
    <t>16.1" diagonal FHD , 144 Hz, IPS, micro-edge, 40.9 anti-glare, 300 nits, 62.5% sRGB</t>
  </si>
  <si>
    <t>Full-size, backlit, light blue keyboard with numeric keypad</t>
  </si>
  <si>
    <t>4-cell 70Wh Lithium-ion Polymer battery</t>
  </si>
  <si>
    <t>1 USB Type-A 5Gb/s signaling rate (HP Sleep and Charge); 1 USB Type-C® 5Gb/s signaling rate (USB Power Delivery, DisplayPort™ 1.4, HP Sleep and Charge); 2 USB Type-A 5Gb/s signaling rate; 1 HDMI 2.1; 1 RJ-45; 1 AC smart pin; 1 headphone/ microphone combo</t>
  </si>
  <si>
    <t>A7KC7EA</t>
  </si>
  <si>
    <t>Intel® Core™ i7-13650HX</t>
  </si>
  <si>
    <t>14C (6P + 8E) / 20T, P-core 2.6 / 4.9GHz, E-core 1.9 / 3.6GHz, 24MB</t>
  </si>
  <si>
    <t>Victus 16-r1055ne</t>
  </si>
  <si>
    <t>16 GB DDR5-5600 MT/s</t>
  </si>
  <si>
    <t>16.1" Inch diagonal, FHD, 144 Hz, IPS, micro-edge, anti-glare, 300 nits, 62.5% sRGB</t>
  </si>
  <si>
    <t>1 USB Type-A 5Gbps signaling rate (HP Sleep and Charge); 1 USB Type-C® 5Gbps signaling rate (USB Power Delivery, DisplayPort™ 1.4, HP Sleep and Charge); 2 USB Type-A 5Gbps signaling rate; 1 HDMI 2.1; 1 RJ-45; 1 AC smart pin; 1 headphone/microphone combo 1</t>
  </si>
  <si>
    <t>9X710EA</t>
  </si>
  <si>
    <t>Intel Core I7-13650HX</t>
  </si>
  <si>
    <t>Nvidia GeForce RTX 4060</t>
  </si>
  <si>
    <t>16GB,2X8,5600,DDR5,</t>
  </si>
  <si>
    <t>15.6'' Inch FHD 120HZ</t>
  </si>
  <si>
    <t>6-Cell Battery, 86WHr (Integrated)</t>
  </si>
  <si>
    <t>24 MB cache, 14 core, up to 4.90 GHz</t>
  </si>
  <si>
    <t>83DV00RMAX</t>
  </si>
  <si>
    <t>Thin 15 B12UDX-2224US</t>
  </si>
  <si>
    <t>Intel® Core™ i5-12450H</t>
  </si>
  <si>
    <t>NVIDIA® GeForce RTX™ 3050 6G</t>
  </si>
  <si>
    <t>6G GDDR6</t>
  </si>
  <si>
    <t>8GB (8G*1) DDR4 3200MHz</t>
  </si>
  <si>
    <t>512GB NVMe SSD</t>
  </si>
  <si>
    <t>15.6" FHD, IPS-Level 144Hz 45% NTSC</t>
  </si>
  <si>
    <t>Windows 11 Pro</t>
  </si>
  <si>
    <t>Blue keyboard with Anti-Ghost key (99 Key)</t>
  </si>
  <si>
    <t>3 cell , 52.4Whr Li-Polymer</t>
  </si>
  <si>
    <t>720p HD Webcam</t>
  </si>
  <si>
    <t>3x USB 3.2 Gen1, 1x USB C 3.2 Gen1 w/DP1.4,  1 Mic in/ 1 headphone out, Video Port 4K @ 30Hz</t>
  </si>
  <si>
    <t>358 x 253 x 21.59 mm</t>
  </si>
  <si>
    <t>Cosmos Gray ​</t>
  </si>
  <si>
    <t>4+4Core 1.3-4.4GHz</t>
  </si>
  <si>
    <t>Victus 16-r0085cl</t>
  </si>
  <si>
    <t>NVIDIA® GeForce RTX™ 4070</t>
  </si>
  <si>
    <t>1 TB PCIe® Gen4 NVMe™ TLC M.2 SSD</t>
  </si>
  <si>
    <t>16.1" diagonal FHD display</t>
  </si>
  <si>
    <t>Full-size, 1-zone RGB backlit, moonstone grey keyboard with numeric keypad</t>
  </si>
  <si>
    <t>68.8 x 551.9 x 344.9 mm</t>
  </si>
  <si>
    <t>2.33 Kg</t>
  </si>
  <si>
    <t>8Y487UA</t>
  </si>
  <si>
    <t>Victus 15-FB2082WM</t>
  </si>
  <si>
    <t>AMD Ryzen™ 5 8645HS</t>
  </si>
  <si>
    <t>15.6" diagonal FHD</t>
  </si>
  <si>
    <t>up to 5.0 GHz max boost clock, 16 MB L3 cache, 6 cores, 12 threads</t>
  </si>
  <si>
    <t>A14MNUA</t>
  </si>
  <si>
    <t>Intel Core i7-13650HX</t>
  </si>
  <si>
    <t>NVIDIA® GeForce RTX™ 3050 6GB GDDR6</t>
  </si>
  <si>
    <t>83DV008QED</t>
  </si>
  <si>
    <t>Victus 15-FA1035NE</t>
  </si>
  <si>
    <t>Intel Core I5-13500H</t>
  </si>
  <si>
    <t>Nvida GeForce RTX 4050 6GB</t>
  </si>
  <si>
    <t>803D1EA</t>
  </si>
  <si>
    <t>Victus 15-FA1036NE</t>
  </si>
  <si>
    <t>Intel® Core™ i5-13500H</t>
  </si>
  <si>
    <t>6 GB GDDR</t>
  </si>
  <si>
    <t>39.6 cm (15.6") diagonal FHD IPS display, 144 Hz refresh rate, 9 ms response time, micro-edge, anti-glare, 250 nits brightness, 45% NTSC color gamut 3</t>
  </si>
  <si>
    <t>Mica Silver</t>
  </si>
  <si>
    <t>803D2EA</t>
  </si>
  <si>
    <t>Envy 16-H1053DX</t>
  </si>
  <si>
    <t>16GB DDR5-5200 MT/s (2 x 8 GB)</t>
  </si>
  <si>
    <t>16-inch diagonal, WQXGA, multitouch-enabled, 48-120 Hz, IPS, edge-to-edge glass, micro-edge, Low Blue Light, 400 nits, 100% sRGB</t>
  </si>
  <si>
    <t>Full-size, backlit, natural silver keyboard</t>
  </si>
  <si>
    <t>HP True Vision 5MP IR camera with camera shutter, temporal noise reduction and integrated dual array digital microphones</t>
  </si>
  <si>
    <t>1 USB Type-A 10Gbps signaling rate; 1 USB Type-A 10Gbps signaling rate (HP Sleep and Charge); 2 Thunderbolt™ 4 with USB Type-C® 40Gbps signaling rate (USB Power Delivery, DisplayPort™ 1.4, HP Sleep and Charge); 1 HDMI 2.1; 1 AC smart pin; 1 headphone/micr</t>
  </si>
  <si>
    <t>357 x 252.47 x 19.81 mm</t>
  </si>
  <si>
    <t>2.34 kg</t>
  </si>
  <si>
    <t>Natural silver</t>
  </si>
  <si>
    <t>9U360UA</t>
  </si>
  <si>
    <t>Victus 15-FA1038NE</t>
  </si>
  <si>
    <t>39.6 cm (15.6") diagonal FHD (1920 x 1080) IPS display, 144 Hz refresh rate, 9 ms response time, micro-edge, anti-glare, 250 nits brightness, 45% NTSC color</t>
  </si>
  <si>
    <t>801U5EA</t>
  </si>
  <si>
    <t>6 GB GDDR6 dedicated</t>
  </si>
  <si>
    <t>8 GB DDR5-5600 MT/s (1 x 8 GB)</t>
  </si>
  <si>
    <t>1 USB Type-C® 5Gbps signaling rate (DisplayPort™ 1.4, HP Sleep and Charge); 1 USB Type-A 5Gbps signaling rate (HP Sleep and Charge); 1 USB Type-A 5Gbps signaling rate; 1 AC smart pin; 1 HDMI 2.1; 1 headphone/microphone combo; 1 RJ-45</t>
  </si>
  <si>
    <t>Cyborg 15 A13VF</t>
  </si>
  <si>
    <t>16GB DDR5-5200 2 Slots</t>
  </si>
  <si>
    <t>512GB M.2 NVMe PCIe Gen4 SSD</t>
  </si>
  <si>
    <t>15.6" FHD, 144Hz, IPS-Level</t>
  </si>
  <si>
    <t>1x Type-C (USB3.2 Gen1 / DP) 2x Type-A USB3.2 Gen1 1x HDMI™ 2.1 (4K @ 60Hz) 1x RJ45</t>
  </si>
  <si>
    <t>359.36 x 250.34 x 21.95~22.9 mm</t>
  </si>
  <si>
    <t>1.98 kg</t>
  </si>
  <si>
    <t>Translucent Black</t>
  </si>
  <si>
    <t>10C (6P + 4E) / 16T, P-core 2.4 / 4.9GHz, E-core 1.8 / 3.6GHz, 24MB</t>
  </si>
  <si>
    <t>OMEN 16-wd0073dx</t>
  </si>
  <si>
    <t>16 GB DDR5-5200 MHz RAM</t>
  </si>
  <si>
    <t>16.1" diagonal, FHD 165 Hz, 7 ms response time, IPS, micro-edge, anti-glare, Low Blue Light, 300 nits, 100% sRGB [17,35]</t>
  </si>
  <si>
    <t>Full-size, 4-zone RGB backlit, shadow black keyboard and 26-Key Rollover Anti-Ghosting Key technology</t>
  </si>
  <si>
    <t>369.06 x 259.33 x 23.87 mm</t>
  </si>
  <si>
    <t>2.35 kg</t>
  </si>
  <si>
    <t>(up to 4.9 GHz with Intel® Turbo Boost Technology, 24 MB L3 cache, 10 cores, 16 threads)</t>
  </si>
  <si>
    <t>9R640UA</t>
  </si>
  <si>
    <t>16GB, 2x8GB, DDR5, 4800MHz</t>
  </si>
  <si>
    <t>15.6" FHD 165Hz, 3 ms, sRGB-100%, ComfortViewPlus , NVIDIA G-SYNC+DDS Display</t>
  </si>
  <si>
    <t>Legion Slim 5 16IRH8</t>
  </si>
  <si>
    <t>16GB 2x8GB SO-DIMM DDR5-5200</t>
  </si>
  <si>
    <t>1TB SSD M.2 2280 PCIe® 4.0x4 NVMe®</t>
  </si>
  <si>
    <t>16" WQXGA (2560x1600) IPS 300nits Anti-glare, 100% sRGB, 165Hz, G-SYNC®, Low Blue Light</t>
  </si>
  <si>
    <t>4-Zone RGB Backlit, Arabic</t>
  </si>
  <si>
    <t>Integrated 80Wh</t>
  </si>
  <si>
    <t>1x USB 3.2 Gen 2 1x USB 3.2 Gen 2 (Always On) 1x USB-C® 3.2 Gen 2 (support data transfer and DisplayPort™ 1.4) 1x USB-C® 3.2 Gen 2 (support data transfer, Power Delivery 140W and DisplayPort™ 1.4) 1x HDMI® 2.1, up to 8K/30Hz 1x Card reader 1x Ethernet (RJ</t>
  </si>
  <si>
    <t>359.7 x 260.3 x 19.9-25.2mm</t>
  </si>
  <si>
    <t>Storm Grey</t>
  </si>
  <si>
    <t>14C (6P + 8E) / 20T, P-core 2.4 / 5.0GHz, E-core 1.8 / 3.7GHz, 24MB</t>
  </si>
  <si>
    <t>82YA00BWPS</t>
  </si>
  <si>
    <t>ROG Zephyrus G16 GU603W-G16-I74060</t>
  </si>
  <si>
    <t>Intel Core I7-13620H</t>
  </si>
  <si>
    <t>16GB DDR4 3200MHz</t>
  </si>
  <si>
    <t>512GB NVMe PCIe 4.0 SSD</t>
  </si>
  <si>
    <t>16-inch FHD+ 16:10 (1920 x 1200, WUXGA) IPS-Level Anti-Glare 165Hz (3ms)</t>
  </si>
  <si>
    <t>Backlit Chiclet Single-Zone RGB Keyboard</t>
  </si>
  <si>
    <t>720P HD IR Camera for Windows Hello</t>
  </si>
  <si>
    <t>1x Thunderbolt 4 [Support DisplayPort and Power Delivery] 2x USB 3.2 Type A (Gen 2) 1x USB 3.2 Type C (Gen 2) [Support DisplayPort, Power Delivery and G-SYNC] 1x HDMI 2.1 FRL 1x RJ45 LAN port 1x 3.5mm Combo Audio Jack</t>
  </si>
  <si>
    <t>355 x 243 x 20.5 ~ 22.9 mm</t>
  </si>
  <si>
    <t>2.00 Kg</t>
  </si>
  <si>
    <t>24M Cache, up to 5.40 GHz</t>
  </si>
  <si>
    <t>90NR0BL5-M003A0</t>
  </si>
  <si>
    <t>Victus 16-R0046NE</t>
  </si>
  <si>
    <t>Intel Core I7-13700H</t>
  </si>
  <si>
    <t>16 GB DDR5-5200 MHz RAM (2 x 8 GB)</t>
  </si>
  <si>
    <t>36.9 x 25.94 x 2.29 cm (front); 36.9 x 25.94 x 2.39 cm (rear)</t>
  </si>
  <si>
    <t>81Q01EA</t>
  </si>
  <si>
    <t>230 W Smart AC power adapter</t>
  </si>
  <si>
    <t>Victus 16-R0045NE</t>
  </si>
  <si>
    <t>369 x 259.4 x 22.9 mm (front) 369 x 259.4 x 23.9 mm (rear)</t>
  </si>
  <si>
    <t>81Q00EA</t>
  </si>
  <si>
    <t>IdeaPad Gaming 3 15ACH6</t>
  </si>
  <si>
    <t>AMD Ryzen 7 5800H</t>
  </si>
  <si>
    <t>NVIDIA GeForce RTX RTX 3050Ti 4GB</t>
  </si>
  <si>
    <t>512GB SSD M.2 2280 PCIe 3.0x4 NVMe</t>
  </si>
  <si>
    <t>15.6" FHD IPS 250nits Anti-glare, 120Hz, 45% NTSC, DC dimmer</t>
  </si>
  <si>
    <t>Integrated 45Wh</t>
  </si>
  <si>
    <t>HD 720p with Camera Shutter</t>
  </si>
  <si>
    <t>2x USB 3.2 Gen 1 1x USB-C 3.2 Gen 1 (support data transfer only) 1x HDMI 2.0 1x Ethernet (RJ-45) 1x Headphone / microphone combo jack (3.5mm) 1x Power connector</t>
  </si>
  <si>
    <t>359.6 x 251.9 x 24.2 mm</t>
  </si>
  <si>
    <t>8C / 16T, 3.2 / 4.4GHz, 4MB L2 / 16MB L3</t>
  </si>
  <si>
    <t>82K200QDAX</t>
  </si>
  <si>
    <t>none</t>
  </si>
  <si>
    <t>Victus 15-fb3008ne</t>
  </si>
  <si>
    <t>AMD Ryzen™ 7 7445H</t>
  </si>
  <si>
    <t>15.6" diagonal, FHD, 144 Hz, IPS, micro-edge, anti-glare, 300 nits, 62.5% sRGB</t>
  </si>
  <si>
    <t>up to 4.7 GHz max boost clock, 16 MB L3 cache, 6 cores, 12 threads</t>
  </si>
  <si>
    <t>C0PQ7EA</t>
  </si>
  <si>
    <t>Victus 16-r1049ne</t>
  </si>
  <si>
    <t>9X707EA</t>
  </si>
  <si>
    <t>Victus 16-r1045ne</t>
  </si>
  <si>
    <t>9X705EA</t>
  </si>
  <si>
    <t>LOQ 15IRX10</t>
  </si>
  <si>
    <t>Intel® Core i7-13700HX</t>
  </si>
  <si>
    <t>3x USB-A (USB 5Gbps / USB 3.2 Gen 1) 1x USB-C® (USB 10Gbps / USB 3.2 Gen 2), with USB PD 65-100W and DisplayPort™ 1.4 1x HDMI® 2.1, up to 8K/60Hz 1x Headphone / microphone combo jack (3.5mm) 1x Ethernet (RJ-45) 1x Power connector</t>
  </si>
  <si>
    <t>16C (8P + 8E) / 24T, P-core 2.1 / 5.0GHz, E-core 1.5 / 3.7GHz, 30MB</t>
  </si>
  <si>
    <t>83JE00NFED</t>
  </si>
  <si>
    <t>Intel® Core i7-14700HX</t>
  </si>
  <si>
    <t>83JE00H2ED</t>
  </si>
  <si>
    <t>Intel® Core i5-12450HX</t>
  </si>
  <si>
    <t>15.6" FHD IPS 300nits Anti-glare, 100% sRGB, 144Hz</t>
  </si>
  <si>
    <t>57Wh</t>
  </si>
  <si>
    <t>83LK0070DP</t>
  </si>
  <si>
    <t>Alienware 16X Aurora AC16251</t>
  </si>
  <si>
    <t>Intel Core Ultra 7 255HX</t>
  </si>
  <si>
    <t>16" WQXGA,240Hz, 3ms, ComfortView Plus, NVIDIA G-SYNC and Advanced Optimus, 100% DCIP-3</t>
  </si>
  <si>
    <t>1-Zone AlienFX RGB Keyboard, E nglish International</t>
  </si>
  <si>
    <t>6-Cell Battery, 96 Whr (Integr ated), 180W Adapter</t>
  </si>
  <si>
    <t>‎Blue</t>
  </si>
  <si>
    <t>30MB cache, 20 co res, 1.8 to 5.2 GHz P-Core</t>
  </si>
  <si>
    <t>NVIDIA® GeForce RTX™ 5070, 8GB</t>
  </si>
  <si>
    <t>16" WQXGA 240Hz, 3ms, ComfortView Plus, NVIDIA G-SYNC and Advanced Optimus, 100% DCIP-3</t>
  </si>
  <si>
    <t>6-Cell Battery, 96 Whr (Integr ated) 280W Adapter</t>
  </si>
  <si>
    <t>Blue</t>
  </si>
  <si>
    <t>36MB cache, 24 cores, 2.1 to 5.4 GHz P-Core</t>
  </si>
  <si>
    <t>NVIDIA® GeForce RTX™ 5060, 8GB</t>
  </si>
  <si>
    <t>1 TB, M.2, PCIe NVMe, SSD</t>
  </si>
  <si>
    <t>16", WQXGA, 240Hz, 100% DCI-P3, ComfortView Plus, G-SYNC</t>
  </si>
  <si>
    <t>1080p at 30 fps, FHD RGB-IR HDR camera, Dual-array microphones</t>
  </si>
  <si>
    <t>2 USB 3.2 Gen 1 (5 Gbps) ports 1 USB 3.2 Gen 2 (10 Gbps) Type-C® port with Power Delivery 1 Thunderbolt™ 4 (40 Gbps) port with DisplayPort™ 2.1 1 HDMI 2.1 port with Discrete Graphics Controller Direct Output  1 universal audio jack (RCA, 3.5 mm) 1 RJ45 et</t>
  </si>
  <si>
    <t>Legion 5 15IAX10</t>
  </si>
  <si>
    <t>2x 16GB SO-DIMM DDR5-5600</t>
  </si>
  <si>
    <t>2x USB-A (USB 5Gbps / USB 3.2 Gen 1) 1x USB-A (USB 5Gbps / USB 3.2 Gen 1), Always On 1x USB-C® (USB 10Gbps / USB 3.2 Gen 2), with USB PD 65-100W and DisplayPort™ 2.1 1x USB-C® (Thunderbolt™ 4 / USB4® 40Gbps), with DisplayPort™ 2.1 1x HDMI® 2.1, up to 8K/6</t>
  </si>
  <si>
    <t>83F0004AED</t>
  </si>
  <si>
    <t>83LY00DRED</t>
  </si>
  <si>
    <t>ROG Strix G16 G614PR-RV009W</t>
  </si>
  <si>
    <t>32GB DDR5-5200 SO-DIMM x 2</t>
  </si>
  <si>
    <t>TUF Gaming A14 FA401UV-RG020W</t>
  </si>
  <si>
    <t>16GB 8GB*2 LPDDR5X 7500 on board,</t>
  </si>
  <si>
    <t>Alienware 16 Aurora</t>
  </si>
  <si>
    <t>Alienware White Backlit Keyboard, English US</t>
  </si>
  <si>
    <t>24MB cache, 1 0 cores, 1.80 to 5.20 GHz P-Core</t>
  </si>
  <si>
    <t>Intel Core i5-13450HX</t>
  </si>
  <si>
    <t>24GB 2x 12GB SO-DIMM DDR5-4800</t>
  </si>
  <si>
    <t>White Backlit, English (UK)</t>
  </si>
  <si>
    <t>83DV00UMPS</t>
  </si>
  <si>
    <t>Thin 15 B13UCX</t>
  </si>
  <si>
    <t>Intel Core I5 13420H</t>
  </si>
  <si>
    <t>NVIDIA® GeForce RTX™ 2050 Laptop GPU</t>
  </si>
  <si>
    <t>512GB NVMe PCIe SSD Gen4x4</t>
  </si>
  <si>
    <t>15.6" FHD, 144Hz 45%NTSC IPS-Level</t>
  </si>
  <si>
    <t>1920X1080</t>
  </si>
  <si>
    <t>3 cell, 53.5Whr</t>
  </si>
  <si>
    <t>9S7-16R831-2891</t>
  </si>
  <si>
    <t>NVIDIA® GeForce RTX™ 5090 Laptop GPU</t>
  </si>
  <si>
    <t>GDDR7 24GB</t>
  </si>
  <si>
    <t>DDR5 6400MHz 32GB*2</t>
  </si>
  <si>
    <t>16:10 UHD, MiniLED, 120Hz, 100% DCI-P3 (Typ.), IPS-Level panel</t>
  </si>
  <si>
    <t>Per-Key RGB gaming keyboard by SteelSeries</t>
  </si>
  <si>
    <t>4 cell, 99.99Whr</t>
  </si>
  <si>
    <t>Victus 15-fa1015nia</t>
  </si>
  <si>
    <t>1 TB PCIe® NVMe™ SSD</t>
  </si>
  <si>
    <t>15.6" diagonal, FHD, 144 Hz, 9 ms response time, IPS, micro-edge, anti-glare, 250 nits, 45% NTSC 3</t>
  </si>
  <si>
    <t>4-cell, 70 Wh Li-ion polymer ( 6)</t>
  </si>
  <si>
    <t>1 USB Type-A 5Gbps signaling rate; 1 USB Type-A 5Gbps signaling rate (HP Sleep and Charge); 1 USB Type-C® 5Gbps signaling rate (DisplayPort™ 1.4, HP Sleep and Charge); 1 HDMI 2.1; 1 RJ-45; 1 AC smart pin; 1 headphone/microphone combo 12</t>
  </si>
  <si>
    <t>801T7EA</t>
  </si>
  <si>
    <t>Victus 15-fa2013dx</t>
  </si>
  <si>
    <t>68.8 x 519 x 304 mm</t>
  </si>
  <si>
    <t>3.35kg</t>
  </si>
  <si>
    <t>B95WHUA</t>
  </si>
  <si>
    <t>V16 V3607VJ-RP007W</t>
  </si>
  <si>
    <t>16GB DDR5 SO-DIMM</t>
  </si>
  <si>
    <t>16.0-inch, WUXGA 16:10 aspect ratio, LED Backlit, 144Hz refresh rate, 300nits, 45% NTSC color gamut, Anti-glare display, Non-touch screen, (Screen-to-body ratio)89%</t>
  </si>
  <si>
    <t>Backlit Chiclet Keyboard with Num-key, 1.5mm Key-travel, Precision touchpad</t>
  </si>
  <si>
    <t>63WHrs, 3S1P, 3-cell Li-ion</t>
  </si>
  <si>
    <t>1080p FHD camera With privacy shutter</t>
  </si>
  <si>
    <t>1x USB 3.2 Gen 1 Type-C with support for display / power delivery (data speed up to 5Gbps) 2x USB 3.2 Gen 1 Type-A (data speed up to 5Gbps) 1x HDMI 2.1 FRL 1x 3.5mm Combo Audio Jack 1x DC-in</t>
  </si>
  <si>
    <t>357 x 250.7 x 18 ~ 22 mm</t>
  </si>
  <si>
    <t>1.95 kg</t>
  </si>
  <si>
    <t>2.5 GHz (24MB Cache, up to 5.2 GHz, 10 cores, 16 Threads)</t>
  </si>
  <si>
    <t>83GS00ANPS</t>
  </si>
  <si>
    <t>83GS00K8IN</t>
  </si>
  <si>
    <t>Victus 15-FA1021NIA</t>
  </si>
  <si>
    <t>3579 x 255 x 235 mm</t>
  </si>
  <si>
    <t>801U0EA</t>
  </si>
  <si>
    <t>83JE00DBED</t>
  </si>
  <si>
    <t>Lenovo Legion Pro 5 16IAX10H</t>
  </si>
  <si>
    <t>NVIDIA® GeForce RTX™ 5070 Ti 12GB</t>
  </si>
  <si>
    <t>1TB SSD M.2 2242 PCIe® 4.0x4 NVMe</t>
  </si>
  <si>
    <t>16" WQXGA (2560x1600) OLED 500nits Glossy, 100% DCI-P3, 165Hz, DisplayHDR™ True Black 1000, Dolby Vision®, G-SYNC®</t>
  </si>
  <si>
    <t>2x USB-A (USB 5Gbps / USB 3.2 Gen 1) 1x USB-A (USB 10Gbps / USB 3.2 Gen 2), Always On 1x USB-C® (USB 10Gbps / USB 3.2 Gen 2), with USB PD 65-100W and DisplayPort™ 2.1 1x USB-C® (Thunderbolt™ 4 / USB4® 40Gbps), with DisplayPort™ 2.1 1x HDMI® 2.1, up to 8K/</t>
  </si>
  <si>
    <t>1Year</t>
  </si>
  <si>
    <t>83LU0007US</t>
  </si>
  <si>
    <t>300W Slim Tip (3-pin)</t>
  </si>
  <si>
    <t>Legion Pro 5 16IRX9</t>
  </si>
  <si>
    <t>4-Zone RGB Backlit, English (US)</t>
  </si>
  <si>
    <t>FHD 1080p with Privacy Shutter</t>
  </si>
  <si>
    <t>1x USB-A (USB 5Gbps / USB 3.2 Gen 1), Always On 3x USB-A (USB 5Gbps / USB 3.2 Gen 1) 1x USB-C® (USB 10Gbps / USB 3.2 Gen 2), with Lenovo® PD 140W and DisplayPort™ 1.4 1x USB-C® (USB 10Gbps / USB 3.2 Gen 2), with DisplayPort™ 1.4 1x HDMI® 2.1, up to 8K/60H</t>
  </si>
  <si>
    <t>363.4 x 261.75 x 21.99-26.95 mm</t>
  </si>
  <si>
    <t>2.5 kg</t>
  </si>
  <si>
    <t>Onyx Grey</t>
  </si>
  <si>
    <t>83DF00APUS</t>
  </si>
  <si>
    <t>Crosshair 16 HX AI D2XWFKG</t>
  </si>
  <si>
    <t>16" Inch 16:10 QHD+, 240Hz, 100% DCI-P3, IPS-level panel</t>
  </si>
  <si>
    <t>4-Cell 90Whr Battery (Whr)</t>
  </si>
  <si>
    <t>359 x 266.4 x 21.8-27.9 mm</t>
  </si>
  <si>
    <t>Crosshair 16 HX AI D2XWGKG</t>
  </si>
  <si>
    <t>ROG Strix G16 G614FR-G4032W</t>
  </si>
  <si>
    <t>32GB (16GB DDR5-5600 SO-DIMM, *2)</t>
  </si>
  <si>
    <t>16-inch 2.5K WQXGA 16:10 aspect ratio Refresh Rate: 240Hz Response Time (G2G): 3ms Viewing Angle: 170 Panel Tech: IPS-level Brightness: 500nits Contrast Ratio: 1200:1 DCI-P3 %: 100% Anti-glare display G-Sync Pantone Validated ROG Nebula Display Support Do</t>
  </si>
  <si>
    <t>Backlit Chiclet Keyboard Per-Key RGB   With Copilot key</t>
  </si>
  <si>
    <t>Volt Green</t>
  </si>
  <si>
    <t>90NR0NK8-M008B0</t>
  </si>
  <si>
    <t>Intel Core i7-12650HX</t>
  </si>
  <si>
    <t>14C (6P + 8E) / 20T, P-core up to 4.7GHz, E-core up to 3.3GHz, 24MB</t>
  </si>
  <si>
    <t>83LK0061ED</t>
  </si>
  <si>
    <t>TUF Gaming F16 FX607VU-RL007W</t>
  </si>
  <si>
    <t>2.4 GHz (24M Cache, up to 4.9 GHz, 10 cores: 6 P-cores and 4 E-cores)</t>
  </si>
  <si>
    <t>90NR0N06-M00710</t>
  </si>
  <si>
    <t>TUF Gaming F16 FX607VJ-RL165W</t>
  </si>
  <si>
    <t>16GB DDR4</t>
  </si>
  <si>
    <t>90NR0MZ6-M000S0</t>
  </si>
  <si>
    <t>ProArt P16 H7606WP-ME021X</t>
  </si>
  <si>
    <t>64GB LPDDR5X on board</t>
  </si>
  <si>
    <t>2TB M.2 NVMe PCIe 4.0 SSD</t>
  </si>
  <si>
    <t>16.0-inch 4K OLED 16:10 aspect ratio 0.2ms response time Brightness 400nits 100% DCI-P3 color gamut Contrast ratio 1,000,000 Screen-to-body ratio 88% stylus support</t>
  </si>
  <si>
    <t>60 Hz</t>
  </si>
  <si>
    <t>Backlit Chiclet Keyboard</t>
  </si>
  <si>
    <t>FHD camera with IR function to support Windows Hello</t>
  </si>
  <si>
    <t>1x USB 3.2 Gen 2 Type-C with support for display / power delivery (data speed up to 10Gbps) 1x USB 4.0 Gen 3 Type-C with support for display / power delivery (data speed up to 40Gbps) 2x USB 3.2 Gen 2 Type-A (data speed up to 10Gbps) 1x HDMI 2.1 FRL 1x 3.</t>
  </si>
  <si>
    <t>354.9 x 246.9 x 14.9 ~ 17.3 mm</t>
  </si>
  <si>
    <t>1.85 kg</t>
  </si>
  <si>
    <t>Nano Black</t>
  </si>
  <si>
    <t>2.0GHz (36MB Cache, up to 5.1GHz, 12 cores, 24 Threads); AMD XDNA NPU up to 50TOPS</t>
  </si>
  <si>
    <t>90NB15K1-M001L0</t>
  </si>
  <si>
    <t>83LK0071ED</t>
  </si>
  <si>
    <t>Vivobook 16X K3605VC-RP005W</t>
  </si>
  <si>
    <t>Nvidia GeForce RTX 3050 4GB</t>
  </si>
  <si>
    <t>16GB 8GB DDR4 on board 8GB DDR4 SO-DIMM</t>
  </si>
  <si>
    <t>Backlit Chiclet Keyboard with Num-key, 1.4mm Key-travel, Precision touchpad</t>
  </si>
  <si>
    <t>Silver</t>
  </si>
  <si>
    <t>2.1 GHz (12MB Cache, up to 4.6 GHz, 8 cores, 12 Threads)</t>
  </si>
  <si>
    <t>90NB11D2-M00KX0</t>
  </si>
  <si>
    <t>Victus 15-FA1095NE</t>
  </si>
  <si>
    <t>39.6 cm (15.6") diagonal, FHD (1920 x 1080), IPS, micro-edge, anti-glare, 250 nits, 45% NTSC</t>
  </si>
  <si>
    <t>Full-size, backlit, ceramic white keyboard with numeric keypad</t>
  </si>
  <si>
    <t>Ceramic white</t>
  </si>
  <si>
    <t>80S93EA</t>
  </si>
  <si>
    <t>83JE00D5ED</t>
  </si>
  <si>
    <t>83JE00DAED</t>
  </si>
  <si>
    <t>Victus 15-FA1097NE</t>
  </si>
  <si>
    <t>16GB DDR4-3200 MT/s (2 x 8 GB)</t>
  </si>
  <si>
    <t>86J65EA</t>
  </si>
  <si>
    <t>Victus 16-R0050NIA</t>
  </si>
  <si>
    <t>40.9 cm (16.1") diagonal, FHD (1920 x 1080), 144 Hz, IPS, micro-edge, anti-glare, 250 nits, 45% NTSC</t>
  </si>
  <si>
    <t>369 x 259.4 x 23.9 mm</t>
  </si>
  <si>
    <t>Performance Blue</t>
  </si>
  <si>
    <t>81Q08EA</t>
  </si>
  <si>
    <t>16GB DDR5-5600 2*8</t>
  </si>
  <si>
    <t>16" 16:10 FHD+(1920 x 1200), 144Hz, IPS-level panel</t>
  </si>
  <si>
    <t>Victus 15-FA1007NE</t>
  </si>
  <si>
    <t>7Q771EA</t>
  </si>
  <si>
    <t>Victus16-r1029nia</t>
  </si>
  <si>
    <t>Nvida GeForce RTX 3050</t>
  </si>
  <si>
    <t>A92QPEA</t>
  </si>
  <si>
    <t>AMD Ryzen™ 5 7235HS</t>
  </si>
  <si>
    <t>4C / 8T, 3.2 / 4.2GHz, 2MB L2 / 8MB L3</t>
  </si>
  <si>
    <t>83JC0001US</t>
  </si>
  <si>
    <t>83DV010KED</t>
  </si>
  <si>
    <t>ROG Strix G16 G615LR-GR132W</t>
  </si>
  <si>
    <t>1920x1200</t>
  </si>
  <si>
    <t>90NR0LR1-M008Z0</t>
  </si>
  <si>
    <t>ROG Zephyrus G14 GA403WR-WH320W</t>
  </si>
  <si>
    <t>AMD Ryzen™ AI 9 HX 370</t>
  </si>
  <si>
    <t>Nvidia GeForce RTX 5070 Ti</t>
  </si>
  <si>
    <t>14-inch 3K OLED 16:10 aspect ratio 120Hz</t>
  </si>
  <si>
    <t>2880 x 1800</t>
  </si>
  <si>
    <t>Backlit Chiclet Keyboard 1-Zone RGB</t>
  </si>
  <si>
    <t>1x Type-C USB 4 with support for DisplayPort™ / power delivery (data speed up to 40Gbps) 1x USB 3.2 Gen 2 Type-C with support for DisplayPort™ / power delivery / G-SYNC (data speed up to 10Gbps) 2x USB 3.2 Gen 2 Type-A (data speed up to 10Gbps) 1x card re</t>
  </si>
  <si>
    <t>311 x 220 x 15.9 x18.3 mm</t>
  </si>
  <si>
    <t>1.57 Kg</t>
  </si>
  <si>
    <t>White</t>
  </si>
  <si>
    <t>90NR0M54-M005A0</t>
  </si>
  <si>
    <t>ROG Strix SCAR 18 G835LW-AI642W</t>
  </si>
  <si>
    <t>64GB</t>
  </si>
  <si>
    <t>ROG Nebula HDR Display 18-inch 2.5K (2560 x 1600, WQXGA) 16:10 aspect ratio Mini LED Anti-glare display DCI-P3: 100% Refresh Rate: 240Hz G-Sync Pantone Validated MUX Switch + NVIDIA® Advanced Optimus Support Dolby Vision HDR : Yes</t>
  </si>
  <si>
    <t>Chiclet keyboard with per-key RGB backlighting</t>
  </si>
  <si>
    <t>4-cell 90Wh 4S1P lithium-ion battery</t>
  </si>
  <si>
    <t>399 x 298 x 23.5 ~ 32 mm</t>
  </si>
  <si>
    <t>Off Black</t>
  </si>
  <si>
    <t>ROG Zephyrus G14 GA403WR-GR320W</t>
  </si>
  <si>
    <t>90NR0M53-M00690</t>
  </si>
  <si>
    <t>ROG Zephyrus G16 GU605CW-WH164W</t>
  </si>
  <si>
    <t>ROG Nebula Display 16-inch 2.5K (2560 x 1600, WQXGA) OLED 16:10 aspect ratio OLED glossy display DCI-P3: 100% Refresh Rate: 240Hz G-Sync Pantone Validated MUX Switch + NVIDIA® Advanced Optimus Support Dolby Vision HDR : Yes</t>
  </si>
  <si>
    <t>1x 3.5mm Combo Audio Jack 1x HDMI 2.1 FRL 1x USB 3.2 Gen 2 Type-C support displayport / power delivery / G-SYNC 2x USB 3.2 Gen 2 Type-A (data speed up to 10Gbps) 1x Thunderbolt™ 4 with support for DisplayPort™ / power delivery (data speed up to 40Gbps) 1x</t>
  </si>
  <si>
    <t>354 x 246 x 14.9 ~ 17.4 mm</t>
  </si>
  <si>
    <t>90NR0LX6-M00980</t>
  </si>
  <si>
    <t>Intel Core i5-12600HX</t>
  </si>
  <si>
    <t>12C (4P + 8E) / 16T, P-core up to 4.6GHz, E-core up to 3.3GHz, 18MB</t>
  </si>
  <si>
    <t>83GS00RXED</t>
  </si>
  <si>
    <t>Vector 16 HX A13VHG</t>
  </si>
  <si>
    <t>Intel Core I9-13980HX</t>
  </si>
  <si>
    <t>Nvidia GeForce RTX 4080 12GB</t>
  </si>
  <si>
    <t>12GB</t>
  </si>
  <si>
    <t>16" FHD+(1920 x 1200), 144Hz, IPS-level</t>
  </si>
  <si>
    <t>1x Thunderbolt™ 4 (DisplayPort™) 1x Type-C (USB3.2 Gen2 / DisplayPort™) 1x Type-C (USB3.2 Gen2 / DisplayPort™/ Power Delivery 3.0) 1x Type-A USB3.2 Gen1 1x Type-A USB3.2 Gen2 1x SD Express Card Reader 1x HDMI™ 2.1 (8K @ 60Hz / 4K @ 120Hz) 1x RJ45</t>
  </si>
  <si>
    <t>36M Cache, up to 5.60 GHz</t>
  </si>
  <si>
    <t>Victus 16-R0328TX</t>
  </si>
  <si>
    <t>Intel Core i7-13700HX</t>
  </si>
  <si>
    <t>16 GB DDR5-4800 MT/s (2 x 8 GB)</t>
  </si>
  <si>
    <t>40.9 cm (16.1") diagonal, FHD, 144 Hz, IPS, micro-edge, anti-glare, 250 nits, 45% NTSC</t>
  </si>
  <si>
    <t>up to 5.0 GHz with Intel® Turbo Boost Technology, 30 MB L3 cache, 16 cores, 24 threads</t>
  </si>
  <si>
    <t>AP0P8PA</t>
  </si>
  <si>
    <t>Intel Core i9-13900HX</t>
  </si>
  <si>
    <t>32GB DDR5, 2x16GB, 4800MT/s</t>
  </si>
  <si>
    <t>1TB, M.2, PCIe NVMe, SSD</t>
  </si>
  <si>
    <t>15.6" FHD 165Hz, 3ms, sRGB-100%, ComfortViewPlus ,NVIDIA G-SYNC+DDS Display</t>
  </si>
  <si>
    <t>US English Orange Backlit Keyboard with Numeric Keypad and G-Key</t>
  </si>
  <si>
    <t>Dark Shadow Gray with Black thermal shelf</t>
  </si>
  <si>
    <t>36 MB cache, 2 4 core, up to 5.40 GHz</t>
  </si>
  <si>
    <t>Victus 16-R0049NIA</t>
  </si>
  <si>
    <t>81Q07EA</t>
  </si>
  <si>
    <t>Victus 16-R0022NE</t>
  </si>
  <si>
    <t>16 GB DDR5-5200 MT/s (2 x 8</t>
  </si>
  <si>
    <t>40.9 cm (16.1") diagonal, FHD, 144 Hz, IPS, micro-edge, anti-glare, 250 nits, 45% NTS</t>
  </si>
  <si>
    <t>4-cell, 70 Wh Li-ion poly</t>
  </si>
  <si>
    <t>81P64EA</t>
  </si>
  <si>
    <t>Victus 15-FA1006NE</t>
  </si>
  <si>
    <t>7Q770EA</t>
  </si>
  <si>
    <t>Legion 5 15ITH6H</t>
  </si>
  <si>
    <t>Intel Core I7-11800H</t>
  </si>
  <si>
    <t>Nvidia GeForce RTX 3070 8GB</t>
  </si>
  <si>
    <t>16GB 2x 8GB SO-DIMM DDR4-3200</t>
  </si>
  <si>
    <t>15.6" FHD IPS 300nits Anti-glare, 100% sRGB, 165Hz, Dolby Vision®, G-SYNC®</t>
  </si>
  <si>
    <t>1x HDMI® 2.1 1x USB 3.2 Gen 1 (Always On) 3x USB 3.2 Gen 1 1x Thunderbolt™ 4 / USB4® 40Gbps (support data transfer and DisplayPort™ 1.4) 1x Thunderbolt™ 4 / USB4® 40Gbps (support data transfer, Power Delivery and DisplayPort™ 1.4) 1x Headphone / microphon</t>
  </si>
  <si>
    <t>362.56 x 260.61 x 22.5-25.75 mm</t>
  </si>
  <si>
    <t>Phantom Blue (Top), Shadow Black (Bottom)</t>
  </si>
  <si>
    <t>11th generation</t>
  </si>
  <si>
    <t>8C / 16T, 2.3 / 4.6GHz, 24MB</t>
  </si>
  <si>
    <t>82JH00CWED</t>
  </si>
  <si>
    <t>Legion Pro 5 16IRX8</t>
  </si>
  <si>
    <t>Intel Core I9-13900HX</t>
  </si>
  <si>
    <t>512GB SSD M.2 2280 PCIe® 4.0x4 NVMe®</t>
  </si>
  <si>
    <t>16" WQXGA IPS 300nits Anti-glare, 100% sRGB, 165Hz, Dolby Vision®, G-SYNC®, Low Blue Light</t>
  </si>
  <si>
    <t>1x USB 3.2 Gen 1 (Always On) 3x USB 3.2 Gen 1 1x USB-C® 3.2 Gen 2 (support data transfer and DisplayPort™ 1.4) 1x USB-C® 3.2 Gen 2 (support data transfer, Lenovo® Power Delivery 140W and DisplayPort™ 1.4) 1x HDMI® 2.1, up to 8K/60Hz 1x Headphone / microph</t>
  </si>
  <si>
    <t>363.4 x 260.35 x 22.45-26.75 mm</t>
  </si>
  <si>
    <t>2.55 kg</t>
  </si>
  <si>
    <t>24C (8P + 16E) / 32T, P-core 2.2 / 5.4GHz, E-core 1.6 / 3.9GHz, 36MB</t>
  </si>
  <si>
    <t>82WK00NUAX</t>
  </si>
  <si>
    <t>IdeaPad Pro 5 16IMH9</t>
  </si>
  <si>
    <t>Intel Core Ultra 7 155H</t>
  </si>
  <si>
    <t>16GB Soldered LPDDR5x-7467</t>
  </si>
  <si>
    <t>16" 2K (2048x1280) OLED 400nits Glossy, 100% DCI-P3, 120Hz, Eyesafe®, DisplayHDR™ True Black 500</t>
  </si>
  <si>
    <t>2048 x 1280</t>
  </si>
  <si>
    <t>Backlit, Arabic</t>
  </si>
  <si>
    <t>84Wh</t>
  </si>
  <si>
    <t>FHD 1080p + IR with Privacy Shutter, ToF Sensor</t>
  </si>
  <si>
    <t>1x USB-A (USB 5Gbps / USB 3.2 Gen 1) 1x USB-A (USB 5Gbps / USB 3.2 Gen 1), Always On 1x USB-C® (USB 20Gbps / USB 3.2 Gen 2x2), with USB PD 3.0 and DisplayPort™ 2.1 1x USB-C® (Thunderbolt™ 4 / USB4® 40Gbps), with USB PD 3.0 and DisplayPort™ 2.1 1x HDMI® 2.</t>
  </si>
  <si>
    <t>356 x 251 x 17.5 mm</t>
  </si>
  <si>
    <t>1.94 kg</t>
  </si>
  <si>
    <t>Arctic Grey</t>
  </si>
  <si>
    <t>16C (6P + 8E + 2LPE) / 22T, Max Turbo up to 4.8GHz, 24MB</t>
  </si>
  <si>
    <t>83D40031ED</t>
  </si>
  <si>
    <t>Legion 5 15ACH6A</t>
  </si>
  <si>
    <t>AMD Radeon RX 6600M 8GB</t>
  </si>
  <si>
    <t>1TB SSD M.2 2280 PCIe® 3.0x4 NVMe®</t>
  </si>
  <si>
    <t>15.6" FHD IPS 300nits Anti-glare, 100% sRGB, 165Hz, Dolby Vision®, FreeSync™</t>
  </si>
  <si>
    <t>Blue Backlit, Arabic</t>
  </si>
  <si>
    <t>1x Ethernet (RJ-45) 1x HDMI® 2.1 1x Headphone / microphone combo jack (3.5mm) 1x Power connector 1x USB 3.2 Gen 1 (Always On) 1x USB-C® 3.2 Gen 2 (support data transfer and DisplayPort™ 1.4) 1x USB-C® 3.2 Gen 2 (support data transfer, Power Delivery and D</t>
  </si>
  <si>
    <t>Stingray (Top), Dove Grey (Bottom)</t>
  </si>
  <si>
    <t>82NW004LED</t>
  </si>
  <si>
    <t>TUF Gaming F16 FX607VU-RL165W</t>
  </si>
  <si>
    <t>TUF Gaming F15 FX507ZI4-LP34W</t>
  </si>
  <si>
    <t>Intel Core I7-12700H</t>
  </si>
  <si>
    <t>16GB DDR4-3200 SO-DIMM</t>
  </si>
  <si>
    <t>512GB SSD</t>
  </si>
  <si>
    <t>15.6-inch, FHD IPS-level, Anti-glare Refresh Rate: 144Hz G-Sync support, MUX Switch, NVIDIA® Advanced Optimus</t>
  </si>
  <si>
    <t>14 cores (6 performance cores + 8 efficiency cores) Base Clock: 2.3 GHz Max Boost Clock: Up to 4.7 GHz Cache: 24MB</t>
  </si>
  <si>
    <t>Legion 5 16IRX9</t>
  </si>
  <si>
    <t>16" WQXGA IPS 350nits Anti-glare, 100% sRGB, 165Hz, Dolby Vision®, G-SYNC®, Low Blue Light</t>
  </si>
  <si>
    <t>2x USB-A (USB 5Gbps / USB 3.2 Gen 1) 1x USB-A (USB 5Gbps / USB 3.2 Gen 1), Always On 1x USB-C® (USB 10Gbps / USB 3.2 Gen 2), with Lenovo® PD 140W and DisplayPort™ 1.4 1x USB-C® (USB 10Gbps / USB 3.2 Gen 2), with DisplayPort™ 1.4 1x HDMI® 2.1, up to 8K/60H</t>
  </si>
  <si>
    <t>359.7 x 262.3 x 19.7-25.2 mm</t>
  </si>
  <si>
    <t>2.36 kg</t>
  </si>
  <si>
    <t>83DG004JUS</t>
  </si>
  <si>
    <t>Thin A15 B7UC</t>
  </si>
  <si>
    <t>NVIDIA® GeForce RTX™ 3050 4GB</t>
  </si>
  <si>
    <t>Thin 15 A B7VE</t>
  </si>
  <si>
    <t>Thin 15 B12UCX</t>
  </si>
  <si>
    <t>Intel Core i5-12450H</t>
  </si>
  <si>
    <t>8GB DDR4-3200</t>
  </si>
  <si>
    <t>512GB SSD slot (NVMe PCIe Gen4</t>
  </si>
  <si>
    <t>15.6" FHD , 144Hz, IPS-Level</t>
  </si>
  <si>
    <t>Thin 15 B13VE</t>
  </si>
  <si>
    <t>16GB DDR4-3200</t>
  </si>
  <si>
    <t>15.6" Full HD , 144 Hz Refresh Rate, IPS-Level panel</t>
  </si>
  <si>
    <t>16-r0042ne</t>
  </si>
  <si>
    <t>16 GB DDR5-5200 MT/s (2 x 8 GB)  (Transfer rates up to 5200 MT/s.)</t>
  </si>
  <si>
    <t>81P94EA</t>
  </si>
  <si>
    <t>OMEN 16-AE0073CL</t>
  </si>
  <si>
    <t>Intel Core I7-14650HX</t>
  </si>
  <si>
    <t>32 GB DDR5-5600 MHz RAM (2 x 16 GB)</t>
  </si>
  <si>
    <t>16.1" diagonal FHD IPS 144HZ display</t>
  </si>
  <si>
    <t>9R8T5UA</t>
  </si>
  <si>
    <t>ROG Zephyrus G16 GA605WI-QR050W</t>
  </si>
  <si>
    <t>NVIDIA® GeForce RTX™ 4070 8GB</t>
  </si>
  <si>
    <t>32GB 16GB*2 LPDDR5X on board</t>
  </si>
  <si>
    <t>ROG Nebula Display 16-inch 2.5K (2560 x 1600, WQXGA) 16:10 aspect ratio OLED glossy display DCI-P3: 100% Refresh Rate: 240Hz Response Time: 0.2ms G-Sync Pantone Validated MUX Switch + NVIDIA® Advanced Optimus Support Dolby Vision HDR : Yes</t>
  </si>
  <si>
    <t>1x 3.5mm Combo Audio Jack 1x HDMI 2.1 FRL 2x USB 3.2 Gen 2 Type-A (data speed up to 10Gbps) 1x USB 3.2 Gen 2 Type-C with support for DisplayPort™ / power delivery (data speed up to 10Gbps) 1x Type-C USB 4 with support for DisplayPort™ / power delivery (da</t>
  </si>
  <si>
    <t>354 x 246 x 14.9 ~ 16.4 mm</t>
  </si>
  <si>
    <t>90NR0J91-M002K0</t>
  </si>
  <si>
    <t>ProArt P16 H7606WI-ME058W</t>
  </si>
  <si>
    <t>2TB M.2 NVMe™ PCIe® 4.0 SSD</t>
  </si>
  <si>
    <t>16.0-inch, 4K OLED 16:10 aspect ratio, Touch screen, 0.2ms response time, 60Hz refresh rate, 400nits, 500nits HDR peak brightness, 100% DCI-P3 color gamut, 1,000,000:1, VESA CERTIFIED Display HDR True Black 500, 1.07 billion colors, PANTONE Validated,</t>
  </si>
  <si>
    <t>Backlit Chiclet Keyboard, 1.7mm Key-travel</t>
  </si>
  <si>
    <t>1x USB 3.2 Gen 2 Type-C with support for display / power delivery (data speed up to 10Gbps) 1x USB 4.0 Gen 3 Type-C with support for display / power delivery (data speed up to 40Gbps) 2x USB 3.2 Gen 2 Type-A (data speed up to 10Gbps) 1x HDMI 2.1 FRL 1x 3</t>
  </si>
  <si>
    <t>354.9 x 246.9 x 14.9 mm</t>
  </si>
  <si>
    <t>90NB1421-M00830</t>
  </si>
  <si>
    <t>TUF Gaming A14 FA401WU-RG037W</t>
  </si>
  <si>
    <t>90NR0J11-M002T0</t>
  </si>
  <si>
    <t>4-Zone RGB Backlit, English</t>
  </si>
  <si>
    <t>83DG0099CC</t>
  </si>
  <si>
    <t>83DV00YQAX</t>
  </si>
  <si>
    <t>NVIDIA® GeForce RTX™ 4070 8GB GDDR6</t>
  </si>
  <si>
    <t>16" WQXGA IPS 300nits Anti-glare, 100% sRGB, 165Hz, Dolby Vision®, G-SYNC®, Low Blue Light, High Gaming Performance</t>
  </si>
  <si>
    <t>83DF00ATUS</t>
  </si>
  <si>
    <t>83LK0070ED</t>
  </si>
  <si>
    <t>16GB SO-DIMM DDR5-4800</t>
  </si>
  <si>
    <t>32GB Soldered LPDDR5x-7467</t>
  </si>
  <si>
    <t>16" 2K OLED 400nits Glossy, 100% DCI-P3, 120Hz, Eyesafe®, DisplayHDR™ True Black 500, Glass, Touch</t>
  </si>
  <si>
    <t>2048x1280</t>
  </si>
  <si>
    <t>Backlit, English (US)</t>
  </si>
  <si>
    <t>Integrated 84Wh</t>
  </si>
  <si>
    <t>16C (6P + 8E + 2LPE) / 22T, Max Turbo up to 5.1GHz, 24MB</t>
  </si>
  <si>
    <t>83D4001HUS</t>
  </si>
  <si>
    <t>2x 8GB SO-DIMM DDR5-4800</t>
  </si>
  <si>
    <t>83DG00EEUS</t>
  </si>
  <si>
    <t>912K6AV</t>
  </si>
  <si>
    <t>83DF0064AX</t>
  </si>
  <si>
    <t>Victus 15-FA1002NE</t>
  </si>
  <si>
    <t>7Q766EA</t>
  </si>
  <si>
    <t>Victus 15-fa1041ne</t>
  </si>
  <si>
    <t>15.6" diagonal, FHD , 144 Hz, 9 ms response time, IPS, micro-edge, anti-glare, 250 nits, 45% NTSC 3</t>
  </si>
  <si>
    <t>83DF00FRED</t>
  </si>
  <si>
    <t>16GB 2x 8GB SO-DIMM DDR5-4800</t>
  </si>
  <si>
    <t>83JC009CUS</t>
  </si>
  <si>
    <t>83DV00FXUS</t>
  </si>
  <si>
    <t>Sword 17 HX B14VGKG</t>
  </si>
  <si>
    <t>17" 16:10 QHD+(2560 x 1600), 240Hz, 100% DCI-P3, IPS-level panel</t>
  </si>
  <si>
    <t>24-Zone RGB Gaming Keyboard</t>
  </si>
  <si>
    <t>4 cell, 65Whr</t>
  </si>
  <si>
    <t>383.2 x 279.9 x 22.2-27.3 mm</t>
  </si>
  <si>
    <t>2.6 kg</t>
  </si>
  <si>
    <t>30M Cache, up to 5.20 GHz</t>
  </si>
  <si>
    <t>9S7-17T214-236</t>
  </si>
  <si>
    <t>Katana 15 B13VFK</t>
  </si>
  <si>
    <t>Intel Core I9-13900H</t>
  </si>
  <si>
    <t>32GB 16GB DDR5 x 2</t>
  </si>
  <si>
    <t>9S7-158571-2229</t>
  </si>
  <si>
    <t>CYBORG 15 A13UDX</t>
  </si>
  <si>
    <t>I5-13420H</t>
  </si>
  <si>
    <t>16GB - DDR5</t>
  </si>
  <si>
    <t>512GB 1x M.2 SSD slot</t>
  </si>
  <si>
    <t>3-Cell</t>
  </si>
  <si>
    <t>1x Type-C (USB3.2 Gen1 / DisplayPort™)  2x Type-A USB3.2 Gen1  1x HDMI™ 2.1 (4K @ 60Hz)  1x RJ45</t>
  </si>
  <si>
    <t>359.36 x 250.34 x 21.95-22.9 mm</t>
  </si>
  <si>
    <t>8C, 12T, 12MB  upto 4.6GHz</t>
  </si>
  <si>
    <t>Sword 16 HX B13VFKG</t>
  </si>
  <si>
    <t>Intel Core i7 -13700HX</t>
  </si>
  <si>
    <t>NVIDIA GeForce RTX 4060</t>
  </si>
  <si>
    <t>GDDR6 8GB</t>
  </si>
  <si>
    <t>16GB  2*8 DDR5</t>
  </si>
  <si>
    <t>Up to 13th Gen Intel® Core™ i7 HX Processor</t>
  </si>
  <si>
    <t>Vector 16 HX A14VHG</t>
  </si>
  <si>
    <t>NVIDIA GeForce RTX 4080</t>
  </si>
  <si>
    <t>1TB SSD NVMe PCIe Gen4x4</t>
  </si>
  <si>
    <t>16" 16:10 QHD+, 240Hz, 100% DCI-P3, IPS-level panel</t>
  </si>
  <si>
    <t>Pulse 17 AI C1VGKG</t>
  </si>
  <si>
    <t>Up to Intel® Core™ Ultra 9</t>
  </si>
  <si>
    <t>NVIDIA® GeForce RTX™ 4070 Laptop GPU 8GB GDDR6</t>
  </si>
  <si>
    <t>GPU 8GB GDDR6</t>
  </si>
  <si>
    <t>16GB 2*8 DDR5</t>
  </si>
  <si>
    <t>383.2 x 279.9 x 22.2-29.7 mm</t>
  </si>
  <si>
    <t>2.8 kg</t>
  </si>
  <si>
    <t>Raider 18 HX A14VIG</t>
  </si>
  <si>
    <t>NVIDIA® GeForce RTX™ 4090</t>
  </si>
  <si>
    <t>32GB 16GB x2 DDR5</t>
  </si>
  <si>
    <t>2TB NVMe PCIe Gen4x4 SSD</t>
  </si>
  <si>
    <t>18"QHD+, 240Hz, 100% DCI-P3(Typ.), IPS-Level panel</t>
  </si>
  <si>
    <t>1x Thunderbolt™ 4 (DisplayPort™) 1x Thunderbolt™ 4 (DisplayPort™/ Power Delivery 3.1) 3x Type-A USB3.2 Gen2 1x SD Express Card Reader 1x HDMI™ 2.1 (8K @ 60Hz / 4K @ 120Hz) 1x RJ45</t>
  </si>
  <si>
    <t>FingerPrint</t>
  </si>
  <si>
    <t>​HP Victus 15-FA1038NE</t>
  </si>
  <si>
    <t>358 x 255 x 23.5 mm</t>
  </si>
  <si>
    <t>Victus 15-FB1004NE</t>
  </si>
  <si>
    <t>AMD Ryzen™ 5 7535HS</t>
  </si>
  <si>
    <t>16 GB DDR5-4800 MT/s</t>
  </si>
  <si>
    <t>15.6" diagonal, FHD, 144 Hz, IPS, micro-edge, anti-glare, 250 nits, 45% NTSC</t>
  </si>
  <si>
    <t>up to 4.55 GHz max boost clock, 16 MB L3 cache, 6 cores, 12 threads</t>
  </si>
  <si>
    <t>8M106EA</t>
  </si>
  <si>
    <t>150 W Smart AC power adapter</t>
  </si>
  <si>
    <t>Inspiron 16 Plus 7630</t>
  </si>
  <si>
    <t>16 GB LPDDR5, 4800 MT/s (onboard)</t>
  </si>
  <si>
    <t>2 TB, M.2 PCIe NVMe SSD</t>
  </si>
  <si>
    <t>16" Inch 2.5K , 120Hz</t>
  </si>
  <si>
    <t>6 Cell, 86 Wh,</t>
  </si>
  <si>
    <t>1 Headset jack, 2 USB 3.2 Gen 1 Type-A, 1 Power jack, 1 HDMI 2.0, 1 Thunderbolt 4.0 (PowerDelivery &amp; DisplayPort)</t>
  </si>
  <si>
    <t>19.95 x 356.78 x 251.90 mm</t>
  </si>
  <si>
    <t>2.06 kg</t>
  </si>
  <si>
    <t>Platinum Silver</t>
  </si>
  <si>
    <t>24 MB cache, 10 cores, 16 threads, up to 4.9 GHz Turbo</t>
  </si>
  <si>
    <t>Vivobook 16X K3605VV-N1116W</t>
  </si>
  <si>
    <t>DDR4 16GB</t>
  </si>
  <si>
    <t>16'' ​Inch WUXGA 120Hz</t>
  </si>
  <si>
    <t>Backlit Chiclet Keyboard with Num-key</t>
  </si>
  <si>
    <t>70WHrs, 3S1P, 3-cell Li-ion</t>
  </si>
  <si>
    <t>2x USB 3.2 Gen 1 Type-A (data speed up to 5Gbps) 1x Thunderbolt™ 4 with support for display / power delivery (data speed up to 40Gbps) 1x HDMI 2.1 TMDS 1x 3.5mm Combo Audio Jack 1x DC-in SD 4.0 card reader</t>
  </si>
  <si>
    <t>2.4 GHz (24MB Cache, up to 5.0 GHz, 14 cores, 20 Threads)</t>
  </si>
  <si>
    <t>90NB11U1-M00E80</t>
  </si>
  <si>
    <t>TUF Gaming A15 FA507NVR-LP007W</t>
  </si>
  <si>
    <t>AMD Rayzen 7 7435HS</t>
  </si>
  <si>
    <t>16GB DDR5-4800 SO-DIMM</t>
  </si>
  <si>
    <t>15.6-inch  Resolution: FHD (1920 x 1080) 16:9  Refresh Rate: 144Hz  Viewing Angle: 170  Panel Tech: Value IPS-level  Brightness: 250nits  Contrast Ratio: 1000:1  NTSC %:72%   SRGB %:100%   Adobe %:75.35%  Glare:Anti-glare display  G-Sync Technology</t>
  </si>
  <si>
    <t>1x RJ45 LAN port  1x USB 3.2 Gen 2 Type-C  1x USB 3.2 Gen 2 Type-C support DisplayPort™ / power delivery / G-SYNC   2x USB 3.2 Gen 1 Type-A  1x HDMI 2.1 FRL 	1x 3.5mm Combo Audio Jack</t>
  </si>
  <si>
    <t>354 x 251 x 22.4 ~ 24.9 mm</t>
  </si>
  <si>
    <t>3.1GHz (20MB Cache, up to 4.5 GHz, 8 cores, 16 Threads)</t>
  </si>
  <si>
    <t>90NR0JK8-M00170</t>
  </si>
  <si>
    <t>TUF Gaming F15 FX507VU-LP163W</t>
  </si>
  <si>
    <t>16GB 8GB DDR5-4800 SO-DIMM x 2,</t>
  </si>
  <si>
    <t>15.6-inch, FHD (1920 x 1080) 16:9, Value IPS-level, Anti-glare display, sRGB:100%, Adobe:75.35%, Refresh Rate:144Hz, G-Sync, MUX Switch + NVIDIA® Advanced Optimus</t>
  </si>
  <si>
    <t>1x 3.5mm Combo Audio Jack  1x HDMI 2.1 FRL  2x USB 3.2 Gen 1 Type-A  1x USB 3.2 Gen 2 Type-C support DisplayPort™ / power delivery / G-SYNC  1x RJ45 LAN port  1x Thunderbolt™ 4 support DisplayPort™</t>
  </si>
  <si>
    <t>2.4 GHz (24M  Cache, up to 4.9 GHz, 10 cores: 6 P-cores and 4 E-cores)</t>
  </si>
  <si>
    <t>90NR0CJ8-M00AL0</t>
  </si>
  <si>
    <t>TUF Gaming F15 FX507VV-LP156W</t>
  </si>
  <si>
    <t>16GB (8GB DDR5-4800 SO-DIMM *2)</t>
  </si>
  <si>
    <t>15.6-inch FHD (1920 x 1080) 16:9  Refresh Rate: 144Hz  Value IPS-Level  Brightness: 250  1000:1  SRGB: 100%, Adobe: 75.35%  Anti-glare display  G-Sync  MUX Switch + NVIDIA® Advanced Optimus</t>
  </si>
  <si>
    <t>1x RJ45 LAN port   1x Thunderbolt™ 4 support DisplayPort™   1x USB 3.2 Gen 2 Type-C support DisplayPort™ / power delivery / G-SYNC   2x USB 3.2 Gen 1 Type-A   1x HDMI 2.1 FRL   1x 3.5mm Combo Audio Jack</t>
  </si>
  <si>
    <t>90NR0BV8-M009Y0</t>
  </si>
  <si>
    <t>Omen 16-WF0083</t>
  </si>
  <si>
    <t>Intel® Core™ i9-13900HX</t>
  </si>
  <si>
    <t>16.1" diagonal FHD display 165Hz</t>
  </si>
  <si>
    <t>68.8 x 551 x 344 mm</t>
  </si>
  <si>
    <t>4.28 kg</t>
  </si>
  <si>
    <t>(up to 5.4 GHz with Intel® Turbo Boost Technology, 36 MB L3 cache, 24 cores, 32 threads</t>
  </si>
  <si>
    <t>A7QR7UA</t>
  </si>
  <si>
    <t>TUF Gaming F15 FX507VV-LP314</t>
  </si>
  <si>
    <t>16GB 8GB DDR5-4800 SO-DIMM x 2</t>
  </si>
  <si>
    <t>Katana 15 B13VGK-484</t>
  </si>
  <si>
    <t>NVIDIA® GeForce RTX™ 4070 Laptop GPU</t>
  </si>
  <si>
    <t>8G GDDR6</t>
  </si>
  <si>
    <t>1TB NVMe SSD Gen4x4</t>
  </si>
  <si>
    <t>15.6" FHD, IPS-Level 144Hz 45%NTSC</t>
  </si>
  <si>
    <t>4 zone RGB keyboard with Anti-Ghost key (99 Key)</t>
  </si>
  <si>
    <t>3 cell , 53Whr Li-Polymer</t>
  </si>
  <si>
    <t>2x USB 3.2 Gen1, 1x USB 2.0, 1x USB Type-C 3.2 Gen1 w/DP 1.4, HDMI v 2.1 8K@60Hz 4K@120Hz, 1 Audio Combo (1/8")</t>
  </si>
  <si>
    <t>358 x 259 x 24.8 mm</t>
  </si>
  <si>
    <t>2.24 kg</t>
  </si>
  <si>
    <t>Katana 15 B13VFK-817</t>
  </si>
  <si>
    <t>NVIDIA® GeForce RTX™ 4060 Laptop GPU</t>
  </si>
  <si>
    <t>3-cell 53.5Whr Li-Polymer</t>
  </si>
  <si>
    <t>2x USB 3.2 Gen1, 1x USB 2.0, 1x USB Type-C 3.2 Gen1 w/DP 1.4, HDMI v 2.1 8K@60Hz 4K@120Hz, 1 Audio Combo (1/8"),</t>
  </si>
  <si>
    <t>358 x 259.08 x 24.8 mm</t>
  </si>
  <si>
    <t>16" WQXGA (2560x1600) IPS 350nits Anti-glare, 100% sRGB, 165Hz, Dolby Vision®, G-SYNC®, Low Blue Light</t>
  </si>
  <si>
    <t>83DG004NUS</t>
  </si>
  <si>
    <t>Raider GE68 HX 14VGG</t>
  </si>
  <si>
    <t>16" FHD+, IPS-Level 144Hz 45% NTSC</t>
  </si>
  <si>
    <t>SteelSeries per-Key RGB with Anti-Ghost key (99 Key)</t>
  </si>
  <si>
    <t>4 cell (99.9Whr) Li-Ion</t>
  </si>
  <si>
    <t>IR FHD w/shutter</t>
  </si>
  <si>
    <t>380 x 1297 x 27.6 mm</t>
  </si>
  <si>
    <t>2.74 Kg</t>
  </si>
  <si>
    <t>Alienware m16 R2</t>
  </si>
  <si>
    <t>32GB 16GB*2 DDR5</t>
  </si>
  <si>
    <t>16", QHD+ 2560x1600, 240Hz, 100% sRGB, 3ms, Advanced Optimus, ComfortView Plus, NVIDIA G-SYNC</t>
  </si>
  <si>
    <t>Full-size island-style keyboard with numeric keypad</t>
  </si>
  <si>
    <t>90Wh Battery</t>
  </si>
  <si>
    <t>1 Type-A USB 3.2 Gen 1 Port with PowerShare 1 Type-A USB 3.2 Gen 1 Port 1 Type-C Port (Includes Thunderbolt™ 4.0, USB 3.2 Gen 2, DisplayPort 1.4 (iGPU) and 15W Power Delivery (3A/5V) capabilities) 1 Type-C Port (USB 3.2 Gen 2, DisplayPort 1.4 (dGPU)) 1 HD</t>
  </si>
  <si>
    <t>23.50 x 363.90 x 249.40 mm</t>
  </si>
  <si>
    <t>2.61 kg</t>
  </si>
  <si>
    <t>24 MB cache, 16 cores, 2.30 GHz to 5.10 GHz P-Core Turbo</t>
  </si>
  <si>
    <t>TUF Gaming F15 FX507VI-LP066W</t>
  </si>
  <si>
    <t>16GB 8GB DDR5-4800 SO-DIMM *2</t>
  </si>
  <si>
    <t>1TB PCIe 4.0 NVMe M.2 SSD</t>
  </si>
  <si>
    <t>15.6-inch Resolution: FHD (1920 x 1080)16:9 Refresh Rate:144Hz Viewing Angle:85/85/85/85 Panel Tech:Value IPS-level Brightness:250nits Contrast Ratio:1000:1 NTSC %:72%  SRGB %:100%  Adobe %:75.35% Glare:Anti-glare display  G-Sync Technology</t>
  </si>
  <si>
    <t>1x RJ45 LAN port  1x Thunderbolt™ 4 support DisplayPort™ 1x USB 3.2 Gen 2 Type-C support DisplayPort™ / power delivery / G-SYNC   2x USB 3.2 Gen 1 Type-A 1x HDMI 2.1 FRL 	1x 3.5mm Combo Audio Jack</t>
  </si>
  <si>
    <t>90NR0FH8-M002Y0</t>
  </si>
  <si>
    <t>16" WQXGA (2560x1600) IPS 300nits Anti-glare, 100% sRGB, 165Hz, Dolby Vision®, G-SYNC®, Low Blue Light</t>
  </si>
  <si>
    <t>1x HDMI® 2.1, up to 8K/60Hz 1x Headphone / microphone combo jack (3.5mm) 1x Ethernet (RJ-45) 1x USB 3.2 Gen 1 (Always On) 3x USB 3.2 Gen 1 1x USB-C® 3.2 Gen 2 (support data transfer and DisplayPort™ 1.4) 1x USB-C® 3.2 Gen 2 (support data transfer, Lenovo®</t>
  </si>
  <si>
    <t>16C (8P + 8E) / 24T, P-core 2.1 / 5.0GHz, E-core 1.5 / 3.6GHz, 30MB</t>
  </si>
  <si>
    <t>82WK000DUS</t>
  </si>
  <si>
    <t>Victus 15-fa1096ne</t>
  </si>
  <si>
    <t>16 GB DDR4-3200 MT/s</t>
  </si>
  <si>
    <t>15.6" diagonal, FHD (1920 x 1080), 144 Hz, 9 ms response time, IPS, micro-edge, anti-glare, 250 nits, 45% NTSC</t>
  </si>
  <si>
    <t>86J64EA</t>
  </si>
  <si>
    <t>803D7EA</t>
  </si>
  <si>
    <t>AMD Ryzen™ 5 5500H</t>
  </si>
  <si>
    <t>8GB SO-DIMM DDR4-3200</t>
  </si>
  <si>
    <t>15.6" FHD IPS 300nits Anti-glare, 45% NTSC, 144Hz</t>
  </si>
  <si>
    <t>2x USB 3.2 Gen 1 1x USB-C® 3.2 Gen 1 (support data transfer only) 1x HDMI® 2.0 1x Headphone / microphone combo jack (3.5mm) 1x Ethernet (RJ-45) 1x Power connector</t>
  </si>
  <si>
    <t>4C / 8T, 3.3 / 4.2GHz, 2MB L2 / 8MB L3</t>
  </si>
  <si>
    <t>82K2029AED</t>
  </si>
  <si>
    <t>83DV000CAX</t>
  </si>
  <si>
    <t>Lenovo LOQ 15IRX9</t>
  </si>
  <si>
    <t>NVIDIA® GeForce RTX™</t>
  </si>
  <si>
    <t>83DV00P4AX</t>
  </si>
  <si>
    <t>Legion 7 16IRX9</t>
  </si>
  <si>
    <t>16GB SO-DIMM DDR5-5600</t>
  </si>
  <si>
    <t>16" WQXGA IPS 500nits Anti-glare, 100% sRGB, 240Hz, DisplayHDR™ 400, Dolby Vision®</t>
  </si>
  <si>
    <t>Per-key RGB Backlit, English (US)</t>
  </si>
  <si>
    <t>Integrated 99.9Wh</t>
  </si>
  <si>
    <t>1x USB-A (USB 5Gbps / USB 3.2 Gen 1) 1x USB-A (USB 5Gbps / USB 3.2 Gen 1), Always On 1x USB-C® (USB 5Gbps / USB 3.2 Gen 1) 1x USB-C® (USB 10Gbps / USB 3.2 Gen 2), with Lenovo® PD 140W and DisplayPort™ 1.4 1x USB-C® (Thunderbolt™ 4 / USB4® 40Gbps), with PD</t>
  </si>
  <si>
    <t>357.7 x 262.5 x 17.6-19.8 mm</t>
  </si>
  <si>
    <t>83FD004XUS</t>
  </si>
  <si>
    <t>Intel® Core™ Ultra 7 155H</t>
  </si>
  <si>
    <t>16GB, 2x8GB, DDR5</t>
  </si>
  <si>
    <t>16", QHD+, 240Hz, Non-Touch, 100% sRGB, 3ms, Advanced Optimus, CV Plus, NVIDIA G-SYNC</t>
  </si>
  <si>
    <t>1080p at 30 fps FHD RGB+IR camera Dual-array microphones</t>
  </si>
  <si>
    <t>16" WQXGA IPS 350nits Anti-glare, 100% sRGB, 165Hz, Dolby Vision®, G-SYNC®,</t>
  </si>
  <si>
    <t>83DG00BCUS</t>
  </si>
  <si>
    <t>Thin 15 B12VE</t>
  </si>
  <si>
    <t>8GB Ram DDR4-3200</t>
  </si>
  <si>
    <t>IR HD type (30fps@720p)</t>
  </si>
  <si>
    <t>16" WQXGA IPS 500nits Anti-glare, 100% sRGB, 240Hz, DisplayHDR™ 400, Dolby Vision®, G-SYNC®</t>
  </si>
  <si>
    <t>83DG004WED</t>
  </si>
  <si>
    <t>Legion 5 15ARP8</t>
  </si>
  <si>
    <t>AMD Ryzen™ 7 7735HS</t>
  </si>
  <si>
    <t>16GB SO-DIMM DDR5</t>
  </si>
  <si>
    <t>15.6" WQHD IPS 350nits Anti-glare, 100% sRGB, 165Hz, Dolby Vision®, FreeSync™, G-SYNC®</t>
  </si>
  <si>
    <t>2560x1440</t>
  </si>
  <si>
    <t>1x USB 3.2 Gen 1 (Always On) 2x USB 3.2 Gen 1 1x USB-C® 3.2 Gen 2 (support data transfer, Lenovo® Power Delivery 135W and DisplayPort™ 1.4) 1x USB-C® 3.2 Gen 2 (support data transfer and DisplayPort™ 1.4) 1x HDMI® 2.1, up to 8K/60Hz 1x Headphone / microph</t>
  </si>
  <si>
    <t>358.8 x 262.35 x 19.9-24.05 mm</t>
  </si>
  <si>
    <t>8C / 16T, 3.2 / 4.75GHz, 4MB L2 / 16MB L3</t>
  </si>
  <si>
    <t>83EF0003US</t>
  </si>
  <si>
    <t>15.6" FHD (1920x1080) 120Hz Display</t>
  </si>
  <si>
    <t>3-Cell Battery, 56WHr (Integrated)</t>
  </si>
  <si>
    <t>Legion Pro 7 16IRX9H</t>
  </si>
  <si>
    <t>NVIDIA® GeForce RTX™ 4090 16GB</t>
  </si>
  <si>
    <t>Per-key RGB Backlit (with Lighting Lens), Arabic</t>
  </si>
  <si>
    <t>1x USB-A (USB 5Gbps / USB 3.2 Gen 1), Always On 3x USB-A (USB 5Gbps / USB 3.2 Gen 1) 1x USB-C® (USB 10Gbps / USB 3.2 Gen 2), with Lenovo® PD 140W and DisplayPort™ 1.4 1x USB-C® (Thunderbolt™ 4 / USB4® 40Gbps), with DisplayPort™ 1.4 1x HDMI® 2.1, up to 8K/</t>
  </si>
  <si>
    <t>363.5 x 262.1 x 21.95-25.9 mm</t>
  </si>
  <si>
    <t>2.62 kg</t>
  </si>
  <si>
    <t>83DE000DAX</t>
  </si>
  <si>
    <t>Victus 16-R1052NE</t>
  </si>
  <si>
    <t>40.9 cm (16.1") diagonal, FHD, 144 Hz, IPS, micro-edge, anti-glare, 300 nits, 62.5% sRGB</t>
  </si>
  <si>
    <t>9X709EA</t>
  </si>
  <si>
    <t>Victus 16-R0043NE</t>
  </si>
  <si>
    <t>81P96EA</t>
  </si>
  <si>
    <t>ROG Strix G16 G614JV-N3487W</t>
  </si>
  <si>
    <t>16-inch FHD+ 16:10 (1920 x 1200, WUXGA) IPS-level Anti-glare display sRGB: 100% Refresh Rate: 165Hz Response Time: 7ms G-Sync MUX Switch + NVIDIA® Advanced Optimus Support Dolby Vision HDR : Yes</t>
  </si>
  <si>
    <t>1x 3.5mm Combo Audio Jack 1x HDMI 2.1 FRL 2x USB 3.2 Gen 2 Type-A (data speed up to 10Gbps) 1x USB 3.2 Gen 2 Type-C with support for DisplayPort™ / power delivery / G-SYNC (data speed up to 10Gbps) 1x RJ45 LAN port 1x Thunderbolt™ 4 with support for Displ</t>
  </si>
  <si>
    <t>2.6 GHz 24M Cache, up to 4.9 GHz, 14 cores: 6 P-cores and 8 E-cores</t>
  </si>
  <si>
    <t>TUF Gaming A15 FA506NCR-HN007W</t>
  </si>
  <si>
    <t>512GB PCIe 4.0 NVMe M.2 SSD</t>
  </si>
  <si>
    <t>15.6-inch FHD (1920 x 1080) 16:9 144Hz Value IPS-level NTSC 45% SRGB 62.5% Adobe 7.34%</t>
  </si>
  <si>
    <t>48WHrs, 3S1P, 3-cell Li-ion</t>
  </si>
  <si>
    <t>1x RJ45 LAN port 1x USB 3.2 Gen 2 Type-C support DisplayPort 3x USB 3.2 Gen 1 Type-A 1x HDMI 2.1 TMDS 1x 3.5mm Combo Audio Jack</t>
  </si>
  <si>
    <t>359 x 256 x 22.8 ~ 24.5 mm</t>
  </si>
  <si>
    <t>2.30 Kg</t>
  </si>
  <si>
    <t>3.1GHz (20MB Cache, up to 4.5 GHz, 8 cores, 16 Threads</t>
  </si>
  <si>
    <t>TUF Gaming A15 FA506NFR-HN007W</t>
  </si>
  <si>
    <t>8GB DDR5-4800 SO-DIMM</t>
  </si>
  <si>
    <t>15.6 inches, FHD 16:9, Value IPS-level, Anti-glare display, sRGB:62.5%, Adobe:47.34%, Refresh Rate:144 Hz, Adaptive-Sync, Discrete</t>
  </si>
  <si>
    <t>Backlit Chiclet Keyboard RGB</t>
  </si>
  <si>
    <t>48Wh, 3S1P, 3-cell Lithium Ion</t>
  </si>
  <si>
    <t>1x 3.5mm Combo Audio Jack 1x HDMI 2.1 TMDS 1x USB 3.2 Gen 2 Type-C - Digital Display Interface Port support 1x RJ45LAN port 3x USB 3.2 Gen 1 Type-A (data speed up to 5Gbps)</t>
  </si>
  <si>
    <t>359 x 256 x 2.45 mm</t>
  </si>
  <si>
    <t>Graphite Black</t>
  </si>
  <si>
    <t>8GB GDDR6,</t>
  </si>
  <si>
    <t>16" WQXGA IPS 500nits Anti-glare, 100% sRGB, 240Hz, DisplayHDR™ 400, Dolby Vision®, G-SYNC®, Low Blue Light</t>
  </si>
  <si>
    <t>83DG00C6ED</t>
  </si>
  <si>
    <t>Victus 15-FA0033DX</t>
  </si>
  <si>
    <t>39.6 cm (15.6) diagonal, FHD, 144 Hz, IPS,</t>
  </si>
  <si>
    <t>357.88 x 255 x 23.62 mm</t>
  </si>
  <si>
    <t>up to 4.4 GHz with Intel® Turbo Boost Technology, 12 MB L3 cache, 8 cores, 12 threads</t>
  </si>
  <si>
    <t>9T9R8UA</t>
  </si>
  <si>
    <t>White Backlit, English</t>
  </si>
  <si>
    <t>83DV00J8IN</t>
  </si>
  <si>
    <t>83GS0087PS</t>
  </si>
  <si>
    <t>16" WQXGA IPS 500nits Anti-glare, 100% sRGB, 240Hz, DisplayHDR™ 400, Dolby Vision®, G-SYNC®, Low Blue Light, High Gaming Performance</t>
  </si>
  <si>
    <t>82WK00M5ED</t>
  </si>
  <si>
    <t>83DV00JYIN</t>
  </si>
  <si>
    <t>Victus 15-FA1043NE</t>
  </si>
  <si>
    <t>NVIDIA® GeForce RTX™ 3050 4GB6</t>
  </si>
  <si>
    <t>8GB DDR4-3200 MT/s (1 x 8 GB)</t>
  </si>
  <si>
    <t>803F0EA</t>
  </si>
  <si>
    <t>Victus 15-FA0025NR</t>
  </si>
  <si>
    <t>8 GB DDR4-3200 MHz RAM (2 x 4 GB)</t>
  </si>
  <si>
    <t>357 x  255 x 23.6 mm</t>
  </si>
  <si>
    <t>up to 4.5 GHz with Intel® Turbo Boost Technology, 18 MB L3 cache, 12 cores, 16 threads</t>
  </si>
  <si>
    <t>6E0L0UA</t>
  </si>
  <si>
    <t>1x 8GB SO-DIMM DDR5-4800</t>
  </si>
  <si>
    <t>83GS008NED</t>
  </si>
  <si>
    <t>Katana 15 B13VGK</t>
  </si>
  <si>
    <t>16GB DDR5-5200</t>
  </si>
  <si>
    <t>512GB NVMe PCIe Gen4 M.2 SSD</t>
  </si>
  <si>
    <t>Thin GF63 12UC</t>
  </si>
  <si>
    <t>Intel® Core™ i7 12650H</t>
  </si>
  <si>
    <t>Nvidia GeForce RTX3050 4GB</t>
  </si>
  <si>
    <t>Single Backlit Keyboard (Red)</t>
  </si>
  <si>
    <t>Thin GF63 12UCX</t>
  </si>
  <si>
    <t>Intel® Core™ i5 12450H</t>
  </si>
  <si>
    <t>1x Type-C (USB3.2 Gen1 / DisplayPort™) 2x Type-A USB3.2 Gen1 1x HDMI™ 2.1 (4K @ 60Hz) 1x RJ45</t>
  </si>
  <si>
    <t>NVIDIA® GeForce RTX™ 2050 4GB</t>
  </si>
  <si>
    <t>83GS0071AX</t>
  </si>
  <si>
    <t>AMD Ryzen 5 5500H</t>
  </si>
  <si>
    <t>1x 8GB SO-DIMM DDR4-3200</t>
  </si>
  <si>
    <t>15.6" FHD (1920x1080) IPS 300nits Anti-glare, 45% NTSC, 144Hz</t>
  </si>
  <si>
    <t>82K202A2ED</t>
  </si>
  <si>
    <t>Victus 16-D1058NE</t>
  </si>
  <si>
    <t>Intel Core i7-12700H</t>
  </si>
  <si>
    <t>NVIDIA® GeForce RTX™ 3060 6GB</t>
  </si>
  <si>
    <t>16GB DDR5-4800 MHz RAM (2 x 8 GB)</t>
  </si>
  <si>
    <t>16.1" Inch FHD 144Hz</t>
  </si>
  <si>
    <t>1 USB Type-C® 5Gbps signaling rate (USB Power Delivery, DisplayPort™ 1.4, HP Sleep and Charge); 1 USB Type-A 5Gbps signaling rate (HP Sleep and Charge); 2 USB Type-A 5Gbps signaling rate; 1 AC smart pin; 1 HDMI 2.1; 1 headphone/microphone combo; 1 RJ-45</t>
  </si>
  <si>
    <t>up to 4.7 GHz with Intel® Turbo Boost Technology, 24 MB L3 cache, 14 cores, 20 threads</t>
  </si>
  <si>
    <t>7G6G9EA</t>
  </si>
  <si>
    <t>200 W Smart AC power adapter</t>
  </si>
  <si>
    <t>Victus 15-FA1113NIA</t>
  </si>
  <si>
    <t>NVIDIA® GeForce RTX™ 4050  6GB</t>
  </si>
  <si>
    <t>16 GB DDR4-3200 MHz RAM (2 x 8 GB)</t>
  </si>
  <si>
    <t>512GB PCIe® Gen4 NVMe™ TLC M.2 SSD</t>
  </si>
  <si>
    <t>8Y606EA</t>
  </si>
  <si>
    <t>83GS0088PS</t>
  </si>
  <si>
    <t>TUF Gaming A15 FA506NF-HN005W</t>
  </si>
  <si>
    <t>AMD Ryzen 5 7535HS</t>
  </si>
  <si>
    <t>15.6-inch FHD 16:9 Refresh Rate 144Hz Value IPS-level 250nits NTSC 45% SRGB 62.5% Adobe 47.34% Anti-glare display</t>
  </si>
  <si>
    <t>1x RJ45 LAN port 1x USB 3.2 Gen 2 Type-C support DisplayPort™ 3x USB 3.2 Gen 1 Type-A</t>
  </si>
  <si>
    <t>359 x 256 x 24.5 mm</t>
  </si>
  <si>
    <t>1 Years</t>
  </si>
  <si>
    <t>3.3GHz (19MB Cache, up to 4.55 GHz, 6 cores, 12 Threads)</t>
  </si>
  <si>
    <t>90NR0JE7-M002E0</t>
  </si>
  <si>
    <t>TUF Gaming A15 FA506NC-HN005W</t>
  </si>
  <si>
    <t>90NR0JF7-M002K0</t>
  </si>
  <si>
    <t>TUF Gaming A15 FA507NU-LP007W</t>
  </si>
  <si>
    <t>15.6-inch FHD 16:9 144Hz Refresh Rate IPS-level 250nits NTSC 72% SRGB 100% Adobe 75.35% Anti-glare display</t>
  </si>
  <si>
    <t>1x RJ45 LAN port 1x Type C USB 4 support DisplayPort™ 1x USB 3.2 Gen 2 Type-C support DisplayPort™ / power delivery / G-SYNC 2x USB 3.2 Gen 1 Type-A</t>
  </si>
  <si>
    <t>Jaeger Gray</t>
  </si>
  <si>
    <t>90NR0EB8-M00J50</t>
  </si>
  <si>
    <t>83GS008QED</t>
  </si>
  <si>
    <t>OMEN Transcend 16-u1047nr</t>
  </si>
  <si>
    <t>32 GB DDR5-5600 MHz</t>
  </si>
  <si>
    <t>1 TB PCIe® Gen4 NVMe™ Performance M.2 SSD</t>
  </si>
  <si>
    <t>16" diagonal, WQXGA 240 Hz, 3 ms response time, IPS, micro-edge, anti-glare, Low Blue Light, 400 nits, 100% sRGB [17,35]</t>
  </si>
  <si>
    <t>6-cell, 97 Wh Li-ion polymer</t>
  </si>
  <si>
    <t>356.61 x 268.98 x 19.81 mm</t>
  </si>
  <si>
    <t>2.18 kg</t>
  </si>
  <si>
    <t>9P999UA</t>
  </si>
  <si>
    <t>Omen 17-CM2020NR</t>
  </si>
  <si>
    <t>16 GB DDR5-4800 MHz RAM (2 x 8 GB)</t>
  </si>
  <si>
    <t>17.3" diagonal, QHD, 165 Hz, 3 ms response time, IPS, micro-edge, anti-glare, Low Blue Light, 300 nits, 100% sRGB</t>
  </si>
  <si>
    <t>2560 x 1440</t>
  </si>
  <si>
    <t>Full-size, per key RGB backlit, shadow black keyboard with NKRO Anti-Ghosting Key technology and optical switch</t>
  </si>
  <si>
    <t>1 USB Type-A 5Gbps signaling rate (HP Sleep and Charge); 1 Thunderbolt™ 3 (40Gbps signaling rate) with USB Type-C® 10Gbps signaling rate (USB Power Delivery, DisplayPort™ 1.4, HP Sleep and Charge); 2 USB Type-A 5Gbps signaling rate; 1 HDMI 2.1; 1 mini Dis</t>
  </si>
  <si>
    <t>68.83 x 623.82 x 344.93 mm</t>
  </si>
  <si>
    <t>2.78 Kg</t>
  </si>
  <si>
    <t>7H5D8UA</t>
  </si>
  <si>
    <t>Legion 5 15ACH6H</t>
  </si>
  <si>
    <t>AMD Ryzen 5 5600H</t>
  </si>
  <si>
    <t>NVIDIA® GeForce RTX™ 3060</t>
  </si>
  <si>
    <t>15.6" FHD IPS 300nits Anti-glare, 100% sRGB, 165Hz, Dolby Vision®, FreeSync™, G-SYNC®</t>
  </si>
  <si>
    <t>(6C / 12T, 3.3 / 4.2GHz, 3MB L2 / 16MB L3)</t>
  </si>
  <si>
    <t>82JU00B1AX</t>
  </si>
  <si>
    <t>NVIDIA® GeForce RTX™ 3050 Ti</t>
  </si>
  <si>
    <t>512GB SSD M.2 2280 PCIe® 3.0x4 NVMe®</t>
  </si>
  <si>
    <t>15.6" FHD IPS 250nits Anti-glare, 45% NTSC, 120Hz, FreeSync™</t>
  </si>
  <si>
    <t>82JW00Q7US</t>
  </si>
  <si>
    <t>LOQ 15APH8</t>
  </si>
  <si>
    <t>AMD Ryzen™ 7 7840HS</t>
  </si>
  <si>
    <t>15.6" FHD IPS 350nits Anti-glare, 45% NTSC, 144Hz, G-SYNC®, FreeSync™</t>
  </si>
  <si>
    <t>1x USB 2.0 2x USB 3.2 Gen 2 1x USB-C® 3.2 Gen 2 (support data transfer, Lenovo® Power Delivery 140W and DisplayPort™ 1.4) 1x HDMI® 2.1, up to 8K/60Hz 1x Headphone / microphone combo jack (3.5mm) 1x Ethernet (RJ-45) 1x Power connector</t>
  </si>
  <si>
    <t>359.6 x 264.8 x 22.1-25.2 mm</t>
  </si>
  <si>
    <t>(8C / 16T, 3.8 / 5.1GHz, 8MB L2 / 16MB L3)</t>
  </si>
  <si>
    <t>82XT001NUS</t>
  </si>
  <si>
    <t>16GB,2X8,4800,DDR5,</t>
  </si>
  <si>
    <t>15.6'' Inch FHD LCD 360HZ</t>
  </si>
  <si>
    <t>360Hz</t>
  </si>
  <si>
    <t>Nvidia GeForce RTX 3060 6GB</t>
  </si>
  <si>
    <t>512GB SSD M.2 2280 PCIe® 3.0x4 NVMe</t>
  </si>
  <si>
    <t>15.6" FHD IPS 250nits Anti-glare, 45% NTSC, 120Hz</t>
  </si>
  <si>
    <t>1x Ethernet (RJ-45) 1x HDMI® 2.0 1x Headphone / microphone combo jack (3.5mm) 1x Power connector 1x USB-C® 3.2 Gen 1 (support data transfer only) 2x USB 3.2 Gen 1</t>
  </si>
  <si>
    <t>MP2CJDML</t>
  </si>
  <si>
    <t>Victus 15-FA1093DX</t>
  </si>
  <si>
    <t>8 GB DDR4-3200 MHz RAM (1 x 8 GB)</t>
  </si>
  <si>
    <t>68.83 x 519.93 x 304.8 mm</t>
  </si>
  <si>
    <t>7N3S2UA</t>
  </si>
  <si>
    <t>Victus 15-FA0089NE</t>
  </si>
  <si>
    <t>NVIDIA® GeForce® GTX 1650</t>
  </si>
  <si>
    <t>2.29KG</t>
  </si>
  <si>
    <t>7G6F9EA</t>
  </si>
  <si>
    <t>LOQ 15IRH8</t>
  </si>
  <si>
    <t>Intel Core I5-12450H</t>
  </si>
  <si>
    <t>15.6" FHD IPS 350nits Anti-glare, 45% NTSC, 144Hz, G-SYNC®</t>
  </si>
  <si>
    <t>۱۹۲۰ x ۱۰۸۰</t>
  </si>
  <si>
    <t>1x USB 3.2 Gen 1 2x USB 3.2 Gen 2 1x USB-C® 3.2 Gen 2 (support data transfer, Lenovo® Power Delivery 140W and DisplayPort™ 1.4) 1x HDMI® 2.1, up to 8K/60Hz 1x Headphone / microphone combo jack (3.5mm) 1x Ethernet (RJ-45) 1x Power connector</t>
  </si>
  <si>
    <t>8C (4P + 4E) / 12T, P-core 2.0 / 4.4GHz, E-core 1.5 / 3.3GHz, 12MB</t>
  </si>
  <si>
    <t>82XV00Y6AX</t>
  </si>
  <si>
    <t>15.6" FHD (1920x1080) IPS 350nits Anti-glare, 45% NTSC, 144Hz, G-SYNC®</t>
  </si>
  <si>
    <t>82XV002LUS</t>
  </si>
  <si>
    <t>ROG Strix G16 G614JIR-N3009W</t>
  </si>
  <si>
    <t>16GB  8GB DDR5-5600 SO-DIMM, the memory speed of the systems vary by CPU SPEC x 2</t>
  </si>
  <si>
    <t>Per-key RGB backlit Chiclet keyboard Support NumberPad Touchpad</t>
  </si>
  <si>
    <t>4S1P 4-cell 90Wh lithium-ion battery</t>
  </si>
  <si>
    <t>1x 3.5mm Combo Audio Jack 1x HDMI 2.1 FRL 2x USB 3.2 Gen 2 Type-A 1x RJ45 LAN port 1x Thunderbolt™ 4 support DisplayPort™</t>
  </si>
  <si>
    <t>90NR0IG5-M00180</t>
  </si>
  <si>
    <t>ROG Strix SCAR 18 G834JYR-R6041W</t>
  </si>
  <si>
    <t>32GB 16GB DDR5-5600 SO-DIMM, the memory speed of the systems vary by CPU SPEC x 2</t>
  </si>
  <si>
    <t>ROG Nebula HDR Display 18-inch 2.5K (2560 x 1600, WQXGA) 16:10 aspect ratio Mini LED anti-glare display DCI-P3: 100.00% Refresh Rate: 240Hz Response Time: 3ms G-Sync Pantone Validated MUX Switch + NVIDIA® Advanced Optimus Support Dolby Vision HDR : Yes</t>
  </si>
  <si>
    <t>1x 3.5mm Combo Audio Jack 1x HDMI 2.1 FRL 1x USB 3.2 Gen 2 Type-C support displayport / power delivery / G-SYNC 2x USB 3.2 Gen 2 Type-A 1x 2.5G LAN port 1x Thunderbolt™ 4 support DisplayPort™ / G-SYNC</t>
  </si>
  <si>
    <t>399 x 294 x 23.1 ~ 30.8 mm</t>
  </si>
  <si>
    <t>3.10 Kg</t>
  </si>
  <si>
    <t>90NR0IP2-M001P0</t>
  </si>
  <si>
    <t>ROG Strix SCAR 18 G834JZR-N6027W</t>
  </si>
  <si>
    <t>NVIDIA® GeForce RTX™ 4080</t>
  </si>
  <si>
    <t>12GB GDDR6</t>
  </si>
  <si>
    <t>ROG Nebula Display 18-inch 2.5K (2560 x 1600, WQXGA) 16:10 aspect ratio IPS-level anti-glare display DCI-P3: 100.00% Refresh Rate: 240Hz Response Time: 3ms G-Sync Pantone Validated MUX Switch + NVIDIA® Advanced Optimus Support Dolby Vision HDR : Yes</t>
  </si>
  <si>
    <t>90NR0IN2-M000Y0</t>
  </si>
  <si>
    <t>Katana 17 B13VGK</t>
  </si>
  <si>
    <t>Nvidia GeForce RTX 4070</t>
  </si>
  <si>
    <t>17.3" FHD (1920*1080), 144Hz 45% NTSC</t>
  </si>
  <si>
    <t>1x Type-C (USB3.2 Gen1 / DP) 2x Type-A USB3.2 Gen1 1x Type-A USB2.0 1x HDMI™ 2.1 (8K @ 60Hz / 4K @ 120Hz) 1x RJ45</t>
  </si>
  <si>
    <t>398 x 273 x 25.2 mm</t>
  </si>
  <si>
    <t>Vector 17 HX A14VHG</t>
  </si>
  <si>
    <t>32GB DDR5 16GB*2</t>
  </si>
  <si>
    <t>4 cell, 90Whr</t>
  </si>
  <si>
    <t>1x Type-C (USB3.2 Gen2 / DP) 1x Type-C (USB / DP / Thunderbolt™ 4) 1x Type-C (USB3.2 Gen2 / DP) with PD charging 1x Type-A USB3.2 Gen1 1x Type-A USB3.2 Gen2 1x SD Express Card Reader 1x HDMI™ 2.1 (8K @ 60Hz / 4K @ 120Hz) 1x RJ45</t>
  </si>
  <si>
    <t>380 x 297.97 x 23.55-29.45 mm</t>
  </si>
  <si>
    <t>Raider GE78 HX 14VIG</t>
  </si>
  <si>
    <t>Nvidia GeForce RTX 4090</t>
  </si>
  <si>
    <t>17” QHD</t>
  </si>
  <si>
    <t>380 x 298 x 22.85-28.75 mm</t>
  </si>
  <si>
    <t>Titan 18 HX A14VIG</t>
  </si>
  <si>
    <t>64GB DDR5 32GB*2</t>
  </si>
  <si>
    <t>2TB SSD</t>
  </si>
  <si>
    <t>18" UHD</t>
  </si>
  <si>
    <t>1x Type-C (USB / DP / Thunderbolt™ 4) 1x Type-C (USB / DP / Thunderbolt™ 4) with PD3.1 charging 3x Type-A USB3.2 Gen2 1x SD Express Card Reader 1x HDMI™ 2.1 (8K @ 60Hz / 4K @ 120Hz) 1x RJ45</t>
  </si>
  <si>
    <t>Cyborg 15 AI A1VF</t>
  </si>
  <si>
    <t>15.6" FHD (1920*1080), 144Hz 45%NTSC IPS-Level</t>
  </si>
  <si>
    <t>1x Type-C (USB3.2 Gen2 / DP) 2x Type-A USB3.2 Gen1 1x HDMI™ 2.1 (4K @ 60Hz) 1x RJ45</t>
  </si>
  <si>
    <t>24M Cache, up to 4.80 GHz</t>
  </si>
  <si>
    <t>FA507NU-LP125W</t>
  </si>
  <si>
    <t>Nvidia GeForce RTX 4050</t>
  </si>
  <si>
    <t>6GB</t>
  </si>
  <si>
    <t>8GB DDR5-4800</t>
  </si>
  <si>
    <t>15.6-inch, FHD</t>
  </si>
  <si>
    <t>90WHrs</t>
  </si>
  <si>
    <t>1x 3.5mm Combo Audio Jack   1x HDMI 2.1 FRL   2x USB 3.2 Gen 1 Type-A   1x USB 3.2 Gen 2 Type-C support DisplayPort™ / power delivery / G-SYNC   1x RJ45 LAN port   1x Type C USB 4 support DisplayPort™</t>
  </si>
  <si>
    <t>19MB Cache, up to 4.55 GHz, 6 cores, 12 Threads</t>
  </si>
  <si>
    <t>90NR0EB8-M00AX0</t>
  </si>
  <si>
    <t>240W AC Adapter</t>
  </si>
  <si>
    <t>GU605MY-QR061W</t>
  </si>
  <si>
    <t>Intel® Core™ Ultra 9</t>
  </si>
  <si>
    <t>32GB 16GB*2 LPDDR5X 7467 on board</t>
  </si>
  <si>
    <t>2TB PCIe® 4.0 NVMe™ M.2</t>
  </si>
  <si>
    <t>2.5K (2560 x 1600, WQXGA)</t>
  </si>
  <si>
    <t>1x 3.5mm Combo Audio Jack 1x HDMI 2.1 FRL 2x USB 3.2 Gen 2 Type-A 1x USB 3.2 Gen 2 Type-C support DisplayPort™ / power delivery 1x Thunderbolt™ 4 support DisplayPort™ / power delivery 1x card reader (SD) (UHS-II, 312MB/s)</t>
  </si>
  <si>
    <t>90NR0IQ5-M002Y0</t>
  </si>
  <si>
    <t>Rectangle Conn, 240W AC Adapter, Output: 20V DC, 12A, 240W, Input: 100~240C AC 50/60Hz universal TYPE-C, 100W AC Adapter, Output: 20V DC, 5A, 100W, Input: 100~240V AC 50/60Hz universal</t>
  </si>
  <si>
    <t>Vivobook Pro 15 D3500QC-OLED007W</t>
  </si>
  <si>
    <t>AMD Ryzen 7-5800H</t>
  </si>
  <si>
    <t>Nvidia® GeForce® RTX™ 3050 4GB</t>
  </si>
  <si>
    <t>16GB DDR4 on board</t>
  </si>
  <si>
    <t>512GB M.2 NVMe™ PCIe® 3.0 SSD</t>
  </si>
  <si>
    <t>15.6-inch, FHD (1920 x 1080) OLED 16:9 aspect ratio, 0.2ms response time, 60Hz refresh rate, 600nits HDR peak brightness, 100% DCI-P3 color gamut, 1,000,000:1, VESA CERTIFIED Display HDR True Black 600, 1.07 billion colors, PANTONE Validated, Glossy displ</t>
  </si>
  <si>
    <t>Backlit Chiclet Keyboard with Num-key, 1.35mm Key-travel, Touchpad</t>
  </si>
  <si>
    <t>1x USB 3.2 Gen 1 Type-A 1x USB 3.2 Gen 1 Type-C 2x USB 2.0 Type-A 1x HDMI 1.4 1x 3.5mm Combo Audio Jack 1x DC-in Micro SD card reader</t>
  </si>
  <si>
    <t>35.98 x 23.53 x 1.89 ~ 1.99 cm</t>
  </si>
  <si>
    <t>1.65 kg</t>
  </si>
  <si>
    <t>Quiet Blue</t>
  </si>
  <si>
    <t>Processor 3.2GHz (20MB Cache, up to 4.4 GHz, 8 cores, 16 Threads)</t>
  </si>
  <si>
    <t>GF63 Thin 11SC</t>
  </si>
  <si>
    <t>Intel Core I5-11400H</t>
  </si>
  <si>
    <t>Nvidia GeForce GTX 1650 4GB</t>
  </si>
  <si>
    <t>8GB DDR4-3200 2 Slots</t>
  </si>
  <si>
    <t>1x Type-C USB3.2 Gen1 3x Type-A USB3.2 Gen1 1x HDMI™ (4K @ 30Hz) 1x RJ45</t>
  </si>
  <si>
    <t>up to 4.5 GHz with Intel® Turbo Boost Technology, 12 MB L3 cache, 6 cores, 12 threads</t>
  </si>
  <si>
    <t>Victus 15-FB0034NE</t>
  </si>
  <si>
    <t>15.6" diagonal, FHD (1920 x 1080), 144 Hz, IPS, micro-edge, anti-glare, 250 nits, 45% NTSC</t>
  </si>
  <si>
    <t>up to 4.4 GHz max boost clock, 16 MB L3 cache, 8 cores, 16 threads</t>
  </si>
  <si>
    <t>7G6G3EA</t>
  </si>
  <si>
    <t>Victus 15-FB0032NE</t>
  </si>
  <si>
    <t>16GB DDR4-3200 MHz RAM (2 x 8 GB)</t>
  </si>
  <si>
    <t>1 TB PCIe® NVMe™ TLC M.2 SSD</t>
  </si>
  <si>
    <t>7G6G1EA</t>
  </si>
  <si>
    <t>Victus 15-FA0087NE</t>
  </si>
  <si>
    <t>Intel Core i5-12500H</t>
  </si>
  <si>
    <t>NVIDIA® GeForce® GTX 1650 4GB</t>
  </si>
  <si>
    <t>7G6F7EA</t>
  </si>
  <si>
    <t>Victus 15-FA1052NE</t>
  </si>
  <si>
    <t>Up to 4.6 GHz with Intel® Turbo Boost Technology, 12MB L3 cache, 8 cores, 12 threads</t>
  </si>
  <si>
    <t>803G6EA</t>
  </si>
  <si>
    <t>Victus 15-FA0088NE</t>
  </si>
  <si>
    <t>7G6F8EA</t>
  </si>
  <si>
    <t>Victus 16-R0073Cl</t>
  </si>
  <si>
    <t>Intel Core I7-13700HX</t>
  </si>
  <si>
    <t>NVIDIA GeForce RTX 4060 8GB</t>
  </si>
  <si>
    <t>32 GB DDR5-4800 MHz RAM (2 x 16 GB)</t>
  </si>
  <si>
    <t>16.1" diagonal, FHD (1920 x 1080), 144 Hz, IPS, micro-edge, anti-glare, 250 nits, 45% NTSC</t>
  </si>
  <si>
    <t>369 x 259 x 22.86 mm</t>
  </si>
  <si>
    <t>30M Cache, up to 5.00 GHz</t>
  </si>
  <si>
    <t>7N4X6UA</t>
  </si>
  <si>
    <t>Victus 16-R0059WM</t>
  </si>
  <si>
    <t>8Q9R4UA</t>
  </si>
  <si>
    <t>Victus 16-R0048NIA</t>
  </si>
  <si>
    <t>Full-size, 1-zone RGB backlit, ceramic white keyboard with numeric keypad</t>
  </si>
  <si>
    <t>24M94EA</t>
  </si>
  <si>
    <t>Victus 15-FB0070NIA</t>
  </si>
  <si>
    <t>AMD Ryzen 5-5600H</t>
  </si>
  <si>
    <t>AMD Radeon™ RX 6500M 4GB</t>
  </si>
  <si>
    <t>Maximum boost frequency up to 4.2GHz, 16MB L3 cache, 6 cores, 12 threads</t>
  </si>
  <si>
    <t>8D7L9EA</t>
  </si>
  <si>
    <t>16GB 2x 8GB SO-DIMM DDR5-5200</t>
  </si>
  <si>
    <t>359.7 x 260.3 x 19.9-21.9mm</t>
  </si>
  <si>
    <t>82YA00C4PS</t>
  </si>
  <si>
    <t>G15 5520</t>
  </si>
  <si>
    <t>16GB 2x8GB DDR5 4800MHz</t>
  </si>
  <si>
    <t>15.6" Inch FHD 165Hz 250nits WVA Anti-Glare LED Backlit Narrow Border Display</t>
  </si>
  <si>
    <t>6-cell 86 Wh Lithium Ion</t>
  </si>
  <si>
    <t>1. SuperSpeed USB 3.2 Gen 1 2. SuperSpeed USB 3.2 Gen 1 3. Thunderbolt 4/USB Type-C port with DisplayPort with alt mode 4. SuperSpeed USB 3.2 Gen 1 5. HDMI 2.1 6. Power in 7. RJ45 8. Headphones/mic</t>
  </si>
  <si>
    <t>357.3 x 272.11 x 26.9 mm</t>
  </si>
  <si>
    <t>2.672 Kg</t>
  </si>
  <si>
    <t>24MB Cache, up to 4.7 GHz, 14 cores</t>
  </si>
  <si>
    <t>Legion Slim 7 16IRH8</t>
  </si>
  <si>
    <t>16GB Soldered DDR5-5200</t>
  </si>
  <si>
    <t>16" 3.2K IPS 430nits Anti-glare, 100% DCI-P3, 165Hz, Dolby® Vision™, G-SYNC®, Low Blue Light, High Gaming Performance</t>
  </si>
  <si>
    <t>3200 x 2000</t>
  </si>
  <si>
    <t>1x USB 3.2 Gen 2 (Always On) 2x USB 3.2 Gen 2 1x USB-C® 3.2 Gen 2 (support data transfer, Power Delivery 140W and DisplayPort™ 1.4) 1x Thunderbolt™ 4 / USB4® 40Gbps (support data transfer, Power Delivery 140W and DisplayPort™ 1.4) 1x HDMI® 2.1, up to 8K/6</t>
  </si>
  <si>
    <t>357.7 x 259.3 x 17.6-19.9 mm</t>
  </si>
  <si>
    <t>2 kg</t>
  </si>
  <si>
    <t>82Y3005YAX</t>
  </si>
  <si>
    <t>IdeaPad Gaming 3 15IAH7</t>
  </si>
  <si>
    <t>Intel® Core™ i7-12650H</t>
  </si>
  <si>
    <t>1x 16GB SO-DIMM DDR4-3200</t>
  </si>
  <si>
    <t>15.6" FHD (1920x1080) IPS 300nits Anti-glare, 100% sRGB, 165Hz</t>
  </si>
  <si>
    <t>2x USB 3.2 Gen 1 1x HDMI® 2.0 1x Ethernet (RJ-45) 1x Headphone / microphone combo jack (3.5mm) 1x Power connecto</t>
  </si>
  <si>
    <t>359.6 x 266.4 x 21.8 mm</t>
  </si>
  <si>
    <t>2.315 kg</t>
  </si>
  <si>
    <t>10C (6P + 4E) / 16T, P-core 2.3 / 4.7GHz, E-core 1.7 / 3.5GHz, 24MB</t>
  </si>
  <si>
    <t>82S900VVAX</t>
  </si>
  <si>
    <t>1x USB-C® (USB 10Gbps / USB 3.2 Gen 2), with PD 140W and DisplayPort™ 1.4 3x USB-A (USB 5Gbps / USB 3.2 Gen 1) 1x HDMI® 2.1, up to 8K/60Hz 1x Ethernet (RJ-45) 1x Headphone / microphone combo jack (3.5mm) 1x Power connecto</t>
  </si>
  <si>
    <t>83DV006JAX</t>
  </si>
  <si>
    <t>NVIDIA® GeForce RTX™ 2050 4GB GDDR6</t>
  </si>
  <si>
    <t>1x USB 3.2 Gen 1 2x USB 3.2 Gen 2 1x USB-C® 3.2 Gen 2 (support data transfer, Power Delivery 140W and DisplayPort™ 1.4) 1x HDMI® 2.1, up to 8K/60Hz 1x Ethernet (RJ-45) 1x Headphone / microphone combo jack (3.5mm) 1x Power connector</t>
  </si>
  <si>
    <t>82XV00P3AX</t>
  </si>
  <si>
    <t>8GB,1X8G,4800,DDR5</t>
  </si>
  <si>
    <t>15.6" FHD (1920x1080) 120Hz LCD Display</t>
  </si>
  <si>
    <t>Dark Shadow Grey</t>
  </si>
  <si>
    <t>24 MB cache, 1 4 core, up to 4.90 GHz</t>
  </si>
  <si>
    <t>GF63 Thin 11UC</t>
  </si>
  <si>
    <t>16GB (8G*2) DDR4 3200MHz</t>
  </si>
  <si>
    <t>15.6" FHD, 16:9 IPS-Level 144Hz 45%NTSC</t>
  </si>
  <si>
    <t>Red keyboard with Anti-Ghost key (99 Key)</t>
  </si>
  <si>
    <t>3 cell , 51Whr Li-Polymer</t>
  </si>
  <si>
    <t>1x Type-C USB3.2 Gen1 3x Type-A USB3.2 Gen1 1x HDMI™ (4K @ 30Hz) HDMI™ 1x RJ45</t>
  </si>
  <si>
    <t>TUF Gaming F15 FX506HE-HN393W</t>
  </si>
  <si>
    <t>NVIDIA® GeForce RTX™ 3050Ti 4GB</t>
  </si>
  <si>
    <t>16GB DDR4-3200 SO-DIMM x 2</t>
  </si>
  <si>
    <t>512GB PCIe P3 SSD</t>
  </si>
  <si>
    <t>15.6-inch, FHD (1920 x 1080) 16:9, Value IPS-level, Anti-glare display, sRGB:62.5%, Adobe:47.34%, Refresh Rate:144Hz, Adaptive-Sync, Optimus</t>
  </si>
  <si>
    <t>1x 3.5mm Combo Audio Jack 1x HDMI 2.0b 3x USB 3.2 Gen 1 Type-A 1x RJ45 LAN port 1x Thunderbolt™ 4 support DisplayPort™ 1x USB 3.2 Gen 2 Type-C support DisplayPort™ (Thunderbolt 4 not supported on FX506HCB/HEB)</t>
  </si>
  <si>
    <t>359 x 256 x 22.8 ~ 24.3 mm</t>
  </si>
  <si>
    <t>2.3 GHz (24M Cache, up to 4.6 GHz, 8 Cores)</t>
  </si>
  <si>
    <t>90NR0704-M00K00</t>
  </si>
  <si>
    <t>Victus 15-FB0036NE</t>
  </si>
  <si>
    <t>NVIDIA GeForce GTX 1650 4GB</t>
  </si>
  <si>
    <t>8GB DDR4-3200 MHz RAM (2 x 4 GB)</t>
  </si>
  <si>
    <t>4.2 GHz max boost frequency, 16MB L3 cache, 6 cores, 12 threads</t>
  </si>
  <si>
    <t>7G6G5EA</t>
  </si>
  <si>
    <t>Victus Gaming Laptop 15-fb0035ne</t>
  </si>
  <si>
    <t>AMD Ryzen™ 5 5600H</t>
  </si>
  <si>
    <t>Nvidia GeForce GTX 1650</t>
  </si>
  <si>
    <t>up to 4.2 GHz max boost clock, 16 MB L3 cache, 6 cores, 12 threads</t>
  </si>
  <si>
    <t>Legion 5 15IAH7</t>
  </si>
  <si>
    <t>NVIDIA® GeForce RTX™ 3050 Ti 4GB</t>
  </si>
  <si>
    <t>15.6" WQHD IPS 300nits Anti-glare, 100% sRGB, 165Hz, Dolby® Vision™, G-SYNC®</t>
  </si>
  <si>
    <t>1x Ethernet (RJ-45) 1x HDMI® 2.1, up to 8K/60Hz 1x Headphone / microphone combo jack (3.5mm) 1x Power connector 1x Thunderbolt™ 4 / USB4® 40Gbps (support data transfer and DisplayPort™ 1.4) 1x USB 3.2 Gen 1 (Always On) 1x USB-C® 3.2 Gen 2 (support data tr</t>
  </si>
  <si>
    <t>358.8 x 262.35 x 19.99 mm</t>
  </si>
  <si>
    <t>14C (6P + 8E) / 20T, P-core 2.3 / 4.7GHz, E-core 1.7 / 3.5GHz, 24MB</t>
  </si>
  <si>
    <t>82RC00DEAX</t>
  </si>
  <si>
    <t>1 TB SSD</t>
  </si>
  <si>
    <t>Windows 10 Home</t>
  </si>
  <si>
    <t>1x 8GB SO-DIMM DDR5-5200</t>
  </si>
  <si>
    <t>1x Ethernet (RJ-45) 1x HDMI® 2.1, up to 8K/60Hz 1x Headphone / microphone combo jack (3.5mm) 1x Power connector 1x USB 3.2 Gen 1 1x USB-C® 3.2 Gen 2 (support data transfer, Power Delivery 140W and DisplayPort™ 1.4) 2x USB 3.2 Gen 2</t>
  </si>
  <si>
    <t>16 GB SO-DIMM DDR5-5600</t>
  </si>
  <si>
    <t>15.6" FHD (1920x1080) IPS 350nits Anti-glare, 45% NTSC, 144Hz, G-SYNC®, FreeSync™</t>
  </si>
  <si>
    <t>1x Ethernet (RJ-45) 1x HDMI® 2.1, up to 8K/60Hz 1x Headphone / microphone combo jack (3.5mm) 1x Power connector 1x USB 2.0 1x USB-C® 3.2 Gen 2 (support data transfer, Power Delivery 140W and DisplayPort™ 1.4) 2x USB 3.2 Gen 2</t>
  </si>
  <si>
    <t>16T, 3.8 / 5.1GHz, 8MB L2 / 16MB L3</t>
  </si>
  <si>
    <t>82XT00BSED</t>
  </si>
  <si>
    <t>Legion 7 16ITHg6</t>
  </si>
  <si>
    <t>Intel® Core™ i7-11800H</t>
  </si>
  <si>
    <t>NVIDIA® GeForce RTX™ 3080 16GB</t>
  </si>
  <si>
    <t>32 GB SO-DIMM DDR4-3200</t>
  </si>
  <si>
    <t>16" WQXGA (2560x1600) IPS 500nits Anti-glare, 100% sRGB, 165Hz, DisplayHDR™ 400, Dolby® Vision™, G-SYNC®</t>
  </si>
  <si>
    <t>windows 11 home</t>
  </si>
  <si>
    <t>Per-key RGB Backlit, Arabic</t>
  </si>
  <si>
    <t>1x Ethernet (RJ-45) 1x HDMI® 2.1 1x Headphone / microphone combo jack (3.5mm) 1x Power connector 1x Thunderbolt™ 4 / USB4® 40Gbps (support data transfer and DisplayPort™ 1.4) 1x Thunderbolt™ 4 / USB4® 40Gbps (support data transfer, Power Delivery 100W and</t>
  </si>
  <si>
    <t>360 x 260 x 20.1-23.5 mm</t>
  </si>
  <si>
    <t>16T, 2.3 / 4.6GHz, 24MB</t>
  </si>
  <si>
    <t>82K600BLED</t>
  </si>
  <si>
    <t>Victus 15-FB0037NE</t>
  </si>
  <si>
    <t>1 USB Type-A port with 5 Gb/s signaling rate (DisplayPort™ 1.4, HP Sleep and Charge); One USB Type-A port with 5 Gb/s signaling rate (HP Sleep and Charge); One USB Type-A port with 5 Gb/s signaling speed; One AC smart pin; One HDMI 2.1 port; 1 headphone/m</t>
  </si>
  <si>
    <t>Maximum boost frequency up to 4.2 GHz, 16MB L3 cache, 6 cores, 12 threads) 1 2</t>
  </si>
  <si>
    <t>7G6G6EA</t>
  </si>
  <si>
    <t>Alienware M16</t>
  </si>
  <si>
    <t>16 GB 2 x 8 GB, DDR5, 4800 MT/s</t>
  </si>
  <si>
    <t>16" QHD+ (2560 x 1600) 165Hz,</t>
  </si>
  <si>
    <t>6 Cell, 86 Wh, integrated</t>
  </si>
  <si>
    <t>1080p at 30 fps FHD camera</t>
  </si>
  <si>
    <t>2 Type-C Port (Thunderbolt™ 4.0, USB 4 Gen 2, DisplayPort 1.4, and 15W Power Delivery (3A/5V) capabilities) 1 USB Type-A 3.2 Gen 1 1 HDMI 2.1 Output port 1 Mini DisplayPort 1.4 1 Power/DC-in port 1 RJ-45 Ethernet Port 1 USB 3.2 Gen 1 Type-A with PowerShar</t>
  </si>
  <si>
    <t>368.9 x 289.9 x 25.4 mm</t>
  </si>
  <si>
    <t>3.25 kg</t>
  </si>
  <si>
    <t>Dark Metallic Moon</t>
  </si>
  <si>
    <t>30 MB cache, 16 cores, 24 threads, up to 5.00 GHz Turbo)</t>
  </si>
  <si>
    <t>Omen 16-K0033DX</t>
  </si>
  <si>
    <t>Intel Core I9-12900H</t>
  </si>
  <si>
    <t>16.1" diagonal, QHD (2560 x 1440), 165 Hz, 3 ms response time, IPS, micro-edge, anti-glare, Low Blue Light, 300 nits, 100% sRGB</t>
  </si>
  <si>
    <t>2 Thunderbolt™ 4 with USB Type-C® 40Gbps signaling rate (USB Power Delivery, DisplayPort™ 1.4, HP Sleep and Charge); 1 USB Type-A 5Gbps signaling rate (HP Sleep and Charge); 2 USB Type-A 5Gbps signaling rate; 1 AC smart pin; 1 HDMI 2.1; 1 headphone/microp</t>
  </si>
  <si>
    <t>369 x 247 x 22.6 mm</t>
  </si>
  <si>
    <t>2.5 GHz (24M Cache, up to 5.0 GHz, 14 cores: 6 P-cores and 8 E-cores)</t>
  </si>
  <si>
    <t>74S79UA</t>
  </si>
  <si>
    <t>16" WQXGA IPS 500nits Anti-glare, 100% sRGB, 240Hz, DisplayHDR™ 400, Dolby® Vision™, G-SYNC®, Low Blue Light, High Gaming Performance</t>
  </si>
  <si>
    <t>1x Ethernet (RJ-45) 1x HDMI® 2.1, up to 8K/60Hz 1x Headphone / microphone combo jack (3.5mm) 1x Power connector 1x USB 3.2 Gen 1 (Always On) 1x USB-C® 3.2 Gen 2 (support data transfer and DisplayPort™ 1.4) 1x USB-C® 3.2 Gen 2 (support data transfer, Power</t>
  </si>
  <si>
    <t>82WK008RAX</t>
  </si>
  <si>
    <t>Intel Core i7​​-13700H</t>
  </si>
  <si>
    <t>16 GB 2x 8GB SO-DIMM DDR5-5200</t>
  </si>
  <si>
    <t>82XV00CBUS</t>
  </si>
  <si>
    <t>82K200URUS</t>
  </si>
  <si>
    <t>Legion 5 Pro 16ITH6</t>
  </si>
  <si>
    <t>1TB SSD M.2 2280 PCIe® 4.0x4 NVMe</t>
  </si>
  <si>
    <t>16" WQXGA IPS 500nits Anti-glare, 100% sRGB, 165Hz, DisplayHDR™ 400, Dolby® Vision™, G-SYNC®</t>
  </si>
  <si>
    <t>3x USB 3.2 Gen 1 1x USB 3.2 Gen 1 (Always On) 1x Thunderbolt™ 4 / USB4® 40Gbps (support data transfer and DisplayPort™ 1.4) 1x Thunderbolt™ 4 / USB4® 40Gbps (support data transfer, Power Delivery and DisplayPort™ 1.4) 1x HDMI® 2.1 1x Ethernet (RJ-45) 1x H</t>
  </si>
  <si>
    <t>356 x 260.2-264.2 x 21.7-26.15 mm</t>
  </si>
  <si>
    <t>82JF007EED</t>
  </si>
  <si>
    <t>16" WQXGA (2560x1600) IPS 500nits Anti-glare, 100% sRGB, 240Hz, DisplayHDR™ 400, Dolby® Vision™, G-SYNC®, Low Blue Light, High Gaming Performance</t>
  </si>
  <si>
    <t>82WK006AUS</t>
  </si>
  <si>
    <t>Predator Helios 300-PH315-54-760S</t>
  </si>
  <si>
    <t>16 GB DDR4 SDRAM</t>
  </si>
  <si>
    <t>15.6'' Inch FHD IPS 144HZ</t>
  </si>
  <si>
    <t>4-zone RGB backlit keyboard</t>
  </si>
  <si>
    <t>59 Wh 4-cell Lithium Ion (Li-Ion)</t>
  </si>
  <si>
    <t>HD Webcam (1280 x 720) supporting Super High Dynamic Range (SHDR)</t>
  </si>
  <si>
    <t>HDMI® Yes USB Yes Number of USB 3.2 Gen 1 Ports 2 Number of 3.2 Gen 2 Ports (USB Type-C) 1 Total Number of USB Ports 4 Network (RJ-45) Yes Audio Line Out Yes Headphone Jack Yes Number of HDMI® Ports 1</t>
  </si>
  <si>
    <t>363.22 x 254 x 22.86 mm</t>
  </si>
  <si>
    <t>Abyss Black</t>
  </si>
  <si>
    <t>2.30 GHz (24M Cache, up to 4.9 GHz, 8 Cores</t>
  </si>
  <si>
    <t>ROG Flow X16 GV601RM-BLK17W</t>
  </si>
  <si>
    <t>AMD Ryzen 7-6800HS</t>
  </si>
  <si>
    <t>6GB GDDR5</t>
  </si>
  <si>
    <t>16GB 2x 8GB DDR5-4800 SO-DIMM</t>
  </si>
  <si>
    <t>1TB PCIe 4.0 NVMe M.2 Performance SSD</t>
  </si>
  <si>
    <t>ROG Nebula Display 16-inch QHD+ 16:10, WQXGA) IPS-level glossy display DCI-P3: 100% Touch Screen Refresh Rate: 165Hz Response Time: 3ms Pantone Validated Support stylus: Yes MUX Switch + Optimus Support Dolby Vision HDR : Yes</t>
  </si>
  <si>
    <t>1x 3.5mm Combo Audio Jack 1x HDMI 2.0b support HDMI switch 1x USB 3.2 Gen 2 Type-C support displayport / power delivery / G-SYNC 2x USB 3.2 Gen 2 Type-A 1x USB 3.2 Gen 2 Type-C support DisplayPort™ / power delivery 1x ROG XG Mobile Interface and USB Type-</t>
  </si>
  <si>
    <t>355 x 243 x 19.4 mm</t>
  </si>
  <si>
    <t>8-core/16-thread, 20MB cache, up to 4.7 GHz max boost</t>
  </si>
  <si>
    <t>90NR0AP1-M003M0</t>
  </si>
  <si>
    <t>G15 5525</t>
  </si>
  <si>
    <t>AMD Ryzen 7-6800H</t>
  </si>
  <si>
    <t>512GB M.2 PCIe Solid State Drive</t>
  </si>
  <si>
    <t>15.6 inch FHD 120Hz 250 nits WVA Anti-Glare LED Backlit Narrow Border Display</t>
  </si>
  <si>
    <t>Internal Arabic Qwerty Backli t Keyboard with Numeric Keypad (No G-Key)</t>
  </si>
  <si>
    <t>1. SuperSpeed USB 3.2 Gen 1 Type-A 2. SuperSpeed USB 3.2 Gen 1 Type-A 3. USB 3.2 Gen 1 Type-C port with Display Port Alt-Mode (USB4® Type-C port with Display Port Alt-Mode available with NVIDIA® GeForce RTX™ 3060 graphics and above) 4. SuperSpeed USB 3.2</t>
  </si>
  <si>
    <t>357.26 x 272.11 x 26.90 mm</t>
  </si>
  <si>
    <t>2.52 kg</t>
  </si>
  <si>
    <t>Phantom Grey</t>
  </si>
  <si>
    <t>8-Cores P rocessor (20M Cache, up to 4.7 GHz)</t>
  </si>
  <si>
    <t>Victus 15-FA1105NE</t>
  </si>
  <si>
    <t>6GB GDDR</t>
  </si>
  <si>
    <t>Up to 5.0 GHz with Intel® Turbo Boost Technology, 24MB L3 Cache, 14 cores, 20 threads) 1</t>
  </si>
  <si>
    <t>8Y601EA</t>
  </si>
  <si>
    <t>Victus 16-E1013NE</t>
  </si>
  <si>
    <t>AMD Rayzen 7-6800H</t>
  </si>
  <si>
    <t>512 GB PCIe® NVMe™ TLC M.2 SSD</t>
  </si>
  <si>
    <t>2.4kg</t>
  </si>
  <si>
    <t>8-core/16-thread, 16MB cache, up to 4.9 GHz max boost</t>
  </si>
  <si>
    <t>72T14EA</t>
  </si>
  <si>
    <t>Victus 16-E1002NE</t>
  </si>
  <si>
    <t>AMD Rayzen 5-6600H</t>
  </si>
  <si>
    <t>370 x 260 x 23.5 mm</t>
  </si>
  <si>
    <t>7K3F1EA</t>
  </si>
  <si>
    <t>Amd Ryzen 7 5800H</t>
  </si>
  <si>
    <t>NVIDIA® GeForce RTX™ 3070 8GB</t>
  </si>
  <si>
    <t>15.6" FHD IPS 300nits Anti-glare, 100% sRGB, 165Hz, Dolby® Vision™, FreeSync™, G-SYNC®</t>
  </si>
  <si>
    <t>(8C / 16T, 3.2 / 4.4GHz, 4MB L2 / 16MB L3)</t>
  </si>
  <si>
    <t>82JU01BEAX</t>
  </si>
  <si>
    <t>Intel® Core™ i7-12700H</t>
  </si>
  <si>
    <t>16 GB 2x 8GB SO-DIMM DDR5-4800</t>
  </si>
  <si>
    <t>4-Zone RGB Backlit, English (UK)</t>
  </si>
  <si>
    <t>82RC00DLAK</t>
  </si>
  <si>
    <t>16 GB 2x 8GB SO-DIMM DDR4-3200</t>
  </si>
  <si>
    <t>82K200QCAX</t>
  </si>
  <si>
    <t>AMD Ryzen™ 7 5800H</t>
  </si>
  <si>
    <t>15.6" FHD (1920x1080) IPS 250nits Anti-glare, 45% NTSC, 120Hz</t>
  </si>
  <si>
    <t>82K2020BAX</t>
  </si>
  <si>
    <t>Victus 16-E1027NE</t>
  </si>
  <si>
    <t>4 GB GDDR6 dedicated</t>
  </si>
  <si>
    <t>7K3F6EA</t>
  </si>
  <si>
    <t>Victus 16-E1011NE</t>
  </si>
  <si>
    <t>72T12EA</t>
  </si>
  <si>
    <t>Victus 16-E1012NE</t>
  </si>
  <si>
    <t>HP Wide Vision 720p HD camera with integrated dual array digital microphones</t>
  </si>
  <si>
    <t>72T13EA</t>
  </si>
  <si>
    <t>Victus 16-R0044NE</t>
  </si>
  <si>
    <t>369 x 259.4 x 22.9 mm (front); 369 x 259.4 x 23.9 mm (rear)</t>
  </si>
  <si>
    <t>81P98EA</t>
  </si>
  <si>
    <t>Victus 16-E1026NE</t>
  </si>
  <si>
    <t>7K3F5EA</t>
  </si>
  <si>
    <t>Victus 15-FA1106NE</t>
  </si>
  <si>
    <t>8Y5V5EA</t>
  </si>
  <si>
    <t>Victus 15-FA1104NE</t>
  </si>
  <si>
    <t>16GB DDR4 3200MHz RAM (2 x 8GB)</t>
  </si>
  <si>
    <t>39.6 cm (15.6") diagonal FHD IPS, 144Hz, 9ms, micro-edge, anti-glare, 250 nits, 45% NTSC color</t>
  </si>
  <si>
    <t>Full-size keyboard with light blue backlit numeric keypad</t>
  </si>
  <si>
    <t>4-cell lithium-ion polymer battery with a capacity of 70 Wh</t>
  </si>
  <si>
    <t>HP Wide Vision HD 720p camera with temporal noise reduction and integrated dual-array digital microphones</t>
  </si>
  <si>
    <t>One USB Type-A port with 5 Gb/s signaling speed; One USB Type-A port with 5 Gb/s signaling rate (HP Sleep and Charge); 1 USB Type-A port with 5 Gb/s signaling rate (DisplayPort™ 1.4, HP Sleep and Charge); One HDMI 2.1 port; One RJ-45 port; One AC smart pi</t>
  </si>
  <si>
    <t>up to 5.0 GHz with Intel® Turbo Boost Technology, 24MB L3 cache, 14 cores, 20 threads</t>
  </si>
  <si>
    <t>Victus 15-FB0072NIA</t>
  </si>
  <si>
    <t>AMD Radeon™ RX 6500M Graphics</t>
  </si>
  <si>
    <t>Victus 15-FB0071NIA</t>
  </si>
  <si>
    <t>ROG Strix Scar 17 G733ZW-KH096W</t>
  </si>
  <si>
    <t>NVIDIA® GeForce RTX™ 3070 Ti 8GB</t>
  </si>
  <si>
    <t>32GB 16GB DDR5-4800 SO-DIMM x 2</t>
  </si>
  <si>
    <t>17.3-inch with 300 Nits FHD (1920 x 1080) 16:9 anti-glare display sRGB: 100% Adobe: 75.35% Refresh Rate: 360Hz Response Time: 3ms IPS-level MUX Switch + Optimus Support Dolby Vision HDR : Yes</t>
  </si>
  <si>
    <t>Backlit Chiclet Keyboard Per-Key RGB</t>
  </si>
  <si>
    <t>FHD 1080P@60FPS external camera</t>
  </si>
  <si>
    <t>1x 3.5mm Combo Audio Jack 1x HDMI 2.1 2x USB 3.2 Gen 1 Type-A 1x USB 3.2 Gen 2 Type-C support displayport / power delivery / G-SYNC 1x Thunderbolt™ 4 support DisplayPort™ 1x 2.5G LAN port</t>
  </si>
  <si>
    <t>395 x 282 x 23.4 ~ 28.3 mm</t>
  </si>
  <si>
    <t>2.90 Kg</t>
  </si>
  <si>
    <t>90NR08G2-M004R0</t>
  </si>
  <si>
    <t>Rog Zephyrus G14 GA402RJ-GRY07W</t>
  </si>
  <si>
    <t>AMD Rayzen 7-6800HS</t>
  </si>
  <si>
    <t>AMD Radeon™ RX 6700S</t>
  </si>
  <si>
    <t>16GB (8GB DDR5 on board+ 8GB DDR5-4800 SO-DIMM)</t>
  </si>
  <si>
    <t>14.0 inch ROG Nebula Display  QHD+ 16:10 (2560 x 1600, WQXGA)  IPS-level  Anti-glare display  DCI-P3:100%  Refresh Rate:120Hz  Response Time:3ms  Adaptive-Sync  Pantone Validated  MUX Switch  Support Dolby Vision HDR :Yes</t>
  </si>
  <si>
    <t>76WHrs, 4S1P, 4-cell Li-ion</t>
  </si>
  <si>
    <t>1x 3.5mm Combo Audio Jack  1x HDMI 2.0b  2x USB 3.2 Gen 2 Type-A  1x USB 3.2 Gen 2 Type-C support DisplayPort™  1x USB 3.2 Gen 2 Type-C support DisplayPort™ / power delivery  1x card reader (microSD) (UHS-II)</t>
  </si>
  <si>
    <t>312 x 227 x 18.5  mm</t>
  </si>
  <si>
    <t>1.65 Kg</t>
  </si>
  <si>
    <t>90NR09T4-M00B30</t>
  </si>
  <si>
    <t>Rog Zephyrus G14 GA402RJ-WHT07W</t>
  </si>
  <si>
    <t>16GB (8GB DDR5 on board + 8GB DDR5-4800 SO-DIMM)</t>
  </si>
  <si>
    <t>white</t>
  </si>
  <si>
    <t>90NR09T3-M00B20</t>
  </si>
  <si>
    <t>ROG Zephyrus S17 GX703HS-KF035T</t>
  </si>
  <si>
    <t>Intel Core I9-11900H</t>
  </si>
  <si>
    <t>32GB 16GB DDR4 on board + 16GB DDR4-3200 SO-DIMM</t>
  </si>
  <si>
    <t>1TB + 1TB + 1TB M.2 NVMe™ PCIe® 4.0 RAID0 SSD</t>
  </si>
  <si>
    <t>17.3-inch with 300 Nits 4K UHD (3840 x 2160) 16:9 IPS-level anti-glare display DCI-P3: 100% Refresh Rate: 120Hz Response Time: 3ms Pantone Validated Optimus</t>
  </si>
  <si>
    <t>3840 x 2160</t>
  </si>
  <si>
    <t>Optical Mech Keyboard Per-Key RGB Touchpad</t>
  </si>
  <si>
    <t>1x 3.5mm Combo Audio Jack 1x HDMI 2.0b 2x USB 3.2 Gen 2 Type-A 1x USB 3.2 Gen 2 Type-A 1x USB 3.2 Gen 2 Type-C support DisplayPort™ / power delivery 1x RJ45 LAN port 1x Thunderbolt™ 4 support DisplayPort™ / power delivery 1x card reader (SD) (UHS-II, 312M</t>
  </si>
  <si>
    <t>394 x 264 x 19.9 mm</t>
  </si>
  <si>
    <t>2.60 Kg</t>
  </si>
  <si>
    <t>2.5 GHz (24M Cache, up to 4.9 GHz, 8 Cores)</t>
  </si>
  <si>
    <t>90NR06F1-M01770</t>
  </si>
  <si>
    <t>Victus 16-E1015NE</t>
  </si>
  <si>
    <t>512GB PCIe® NVMe™ TLC M.2 SSD</t>
  </si>
  <si>
    <t>2.46 Kg</t>
  </si>
  <si>
    <t>72T16EA</t>
  </si>
  <si>
    <t>Victus 16-E1014NE</t>
  </si>
  <si>
    <t>72T15EA</t>
  </si>
  <si>
    <t>Victus 16-D1016NE</t>
  </si>
  <si>
    <t>6K2E7EA</t>
  </si>
  <si>
    <t>Nitro 5 AN515-58-526E</t>
  </si>
  <si>
    <t>8GB DDR4 SDRAM 1 x 8GB</t>
  </si>
  <si>
    <t>15.6" Inch FHD 144 Hz LCD Aspect Ratio 16:9</t>
  </si>
  <si>
    <t>4-cell Lithium Ion (Li-Ion) 57.50 Wh</t>
  </si>
  <si>
    <t>HDMI Yes Network (RJ-45) Yes Number of HDMI Outputs 1 Total Number of USB Ports 4 Headphone/Microphone Combo Port Yes USB Type-C Yes USB Type-C Detail USB Type-C port supporting: USB 3.2 Gen 2 (up to 10 Gbps), DisplayPort over USB-C, Thunderbolt 4, USB ch</t>
  </si>
  <si>
    <t>360.4 x 271.1 x 26.90 mm</t>
  </si>
  <si>
    <t>2.50 kg</t>
  </si>
  <si>
    <t>2.5 GHz (18M Cache, up to 4.5 GHz, 12 cores: 4 P-cores and 8 E-cores)</t>
  </si>
  <si>
    <t>8GB 1x 8GB SO-DIMM DDR4-3200</t>
  </si>
  <si>
    <t>1x Ethernet (RJ-45) 1x HDMI® 2.0 1x Headphone / microphone combo jack (3.5mm) 1x Power connector 2x USB 3.2 Gen 1</t>
  </si>
  <si>
    <t>12C (4P + 8E) / 16T, P-core 2.5 / 4.5GHz, E-core 1.8 / 3.3GHz, 18MB</t>
  </si>
  <si>
    <t>82S900ENED</t>
  </si>
  <si>
    <t>ROG Zephyrus G15 GA503RM-HQ007W</t>
  </si>
  <si>
    <t>NVIDIA GeForce RTX™ 3060, 6GB</t>
  </si>
  <si>
    <t>1TB PCIe 4.0 NVMe™ M.2 SSD</t>
  </si>
  <si>
    <t>15.6-inch WQHD (2560 x 1440) 16:9 - Anti-glare display Refresh Rate: 165Hz, IPS-level  DCI-P3: 100%  Response Time: 3ms  Adaptive-Sync  Pantone Validated  MUX Switch + Optimus  Support Dolby Vision HDR : Yes</t>
  </si>
  <si>
    <t>1x 3.5mm Combo Audio Jack  1x HDMI 2.0b  2x USB 3.2 Gen 2 Type-A  1x RJ45 LAN port  2x USB 3.2 Gen 2 Type-C support DisplayPort™ / power delivery  1x card reader (microSD) (UHS-II)</t>
  </si>
  <si>
    <t>355 x 243 x 19.9 mm</t>
  </si>
  <si>
    <t>1.90 Kg</t>
  </si>
  <si>
    <t>90NR0812-M00920</t>
  </si>
  <si>
    <t>Rog Zephyrus G14 GA401QC-K2069T</t>
  </si>
  <si>
    <t>AMD Ryzen 9-5900HS</t>
  </si>
  <si>
    <t>512 GB PCIE SSD</t>
  </si>
  <si>
    <t>14.0 Inch WQHD 16:9 IPS-level anti-glare display DCI-P3: 100% Refresh Rate: 120Hz Pantone Validated Optimus</t>
  </si>
  <si>
    <t>ILLUMINATED Chiclet Keyboard Touchpad</t>
  </si>
  <si>
    <t>1x 3.5mm Combo Audio Jack 1x HDMI 2.0b 2x USB 3.2 Gen 1 Type-A 1x USB 3.2 Gen 2 Type-C support displayport / power delivery / G-SYNC</t>
  </si>
  <si>
    <t>324 x 222 x 17.9 mm</t>
  </si>
  <si>
    <t>1.60 Kg</t>
  </si>
  <si>
    <t>8-core/16-thread 20MB cache, up to 4.6 GHz max boost</t>
  </si>
  <si>
    <t>90NR05T3-M002Y0</t>
  </si>
  <si>
    <t>TUF Gaming F17 FX706HM-HX090T</t>
  </si>
  <si>
    <t>1TB M.2 NVMe™ PCIe® 3.0 SSD</t>
  </si>
  <si>
    <t>17.3-inch, FHD 16:9, anti-glare display, sRGB:62.5%, Adobe:47.34%, DCI-P3:Refresh Rate:144Hz, Value IPS-level</t>
  </si>
  <si>
    <t>1x 3.5mm Combo Audio Jack 1x HDMI 2.0b 3x USB 3.2 Gen 1 Type-A 1x RJ45 LAN port 1x USB 3.2 Gen 2 Type-C support DisplayPort™ 1x Thunderbolt™ 4 support DisplayPort™ Thunderbolt 4 not supported on FX706HCB/HEB</t>
  </si>
  <si>
    <t>399 x 269 x 22.1 ~ 23.9 mm</t>
  </si>
  <si>
    <t>2.5 GHz (24M Cache, up to 4.9 GHz, 8 Cores</t>
  </si>
  <si>
    <t>90NR0743-M02340</t>
  </si>
  <si>
    <t>ROG Strix G15 G513QM-HQ415T</t>
  </si>
  <si>
    <t>16 8GB DDR4-3200 SO-DIMM x 2</t>
  </si>
  <si>
    <t>1TB PCIE SSD</t>
  </si>
  <si>
    <t>15.6-inch with 200 Nits WQHD 16:9 IPS-level anti-glare display DCI-P3: 100.00% Refresh Rate: 165Hz Response Time: 3ms Optimus</t>
  </si>
  <si>
    <t>1x 3.5mm Combo Audio Jack 1x HDMI 2.0b 1x USB 3.2 Gen 2 Type-C support displayport / power delivery / G-SYNC 3x USB 3.2 Gen 1 Type-A 1x RJ45 LAN port</t>
  </si>
  <si>
    <t>354 x 259 x 226 ~ 27.2 mm</t>
  </si>
  <si>
    <t>8-core/16-thread, 20MB cache, up to 4.4 GHz max boost</t>
  </si>
  <si>
    <t>90NR0572-M09800</t>
  </si>
  <si>
    <t>ROG Zephyrus G14 GA401QM-K2012T</t>
  </si>
  <si>
    <t>14.0" WQHD (2560 x 1440) 16:9 IPS-level anti-glare display DCI-P3: 100% Refresh Rate: 120Hz Pantone Validated Optimus</t>
  </si>
  <si>
    <t>324 x 222 x 19.9 mm</t>
  </si>
  <si>
    <t>1.70 Kg</t>
  </si>
  <si>
    <t>(8-core/16-thread 20MB cache, up to 4.6 GHz max boost)</t>
  </si>
  <si>
    <t>90NR05S6-M08430</t>
  </si>
  <si>
    <t>ROG Flow X13 GV301RC-LJ062W</t>
  </si>
  <si>
    <t>16GB 8GB*2 LPDDR5 on board</t>
  </si>
  <si>
    <t>512GB PCIe® 4.0 NVMe™ M.2 SSD (2230)</t>
  </si>
  <si>
    <t>13.4-inch FHD+ 16:10 (1920 x 1200, WUXGA) IPS-level glossy display sRGB: 100% Adobe: 75% Touch Screen Refresh Rate: 120Hz Pantone Validated Support stylus: Yes MUX Switch + Optimus Support Dolby Vision HDR : Yes</t>
  </si>
  <si>
    <t>62WHrs, 4S1P, 4-cell Li-ion</t>
  </si>
  <si>
    <t>1x 3.5mm Combo Audio Jack 1x HDMI 2.0b 1x USB 3.2 Gen 2 Type-A 1x ROG XG Mobile Interface and USB Type-C combo port (with USB 3.2 Gen2, support DisplayPort™ 1.4) 2x USB 3.2 Gen 2 Type-C support DisplayPort™ / power delivery</t>
  </si>
  <si>
    <t>299 x 222 x 15.8 ~ 16.9 mm</t>
  </si>
  <si>
    <t>1.30 Kg</t>
  </si>
  <si>
    <t>90NR0A41-M003J0</t>
  </si>
  <si>
    <t>ROG Flow X13 GV301RE-LJ118W</t>
  </si>
  <si>
    <t>90NR0A21-M008F0</t>
  </si>
  <si>
    <t>ROG Flow Z13 GZ301ZC-LD110W</t>
  </si>
  <si>
    <t>16GB 8GB*2 LPDDR5</t>
  </si>
  <si>
    <t>512GB PCIe® 4.0 2230 NVMe™ M.2 SSD</t>
  </si>
  <si>
    <t>13.4-inch FHD+ 16:10 ( WUXGA) glossy display sRGB: 100 Touch Screen Refresh Rate: 120Hz Response Time: 30ms IPS-level Pantone Validated Support stylus: Yes MUX Switch + Optimus Support Dolby Vision HDR : Yes</t>
  </si>
  <si>
    <t>Backlit Chiclet Keyboard RGB Touchpad</t>
  </si>
  <si>
    <t>8MP camera and 720P HD camera</t>
  </si>
  <si>
    <t>1x 3.5mm Combo Audio Jack 1x USB 2.0 Type-A 1x Thunderbolt™ 4 support DisplayPort™ / power delivery 1x ROG XG Mobile Interface 1x card reader (microSD) (UHS-II) 1x USB 3.2 Gen 2 Type-C support DisplayPort™ / power delivery / G-SYNC</t>
  </si>
  <si>
    <t>302 x 204 x 12 mm</t>
  </si>
  <si>
    <t>1.18 Kg</t>
  </si>
  <si>
    <t>2.3 GHz (24M Cache, up to 4.7 GHz, 14 cores: 6 P-cores and 8 E-cores)</t>
  </si>
  <si>
    <t>90NR07Z1-M00760</t>
  </si>
  <si>
    <t>ROG Flow Z13 GZ301ZE-LC180W</t>
  </si>
  <si>
    <t>1TB PCIe® 4.0 NVMe™ M.2 SSD (2230)</t>
  </si>
  <si>
    <t>13.4-inch UHD+ 16:10 (3840 x 2400, WQUXGA) glossy display DCI-P3: 85 Touch Screen Response Time: 30ms IPS-level Pantone Validated Support stylus: Yes MUX Switch + Optimus Support Dolby Vision HDR : Yes</t>
  </si>
  <si>
    <t>90NR07X1-M00HL0</t>
  </si>
  <si>
    <t>Rog Strix Scar 15 G533ZW-LN086W</t>
  </si>
  <si>
    <t>NVIDIA® GeForce RTX™ 3070Ti 8GB</t>
  </si>
  <si>
    <t>15.6-inch WQHD 16:9 IPS-level Anti-glare display DCI-P3: 100% Refresh Rate: 240Hz Response Time: 3ms Adaptive-Sync MUX Switch + Optimus Support Dolby Vision HDR : Yes</t>
  </si>
  <si>
    <t>Backlit Chiclet Keyboard Per-Key RGB Support NumberPad</t>
  </si>
  <si>
    <t>1x 3.5mm Combo Audio Jack 1x HDMI 2.1 FRL 2x USB 3.2 Gen 1 Type-A 1x USB 3.2 Gen 2 Type-C support DisplayPort™ / power delivery 1x Thunderbolt™ 4 support DisplayPort™ 1x 2.5G LAN port</t>
  </si>
  <si>
    <t>354 x 259 x 22.6 ~ 27.2 mm</t>
  </si>
  <si>
    <t>90NR0872-M004E0</t>
  </si>
  <si>
    <t>ROG Strix Scar 17 G733ZW-KH162W</t>
  </si>
  <si>
    <t>17.3-inch with 300 Nits FHD 16:9 IPS-level anti-glare display sRGB: 100% Adobe: 75.35% Refresh Rate: 360Hz Response Time: 3ms MUX Switch + Optimus Support Dolby Vision HDR : Yes</t>
  </si>
  <si>
    <t>1x 3.5mm Combo Audio Jack 1x HDMI 2.1 FRL 2x USB 3.2 Gen 1 Type-A 1x USB 3.2 Gen 2 Type-C support displayport / power delivery / G-SYNC 1x Thunderbolt™ 4 support DisplayPort™ 1x 2.5G LAN port</t>
  </si>
  <si>
    <t>90NR08G2-M009H0</t>
  </si>
  <si>
    <t>ROG Strix Scar 17 G733ZX-KH059W</t>
  </si>
  <si>
    <t>NVIDIA® GeForce RTX™ 3080Ti</t>
  </si>
  <si>
    <t>17.3-inch with 300 Nits FHD 16:9 anti-glare display sRGB: 100% Adobe: 75.35% Refresh Rate: 360Hz Response Time: 3ms IPS-level MUX Switch + Optimus Support Dolby Vision HDR : Yes</t>
  </si>
  <si>
    <t>90NR08L2-M003M0</t>
  </si>
  <si>
    <t>TUF Gaming A15 FA507NU-LP045W</t>
  </si>
  <si>
    <t>AMD Ryzen 7-7735HS</t>
  </si>
  <si>
    <t>16GB DDR5-4800 SO-DIMM, Max Capacity:32GB, Support dual channel memory</t>
  </si>
  <si>
    <t>15.6-inch, FHD 16:9, Value IPS-level, Anti-glare display, sRGB:100%, Adobe:75.35%, Refresh Rate:144Hz, G-Sync, MUX Switch + NVIDIA® Advanced Optimus</t>
  </si>
  <si>
    <t>1x 3.5mm Combo Audio Jack 1x HDMI 2.1 FRL 2x USB 3.2 Gen 1 Type-A 1x USB 3.2 Gen 2 Type-C support DisplayPort™ / power delivery / G-SYNC 1x RJ45 LAN port 1x Type C USB 4 support DisplayPort™</t>
  </si>
  <si>
    <t>354 x 251 x 24.9 mm</t>
  </si>
  <si>
    <t>8-core/16-thread, 16MB L3 cache, up to 4.7 GHz max boost</t>
  </si>
  <si>
    <t>Victus 15-FB0028NR</t>
  </si>
  <si>
    <t>16 GB DDR4-3200 MHz</t>
  </si>
  <si>
    <t>15.6-inch diagonal, FHD, 144 Hz, IPS, micro-edge, anti-glare, 250 nits, 45% NTSC</t>
  </si>
  <si>
    <t>1 USB Type-C® 5Gbps signaling rate (DisplayPort™ 1.4, HP Sleep and Charge); 1 USB Type-A 5Gbps signaling rate (HP Sleep and Charge); 1 USB Type-A 5Gbps signaling rate; 1 AC smart pin; 1 HDMI 2.1; 1 headphone/microphone combo; 1 RJ-45 15</t>
  </si>
  <si>
    <t>Victus 16-D1002NE</t>
  </si>
  <si>
    <t>16.1" diagonal, FHD, 144 Hz, 7 ms response time, IPS, micro-edge, anti-glare, Low Blue Light, 300 nits, 100% sRGB</t>
  </si>
  <si>
    <t>370 x 260 x 23.5  mm</t>
  </si>
  <si>
    <t>2.46 kg</t>
  </si>
  <si>
    <t>6A3S1EA</t>
  </si>
  <si>
    <t>Victus 15-FA0031NE</t>
  </si>
  <si>
    <t>8 GB DDR4-3200 MHz RAM (1 x 8 GB) Transfer rates up to 3200 MT/s. 1 x 8 GB</t>
  </si>
  <si>
    <t>6K2A7EA</t>
  </si>
  <si>
    <t>512GB SSD M.2 2242 PCIe® 3.0x4 NVMe®</t>
  </si>
  <si>
    <t>82K2006SFE</t>
  </si>
  <si>
    <t>Victus 16-E0004NE</t>
  </si>
  <si>
    <t>8 GB DDR4-3200 MHz RAM (2 x 4 GB) Transfer rates up to 3200 MT/s. 2 x 4 GB</t>
  </si>
  <si>
    <t>16.1" diagonal, FHD, IPS, micro-edge, anti-glare, 250 nits, 45% NTSC</t>
  </si>
  <si>
    <t>1 USB Type-C® 5Gbps signaling rate (DisplayPort™ 1.4, HP Sleep and Charge); 1 USB Type-A 5Gbps signaling rate (HP Sleep and Charge); 2 USB Type-A 5Gbps signaling rate; 1 AC smart pin; 1 HDMI 2.1; 1 headphone/microphone combo; 1 RJ-45</t>
  </si>
  <si>
    <t>silver</t>
  </si>
  <si>
    <t>489G8EA</t>
  </si>
  <si>
    <t>GE76 Raider 12UHS</t>
  </si>
  <si>
    <t>Intel Core I9-12900HK</t>
  </si>
  <si>
    <t>NVIDIA® GeForce RTX™ 3080 Ti 16GB</t>
  </si>
  <si>
    <t>64GB 32GB*2 DDR5  (4800MHz)</t>
  </si>
  <si>
    <t>2TB NVMe SSD Gen4x4</t>
  </si>
  <si>
    <t>17.3" FHD (1920*1080), 360Hz, close to 100%sRGB</t>
  </si>
  <si>
    <t>SteelSeries per-Key RGB with Anti-Ghost key (102 Key)</t>
  </si>
  <si>
    <t>4 cell (99.9Whr)</t>
  </si>
  <si>
    <t>1080p FHD Webcam</t>
  </si>
  <si>
    <t>1x Type-C (USB / DP / Thunderbolt 4), 1x Type-C USB3.2 Gen2, 2x Type-A USB3.2 Gen1, 1x Type-A USB3.2 Gen2, 1x RJ45, 1x SD Express, 1x (8K @ 60Hz / 4K @ 120Hz) HDMI, 1x Mini-DisplayPort</t>
  </si>
  <si>
    <t>15.63"x 11.18"x 1.02"</t>
  </si>
  <si>
    <t>2.89 Kg</t>
  </si>
  <si>
    <t>Titanium Blue</t>
  </si>
  <si>
    <t>24M Cache, up to 5.00 GHz</t>
  </si>
  <si>
    <t>Msi GS66 Stealth 11UG</t>
  </si>
  <si>
    <t>1TB NVMe PCIe Gen4 SSD</t>
  </si>
  <si>
    <t>15.6" QHD (2560x1440), 240Hz, IPS-Level</t>
  </si>
  <si>
    <t>Per-Key RGB Keyboard</t>
  </si>
  <si>
    <t>4-Cell</t>
  </si>
  <si>
    <t>1x Type-C (USB3.2 Gen2 / DP) 1x Type-C (USB / DP / Thunderbolt™ 4) with PD charging 3x Type-A USB3.2 Gen2 1x HDMI™ 2.1 (8K @ 60Hz / 4K @ 120Hz) HDMI™ 1x RJ45</t>
  </si>
  <si>
    <t>358.3 x 248 x 18.3-19.8 mm</t>
  </si>
  <si>
    <t>2.1 kg</t>
  </si>
  <si>
    <t>24M Cache, up to 4.60 GHz</t>
  </si>
  <si>
    <t>Katana GF66 12UG</t>
  </si>
  <si>
    <t>NVIDIA GeForce RTX 3070 8GB</t>
  </si>
  <si>
    <t>16GB Ram DDR4-3200</t>
  </si>
  <si>
    <t>1TB NVMe PCIe SSD</t>
  </si>
  <si>
    <t>1x Type-C USB3.2 Gen1 2x Type-A USB3.2 Gen1 1x Type-A USB2.0 1x HDMI™ 2.1 (4K @ 60Hz) 1x RJ45</t>
  </si>
  <si>
    <t>GF63 Thin 11UD</t>
  </si>
  <si>
    <t>8GB, 2x8GB, DDR4, 3200MHz</t>
  </si>
  <si>
    <t>256GB NVMe PCIe SSD +1TB (SATA) 5400rpm</t>
  </si>
  <si>
    <t>8 Core, 2.4 - 4.6GHz</t>
  </si>
  <si>
    <t>15.6" FHD, 60Hz 45%NTSC IPS-Level</t>
  </si>
  <si>
    <t>8Cores / 16Threads, 2.3GHz, Up to 4.6GHz, 24MB</t>
  </si>
  <si>
    <t>Vector GP76 12UGS</t>
  </si>
  <si>
    <t>Nvidia GeForce RTX 3070Ti 8GB</t>
  </si>
  <si>
    <t>32GB 16GB*2 DDR5 (4800MHz)</t>
  </si>
  <si>
    <t>17.3" QHD, 240Hz DCI-P3 100% typical</t>
  </si>
  <si>
    <t>1x Type-C (USB3.2 Gen2 / DP) 3x Type-A USB3.2 Gen1 1x HDMI™ 2.1 (8K @ 60Hz / 4K @ 120Hz) 1x Mini-DisplayPort 1x RJ45</t>
  </si>
  <si>
    <t>397 x 284 x 25.9 mm</t>
  </si>
  <si>
    <t>2.9 kg</t>
  </si>
  <si>
    <t>Vector GP66 12UH</t>
  </si>
  <si>
    <t>NVIDIA® GeForce RTX™ 3080 8GB</t>
  </si>
  <si>
    <t>15.6" QHD, 165Hz, IPS-Level</t>
  </si>
  <si>
    <t>358 x 267 x 23.4 mm</t>
  </si>
  <si>
    <t>16GB, 2x 8GB SO-DIMM DDR5-4800</t>
  </si>
  <si>
    <t>16" WQXGA IPS 300nits Anti-glare, 100% sRGB, 165Hz, Dolby® Vision™, G-SYNC®, Low Blue Light</t>
  </si>
  <si>
    <t>3x USB 3.2 Gen 1 1x USB 3.2 Gen 1 (Always On) 1x USB-C® 3.2 Gen 2 (support data transfer and DisplayPort™ 1.4) 1x USB-C® 3.2 Gen 2 (support data transfer, Power Delivery 140W and DisplayPort™ 1.4) 1x HDMI® 2.1, up to 8K/60Hz 1x Ethernet (RJ-45) 1x Headpho</t>
  </si>
  <si>
    <t>82WK0048US</t>
  </si>
  <si>
    <t>ROG Zephyrus M16 GU603ZW-K8069W</t>
  </si>
  <si>
    <t>32GB  16GB DDR5 on board 16GB DDR5-4800 SO-DIMM</t>
  </si>
  <si>
    <t>ROG Nebula Display 16-inch QHD+ 16:10 (2560 x 1600, WQXGA) IPS-level Anti-glare display DCI-P3: 100% Refresh Rate: 165Hz Response Time: 3ms Adaptive-Sync Pantone Validated MUX Switch + Optimus Support Dolby Vision HDR : Yes</t>
  </si>
  <si>
    <t>RGB backlit Chiclet keyboard</t>
  </si>
  <si>
    <t>1x 3.5mm Combo Audio Jack 1x HDMI 2.0b USB 3.2 Gen 2 Type-C port for plug-and-play/Power Delivery support 2x USB 3.2 Gen 2 Type-A 1x RJ45 LAN port 1x Thunderbolt™ 4 support DisplayPort™ / power delivery</t>
  </si>
  <si>
    <t>2 Kg</t>
  </si>
  <si>
    <t>90NR0831-M003P0</t>
  </si>
  <si>
    <t>ROG Strix G16 G614JZ-NN007W</t>
  </si>
  <si>
    <t>NVIDIA® GeForce RTX™ 4080 12GB</t>
  </si>
  <si>
    <t>1 TB PCIe® 4.0 NVMe™ M.2 SSD</t>
  </si>
  <si>
    <t>16 -inch, FHD+ 16:10 (1920 x 1200, WUXGA)  Refresh Rate: 165Hz  Response Time (G2G): 7ms  Viewing Angle: 170  IPS-level  Brightness: 250nits  Contrast: 1000:1  SRGB %  100%  Anti-glare display  Adaptive-Sync technology:G-Sync  Pantone Validated  Support D</t>
  </si>
  <si>
    <t>1x 3.5mm Combo Audio Jack  1x HDMI 2.1 FRL  2x USB 3.2 Gen 2 Type-A  1x USB 3.2 Gen 2 Type-C support DisplayPort™ / power delivery / G-SYNC  1x 2.5G LAN port  1x Thunderbolt™ 4 support DisplayPort™ / G-SYNC</t>
  </si>
  <si>
    <t>2.6 GHz 24M  Cache, up to 4.9 GHz, 14 cores: 6 P-cores and 8 E-cores)</t>
  </si>
  <si>
    <t>TUF Gaming A15 FA507RM-HQ098W</t>
  </si>
  <si>
    <t>16GB 8GB DDR5-4800 SO-DIMM x 2, Max Capacity:32GB, Support dual channel memory</t>
  </si>
  <si>
    <t>512GB PCIe® 3.0 NVMe™ M.2 SSD</t>
  </si>
  <si>
    <t>15.6-inch, FHD (1920 x 1080) 16:9, Value IPS-level, Anti-glare display, sRGB:62.5%, Adobe:47.34%, Refresh Rate:144Hz, Adaptive-Sync, MUX Switch + Optimus</t>
  </si>
  <si>
    <t>1x 3.5mm Combo Audio Jack 1x HDMI 2.1 TMDS 1x USB 3.2 Gen 1 Type-C 2x USB 3.2 Gen 1 Type-A 1x RJ45 LAN port 1x USB 3.2 Gen 1 Type-C support DisplayPort™ / G-SYNC</t>
  </si>
  <si>
    <t>TUF Gaming A15 FA507XI-LP009W</t>
  </si>
  <si>
    <t>AMD Ryzen 9-7940HS</t>
  </si>
  <si>
    <t>16GB DDR5-4800</t>
  </si>
  <si>
    <t>8-core/16-thread, 16MB L3 cache, up to 5.2 GHz max boost</t>
  </si>
  <si>
    <t>90NR0FF8-M003E0</t>
  </si>
  <si>
    <t>TUF Gaming A15 FA507RC-HN007W</t>
  </si>
  <si>
    <t>16GB 2x8GB DDR5-4800 SO-DIMM , Max Capacity:32GB, Support dual channel memory</t>
  </si>
  <si>
    <t>1x 3.5mm Combo Audio Jack 1x HDMI 2.0b 1x USB 3.2 Gen 1 Type-C 2x USB 3.2 Gen 1 Type-A 1x RJ45 LAN port 1x USB 3.2 Gen 1 Type-C support DisplayPort™ / G-SYNC</t>
  </si>
  <si>
    <t>(8-core/16-thread, 20MB cache, up to 4.7 GHz max boost)</t>
  </si>
  <si>
    <t>TUF Gaming F15 FX507ZV4-LP007W</t>
  </si>
  <si>
    <t>1x 3.5mm Combo Audio Jack 1x HDMI 2.1 FRL 2x USB 3.2 Gen 1 Type-A 1x USB 3.2 Gen 2 Type-C support DisplayPort™ / power delivery / G-SYNC 1x RJ45 LAN port 1x Thunderbolt™ 4 support DisplayPort™</t>
  </si>
  <si>
    <t>ASUS TUF Gaming F15 FX507ZU4-LP007W</t>
  </si>
  <si>
    <t>TUF Gaming F15 FX507VU4-LP121W</t>
  </si>
  <si>
    <t>2.6 GHz (24M Cache, up to 5.4 GHz, 14 cores: 6 P-cores and 8 E-cores)</t>
  </si>
  <si>
    <t>NVIDIA GeForce RTX 3050 6GB</t>
  </si>
  <si>
    <t>Shadow Grey</t>
  </si>
  <si>
    <t>TUF Dash F15 TUF516PE-AB73</t>
  </si>
  <si>
    <t>Intel Core I7 11370H</t>
  </si>
  <si>
    <t>Nvidia GeForce RTX 3050Ti 4GB</t>
  </si>
  <si>
    <t>8GB Ram</t>
  </si>
  <si>
    <t>15.6-inch, FHD (1920 x 1080) 16:9 anti-glare display sRGB:62.5%, Adobe:47.34% Refresh Rate:144Hz Value IPS-level</t>
  </si>
  <si>
    <t>1x 3.5mm Combo Audio Jack 1x HDMI 2.0b 3x USB 3.2 Gen 1 Type-A 1x RJ45 LAN port 1x Thunderbolt™ 4 support DisplayPort™ / power delivery</t>
  </si>
  <si>
    <t>360 x 252 x 19.9 mm</t>
  </si>
  <si>
    <t>4 Cores, 8 Threads, 12M Cache</t>
  </si>
  <si>
    <t>16GB, 2x 8GB SO-DIMM DDR4-3200</t>
  </si>
  <si>
    <t>Storm Grey (Top), Black (Bottom)</t>
  </si>
  <si>
    <t>82JF007AAX</t>
  </si>
  <si>
    <t>TUF Gaming F15 FX507VV4-LP105W</t>
  </si>
  <si>
    <t>Victus 16-E0005NE</t>
  </si>
  <si>
    <t>AMD Rayzen 5-5600H</t>
  </si>
  <si>
    <t>40.9 cm (16.1") diagonal, FHD (1920 x 1080), IPS, micro-edge, anti-glare, 250 nits, 45% NTSC</t>
  </si>
  <si>
    <t>1 SuperSpeed USB Type-C® 5Gbps signaling rate (DisplayPort™ 1.4, HP Sleep and Charge); 1 SuperSpeed USB Type-A 5Gbps signaling rate (HP Sleep and Charge); 2 SuperSpeed USB Type-A 5Gbps signaling rate; 1 HDMI 2.0; 1 RJ-45; 1 AC smart pin; 1 headphone/micro</t>
  </si>
  <si>
    <t>489G9EA</t>
  </si>
  <si>
    <t>TUF Gaming F15 FX507ZC4-HN002W</t>
  </si>
  <si>
    <t>512GB PCIe® NVMe™ M.2 SSD</t>
  </si>
  <si>
    <t>15.6-inch, FHD 16:9, Value IPS-level, Anti-glare display Refresh Rate:144Hz, Adaptive-Sync, MUX Switch + Optimus</t>
  </si>
  <si>
    <t>1x 3.5mm Combo Audio Jack 1x HDMI 2.0b 2x USB 3.2 Gen 1 Type-A 1x USB 3.2 Gen 2 Type-C support DisplayPort™ / G-SYNC 1x RJ45 LAN port 1x Thunderbolt™ 4 support DisplayPort™</t>
  </si>
  <si>
    <t>90NR0GW1-M000S0</t>
  </si>
  <si>
    <t>15.6" FHD (1920x1080) 165Hz, 3 ms, sRGB-100%, ComfortViewPlus , NVIDIA G-SYNC+DDS Display</t>
  </si>
  <si>
    <t>Arabic Qwerty 4-Zone RGB Backl it Keyboard with Numeric Keypad and G-Key</t>
  </si>
  <si>
    <t>IdeaPad Pro 5 16IRH8</t>
  </si>
  <si>
    <t>16GB Soldered LPDDR5-5200</t>
  </si>
  <si>
    <t>16" 2.5K (2560x1600) IPS 350nits Anti-glare, 100% sRGB, 120Hz, Eyesafe®, G-Sync</t>
  </si>
  <si>
    <t>Integrated 75Wh</t>
  </si>
  <si>
    <t>1x USB 3.2 Gen 1 1x USB 3.2 Gen 1 (Always On) 1x USB-C® 3.2 Gen 2 (support data transfer, Power Delivery 3.0 and DisplayPort™ 1.4) 1x Thunderbolt™ 4 / USB4® 40Gbps (support data transfer, Power Delivery 3.0 and DisplayPort™ 1.4) 1x HDMI® 2.1, up to 4K/60H</t>
  </si>
  <si>
    <t>83AQ0029AX</t>
  </si>
  <si>
    <t>Intel Core I7-12650H</t>
  </si>
  <si>
    <t>2x USB 3.2 Gen 1 1x HDMI® 2.0 1x Ethernet (RJ-45) 1x Headphone / microphone combo jack (3.5mm) 1x Power connector</t>
  </si>
  <si>
    <t>2 year</t>
  </si>
  <si>
    <t>(6P + 4E) / 16T, P-core 2.3 / 4.7GHz, E-core 1.7 / 3.5GHz, 24MB</t>
  </si>
  <si>
    <t>82S900YSED</t>
  </si>
  <si>
    <t>Amd Ryzen 5-5600H</t>
  </si>
  <si>
    <t>3x USB 3.2 Gen 1 1x USB 3.2 Gen 1 (Always On) 1x USB-C® 3.2 Gen 2 (support data transfer and DisplayPort™ 1.4) 1x USB-C® 3.2 Gen 2 (support data transfer, Power Delivery and DisplayPort™ 1.4) 1x HDMI® 2.1 1x Ethernet (RJ-45) 1x Headphone / microphone comb</t>
  </si>
  <si>
    <t>8GB, 1x 8GB SO-DIMM DDR5-5200</t>
  </si>
  <si>
    <t>82XV0083AX</t>
  </si>
  <si>
    <t>82XV007GDP</t>
  </si>
  <si>
    <t>82XV00KKAX</t>
  </si>
  <si>
    <t>G15 5515</t>
  </si>
  <si>
    <t>NVIDIA GeForce RTX 3050 4GB</t>
  </si>
  <si>
    <t>15.6 inch FHD LCD 120Hz</t>
  </si>
  <si>
    <t>3-Cell Battery,56WHR</t>
  </si>
  <si>
    <t>1. USB 2.0 | 2. USB 2.0 with PowerShare | 3. USB Type-C® | 4. SuperSpeed USB 3.2 | 5. HDMI | 6. Power In | 7. RJ45 Ethernet | 8. Headphones/Microphone</t>
  </si>
  <si>
    <t>357.3 x 272.8 x 26.9 mm</t>
  </si>
  <si>
    <t>6-core/12-thread, 19MB cache, up to 4.2 GHz max boost</t>
  </si>
  <si>
    <t>ROG Strix SCAR 18 G834JY-N6033W</t>
  </si>
  <si>
    <t>Intel core I9-13980HX</t>
  </si>
  <si>
    <t>2TB 1TB + 1TB PCIe® 4.0 NVMe™ M.2 Performace SSD</t>
  </si>
  <si>
    <t>ROG Nebula Display 18-inch QHD+ 16:10 , WQXGA IPS-level anti-glare display DCI-P3: 100.00% Refresh Rate: 240Hz Response Time: 3ms G-Sync Pantone Validated MUX Switch + NVIDIA® Advanced Optimus Support Dolby Vision HDR : Yes</t>
  </si>
  <si>
    <t>2.2 GHz (36M Cache, up to 5.6 GHz, 24 cores: 8 P-cores and 16 E-cores)</t>
  </si>
  <si>
    <t>TUF Dash F15 FX516PM-HN023T</t>
  </si>
  <si>
    <t>Nvidia GeForce RTX3060 6GB</t>
  </si>
  <si>
    <t>16GB 8GB DDR4 on board, 8GB DDR4-3200 SO-DIMM, Max Capacity:24GB</t>
  </si>
  <si>
    <t>Windows 10</t>
  </si>
  <si>
    <t>3.3 GHz, 4 cores (12M Cache, up to 4.8GHz)</t>
  </si>
  <si>
    <t>90NR05X1-M03100</t>
  </si>
  <si>
    <t>ROG Strix G15 G513IM-HN007W</t>
  </si>
  <si>
    <t>AMD Rayzen 7-4800H</t>
  </si>
  <si>
    <t>1TB PCIe® 3.0 NVMe™ M.2 SSD</t>
  </si>
  <si>
    <t>15.6-inch FHD (1920 x 1080) 16:9 144Hz</t>
  </si>
  <si>
    <t>1x USB 3.2 Gen 2 Type-C support DisplayPort™ / power delivery / G-SYNC 3x USB 3.2 Gen 1 Type-A</t>
  </si>
  <si>
    <t>354 x 259 x 27.2 mm</t>
  </si>
  <si>
    <t>8-core/16-thread, 12MB Cache, 4.2 GHz max boost</t>
  </si>
  <si>
    <t>90NR0522-M003R0</t>
  </si>
  <si>
    <t>GF63 Thin 10UC</t>
  </si>
  <si>
    <t>Intel Core I5-10500H</t>
  </si>
  <si>
    <t>8GB DDR4-2666</t>
  </si>
  <si>
    <t>1TB+256 SSD</t>
  </si>
  <si>
    <t>15.6" FHD, IPS-Level</t>
  </si>
  <si>
    <t>3-Cell 51 Battery (Whr)</t>
  </si>
  <si>
    <t>1x Type-C USB3.2 Gen1 3x Type-A USB3.1 Gen1 1x HDMI™ (4K @ 30Hz) 1x RJ45</t>
  </si>
  <si>
    <t>10th generation</t>
  </si>
  <si>
    <t>12M Cache, up to 4.50 GHz</t>
  </si>
  <si>
    <t>9S7-16R512-807</t>
  </si>
  <si>
    <t>Intel Core I7-10750H</t>
  </si>
  <si>
    <t>16GB DDR4-2666</t>
  </si>
  <si>
    <t>2.6 GHz up to 5.0 - 12 MB cache - 6 cores</t>
  </si>
  <si>
    <t>9S7-16R512-806</t>
  </si>
  <si>
    <t>1TB HDD (SATA) 5400rpm + 256GB NVMe PCIe SSD</t>
  </si>
  <si>
    <t>9S7-16R612-610</t>
  </si>
  <si>
    <t>9S7-16R612-608</t>
  </si>
  <si>
    <t>ROG Flow Z13 GZ301ZE-LD165W</t>
  </si>
  <si>
    <t>NVIDIA® GeForce RTX™ 3050Ti</t>
  </si>
  <si>
    <t>16GB 2x 8GB LPDDR5 on board</t>
  </si>
  <si>
    <t>13.4-inch FHD+ 16:10, WUXGA) IPS-level glossy display sRGB: 100 Touch Screen Refresh Rate: 120Hz Response Time: 30ms Pantone Validated Support stylus: Yes MUX Switch + Optimus Support Dolby Vision HDR : Yes</t>
  </si>
  <si>
    <t>1x 3.5mm Combo Audio Jack 1x USB 2.0 Type-A 1x Thunderbolt™ 4 support DisplayPort™ 1x ROG XG Mobile Interface and USB Type-C combo port (with USB 3.2 Gen2, support DisplayPort™ 1.4) 1x card reader (microSD) (UHS-II) 1x USB 3.2 Gen 2 Type-C support Display</t>
  </si>
  <si>
    <t>302 x 204 x 12. mm</t>
  </si>
  <si>
    <t>90NR07X1-M00HP0</t>
  </si>
  <si>
    <t>Vivobook Pro 15 OLED D6500QH-OLED005W</t>
  </si>
  <si>
    <t>NVIDIA® GeForce® GTX 1650 4GB GDDR6</t>
  </si>
  <si>
    <t>15.6-inch 2.8K OLED 16:9 aspect ratio 120Hz refresh rate</t>
  </si>
  <si>
    <t>2880 x 1620</t>
  </si>
  <si>
    <t>1x USB 3.2 Gen 1 Type-A 1x USB 3.2 Gen 2 Type-C support display / power delivery 2x USB 2.0 Type-A 1x HDMI 1.4 1x 3.5mm Combo Audio Jack 1x DC-in Micro SD card reader</t>
  </si>
  <si>
    <t>359.8 x 234.3 x 19.9 mm</t>
  </si>
  <si>
    <t>1.80 Kg</t>
  </si>
  <si>
    <t>90NB0YJ1-M00330</t>
  </si>
  <si>
    <t>Vivobook Pro 16X OLED M7600QC-OLED007W</t>
  </si>
  <si>
    <t>Amd Ryzen 7-5800H</t>
  </si>
  <si>
    <t>NVIDIA® GeForce® RTX™ 3050 Laptop GPU 4GB GDDR6</t>
  </si>
  <si>
    <t>16.0-inch 4K OLED 16:10 aspect ratio 60Hz refresh rate</t>
  </si>
  <si>
    <t>96WHrs, 3S2P, 6-cell Li-ion</t>
  </si>
  <si>
    <t>360.5 x 259 x 18.9 mm</t>
  </si>
  <si>
    <t>Earl Grey</t>
  </si>
  <si>
    <t>90NB0V81-M02250</t>
  </si>
  <si>
    <t>ROG Flow X16 GV601RM-M007W</t>
  </si>
  <si>
    <t>Illuminated chiclet keyboard ‎</t>
  </si>
  <si>
    <t>90NR0AP1-M00640</t>
  </si>
  <si>
    <t>ROG Flow X16 GV601RW-M009W</t>
  </si>
  <si>
    <t>AMD Ryzen 9-6900HS</t>
  </si>
  <si>
    <t>NVIDIA® GeForce RTX™ 3070Ti</t>
  </si>
  <si>
    <t>ROG Nebula Display 16-inch QHD+ 16:10 (2560 x 1600, WQXGA) IPS-level glossy display DCI-P3: 100% Touch Screen Refresh Rate: 165Hz Response Time: 3ms Pantone Validated Support stylus: Yes MUX Switch + Optimus Support Dolby Vision HDR : Yes</t>
  </si>
  <si>
    <t>Illuminated chiclet keyboard</t>
  </si>
  <si>
    <t>355 x 243 x 21.9 mm</t>
  </si>
  <si>
    <t>(8-core/16-thread, 16MB cache, up to 4.9 GHz max boost)</t>
  </si>
  <si>
    <t>90NR0AN1-M006U0</t>
  </si>
  <si>
    <t>ProArt Studiobook 16 OLED H7600HM-OLED009W</t>
  </si>
  <si>
    <t>NVIDIA® GeForce® RTX™ 3060 Laptop GPU 6GB</t>
  </si>
  <si>
    <t>32GB DDR4</t>
  </si>
  <si>
    <t>1TB M.2 NVMe™ PCIe® 3.0 Performance SSD</t>
  </si>
  <si>
    <t>16" Inch 4K OLED 16:10 aspect ratio 60Hz refresh rate</t>
  </si>
  <si>
    <t>HD camera with IR function to support Windows Hello With privacy shutter</t>
  </si>
  <si>
    <t>1x USB 3.2 Gen 2 Type-C support display / power delivery / VR 2x USB 3.2 Gen 2 Type-A 1x Thunderbolt™ 4 supports display / power delivery 1x HDMI 2.1 FRL 1x 3.5mm Combo Audio Jack 1x RJ45 Gigabit Ethernet 1x DC-in SD Express 7.0 card reader</t>
  </si>
  <si>
    <t>362 x 264 x 21.4 mm</t>
  </si>
  <si>
    <t>2.40 Kg</t>
  </si>
  <si>
    <t>Star Black</t>
  </si>
  <si>
    <t>2.3 GHz (24M Cache, up to 4.6 GHz, 8 cores)</t>
  </si>
  <si>
    <t>90NB0VD1-M002Z0</t>
  </si>
  <si>
    <t>ProArt Studiobook 16 OLED H5600QM-OLED009W</t>
  </si>
  <si>
    <t>Amd Ryzen 9-5900HX</t>
  </si>
  <si>
    <t>NVIDIA® GeForce® RTX™ 3060 Laptop GPU 6GB GDDR6</t>
  </si>
  <si>
    <t>1TB + 1TB M.2 NVMe™ PCIe® 3.0 Performance SSD</t>
  </si>
  <si>
    <t>4K OLED 16:10 aspect ratio</t>
  </si>
  <si>
    <t>2x USB 3.2 Gen 2 Type-A 2x USB 3.2 Gen 2 Type-C support display / power delivery / VR 1x HDMI 2.1 1x 3.5mm Combo Audio Jack 1x RJ45 Gigabit Ethernet 1x DC-in SD Express 7.0 card reader</t>
  </si>
  <si>
    <t>8-core/16-thread, 20MB cache, up to 4.6 GHz max boost</t>
  </si>
  <si>
    <t>90NB0TF1-M006J0</t>
  </si>
  <si>
    <t>TUF Gaming F15 FX507ZR-HQ003W</t>
  </si>
  <si>
    <t>16GB, 2x8GB, DDR5-4800 SO-DIMM</t>
  </si>
  <si>
    <t>15.6-inch, FHD 16:9, anti-glare display, sRGB:62.50%, Adobe:47.34%, Refresh Rate:144Hz, Value IPS-level, Adaptive-Sync, MUX Switch + Optimus</t>
  </si>
  <si>
    <t>90NR0AX1-M00220</t>
  </si>
  <si>
    <t>Zenbook Pro Duo 15 OLED UX582ZM-OLED009W</t>
  </si>
  <si>
    <t>Intel® Core™ i9-12900H</t>
  </si>
  <si>
    <t>NVIDIA® GeForce® RTX™ 3060 6GB</t>
  </si>
  <si>
    <t>LPDDR5 32GB</t>
  </si>
  <si>
    <t>1TB M.2 NVMe™ PCIe® 4.0 Performance SSD</t>
  </si>
  <si>
    <t>15.6" Inch 4K OLED 16:9 aspect ratio, 0.2ms response time, 60Hz refresh rate, 550nits HDR peak brightness, 100% DCI-P3 color gamut, 1,000,000:1, VESA CERTIFIED Display HDR True Black 500, 1.07 billion colors, PANTONE Validated, Glossy display, 65% less ha</t>
  </si>
  <si>
    <t>Windows 11 Home - ASUS recommends Windows 11 Pro for business</t>
  </si>
  <si>
    <t>92WHrs, 4S2P, 8-cell Li-ion</t>
  </si>
  <si>
    <t>HD camera with IR function to support Windows Hello</t>
  </si>
  <si>
    <t>1x USB 3.2 Gen 2 Type-A 2x Thunderbolt™ 4 supports display / power delivery 1x HDMI 2.1 1x 3.5mm Combo Audio Jack 1x DC-in</t>
  </si>
  <si>
    <t>359.8 x 249.2 x 21.5 mm</t>
  </si>
  <si>
    <t>Celestial Blue</t>
  </si>
  <si>
    <t>Processor 2.5 GHz (24M Cache, up to 5.0 GHz, 6P+8E cores)</t>
  </si>
  <si>
    <t>90NB0VR1-M001Z0</t>
  </si>
  <si>
    <t>ROG Strix G15 G513RM-LN007W</t>
  </si>
  <si>
    <t>1TB SSD PCIe® 4.0 NVMe™ M.2 SSD</t>
  </si>
  <si>
    <t>15.6-inch with 200 Nits, WQHD 16:9 IPS-level anti-glare display DCI-P3: 100.00% Refresh Rate: 240Hz Response Time: 3ms MUX Switch + Optimus Support Dolby Vision HDR : Yes</t>
  </si>
  <si>
    <t>1x RJ45 LAN port 1x USB 3.2 Gen 2 Type-C 1x USB 3.2 Gen 2 Type-C support DisplayPort™ / power delivery / G-SYNC 2x USB 3.2 Gen 1 Type-A</t>
  </si>
  <si>
    <t>90NR0845-M00NZ0</t>
  </si>
  <si>
    <t>Nitro 5 AN515-58-74A0</t>
  </si>
  <si>
    <t>6 GB VRAM</t>
  </si>
  <si>
    <t>16 GB DDR4 3200MHz Memory</t>
  </si>
  <si>
    <t>512GB PCIe NVMe SED SSD</t>
  </si>
  <si>
    <t>15.6" FHD IPS 144Hz SlimBezel</t>
  </si>
  <si>
    <t>57Wh Li-ion battery</t>
  </si>
  <si>
    <t>HDMI  Yes Network (RJ-45)  Yes Number of HDMI Outputs  1 Total Number of USB Ports  4 Headphone/Microphone Combo Port  Yes USB Type-C  Yes USB Type-C Detail  USB Type-C port supporting: USB 3.2 Gen 2 (up to 10 Gbps), DisplayPort over USB-C, Thunderbolt 4,</t>
  </si>
  <si>
    <t>360.4 x 271.09 x 26.9 mm</t>
  </si>
  <si>
    <t>Obsidian Black</t>
  </si>
  <si>
    <t>24M Cache, up to 4.70 GHz</t>
  </si>
  <si>
    <t>NH.QFMEM.006</t>
  </si>
  <si>
    <t>Aspire 7 A715-51G-74HZ</t>
  </si>
  <si>
    <t>Intel Core I7-1260P</t>
  </si>
  <si>
    <t>16 GB DDR4 Memory</t>
  </si>
  <si>
    <t>15.6" FHD IPS SlimBezel</t>
  </si>
  <si>
    <t>50Wh Li-ion battery</t>
  </si>
  <si>
    <t>HD TNR Camera</t>
  </si>
  <si>
    <t>HDMI  Yes, Network (RJ-45)  Yes, Number of HDMI Outputs  1, Total Number of USB Ports  4, Headphone/Microphone Combo Port  Yes, USB Type-C  Yes, USB Type-C Detail  USB Type-C port: USB 3.2 Gen 2 (up to 10 Gbps), DisplayPort over USB-C, Thunderbolt 4, USB</t>
  </si>
  <si>
    <t>362.3 x 237.4 x 19.9 mm</t>
  </si>
  <si>
    <t>Charcoal Black</t>
  </si>
  <si>
    <t>2.10 GHz Dodeca-core 12 Core™</t>
  </si>
  <si>
    <t>NH.QHTEM.008</t>
  </si>
  <si>
    <t>on Touchpad</t>
  </si>
  <si>
    <t>Aspire 7 A715-51G-563H</t>
  </si>
  <si>
    <t>Intel Core I5-1240P</t>
  </si>
  <si>
    <t>8 GB DDR4 Memory</t>
  </si>
  <si>
    <t>362.3 x 237.4 x /19.9 mm</t>
  </si>
  <si>
    <t>12M Cache, up to 4.40 GHz</t>
  </si>
  <si>
    <t>NH.QHTEM.005</t>
  </si>
  <si>
    <t>Predator Helios 300 PH315-55-7213</t>
  </si>
  <si>
    <t>Intel Core 17-12700H</t>
  </si>
  <si>
    <t>32GB DDR5 SDRAM 2 x 16GB</t>
  </si>
  <si>
    <t>1TB PCIe NVMe SSD</t>
  </si>
  <si>
    <t>15.6" QHD IPS 165Hz SlimBezel</t>
  </si>
  <si>
    <t>90Wh Li-ion battery</t>
  </si>
  <si>
    <t>HDMI  Yes, Network (RJ-45)  Yes, Number of HDMI Outputs  1, Total Number of USB Ports  4, Headphone/Microphone Combo Port  Yes, Mini DisplayPort  Yes, USB Type-C  Yes, USB Type-C Detail  USB Type-C port:USB 3.2 Gen 2 (up to 10 Gbps), DisplayPort over USB-</t>
  </si>
  <si>
    <t>359.4 x 276.4 x 25.9 mm</t>
  </si>
  <si>
    <t>Abyssal Black</t>
  </si>
  <si>
    <t>NH.QGNEM.009</t>
  </si>
  <si>
    <t>Nitro 5 AN515-57-7447</t>
  </si>
  <si>
    <t>24 GB DDR4 SDRAM 1 x 16GB 1 x 8GB</t>
  </si>
  <si>
    <t>HD Camera with 2Mic.</t>
  </si>
  <si>
    <t>HDMI  Yes, Network (RJ-45)  Yes, Number of HDMI Outputs  1, Total Number of USB Ports  4, Headphone/Microphone Combo Port  Yes, USB Type-C  Yes, USB Type-C Detail  USB Type-C Port: USB 3.2 Gen 2 (up to 10 Gbps), Number of USB 3.2 Gen 2 Type-C Ports  1, Nu</t>
  </si>
  <si>
    <t>363.4 x 255 x 23.9 mm</t>
  </si>
  <si>
    <t>2.2 Kg</t>
  </si>
  <si>
    <t>Shale Black</t>
  </si>
  <si>
    <t>NH.QEWEM.008</t>
  </si>
  <si>
    <t>TUF Gaming F15 FX506HF-HN001W</t>
  </si>
  <si>
    <t>8GB DDR4-3200 SO-DIMM</t>
  </si>
  <si>
    <t>15.6-inch FHD 16:9 144Hz  IPS-level 250nits Contrast 1000:1 NTSC 45% SRGB 62.5% Adobe 47.34% Adaptive-Sync Anti-glare display</t>
  </si>
  <si>
    <t>1x RJ45 LAN port 1x Thunderbolt™ 4 support DisplayPort™ 3x USB 3.2 Gen 1 Type-A</t>
  </si>
  <si>
    <t>2.7 GHz (12M Cache, up to 4.5 GHz, 6 Cores)</t>
  </si>
  <si>
    <t>90NR0HB4-M001D0</t>
  </si>
  <si>
    <t>ROG Strix G15 G513RM-HF007W</t>
  </si>
  <si>
    <t>15.6-inch FHD 16:9 300Hz 3ms IPS-level 300nits Anti-glare display Adobe % 75.35% SRGB % 100.00%</t>
  </si>
  <si>
    <t>300Hz</t>
  </si>
  <si>
    <t>90NR0845-M00JP0</t>
  </si>
  <si>
    <t>Rog Zephyrus G15 GA503RW-LN054W</t>
  </si>
  <si>
    <t>NVIDIA® GeForce RTX™ 3070 Ti</t>
  </si>
  <si>
    <t>32GB 16GB DDR5 on board 16GB DDR5-4800 SO-DIMM</t>
  </si>
  <si>
    <t>15.6-inch WQHD 16:9 IPS-level Anti-glare display DCI-P3: 100% Refresh Rate: 240Hz Response Time: 3ms Adaptive-Sync Pantone Validated MUX Switch + Optimus Support Dolby Vision HDR : Yes</t>
  </si>
  <si>
    <t>1x 3.5mm Combo Audio Jack 1x HDMI 2.0b 2x USB 3.2 Gen 2 Type-A 1x RJ45 LAN port 2x USB 3.2 Gen 2 Type-C support DisplayPort™ / power delivery 1x card reader (microSD) (UHS-II)</t>
  </si>
  <si>
    <t>Moonlight White</t>
  </si>
  <si>
    <t>8-core/16-thread, 16MB cache, up to 4.9 GHz max boost)</t>
  </si>
  <si>
    <t>90NR0821-M00390</t>
  </si>
  <si>
    <t>ROG Strix SCAR 18 G834JZ-N6022W</t>
  </si>
  <si>
    <t>NVIDIA GeForce RTX 4080 12GB</t>
  </si>
  <si>
    <t>32GB 16GB DDR5-4800 SO-DIMM *2</t>
  </si>
  <si>
    <t>18-inch 16:10 (2560 x 1600, WQXGA) 240Hz 3ms IPS-level Brightness 500 Contrast 1000:1 DCI-P3 % 100.00% Anti-glare display</t>
  </si>
  <si>
    <t>1x 2.5G LAN port 1x Thunderbolt™ 4 support DisplayPort™ / G-SYNC 1x USB 3.2 Gen 2 Type-C support DisplayPort™ / power delivery / G-SYNC 2x USB 3.2 Gen 2 Type-A</t>
  </si>
  <si>
    <t>399 x 294 x 30.8 mm</t>
  </si>
  <si>
    <t>2.2 GHz (36M  Cache, up to 5.6 GHz, 24 cores: 8 P-cores and 16 E-cores)</t>
  </si>
  <si>
    <t>90NR0D31-M002Z0</t>
  </si>
  <si>
    <t>GF63 Thin 10SCSR</t>
  </si>
  <si>
    <t>4GB</t>
  </si>
  <si>
    <t>1TB HDD+256GB SSD</t>
  </si>
  <si>
    <t>9S7-16R512-808</t>
  </si>
  <si>
    <t>Katana GF66 11UE</t>
  </si>
  <si>
    <t>16GB DDR4- 3200 RAM</t>
  </si>
  <si>
    <t>TUF Dash F15 FX517ZM-AS73</t>
  </si>
  <si>
    <t>Nvidia GeForce RTX 3060</t>
  </si>
  <si>
    <t>16GB DDR5 4800MHz RAM</t>
  </si>
  <si>
    <t>15.6'' inch, FHD 144Hz</t>
  </si>
  <si>
    <t>76Whr Battery</t>
  </si>
  <si>
    <t>1x 3.5mm Combo Audio Jack 1x HDMI 2.0b 1x Thunderbolt™ 4 support DisplayPort™ 1x USB 3.2 Gen 2 Type-C support DisplayPort™ / power delivery / G-SYNC 2x USB 3.2 Gen 1 Type-A 1x RJ45 LAN port</t>
  </si>
  <si>
    <t>354 x 251 x 20.7 mm</t>
  </si>
  <si>
    <t>Katana GF66 12UGS</t>
  </si>
  <si>
    <t>16GB Ram DDR4-3200 2 Slots</t>
  </si>
  <si>
    <t>15.6" FHD, 240Hz, IPS-Level</t>
  </si>
  <si>
    <t>GF63 Thin 10UD</t>
  </si>
  <si>
    <t>NVIDIA® GeForce RTX™ 3050TI 4GB</t>
  </si>
  <si>
    <t>1TB HDD + 256GB NVMe PCIe SSD</t>
  </si>
  <si>
    <t>16GB DDR4 3200MHz Memory</t>
  </si>
  <si>
    <t>ROG Flow X16 GV601RM-BLK57W</t>
  </si>
  <si>
    <t>Amd Ryzen 7-6800HS</t>
  </si>
  <si>
    <t>512GB PCIe® 4.0 NVMe™ M.2 Performance SSD</t>
  </si>
  <si>
    <t>16-inch QHD+ 16:10 (2560 x 1600, WQXGA) IPS-level Glossy screen DCI-P3: 100% touch screen Refresh Rate: 165Hz Response Time: 3ms Adaptive-Sync Pantone Validated Support stylus: Yes MUX Switch + Optimus Support Dolby Vision HDR : Yes</t>
  </si>
  <si>
    <t>4-Cell 4S1P Lithium-Ion 90Wh battery</t>
  </si>
  <si>
    <t>1x 3.5mm Combo Audio Jack 1x HDMI 2.1 TMDS support HDMI switch USB 3.2 Gen 2 Type-C port for Plug/Power Delivery support 2x USB 3.2 Gen 2 Type-A 1x USB 3.2 Gen 2 Type-C support DisplayPort™ / power delivery 1x ROG XG Mobile Interface</t>
  </si>
  <si>
    <t>355 x 243 x 19.4  mm</t>
  </si>
  <si>
    <t>90NR0AP1-M005K0</t>
  </si>
  <si>
    <t>TUF Gaming F15 FX507ZM-HQ013W</t>
  </si>
  <si>
    <t>NVIDIA® GeForce RTX™ 3060 Laptop GPU, 1752MHz at 140W (1702MHz Boost Clock+50MHz OC, 115W+25W Dynamic Boost), 6GB GDDR6</t>
  </si>
  <si>
    <t>2.3 GHz up to 4.7 GHz, 24M Cache, 14 cores: 6 P-cores and 8 E-cores</t>
  </si>
  <si>
    <t>90NR09A1-M001F0</t>
  </si>
  <si>
    <t>ROG Flow X16 GV601RE-GRY57W</t>
  </si>
  <si>
    <t>NVIDIA® GeForce RTX™ 3050 Ti Laptop GPU 4GB GDDR6</t>
  </si>
  <si>
    <t>QHD+ 16:10, WQXGA, 165Hz,</t>
  </si>
  <si>
    <t>1x 3.5mm Combo Audio Jack 1x HDMI 2.1 TMDS support HDMI switch 1x USB 3.2 Gen 2 Type-C support displayport / power delivery / G-SYNC 2x USB 3.2 Gen 2 Type-A 1x USB 3.2 Gen 2 Type-C support DisplayPort™ / power delivery 1x ROG XG Mobile Interface</t>
  </si>
  <si>
    <t>2.1 Kg</t>
  </si>
  <si>
    <t>90NR0AT2-M002L0</t>
  </si>
  <si>
    <t>IdeaPad Gaming 3 15IHU6</t>
  </si>
  <si>
    <t>Intel Core I7-11370H</t>
  </si>
  <si>
    <t>Nvidia GeForce RTX 3050TI 4GB</t>
  </si>
  <si>
    <t>15.6 Inch FHD IPS 250nits Anti-glare, 45% NTSC, 120Hz</t>
  </si>
  <si>
    <t>45 Wh</t>
  </si>
  <si>
    <t>1x Power connector 1x Headphone / microphone combo jack (3.5mm) 1x HDMI® 2.0 2x USB 3.2 Gen 1 1x Ethernet (RJ-45) 1x USB-C® 3.2 Gen 1 (support data transfer only)</t>
  </si>
  <si>
    <t>4 Core, 8Thread, 3.3GHz Up To 4.8GHz, 12MB,</t>
  </si>
  <si>
    <t>82K10139AD</t>
  </si>
  <si>
    <t>Aspire 5 A515-57G-57EU</t>
  </si>
  <si>
    <t>256GB SSD</t>
  </si>
  <si>
    <t>15.6 Inch FHD IPS</t>
  </si>
  <si>
    <t>3-cell Lithium Ion (Li-Ion) 50 Wh</t>
  </si>
  <si>
    <t>USB-A 3.0, Kensington lock slot, RJ45 Ethernet, HDMI 2.1, 2x USB-A 3.0, Thunderbolt 4</t>
  </si>
  <si>
    <t>362.9 x 237.8 x 17.9 mm</t>
  </si>
  <si>
    <t>1.824 Kg</t>
  </si>
  <si>
    <t>Steel Grey</t>
  </si>
  <si>
    <t>1.20GHz Up to 4.40 GHz, 12 Core 16 Thread,</t>
  </si>
  <si>
    <t>Aspire 5 A515-57G-70GT</t>
  </si>
  <si>
    <t>Acer Aspire 7 A715-43G-R380</t>
  </si>
  <si>
    <t>Amd Ryzen 5-5625U</t>
  </si>
  <si>
    <t>15.6" Inch FHD</t>
  </si>
  <si>
    <t>3-cell Battery Lithium Ion (Li-Ion) 48 Wh</t>
  </si>
  <si>
    <t>1x USB Type-A : 2.0 1x USB Type-A : 3.2 Gen 1 (5 Gbps) 1x USB Type-A : 3.2 Gen 1 (5 Gbps), Sleep and Charge 1x USB Type-C : 3.2 Gen 1 (5 Gbps) HDMI : YES</t>
  </si>
  <si>
    <t>2.15 Kg</t>
  </si>
  <si>
    <t>2.3 Ghz Up To 4.3 Ghz Cache: 3 Mb L2, 16 Mb L3</t>
  </si>
  <si>
    <t>Aspire 7 A715-43G-R3A6</t>
  </si>
  <si>
    <t>Amd Ryzen 7-5825U</t>
  </si>
  <si>
    <t>15.6 Inch FHD 144Hz</t>
  </si>
  <si>
    <t>2.10 GHz, Hexa-core 6 Core™</t>
  </si>
  <si>
    <t>TUF Dash F15 FX517ZC-HN002W</t>
  </si>
  <si>
    <t>15.6 Inch FHD, 16:9, anti-glare display sRGB:62.5%, Adobe:47.34%, Refresh Rate:144Hz, IPS-level, Adaptive-Sync, MUX Switch + Optimus</t>
  </si>
  <si>
    <t>2.3 GHz up to 4.7 GHz, 24M Cache, 10 cores: 6 P-cores and 4 E-cores</t>
  </si>
  <si>
    <t>90NR09L3-M00030</t>
  </si>
  <si>
    <t>Lenovo Ideapad Gaming 3</t>
  </si>
  <si>
    <t>10 Core (6P + 4E) / 16Thread, P-core 2.3GHz Up to 4.7GHz, E-core 1.7GHz Up to 3.5GHz, 24MB</t>
  </si>
  <si>
    <t>82S900VDAX</t>
  </si>
  <si>
    <t>TUF Gaming A15 FA506ICB-HN005W</t>
  </si>
  <si>
    <t>Amd Ryzen 5-4600H</t>
  </si>
  <si>
    <t>15.6-inch, FHD 16:9, Value IPS-level, Anti-glare display, sRGB:62.5%, Adobe:47.1%, Refresh Rate:144Hz, Optimus</t>
  </si>
  <si>
    <t>1x 3.5mm Combo Audio Jack 1x HDMI 2.0b 3x USB 3.2 Gen 1 Type-A 1x USB 3.2 Gen 2 Type-C 1x USB 3.2 Gen 2 Type-C support DisplayPort™ (USB 3.2 Gen 2 port available in select models only.)</t>
  </si>
  <si>
    <t>6-core/12-thread, 11MB Cache, 4.0 GHz max boost</t>
  </si>
  <si>
    <t>90NR0667-M00E70</t>
  </si>
  <si>
    <t>TUF Gaming A15 FA506IHR-HN019W</t>
  </si>
  <si>
    <t>NVIDIA® GeForce GTX™ 1650 4GB</t>
  </si>
  <si>
    <t>8GB DDR4-3200 SO-DIMM, Max Capacity:32GB</t>
  </si>
  <si>
    <t>15.6-inch, FHD 16:9, anti-glare display, sRGB:62.5%, Adobe:47.34%, Refresh Rate:144Hz, Value IPS-level, Adaptive-Sync, Optimus</t>
  </si>
  <si>
    <t>Win.11</t>
  </si>
  <si>
    <t>6-core, 12-thread, 11MB Cache, 4.0 GHz max boost</t>
  </si>
  <si>
    <t>90NR07G7-M005S0</t>
  </si>
  <si>
    <t>GF63 Thin 10SC</t>
  </si>
  <si>
    <t>NVIDIA GeForce GTX1650 4GB</t>
  </si>
  <si>
    <t>4 GB GDDR5</t>
  </si>
  <si>
    <t>8GB (1x8GB) DDR4-2666 Memory Type, 2 Slots Number of SO-DIMM, Slot Max 64GB Max Capacity</t>
  </si>
  <si>
    <t>256GB M.2 SSD Combo slot (NVMe PCIe Gen3 / SATA) SSD + 1T x 2.5" SATA HDD HDD</t>
  </si>
  <si>
    <t>15.6" FHD IPS-Level</t>
  </si>
  <si>
    <t>Backlight Keyboard (Single-Color, White)</t>
  </si>
  <si>
    <t>3 Cell Battery , 51 Whr , Li-Polymer</t>
  </si>
  <si>
    <t>2.6 GHz up to 5GHZ - 12MB cache - 6 cores</t>
  </si>
  <si>
    <t>120 Watt AC Adapter</t>
  </si>
  <si>
    <t>NO</t>
  </si>
  <si>
    <t>Yes</t>
  </si>
  <si>
    <t>Victus 16-D1012NIA</t>
  </si>
  <si>
    <t>6K2H9EA</t>
  </si>
  <si>
    <t>Victus 16-E0003NE</t>
  </si>
  <si>
    <t>NVIDIA® GeForce® GTX 1650 Laptop GPU (4GB GDDR6 dedicated)</t>
  </si>
  <si>
    <t>8GB DDR4 3200MHz (2 x 4GB)</t>
  </si>
  <si>
    <t>512GB PCIe® NVMe™ TLC M.2 Hard Drive</t>
  </si>
  <si>
    <t>40.9 cm (16.1") diagonal FHD IPS micro-edge, anti-glare, 250 nits, NTSC 45% color</t>
  </si>
  <si>
    <t>Windows 11Home</t>
  </si>
  <si>
    <t>Full-size keyboard with light blue, backlit numeric keypad</t>
  </si>
  <si>
    <t>4-cell, 70 Wh lithium-ion polymer battery</t>
  </si>
  <si>
    <t>HP Wide Vision HD 720p Camera with integrated dual array digital microphone</t>
  </si>
  <si>
    <t>1 SuperSpeed ​​USB Type-A 5Gb/s signaling rate (DisplayPort™ 1.4, HP Sleep and Charge Technology) 1 SuperSpeed ​​USB Type-A 5Gb/s signaling rate (HP Sleep and Charge) 2 SuperSpeed ​​USB Type-A 5Gb/s signaling rate; 1 HDMI 2.0; 1 RJ-45 port; 1 AC smart pin</t>
  </si>
  <si>
    <t>AMD Ryzen™ 5 5600H (Max boost up to 4.2GHz, 16MB L3 cache, 6 Cores, 12 threads )</t>
  </si>
  <si>
    <t>Nitro 5 AN515 57 5700</t>
  </si>
  <si>
    <t>Nvidia GeForce RTX3050TI 4GB GDDR6 GPU Boost Clock Up to 1485MHz Maximum Graphics Power Up to 75 W</t>
  </si>
  <si>
    <t>16GB DDR4 SDRAM</t>
  </si>
  <si>
    <t>512GB PCI Express</t>
  </si>
  <si>
    <t>15.6 Inch FHD</t>
  </si>
  <si>
    <t>1x USB-A 3.2 gen2 (right), 2x USB-A 3.2 gen1 (left), 1x USB-C with Thunderbolt 3, HDMI 2.1, LAN, headphone/mic, Kensington Lock</t>
  </si>
  <si>
    <t>363 x 255 x 23.9 mm</t>
  </si>
  <si>
    <t>2.4 Kg</t>
  </si>
  <si>
    <t>2.7GHz Hexa-core (6 Core™) 11th Gen</t>
  </si>
  <si>
    <t>G15 5511</t>
  </si>
  <si>
    <t>Nvidia® GeForce® RTX™ 3050</t>
  </si>
  <si>
    <t>8 GB, 2 x 4 GB, Dual-Channel DDR4, 3200 MHz</t>
  </si>
  <si>
    <t>512 GB, M.2 2230, PCIe NVMe Gen3 x4, SSD</t>
  </si>
  <si>
    <t>15.6-inch, FHD, 120 Hz, anti-glare, non-touch, 300 nits, wide-viewing angle (WVA)</t>
  </si>
  <si>
    <t>Full-size island-style keyboard Touchpad with multi-touch gesture support</t>
  </si>
  <si>
    <t>HD 720p with dual-array mic and physical shutter</t>
  </si>
  <si>
    <t>1 HiSpeed USB 2.0 1 HiSpeed USB 2.0 with PowerShare 1 USB 3.2 Gen 1 Type-C port with DisplayPort with alt mode 1 SuperSpeed USB 3.2 1 HDMI 1 Power in 1 RJ45 1 Headphones/mic</t>
  </si>
  <si>
    <t>357.26 x 272.83 x 24.9 mm</t>
  </si>
  <si>
    <t>2.559 Kg</t>
  </si>
  <si>
    <t>12 MB Cache, 6 Core, 2.70 GHz to 4.50 GHz</t>
  </si>
  <si>
    <t>OMEN 16-B0002TX</t>
  </si>
  <si>
    <t>16 GB DDR4-2933 MHz RAM (2 x 8 GB)</t>
  </si>
  <si>
    <t>16.1" diagonal, FHD, IPS, micro-edge, anti-glare, 300 nits, 100% sRGB</t>
  </si>
  <si>
    <t>1 SuperSpeed USB Type-C® 10Gbps signaling rate (DisplayPort™ 1.4, HP Sleep and Charge); 1 SuperSpeed USB Type-A 5Gbps signaling rate (HP Sleep and Charge); 2 SuperSpeed USB Type-A 5Gbps signaling rate; 1 mini DisplayPort™; 1 RJ-45; 1 AC smart pin; 1 headp</t>
  </si>
  <si>
    <t>369.2 x 248 x 23 mm</t>
  </si>
  <si>
    <t>Victus 16-D0032NE</t>
  </si>
  <si>
    <t>NVIDIA GeForce RTX™ 3060 6GB</t>
  </si>
  <si>
    <t>40.9 cm (16.1") diagonal FHD, 144Hz refresh rate, 7ms response time, IPS, micro-edge, anti-glare, low blue light, 300 nits brightness, sRGB 100 % 2 3 4</t>
  </si>
  <si>
    <t>Full-size keyboard with a glossy silver, backlit numeric keypad</t>
  </si>
  <si>
    <t>1 SuperSpeed ​​USB Type-C® 5Gb/s signaling rate (DisplayPort™ 1.4, HP Sleep and Charge); 1 SuperSpeed ​​USB Type-A 5Gb/s signaling rate (with HP Sleep and Charge); 2 SuperSpeed ​​USB Type-A ports with 5Gb/s signaling rate; 1 HDMI 2.1; 1 x RJ-45; 1 AC smar</t>
  </si>
  <si>
    <t>2.48 kg</t>
  </si>
  <si>
    <t>up to 4.6GHz with Intel® Turbo Boost Technology, 24MB L3 cache, 8 cores, 16 threads</t>
  </si>
  <si>
    <t>Victus 15-FA0032DX</t>
  </si>
  <si>
    <t>NVIDIA GeForce RTX 3050 Ti 4GB</t>
  </si>
  <si>
    <t>16 GB DDR4-3200 MHz RAM (1 x 16 GB)</t>
  </si>
  <si>
    <t>512 GB PCIe NVMe M.2 SSD</t>
  </si>
  <si>
    <t>15.6 inch diagonal, FHD, 144 Hz, 9 ms response time, IPS, micro-edge, anti-glare</t>
  </si>
  <si>
    <t>Full-size keyboard with backlit numeric keypad</t>
  </si>
  <si>
    <t>4-cell, 70W/h lithium-ion polymer battery</t>
  </si>
  <si>
    <t>HP Wide Vision 720p HD Camera with Temporary Noise Reduction and Dual Array Digital Microphones</t>
  </si>
  <si>
    <t>2 USB 3.1 Gen1,  1 HDMI,  USB 3.2 Type-C Gen1,  SD Card Reader,  No Optical Drive,  Headphone/Microphone Combo Jack</t>
  </si>
  <si>
    <t>24M Cache, up to 4.70 GHz, 10 Cores</t>
  </si>
  <si>
    <t>ROG Strix G15 G513RC-HN088W</t>
  </si>
  <si>
    <t>AMD Ryzen 7 6800H</t>
  </si>
  <si>
    <t>16GB DDR4 2x8GB DDR5-4800 SO-DIMM</t>
  </si>
  <si>
    <t>15.6-inch with 200 Nits FHD 16:9 anti-glare display sRGB: 62.5% Adobe: 47.34% IPS-level MUX Switch + Optimus</t>
  </si>
  <si>
    <t>1x 3.5mm Combo Audio Jack 1x HDMI 2.0b 2x USB 3.2 Gen 1 Type-A 1x USB 3.2 Gen 2 Type-C support displayport / power delivery / G-SYNC 1x RJ45 LAN port</t>
  </si>
  <si>
    <t>354 x 259 x 25.9 mm</t>
  </si>
  <si>
    <t>2.10 Kg</t>
  </si>
  <si>
    <t>90NR08A5-M006P0</t>
  </si>
  <si>
    <t>ø6.0, 200W AC Adapter, Output: 20V DC, 10A, 200W, Input: 100-240V AC, 50/60Hz universal</t>
  </si>
  <si>
    <t>Intel Core i7-11800H</t>
  </si>
  <si>
    <t>1TB SSD M.2 2280 PCIe 4.0x4 NVMe</t>
  </si>
  <si>
    <t>15.6" WQHD IPS 300nits Anti-glare, 100% sRGB, 165Hz, Dolby Vision, G-SYNC</t>
  </si>
  <si>
    <t>FreeDOS</t>
  </si>
  <si>
    <t>3x USB 3.2 Gen 1 1x USB 3.2 Gen 1 (Always On) 1x Thunderbolt 4 / USB4 40Gbps (support data transfer and DisplayPort 1.4) 1x Thunderbolt 4 / USB4 40Gbps (support data transfer, Power Delivery and DisplayPort 1.4) 1x HDMI 2.1 1x Ethernet (RJ-45) 1x Headphon</t>
  </si>
  <si>
    <t>362.56 x 260.61 x 25.75 mm</t>
  </si>
  <si>
    <t>​Phantom Blue (Top), Shadow Black (Bottom)</t>
  </si>
  <si>
    <t>82JH004GED</t>
  </si>
  <si>
    <t>Legion 5 Pro 16ACH6H</t>
  </si>
  <si>
    <t>16" WQXGA IPS 500nits Anti-glare, 100% sRGB, 165Hz, DisplayHDR 400, Dolby Vision, FreeSync, G-SYNC</t>
  </si>
  <si>
    <t>Windows 11 Home, English</t>
  </si>
  <si>
    <t>3x USB 3.2 Gen 1 1x USB 3.2 Gen 1 (Always On) 1x USB-C 3.2 Gen 2 (support data transfer and DisplayPort 1.4) 1x USB-C 3.2 Gen 2 (support data transfer, Power Delivery and DisplayPort 1.4) 1x HDMI 2.1 1x Ethernet (RJ-45) 1x Headphone / microphone combo jac</t>
  </si>
  <si>
    <t>356 x 260.4 x 26.85 mm</t>
  </si>
  <si>
    <t>2.45 kg</t>
  </si>
  <si>
    <t>82JQ00F9US</t>
  </si>
  <si>
    <t>Intel Core I5-11260H</t>
  </si>
  <si>
    <t>8GB, 2x4GB, DDR4, 3200MHz</t>
  </si>
  <si>
    <t>512GB M.2 PCIe NVMe Solid State Drive</t>
  </si>
  <si>
    <t>15.6 inch FHD 120Hz 250 nits WVA Anti- Glare LED Backlit Narrow Border Display</t>
  </si>
  <si>
    <t>Internal Arabic Qwerty Backlit Keyboard with Numeric Keypad (No G-Key)</t>
  </si>
  <si>
    <t>12MB Cache, up to 4.4 GHz, 6 cores</t>
  </si>
  <si>
    <t>H4GZNS3</t>
  </si>
  <si>
    <t>ROG Strix G15 G513IE-HN006W</t>
  </si>
  <si>
    <t>AMD Ryzen 7 4800H</t>
  </si>
  <si>
    <t>NVIDIA® GeForce RTX™ 3050 Ti 4GB GDDR6</t>
  </si>
  <si>
    <t>16GB RAM 8GB DDR4-3200 SO-DIMM x 2</t>
  </si>
  <si>
    <t>15.6-inch FHD 16:9 Value IPS-level Anti-glare display sRGB: 62.5% Refresh Rate: 144Hz Adaptive-Sync Optimus</t>
  </si>
  <si>
    <t>1x 3.5mm Combo Audio Jack 1x HDMI 2.1 TMDS 3x USB 3.2 Gen 1 Type-A 1x USB 3.2 Gen 2 Type-C support DisplayPort™ / power delivery / G-SYNC</t>
  </si>
  <si>
    <t>90NR0582-M003Y0</t>
  </si>
  <si>
    <t>Tuf Gaming F15 FX507ZM-HF007W</t>
  </si>
  <si>
    <t>NVIDIA GeForce RTX 3060 6GB GDDR6</t>
  </si>
  <si>
    <t>15.6'' Inch FHD 300Hz</t>
  </si>
  <si>
    <t>1x 3.5mm Combo Audio Jack 1x HDMI 2.1 TMDS 2x USB 3.2 Gen 1 Type-A 1x USB 3.2 Gen 2 Type-C support DisplayPort™ / G-SYNC 1x RJ45 LAN port 1x Thunderbolt™ 4 support DisplayPort</t>
  </si>
  <si>
    <t>90NR09A1-M00A40</t>
  </si>
  <si>
    <t>TUF GAMING F15 FX506HC-HN002W</t>
  </si>
  <si>
    <t>Intel Core i5-11400H</t>
  </si>
  <si>
    <t>NVIDIA® GeForce RTX™ 3050 4GB GDDR6</t>
  </si>
  <si>
    <t>4-zone RGB Backlit Chiclet Keyboard Touchpad</t>
  </si>
  <si>
    <t>Eclipse Grey</t>
  </si>
  <si>
    <t>90NR0723-M00FU0</t>
  </si>
  <si>
    <t>ø6.0, 180W AC Adapter, Output: 20V DC, 9A, 180W, Input: 100~240V AC, 50/60Hz universal</t>
  </si>
  <si>
    <t>1TB SSD M.2 2280 PCIe 3.0x4 NVMe</t>
  </si>
  <si>
    <t>15.6" WQHD IPS 300nits Anti-glare, 100% sRGB, 165Hz, Dolby Vision, FreeSync, G-SYNC</t>
  </si>
  <si>
    <t>White Backlit,</t>
  </si>
  <si>
    <t>82JU0185SP</t>
  </si>
  <si>
    <t>Vivobook Pro 15 K3500PC-OLED007W</t>
  </si>
  <si>
    <t>15.6-inch, FHD 16:9 aspect ratio, 0.2ms response time, 400nits, 600nits peak brightness, 100% DCI-P3 color gamut, PANTONE Validated, Glossy display, Screen-to-body ratio: 84 ％</t>
  </si>
  <si>
    <t>Backlit Chiclet Keyboard with Num-key 1.35mm Key-travel</t>
  </si>
  <si>
    <t>1x USB 3.2 Gen 1 Type-A 2x USB 2.0 Type-A 1x Thunderbolt™ 4 supports display / power delivery 1x HDMI 1.4 1x 3.5mm Combo Audio Jack 1x DC-in Micro SD card reader</t>
  </si>
  <si>
    <t>359.8 x 235.3 x 19.9 mm</t>
  </si>
  <si>
    <t>3.3 GHz (12M Cache, up to 4.8 GHz, 4 cores)</t>
  </si>
  <si>
    <t>90NB0UW2-M03950</t>
  </si>
  <si>
    <t>ø4.5, 120W AC Adapter, Output: 20V DC, 6A, 120W, Input: 100~240V AC 50/60Hz universal</t>
  </si>
  <si>
    <t>TUF Dash F15 FX517ZC-HN051W</t>
  </si>
  <si>
    <t>8GB DDR5-4800 SO-DIMM, Max Capacity:32GB, Support dual channel memory</t>
  </si>
  <si>
    <t>15.6-inch, FHD 16:9, anti-glare display, DCI-P3:100%, Refresh Rate:144Hz, Response Time:3ms, IPS-level, Adaptive-Sync, MUX Switch + Optimus</t>
  </si>
  <si>
    <t>Backlit Chiclet Keyboard Touchpad</t>
  </si>
  <si>
    <t>1x 3.5mm Combo Audio Jack 1x HDMI 2.0b 2x USB 3.2 Gen 1 Type-A 1x USB 3.2 Gen 2 Type-C support DisplayPort™ / power delivery / G-SYNC 1x RJ45 LAN port 1x Thunderbolt™ 4 support DisplayPort™</t>
  </si>
  <si>
    <t>12M Cache, up to 4.4 GHz, 8 cores: 4 P-cores and 4 E-cores</t>
  </si>
  <si>
    <t>90NR09L3-M00710</t>
  </si>
  <si>
    <t>TUF Dash F15 FX517ZE-HN040W</t>
  </si>
  <si>
    <t>15.6-inch, FHD 16:9, anti-glare display, sRGB:62.5%, Adobe:47.34%, Refresh Rate:144Hz, Value IPS-level, Adaptive-Sync, MUX Switch + Optimus</t>
  </si>
  <si>
    <t>2.3 GHz (24M Cache, up to 4.7 GHz, 10 cores: 6 P-cores and 4 E-cores)</t>
  </si>
  <si>
    <t>90NR0951-M004N0</t>
  </si>
  <si>
    <t>ROG Strix G15 G513RM-HF284W</t>
  </si>
  <si>
    <t>15.6-inch with 200 Nits FHD 16:9 anti-glare display sRGB: 100.00% Adobe: 75.35% Refresh Rate: 300Hz Response Time: 3ms IPS-level MUX Switch + Optimus Support Dolby Vision HDR : Yes</t>
  </si>
  <si>
    <t>8-core/16-thread, 20MB cache, up to 4.7 GHz max boost)</t>
  </si>
  <si>
    <t>90NR0845-M00EW0</t>
  </si>
  <si>
    <t>NVIDIA GeForce RTX 3050</t>
  </si>
  <si>
    <t>256GB SSD M.2 2242 PCIe 3.0x4 NVMe + 1TB HDD 5400rpm 2.5"</t>
  </si>
  <si>
    <t>4C / 8T, 3.3 / 4.8GHz, 12MB</t>
  </si>
  <si>
    <t>82K100LTUS</t>
  </si>
  <si>
    <t>Swift X SFX14-41G-R1S6</t>
  </si>
  <si>
    <t>AMD Ryzen 7 5800U</t>
  </si>
  <si>
    <t>16GB LPDDR4X</t>
  </si>
  <si>
    <t>14" Full HD IPS Widescreen LED-backlit 100% sRGB display with 300 nits brightness and 16:9 aspect ratio</t>
  </si>
  <si>
    <t>Backlit Keyboard</t>
  </si>
  <si>
    <t>4-cell Lithium Ion (Li-Ion)</t>
  </si>
  <si>
    <t>2 USB 3.0 / 3.1 Gen1, 1 HDMI, 1 DisplayPort, Audio Connections: 3.5mm, 1 Fingerprint Reader, USB-C</t>
  </si>
  <si>
    <t>322.8 x 212.1 x 17.8 mm</t>
  </si>
  <si>
    <t>1.5 kg</t>
  </si>
  <si>
    <t>Silver/gold</t>
  </si>
  <si>
    <t>Delta 15001</t>
  </si>
  <si>
    <t>AMD Radeon™ RX6700M 10GB</t>
  </si>
  <si>
    <t>10GB GDDR6</t>
  </si>
  <si>
    <t>1TB NVMe SSD</t>
  </si>
  <si>
    <t>15.6" Thin Bezel FHD, IPS-Level 240Hz sRGB</t>
  </si>
  <si>
    <t>Single zone RGB keyboard with Anti-Ghost key (84 Key)</t>
  </si>
  <si>
    <t>4 cell (82Whr)</t>
  </si>
  <si>
    <t>2x USB-A 3.2 Gen1 	1x USB 3.2 Gen1 Type C w/DP; 1x USB 3.2 Gen1 Type C HDMI (supports 4K @ 60Hz)	1 Audio Combo (1/8")</t>
  </si>
  <si>
    <t>357.12 x 246.88 x 19.05 mm</t>
  </si>
  <si>
    <t>1.90 kg</t>
  </si>
  <si>
    <t>TUF Dash F15 FX516PR-211.TM15</t>
  </si>
  <si>
    <t>NVIDIA® GeForce RTX™ 3070 Laptop GPU,With ROG Boost up to 1390MHz at 80W (85W with Dynamic Boost),8GB GDDR6</t>
  </si>
  <si>
    <t>16GB (DDR4 3200MHz) on board</t>
  </si>
  <si>
    <t>15.6-inch,FHD 16:9,anti-glare display sRGB:100% Adobe:75.35% Refresh Rate:240Hz IPS-level</t>
  </si>
  <si>
    <t>1x 3.5mm Combo Audio Jack 1x HDMI 2.0b 3x USB 3.2 Gen 1 Type-A 1x RJ45 LAN port 1x Type C USB 4 support DisplayPort / power delivery / Thunderbolt™ 4</t>
  </si>
  <si>
    <t>TUF Dash F15 FX517ZE-ES73</t>
  </si>
  <si>
    <t>Nvidia GeForce RTX 3050 Ti 4GB</t>
  </si>
  <si>
    <t>512GB PCIe NVMe M.2 SSD</t>
  </si>
  <si>
    <t>15.6” Full HD IPS 144Hz</t>
  </si>
  <si>
    <t>Backlit keyboard rated for 20-million keystroke durability</t>
  </si>
  <si>
    <t>Wi-Fi 6, Bluetooth 5.2, 1x Thunderbolt 4, 1x USB 3.2 Type-C (Gen2), 2x USB 3.2 Type-A (Gen1), 1x HDMI 2.0b, 1x 3.5mm Audio Jack, 1x LAN</t>
  </si>
  <si>
    <t>354 x 251x 20.7 mm</t>
  </si>
  <si>
    <t>1 years</t>
  </si>
  <si>
    <t>G15 5510</t>
  </si>
  <si>
    <t>8GB DDR4 2933MHz</t>
  </si>
  <si>
    <t>FreeDos</t>
  </si>
  <si>
    <t>1. SuperSpeed USB 2.0   2. SuperSpeed USB 2.0 with Power Share   3. SuperSpeed USB 3.2  4. HDMI   5. Power in   6. RJ45   7. Headphones/mic</t>
  </si>
  <si>
    <t>357 x 272.8 x 23.3 mm</t>
  </si>
  <si>
    <t>2.44 kg</t>
  </si>
  <si>
    <t>12MB Cache, up to 4.5 GHz, 6 cores</t>
  </si>
  <si>
    <t>Intel Core I7-10870H</t>
  </si>
  <si>
    <t>NVIDIA GeForce RTX 3060 6GB</t>
  </si>
  <si>
    <t>16GB, 2x8GB, DDR4, 2933MHz</t>
  </si>
  <si>
    <t>15.6 inch FHD 165Hz 300 nits WVA Anti-Glare LED Backlit Narrow Border Display</t>
  </si>
  <si>
    <t>US English Orange Qwerty Backlit Keyboard with Numeric Keypad and G-Key</t>
  </si>
  <si>
    <t>16MB Cache, up to 5.0 GHz, 8 cores</t>
  </si>
  <si>
    <t>Pavilion Gaming 15-DK2087NE</t>
  </si>
  <si>
    <t>Intel® Core™ i5-11300H</t>
  </si>
  <si>
    <t>1TB 7200 rpm SATA HDD +256GB PCIe® NVMe™ M.2 SSD</t>
  </si>
  <si>
    <t>15.6"Inch diagonal, FHD, 144 Hz, 7 ms response time, IPS, micro-edge, anti-glare, 300 nits, 72% NTSC</t>
  </si>
  <si>
    <t>Full-size, shadow black keyboard with numeric keypad</t>
  </si>
  <si>
    <t>3-cell, 52.5 Wh Li-ion polyme</t>
  </si>
  <si>
    <t>1 SuperSpeed USB Type-C® 10Gbps signaling rate (DisplayPort™ 1.4, HP Sleep and Charge); 1 SuperSpeed USB Type-A 5Gbps signaling rate (HP Sleep and Charge); 2 SuperSpeed USB Type-A 5Gbps signaling rate; 1 HDMI 2.0; 1 RJ-45; 1 AC smart pin; 1 headphone/micr</t>
  </si>
  <si>
    <t>360 x 256 x 23.4 mm</t>
  </si>
  <si>
    <t>2.28 kg</t>
  </si>
  <si>
    <t>up to 4.4 GHz with Intel® Turbo Boost Technology, 8 MB L3 cache, 4 cores</t>
  </si>
  <si>
    <t>594S4EA</t>
  </si>
  <si>
    <t>Intel Core I5-11320H</t>
  </si>
  <si>
    <t>512GB SSD M.2 2242 PCIe 3.0x4 NVMe</t>
  </si>
  <si>
    <t>4C / 8T, 3.2 / 4.5GHz, 8MB</t>
  </si>
  <si>
    <t>82K1019UED</t>
  </si>
  <si>
    <t>F15 FX516PM-211.TF15</t>
  </si>
  <si>
    <t>16GB DDR4-3200 SO-DIMM,Max Capacity : 32GB</t>
  </si>
  <si>
    <t>15.6-inch,FHD (1920 x 1080) 16:9,anti-glare display</t>
  </si>
  <si>
    <t>Wireless LAN Wi-Fi 6 (802.11ax) Network Card 10/100/1000 Gigabit Fast Ethernet Bluetooth 5.2</t>
  </si>
  <si>
    <t>ROG Strix Scar 17 SE. G733C-XS97</t>
  </si>
  <si>
    <t>Intel Core I9-12950HX</t>
  </si>
  <si>
    <t>32GB DDR5-4800 SO-DIMM x 2</t>
  </si>
  <si>
    <t>17.3-inch WQHD 16:9 anti-glare display DCI-P3: 100% Refresh Rate: 240Hz Response Time: 3ms IPS-level Adaptive-Sync MUX Switch + Optimus Support Dolby Vision HDR : Yes</t>
  </si>
  <si>
    <t>1x 3.5mm Combo Audio Jack 1x HDMI 2.1 2x USB 3.2 Gen 1 Type-A 1x USB 3.2 Gen 2 Type-C support DisplayPort™ / power delivery / G-SYNC 1x RJ45 LAN port 1x Thunderbolt™ 4 support DisplayPort</t>
  </si>
  <si>
    <t>395 x 282 x 28.3 mm</t>
  </si>
  <si>
    <t>3 Kg</t>
  </si>
  <si>
    <t>30M Cache, up to 5.0 GHz, 16 cores: 8 P-cores and 8 E-cores</t>
  </si>
  <si>
    <t>Rog Zephyrus DUO 16 GX650RX-XS97</t>
  </si>
  <si>
    <t>AMD Ryzen 9 6900HX</t>
  </si>
  <si>
    <t>NVIDIA® GeForce RTX™ 3080 Ti Laptop GPU 16GB</t>
  </si>
  <si>
    <t>32GB DDR5 4800MHz Memory</t>
  </si>
  <si>
    <t>2TB M.2 NVMe™ PCIe® 4.0 Performance SSD</t>
  </si>
  <si>
    <t>16" Inch QHD+ 165Hz (3ms) ROG Nebula HDR Mini LED Anti-Glare Display (100% DCI-P3)</t>
  </si>
  <si>
    <t>1x USB 3.2 Gen 2 Type-C support DisplayPort™ 1x USB 3.2 Gen 2 Type-C support DisplayPort™ / power delivery / G-SYNC 2x USB 3.2 Gen 2 Type-A 1x HDMI 2.1 1x 3.5mm Combo Audio Jack 1x RJ45 LAN port</t>
  </si>
  <si>
    <t>13.98 x 265.938 x 20.574 mm</t>
  </si>
  <si>
    <t>2.59 kg</t>
  </si>
  <si>
    <t>8-core/16-thread, 20MB cache, up to 4.9 GHz max boost</t>
  </si>
  <si>
    <t>TUF Gaming FX505D-HN536</t>
  </si>
  <si>
    <t>AMD Ryzen 7 3750H</t>
  </si>
  <si>
    <t>NVIDIA® GeForce® GTX 1650, 4GB</t>
  </si>
  <si>
    <t>4GB GDDR5</t>
  </si>
  <si>
    <t>8GB DDR4-2400 SO-DIMM, Max Capacity : 32GB</t>
  </si>
  <si>
    <t>15.6-inch, FHD 16:9, anti-glare display, sRGB:62.50%, Adobe:47.34%, Refresh Rate:144Hz, Value IPS-level</t>
  </si>
  <si>
    <t>1x 3.5mm Combo Audio Jack 1x HDMI 2.0 1x USB 2.0 Type-A 2x USB 3.2 Gen 1 Type-</t>
  </si>
  <si>
    <t>360 x 262 x 26 mm</t>
  </si>
  <si>
    <t>4C/8T, 6MB cache, 4.0GHz Boost</t>
  </si>
  <si>
    <t>90NR02D2-M18970</t>
  </si>
  <si>
    <t>Victus 15-FA0083NIA</t>
  </si>
  <si>
    <t>1 SuperSpeed USB Type-C® 5Gbps signaling rate (DisplayPort™ 1.4, HP Sleep and Charge); 1 SuperSpeed USB Type-A 5Gbps signaling rate (HP Sleep and Charge); 1 SuperSpeed USB Type-A 5Gbps signaling rate; 1 HDMI 2.1; 1 RJ-45; 1 AC smart pin; 1 headphone/micro</t>
  </si>
  <si>
    <t>GP76 Vector 12UG</t>
  </si>
  <si>
    <t>Nvidia GeForce RTX 3070 Ti 8GB</t>
  </si>
  <si>
    <t>32GB DDR4-3200 2 Slots</t>
  </si>
  <si>
    <t>1TB SSD NVme Gen4</t>
  </si>
  <si>
    <t>17.3" Inch FHD, 360Hz,</t>
  </si>
  <si>
    <t>Per-Key RGB Backlight Keyboard</t>
  </si>
  <si>
    <t>65 Battery (Whr) 4-Cell</t>
  </si>
  <si>
    <t>1x Type-C (USB3.2 Gen2 / DP) 3x Type-A USB3.2 Gen1 1x Mini-DisplayPort 1x (8K @ 60Hz / 4K @ 120Hz) HDMI™ 1x RJ45</t>
  </si>
  <si>
    <t>G15 5521 SE</t>
  </si>
  <si>
    <t>1TB M.2 PCIe Solid State Drive</t>
  </si>
  <si>
    <t>15.6" QHD 240Hz WVA QHD Display</t>
  </si>
  <si>
    <t>RGB keyboard for US English(4 ZONE backlit) (XFVCD)</t>
  </si>
  <si>
    <t>6-Cell 86WHr Integrated</t>
  </si>
  <si>
    <t>357.30 x 272.11 x 26.90 mm</t>
  </si>
  <si>
    <t>2.672 kg</t>
  </si>
  <si>
    <t>Dell G15 5520</t>
  </si>
  <si>
    <t>512GB SSD M.2 PCIe NVMe Solid State Drive</t>
  </si>
  <si>
    <t>15.6" Inch FHD 120Hz 250nits WVA Anti-Glare LED Backlit Narrow Border Display</t>
  </si>
  <si>
    <t>1. SuperSpeed USB 3.2 Gen 1 2. SuperSpeed USB 3.2 Gen 1 3. USB Type-C port with DisplayPort with alt mode 4. SuperSpeed USB 3.2 Gen 1 5. HDMI 2.1 6. Power in 7. RJ45 8. Headphones/mic</t>
  </si>
  <si>
    <t>16 GB, 2 x 8 GB, Dual-Channel DDR4, 3200 MHz</t>
  </si>
  <si>
    <t>15.6-inch, FHD 16:9, 120Hz</t>
  </si>
  <si>
    <t>Four-zone RGB keyboard</t>
  </si>
  <si>
    <t>6-cell (86 Wh) "smart" lithium-ion</t>
  </si>
  <si>
    <t>1. USB 3.2 Gen 1 | 2. USB 3.2 Gen 1 with PowerShare | 3. Thunderbolt 3/USB 3.2 Gen 1 Type-C port with DisplayPort with alt mode | 4. USB 3.2 Gen 1 | 5. HDMI | 6. Power in | 7. RJ45 | 8. Headphones/mic.</t>
  </si>
  <si>
    <t>0.71 x 14.06 x 0.98 mm</t>
  </si>
  <si>
    <t>2.65 kg</t>
  </si>
  <si>
    <t>24 MB Cache, 8 Core, 2.30 GHz to 4.60 GHz</t>
  </si>
  <si>
    <t>Dell G15 5511</t>
  </si>
  <si>
    <t>15.6-inch, FHD, 165 Hz, anti-glare, non-touch, 100% sRGB, 300 nits, wide-viewing angle (WVA)</t>
  </si>
  <si>
    <t>Crosshair 15 R6E B12UGZ</t>
  </si>
  <si>
    <t>NVIDIA GeForce RTX 3070 8GB GDDR6</t>
  </si>
  <si>
    <t>16GB DDR4 2x 8GB</t>
  </si>
  <si>
    <t>15.6" QHD, 165Hz, IPS-Level anti-glare</t>
  </si>
  <si>
    <t>Windows 11 Home 64-Bit</t>
  </si>
  <si>
    <t>Spectrum Backlight Keyboard</t>
  </si>
  <si>
    <t>4-Cell 90 (Whr) Battery</t>
  </si>
  <si>
    <t>2x Type-A USB3.2 Gen1 1x Type-C USB3.2 Gen1 1x (4K @ 60Hz) HDMI™ 1x RJ45 1x Type-A USB2.0</t>
  </si>
  <si>
    <t>359 x 259 x 26.9 mm</t>
  </si>
  <si>
    <t>2.47 kg</t>
  </si>
  <si>
    <t>512GB SSD M.2 2230, PCIe NVMe Gen3 x 4</t>
  </si>
  <si>
    <t>Windows 11 Home 64 Single Language, Arabic / English</t>
  </si>
  <si>
    <t>6C / 12T, 3.3 / 4.2GHz, 3MB L2 / 16MB L3</t>
  </si>
  <si>
    <t>82K200MLED</t>
  </si>
  <si>
    <t>135W Slim Tip (3-pin)</t>
  </si>
  <si>
    <t>Pavilion Gaming 15-dk2099ne</t>
  </si>
  <si>
    <t>Intel Core i7-11370H</t>
  </si>
  <si>
    <t>8 GB DDR4-3200 MHz RAM</t>
  </si>
  <si>
    <t>512 GB PCIe® NVMe™ M.2 SSD</t>
  </si>
  <si>
    <t>39.6 cm (15.6") diagonal, FHD, 144 Hz, 7 ms response time, IPS, micro-edge, anti-glare, 300 nits, 72% NTSC</t>
  </si>
  <si>
    <t>36 x 25.6 x 2.34 cm</t>
  </si>
  <si>
    <t>2.23 kg</t>
  </si>
  <si>
    <t>up to 4.8 GHz with Intel® Turbo Boost Technology, 12 MB L3 cache, 4 cores</t>
  </si>
  <si>
    <t>NVIDIA GeForce RTX 3070</t>
  </si>
  <si>
    <t>16" WQXGA IPS 500nits Anti-glare, 165Hz, 100% sRGB, Dolby Vision, HDR 400, G-SYNC, DC dimmer</t>
  </si>
  <si>
    <t>Windows 11 Home 64, Arabic / English</t>
  </si>
  <si>
    <t>RGB Backlit, Arabic</t>
  </si>
  <si>
    <t>HD 720p with E-camera Shutter</t>
  </si>
  <si>
    <t>2x USB 3.2 Gen 1 1x USB 3.2 Gen 1 (Always On) 1x USB-C 3.2 Gen 1 (support data transfer only) 1x Thunderbolt 4 / USB4 40Gbps (support data transfer and DisplayPort 1.4) 1x Thunderbolt 4 / USB4 40Gbps (support data transfer, Power Delivery 100W and Display</t>
  </si>
  <si>
    <t>360 x 260 x 20.1-23.5 m</t>
  </si>
  <si>
    <t>82K600C8AD</t>
  </si>
  <si>
    <t>NVIDIA GeForce RTX 3050 Ti</t>
  </si>
  <si>
    <t>15.6" FHD IPS 250 nits Anti-glare, 120Hz, 45% NTSC, DC dimmer</t>
  </si>
  <si>
    <t>82K201MYAD</t>
  </si>
  <si>
    <t>GS76 STEALTH 11UH</t>
  </si>
  <si>
    <t>Nvidia GeForce RTX 3080</t>
  </si>
  <si>
    <t>17.3" FHD (1920x1080), 360Hz, IPS-Level</t>
  </si>
  <si>
    <t>1x Type-C (USB / DP / Thunderbolt™ 4) with PD charging 1x Type-C (USB3.2 Gen2 / DP) 2x Type-A USB3.2 Gen2 1x (8K @ 60Hz / 4K @ 120Hz) HDMI 1x SD (XC/HC) Card Reader 1x RJ45</t>
  </si>
  <si>
    <t>396.1 x 259.4 x 20.25 mm</t>
  </si>
  <si>
    <t>Intel Core i5-11300H</t>
  </si>
  <si>
    <t>(4C / 8T, 3.1 / 4.4GHz, 8MB)</t>
  </si>
  <si>
    <t>82K100F4ED</t>
  </si>
  <si>
    <t>15.6" FHD IPS 300nits Anti-glare, 165Hz, 100% sRGB, Dolby Vision, FreeSync, DC dimmer</t>
  </si>
  <si>
    <t>82NW004JED</t>
  </si>
  <si>
    <t>15.6" FHD IPS 300nits Anti-glare, 165Hz, 100% sRGB, Dolby Vision, FreeSync, G-SYNC, DC dimmer</t>
  </si>
  <si>
    <t>82JU00E0ED</t>
  </si>
  <si>
    <t>Legion 7 16ACHg6</t>
  </si>
  <si>
    <t>AMD Ryzen 9 5900HX</t>
  </si>
  <si>
    <t>NVIDIA GeForce RTX 3080</t>
  </si>
  <si>
    <t>32GB 2x 16GB SO-DIMM DDR4-3200</t>
  </si>
  <si>
    <t>2x 1TB SSD M.2 2280 PCIe 3.0x4 NVMe</t>
  </si>
  <si>
    <t>16" WQXGA IPS 500nits Anti-glare, 165Hz, 100% sRGB, Dolby Vision, HDR 400, FreeSync, G-SYNC, DC dimmer</t>
  </si>
  <si>
    <t>2x USB 3.2 Gen 1 1x USB 3.2 Gen 1 (Always On) 1x USB-C 3.2 Gen 1 (support data transfer only) 1x USB-C 3.2 Gen 2 (support data transfer and DisplayPort 1.4) 1x USB-C 3.2 Gen 2 (support data transfer, Power Delivery 100W and DisplayPort 1.4) 1x HDMI 2.1 1x</t>
  </si>
  <si>
    <t>(8C / 16T, 3.3 / 4.6GHz, 4MB L2 / 16MB L3)</t>
  </si>
  <si>
    <t>82N600Q3ED</t>
  </si>
  <si>
    <t>Windows 11 Home Single Language, Arabic / English</t>
  </si>
  <si>
    <t>82K200MKED</t>
  </si>
  <si>
    <t>Windows 11 Home 64, English</t>
  </si>
  <si>
    <t>(4C / 8T, 3.3 / 4.8GHz, 12MB)</t>
  </si>
  <si>
    <t>82K100FHAX</t>
  </si>
  <si>
    <t>15.6" FHD IPS 300nits Anti-glare, 165Hz, 100% sRGB, DC dimmer</t>
  </si>
  <si>
    <t>82K201CYAX</t>
  </si>
  <si>
    <t>Victus 15-FA0031DX</t>
  </si>
  <si>
    <t>NVIDIA® GeForce® GTX 1650 Laptop GPU (4 GB GDDR6 dedicated)</t>
  </si>
  <si>
    <t>39.6 cm (15.6) diagonal, FHD, 144 Hz, 9 ms response time, IPS, micro-edge, anti-glare, 250 nits, 45% NTSC</t>
  </si>
  <si>
    <t>1 SuperSpeed USB Type-C® 5Gbps signaling rate (DisplayPort™ 1.4, HP Sleep and Charge);  1 SuperSpeed USB Type-A 5Gbps signaling rate (HP Sleep and Charge);  1 SuperSpeed USB Type-A 5Gbps signaling rate;  1 HDMI 2.1; 1 RJ-45;  1 AC smart pin;  1 headphone/</t>
  </si>
  <si>
    <t>Nvidia® GeForce® RTX™ 3060 6GB</t>
  </si>
  <si>
    <t>16GB, 2x8GB, DDR4, 3200MHz</t>
  </si>
  <si>
    <t>Alienware X15 R1</t>
  </si>
  <si>
    <t>NVIDIA GeForce RTX™ 3070 8GB</t>
  </si>
  <si>
    <t>16 GB, DDR4, 3200 MHz, integrated</t>
  </si>
  <si>
    <t>512 GB, M.2, PCIe NVMe, SSD</t>
  </si>
  <si>
    <t>15.6", FHD, 360Hz, Non-Touch, 1ms, Advanced Optimus, ComfortView Plus, NVIDIA G-SYNC</t>
  </si>
  <si>
    <t>Alienware X-Series thin keyboard with per-key AlienFX lighting</t>
  </si>
  <si>
    <t>87 WHr, 6-cell smart lithium-ion battery</t>
  </si>
  <si>
    <t>Camera 720p at 30 fps, HD RGBIr camera Dual-array microphones</t>
  </si>
  <si>
    <t>1 USB 3.2 Gen 1 port with PowerShare 1 USB-C 3.2 Gen 2 port with Power Delivery and DisplayPort™ 1 Thunderbolt™ 4 port with Power Delivery and DisplayPort™ 1 Headset (headphone and microphone combo) port 1 HDMI 2.1 port 1 Power-adapter port 1 Type-C to RJ</t>
  </si>
  <si>
    <t>359.7 x 277.25 x 15.9 mm</t>
  </si>
  <si>
    <t>24 MB cache, 8 cores, 16 threads, up to 4.60 GHz Turbo</t>
  </si>
  <si>
    <t>Razer</t>
  </si>
  <si>
    <t>BLADE 15</t>
  </si>
  <si>
    <t>Intel Core i7-10875H</t>
  </si>
  <si>
    <t>32GB dual-channel DDR4-2933MHz (16GB x 2)</t>
  </si>
  <si>
    <t>1TB SSD M.2 NVMe PCIe 3.0 x4</t>
  </si>
  <si>
    <t>15.6" 4K OLED 60Hz, touch, 100% sRGB, 4.9 mm bezel, factory calibrated</t>
  </si>
  <si>
    <t>Per key RGB Powered by Razer Chroma N-Key rollover keyboard</t>
  </si>
  <si>
    <t>Up to 7 hours Built-in 80WHr rechargeable lithium-ion polymer battery</t>
  </si>
  <si>
    <t>IR webcam with Windows Hello support</t>
  </si>
  <si>
    <t>1x Thunderbolt 3 (USB-C), Supports 20V USB-C chargers with PD 3.0 3x USB 3.2 Gen 2 (USB-A) USB-C 3.2 Gen 2, Supports 20V USB-C chargers with PD 3.0 SD Card Reader, UHS-III HDMI 2.1 output (Up to 8K 60Hz or 4K 120Hz)</t>
  </si>
  <si>
    <t>355 x 235 x 16.99 mm</t>
  </si>
  <si>
    <t>2.08kg</t>
  </si>
  <si>
    <t>8 Cores (2.3GHz / 5.1GHz)</t>
  </si>
  <si>
    <t>230 W power adapt</t>
  </si>
  <si>
    <t>NVIDIA GeForce GTX 1650</t>
  </si>
  <si>
    <t>59.6 x 251.9 x 24.2 mm</t>
  </si>
  <si>
    <t>82K200MYAX</t>
  </si>
  <si>
    <t>Legion 5 15IMH6</t>
  </si>
  <si>
    <t>16GB 2x 8GB SO-DIMM DDR4-2933</t>
  </si>
  <si>
    <t>15.6" FHD IPS 300nits Anti-glare, 165Hz, 100% sRGB, Dolby Vision, G-Sync, DC dimmer</t>
  </si>
  <si>
    <t>3x USB 3.2 Gen 1 1x USB 3.2 Gen 1 (Always On) 1x USB-C 3.2 Gen 1 (support data transfer and DisplayPort 1.2) 1x HDMI 2.0 1x Ethernet (RJ-45) 1x Headphone / microphone combo jack (3.5mm) 1x Power connector</t>
  </si>
  <si>
    <t>363.06 x 259.61 x 26.1 mm</t>
  </si>
  <si>
    <t>Phantom Black</t>
  </si>
  <si>
    <t>6C / 12T, 2.6 / 5.0GHz, 12MB</t>
  </si>
  <si>
    <t>82NL005CAX</t>
  </si>
  <si>
    <t>Pavilion 15-dk2108ne</t>
  </si>
  <si>
    <t>NVIDIA® GeForce® GTX1650 4G</t>
  </si>
  <si>
    <t>1TB 7200 rpm SATA HDD+256 GB PCIe® NVMe™ M.2 SSD</t>
  </si>
  <si>
    <t>15.6" Inch diagonal, FHD, 144 Hz, 7 ms response time, IPS, micro-edge, anti-glare, 300 nits, 72% NTSC</t>
  </si>
  <si>
    <t>5Z9W6EA</t>
  </si>
  <si>
    <t>Pavilion Gaming I5-DK2041NE</t>
  </si>
  <si>
    <t>256 GB PCIe® NVMe™ M.2 SSD 1TB 7200 rpm SATA HDD</t>
  </si>
  <si>
    <t>15.6"Inch diagonal FHD 144 Hz, 7 ms response time, IPS, micro-edge, anti-glare, 300 nits, 72% NTSC</t>
  </si>
  <si>
    <t>4H6K6EA</t>
  </si>
  <si>
    <t>ROG Strix G15 G513IE-HN003W</t>
  </si>
  <si>
    <t>DIA® GeForce RTX™ 3050 Ti 4GB</t>
  </si>
  <si>
    <t>512GB M.2 NVMe™ PCIe ® 3.0 SSD</t>
  </si>
  <si>
    <t>15.6 inch FHD 16:9 &amp; 250 Nits anti-glare display sRGB: 62.5% Refresh Rate: 144Hz IPS-level screen Adaptive-Sync Optimus</t>
  </si>
  <si>
    <t>1x 3.5mm Combo Audio Jack 1x HDMI 2.0b USB 3.2 Gen 2 Type-C port for plug/power delivery 3x USB 3.2 Gen 1 Type-A</t>
  </si>
  <si>
    <t>354×259×25.9 mm</t>
  </si>
  <si>
    <t>2.10 kg</t>
  </si>
  <si>
    <t>2.9 GHz (8M Cache, max. 4.2 GHz)</t>
  </si>
  <si>
    <t>TUF Gaming F15 FX506HEB-HN154T</t>
  </si>
  <si>
    <t>15.6-inches FHD 16:9, anti-glare display, sRGB:62.5%, Adobe:47.34%, Refresh Rate:144Hz, Value IPS-level, Adaptive-Sync, Optimus</t>
  </si>
  <si>
    <t>1x 3.5mm Combo Audio Jack  1x HDMI 2.0b  3x USB 3.2 Gen 1 Type-A  1x RJ45 LAN port</t>
  </si>
  <si>
    <t>359 x 256 x 22.8 mm</t>
  </si>
  <si>
    <t>TUF Dash F15 FX516PC-HN004T</t>
  </si>
  <si>
    <t>15.6-inch, FHD 16:9, anti-glare display, sRGB:62.5%, Adobe:47.34%, Refresh Rate:144Hz, Value IPS-level, Adaptive-Sync, Optimus sRGB:62.5%, Adobe:47.34%</t>
  </si>
  <si>
    <t>90NR05U1-M02560</t>
  </si>
  <si>
    <t>Rog Strix Scar 15 G533QS-HF017T</t>
  </si>
  <si>
    <t>AMD Ryzen™ 9 5900HX</t>
  </si>
  <si>
    <t>15.6-inch with 200 Nits FHD 16:9 anti-glare display sRGB: 100.00% Adobe: 75.35% Refresh Rate: 300Hz Response Time: 3ms IPS-level Optimus</t>
  </si>
  <si>
    <t>Optical Mech Keyboard Per-Key RGB</t>
  </si>
  <si>
    <t>1x 3.5mm Combo Audio Jack 1x HDMI 2.0b 1x USB 3.2 Gen 2 Type-C support displayport / power delivery / G-SYNC 3x USB 3.2 Gen 1 Type-A</t>
  </si>
  <si>
    <t>354 x 259 x 22.6 mm</t>
  </si>
  <si>
    <t>(8-core/16-thread, 20MB cache, up to 4.6 GHz max boost)</t>
  </si>
  <si>
    <t>90NR0551-M000T0</t>
  </si>
  <si>
    <t>ø6.0, 240W AC Adapter, Output: 20V DC, 12A, 240W, Input: 100~240C AC 50/60Hz universal</t>
  </si>
  <si>
    <t>ROG Strix SCAR G533QS-HF255T</t>
  </si>
  <si>
    <t>354 x 2.9 x 22.6 mm</t>
  </si>
  <si>
    <t>90NR0551-M000W0</t>
  </si>
  <si>
    <t>ROG Zephyrus G14 GA401QM-HZ025T</t>
  </si>
  <si>
    <t>AMD Ryzen™ 9 5900HS</t>
  </si>
  <si>
    <t>14'' inch FHD 16:9 anti-glare display sRGB: 100% Adobe: 75.35% IPS-level Pantone Validated Optimus</t>
  </si>
  <si>
    <t>3.1 GHz (16M Cache, up to 4.5 GHz)</t>
  </si>
  <si>
    <t>90NR05S3-M000Y0</t>
  </si>
  <si>
    <t>ROG Zephyrus S17 GX703HS-KF061T</t>
  </si>
  <si>
    <t>32GB 16GB DDR4 on board 16GB DDR4-3200 SO-DIMM</t>
  </si>
  <si>
    <t>17.3-inch with 300 Nits 4K UHD 16:9 anti-glare display DCI-P3: 100% Refresh Rate: 120Hz Response Time: 3ms IPS-level Pantone Validated Optimus</t>
  </si>
  <si>
    <t>90NR06F1-M02210</t>
  </si>
  <si>
    <t>ø6.0, 280W AC Adapter, Output: 20V DC, 14A, 280W, Input: 100~240C AC 50/60Hz universal</t>
  </si>
  <si>
    <t>ZenBook DUO UX582H-H2007W</t>
  </si>
  <si>
    <t>Intel Core i9-11900H</t>
  </si>
  <si>
    <t>NVIDIA® GeForce® RTX™ 3080</t>
  </si>
  <si>
    <t>32GB DDR4 on board,</t>
  </si>
  <si>
    <t>15.6-inch, 4K UHD 16:9 aspect ratio, 0.2ms response time, 440nits, 550nits peak brightness, 100% DCI-P3 color gamut, PANTONE Validated, Glossy display, Touch screen, With stylus support</t>
  </si>
  <si>
    <t>Backlit Chiclet Keyboard with Num-key 1.4mm Key-travel</t>
  </si>
  <si>
    <t>2.5 GHz (24M Cache, up to 4.9 GHz, 8 cores)</t>
  </si>
  <si>
    <t>90NB0V21-M00330</t>
  </si>
  <si>
    <t>NVIDIA GeForce RTX 3050Ti 4GB</t>
  </si>
  <si>
    <t>2x 8GB SO-DIMM DDR4-3200</t>
  </si>
  <si>
    <t>82K100LPUS</t>
  </si>
  <si>
    <t>512GB SSD M.2 2280 PCIe 4.0x4 NVMe</t>
  </si>
  <si>
    <t>720p with E-camera Shutter</t>
  </si>
  <si>
    <t>8Core / 16Thread, 2.3GHz Up To 4.6GHz, 24MB</t>
  </si>
  <si>
    <t>82JH004EED</t>
  </si>
  <si>
    <t>LENOVO LEGION 5 Pro 16ITH6H</t>
  </si>
  <si>
    <t>16" Inch WQXGA IPS 500nits Anti-glare, 165Hz, 100% sRGB, Dolby Vision, HDR 400, G-Sync, DC dimmer</t>
  </si>
  <si>
    <t>356 x 260.2-264.2 x 26.15 mm</t>
  </si>
  <si>
    <t>2.3 Kg</t>
  </si>
  <si>
    <t>82JD00DTED</t>
  </si>
  <si>
    <t>6 GB</t>
  </si>
  <si>
    <t>IdeaPad GAMING 3 15IMH05</t>
  </si>
  <si>
    <t>Intel Core I5-10300H</t>
  </si>
  <si>
    <t>NVIDIA® GeForce® GTX 1650 Ti 4GB</t>
  </si>
  <si>
    <t>8GB, 2x 4GB SO-DIMM DDR4-2933</t>
  </si>
  <si>
    <t>15.6" FHD IPS, 60Hz, 250 nits</t>
  </si>
  <si>
    <t>720p with Privacy Shutter</t>
  </si>
  <si>
    <t>359 x 249.6 x 24.9 mm</t>
  </si>
  <si>
    <t>2.2 kg</t>
  </si>
  <si>
    <t>Onyx Black</t>
  </si>
  <si>
    <t>(4C / 8T, 2.5 / 4.5GHz, 8MB)</t>
  </si>
  <si>
    <t>81Y401A6ED</t>
  </si>
  <si>
    <t>NVIDIA GeForce RTX 3060</t>
  </si>
  <si>
    <t>2 x 8GB SO-DIMM DDR4-3200</t>
  </si>
  <si>
    <t>720p with Camera Shutter</t>
  </si>
  <si>
    <t>100/1000M WLAN + Bluetooth Wi-Fi 6 11ax, 2x2 + BT5.0 Standard Ports 2x USB 3.2 Gen 1 1x USB-C 3.2 Gen 1 (support data transfer only) 1x HDMI 2.0 1x Ethernet (RJ-45) 1x Headphone / microphone combo jack (3.5mm) 1x Power connector</t>
  </si>
  <si>
    <t>AMD Ryzen 5 5600H (6 Cores / 12T, 3.3 / 4.2GHz, 3MB L2 / 16MB L3)</t>
  </si>
  <si>
    <t>82K200QGAX</t>
  </si>
  <si>
    <t>170W Slim Tip (3-pin)</t>
  </si>
  <si>
    <t>Tuf Dash F15</t>
  </si>
  <si>
    <t>NVIDIA® GeForce RTX™ 3050TI</t>
  </si>
  <si>
    <t>15.6-inch, FHD 16:9, anti-glare display, sRGB:62.5%, Adobe:47.34%, Refresh Rate:144Hz, Value IPS-level</t>
  </si>
  <si>
    <t>Win.10</t>
  </si>
  <si>
    <t>3.3 GHz up to 4.8GHz, 4 cores 12M Cache</t>
  </si>
  <si>
    <t>90NR0641-M03700</t>
  </si>
  <si>
    <t>(8C / 16T, 2.3 / 4.6GHz, 24MB)</t>
  </si>
  <si>
    <t>82JH004CED</t>
  </si>
  <si>
    <t>16" WQXGA IPS 500nits Anti-glare, 165Hz, 100% sRGB, Dolby Vision, HDR 400, Free-Sync, G-Sync, DC dimmer</t>
  </si>
  <si>
    <t>82N600RDED</t>
  </si>
  <si>
    <t>NVIDIA GeForce RTX 3080 16GB</t>
  </si>
  <si>
    <t>2TB SSD M.2 2280 PCIe 4.0x4 NVMe SSD 2TB</t>
  </si>
  <si>
    <t>16" WQXGA IPS 500nits Anti-glare, 165Hz, 100% sRGB, Dolby Vision, HDR 400, G-Sync, DC dimmer</t>
  </si>
  <si>
    <t>Tuf Gaming F15</t>
  </si>
  <si>
    <t>4GB 1790MHz* at 95W (1740MHz Boost Clock+50MHz OC, 80W+15W Dynamic Boost)</t>
  </si>
  <si>
    <t>15.6" Inch, FHD (1920 x 1080) 16:9, anti-glare display, sRGB:62.5%, Adobe:47.34%, Refresh Rate:144Hz, IPS-level, Adaptive-Sync, MUX Switch + Optimus</t>
  </si>
  <si>
    <t>720P HD camera</t>
  </si>
  <si>
    <t>1x 3.5mm Combo Audio Jack 1x HDMI 2.0b 1x Thunderbolt™ 4 support DisplayPort™ 1x USB 3.2 Gen 2 Type-C support DisplayPort™ / G-SYNC 2x USB 3.2 Gen 1 Type-A 1x RJ45 zLAN port</t>
  </si>
  <si>
    <t>90NR08W1-M00910</t>
  </si>
  <si>
    <t>Tuf Gaming F17</t>
  </si>
  <si>
    <t>4GB Up to 1585MHz at 60W (75W with Dynamic Boost), 4GB GDDR6</t>
  </si>
  <si>
    <t>16GB DDR4-3200 SO-DIMM , Max Capacity:32GB</t>
  </si>
  <si>
    <t>17.3" inch, FHD 16:9, anti-glare display, sRGB:62.5%, Adobe:47.34%, Refresh Rate:144Hz, Value IPS-level, Adaptive-Sync, Optimus</t>
  </si>
  <si>
    <t>1x 3.5mm Combo Audio Jack 1x HDMI 2.0b 3x USB 3.2 Gen 1 Type-A 1x RJ45 LAN port 1x Thunderbolt™ 4 support DisplayPort™ 1x USB 3.2 Gen 2 Type-C support DisplayPort™ (Device features only one Type-C port. Thunderbolt™ 4 support might vary depending on model</t>
  </si>
  <si>
    <t>399 x 269 x 23.9 mm</t>
  </si>
  <si>
    <t>90NR0713-M03830</t>
  </si>
  <si>
    <t>Sword 15 A12UE-605US</t>
  </si>
  <si>
    <t>16GB Ram 2 x 8 GB DDR4 3200MHz</t>
  </si>
  <si>
    <t>1TB SSD M.2 NVMe</t>
  </si>
  <si>
    <t>15.6" Inch FHD, 144Hz, IPS-Level,</t>
  </si>
  <si>
    <t>US-International English Keyboard</t>
  </si>
  <si>
    <t>3-Cell 53.5 Whr</t>
  </si>
  <si>
    <t>1x Type-C USB3.2 Gen1 2x Type-A USB3.2 Gen1 1x Type-A USB2.0 1x RJ45 1x (4K @ 60Hz) HDMI</t>
  </si>
  <si>
    <t>2.25 Kg</t>
  </si>
  <si>
    <t>White / Black</t>
  </si>
  <si>
    <t>10 Core 3.5GHz - 4.7 GHz</t>
  </si>
  <si>
    <t>Dell G15-5510</t>
  </si>
  <si>
    <t>16GB DDR4 2933 MHz</t>
  </si>
  <si>
    <t>15.6", FHD 1920x1080, 120Hz, Non-Touch, AG, WVA, LED-Backlit, 250 nit, Narrow Border</t>
  </si>
  <si>
    <t>FHD 1920x1080,</t>
  </si>
  <si>
    <t>6-Cell Battery, 86WHr</t>
  </si>
  <si>
    <t>HD RGB camera with digital-array microphones in camera assembly</t>
  </si>
  <si>
    <t>1 headset (headphone and microphone combo) port 1 RJ45 Ethernet port  For computers shipped with Nvidia® GeForce® GTX™ 1650 (N18P-G61-A) 1 SuperSpeed USB 2.0 port 1 SuperSpeed USB 2.0 with PowerShare 1 SuperSpeed USB 3.2 Gen 1 port 1 HDMI 2.0 port  For co</t>
  </si>
  <si>
    <t>357.26 X 272.11 X 21.21 mm</t>
  </si>
  <si>
    <t>16 MB cache, 8 cores, 16 threads, up to 5.00 GHz Turbo</t>
  </si>
  <si>
    <t>ROG Flow X13 GV301QE-K6054T</t>
  </si>
  <si>
    <t>Amd Ryzen 9- 5900H</t>
  </si>
  <si>
    <t>16GB 2 LPDDR4X</t>
  </si>
  <si>
    <t>13.4-inch WUXGA 16:10 glossy display sRGB: 100% Adobe: 75% DCI-P3: 75% Touch Screen Refresh Rate: 120Hz IPS-level Pantone Validated Support stylus: Yes</t>
  </si>
  <si>
    <t>1x 3.5mm Combo Audio Jack 1x HDMI 2.0b 1x USB 3.2 Gen 2 Type-A 1x ROG XG Mobile Interface 2x USB 3.2 Gen 2 Type-C support DisplayPort™ / power delivery</t>
  </si>
  <si>
    <t>16M Cache, up to 4.5 GHz</t>
  </si>
  <si>
    <t>TYPE-C, 100W AC Adapter, Output: 20V DC, 5A, 100W, Input: 100~240V AC, 50/60Hz universal</t>
  </si>
  <si>
    <t>IdeaPad Gaming 3-15IHU6</t>
  </si>
  <si>
    <t>Intel Core I5-11300H</t>
  </si>
  <si>
    <t>1x 8GB SO-DIMM DDR4</t>
  </si>
  <si>
    <t>15.6" IPS 250nits Anti-glare, 120Hz, 45% NTSC, DC dimmer</t>
  </si>
  <si>
    <t>4 Cores 8 Threads, 3.1  4.4GHz, 8MB</t>
  </si>
  <si>
    <t>82K100LNUS</t>
  </si>
  <si>
    <t>GE66 RAIDER 11UH-202US</t>
  </si>
  <si>
    <t>Intel Core I9-11980HK</t>
  </si>
  <si>
    <t>Nvidia GeForce RTX3080 16GB</t>
  </si>
  <si>
    <t>32GB DDR4-3200 SO-DIMM x 2</t>
  </si>
  <si>
    <t>15.6" QHD , 240Hz, IPS-Level</t>
  </si>
  <si>
    <t>FHD type (30fps@1080p)</t>
  </si>
  <si>
    <t>1x Type-C (USB / DP / Thunderbolt™ 4) 1x Type-C USB3.2 Gen2 2x Type-A USB3.2 Gen1 1x Type-A USB3.2 Gen2 1x RJ45 1x SD Express Card Reader 1x (8K @ 60Hz / 4K @ 120Hz) HDMI 1x Mini-DisplayPort</t>
  </si>
  <si>
    <t>Legion 5 15ITH6</t>
  </si>
  <si>
    <t>NVIDIA GeForce RTX 3050Ti</t>
  </si>
  <si>
    <t>Stingray</t>
  </si>
  <si>
    <t>82JK0035AX</t>
  </si>
  <si>
    <t>GE76 Raider 11UH</t>
  </si>
  <si>
    <t>16GB DDR6</t>
  </si>
  <si>
    <t>32GB, 2 x 16GB, 3200MHz DDR4</t>
  </si>
  <si>
    <t>17.3" Inch FHD, 300Hz, close to 100%sRGB</t>
  </si>
  <si>
    <t>2.9 Kg</t>
  </si>
  <si>
    <t>Tiger Lake i9-11980HK+HM570</t>
  </si>
  <si>
    <t>9S7-17K314-014</t>
  </si>
  <si>
    <t>Tuf Gaming F15 FX506HC-UB74</t>
  </si>
  <si>
    <t>Intel CoreI7-11800H</t>
  </si>
  <si>
    <t>16GB DDR4 3200 MHz</t>
  </si>
  <si>
    <t>512GB SSD PCIe NVMe M.2</t>
  </si>
  <si>
    <t>15.6" Inch FHD 144 Hz, 3ms</t>
  </si>
  <si>
    <t>48 WHr, 3S1P, 3-cell lithium-ion</t>
  </si>
  <si>
    <t>720p</t>
  </si>
  <si>
    <t>1 USB 3.2 Gen 2 Type-C (support DisplayPort 1.4)  3 USB 3.2 Gen 1 Type-A  1 HDMI 2.0b  LAN RJ45  1 mic/headphone combo</t>
  </si>
  <si>
    <t>358.90 x 256.03 x 24.38 mm</t>
  </si>
  <si>
    <t>2.30 GHz up to 4.60 GHz (24M Cache, 8 Cores)</t>
  </si>
  <si>
    <t>G713QE-HX093T</t>
  </si>
  <si>
    <t>16 GB DDR4 Max Capacity :  32GB</t>
  </si>
  <si>
    <t>17.3-inch with 300 Nits FHD (1920 x 1080) 16:9 anti-glare display sRGB: 0.625 Adobe: 47.34% IPS-level Optimus</t>
  </si>
  <si>
    <t>395 x 282 x 21.4 mm</t>
  </si>
  <si>
    <t>200W AC Adapter</t>
  </si>
  <si>
    <t>G713QE-HX090T</t>
  </si>
  <si>
    <t>FX516PM-HN072W</t>
  </si>
  <si>
    <t>Intel® Core™ i7-11370H</t>
  </si>
  <si>
    <t>16 GB, 8GB DDR4 on board, 8GB DDR4-3200 SO-DIMM, Max Capacity : 32GB</t>
  </si>
  <si>
    <t>15.6-inch, FHD (1920 x 1080) 16:9, anti-glare display, sRGB:62.5%, Adobe:47.34%, Refresh Rate:144Hz, Value IPS-level, Adaptive-Sync, Optimus</t>
  </si>
  <si>
    <t>3.3 GHz, 4 cores, 12M Cache, up to 4.8GHz</t>
  </si>
  <si>
    <t>ø6.0, 180W AC Adapter</t>
  </si>
  <si>
    <t>GV301QC-K6123T</t>
  </si>
  <si>
    <t>Amd Ryzen 9-5900HS</t>
  </si>
  <si>
    <t>32GB 16GB*2 LPDDR4X on board</t>
  </si>
  <si>
    <t>13.4-inch FHD+ 16:10, WUXGA) IPS-level glossy display sRGB: 100% Adobe: 75% DCI-P3: 75% Touch Screen Refresh Rate: 120Hz Pantone Validated Support stylus: Yes Optimus</t>
  </si>
  <si>
    <t>Windows 10 Pro</t>
  </si>
  <si>
    <t>1x 3.5mm Combo Audio Jack 1x HDMI 2.1 TMDS 1x USB 3.2 Gen 2 Type-A 1x ROG XG Mobile Interface 2x USB 3.2 Gen 2 Type-C support DisplayPort™ / power delivery</t>
  </si>
  <si>
    <t>299 x 222 x 15.8 mm</t>
  </si>
  <si>
    <t>black</t>
  </si>
  <si>
    <t>8-core/16-thread, 20MB cache, up to 4.8 GHz max boost</t>
  </si>
  <si>
    <t>GA401QM-K2012TS</t>
  </si>
  <si>
    <t>14" FHD</t>
  </si>
  <si>
    <t>4 -Cell 76 Wh</t>
  </si>
  <si>
    <t>3 cache, 16 MB</t>
  </si>
  <si>
    <t>GU603HM-211.ZM16</t>
  </si>
  <si>
    <t>16 GB, 8GB DDR4 on board 8GB DDR4-3200 SO-DIMM Max Capacity :  40GB</t>
  </si>
  <si>
    <t>16-inch 2K (2560 x 1600) 16:10 anti-glare display DCI-P3: 100% Refresh Rate: 165Hz Response Time: 3ms IPS-level Adaptive-Sync Pantone Validated Optimus</t>
  </si>
  <si>
    <t>Wi-Fi 6(802.11ax)+Bluetooth 5.2 (Dual band) 2*2;(*BT version may change with OS upgrades.)</t>
  </si>
  <si>
    <t>2.5 GHz, 24M Cache, up to 4.9 GHz, 8 Cores</t>
  </si>
  <si>
    <t>90NR04W1-M00410</t>
  </si>
  <si>
    <t>GA503QS-212.R93080</t>
  </si>
  <si>
    <t>USB 3.2 Gen2, Type-AUSB3.2 Gen 2 Type-C™ with, DisplayPort™ 1.4 and, Power Delivery 3.03.5mm Audio Jack, USB 3.2 Gen2, Type-AMicroSD ( 312MB/s )Kensington LockPowerHDMI 2.0b,</t>
  </si>
  <si>
    <t>8-core/16-thread</t>
  </si>
  <si>
    <t>90NR04J2-M01930</t>
  </si>
  <si>
    <t>NVIDIA® GeForce RTX™3080 16 GB</t>
  </si>
  <si>
    <t>16 GB GDDR6</t>
  </si>
  <si>
    <t>32 GB DDR4 3200 MHz dual-channel memory (slotted)</t>
  </si>
  <si>
    <t>1 TB SSD (M.2 NVMe PCIe 4.0 x4) + Open M.2 PCIe 4.0 x4 Slot for easy expansion</t>
  </si>
  <si>
    <t>15.6" OLED UHD 60 Hz, 100% DCI-P3, 1 ms, HDR, Touch, Glossy,</t>
  </si>
  <si>
    <t>Per-Key Backlighting, powered by Razer Chroma™</t>
  </si>
  <si>
    <t>Built-in 80 WHr rechargeable lithium-ion polymer battery</t>
  </si>
  <si>
    <t>1080p IR Hello</t>
  </si>
  <si>
    <t>2 x Thunderbolt™ 4 (USB-C™) · 2 x USB-C 3.2 Gen 2, Supports Power Delivery 3 (15 W) · 3 x USB-A 3.2 Gen 2 · 1x UHS-III SD Card Reader · 1x HDMI 2.1 · 1x DisplayPort (via USB-C Alt-DP)</t>
  </si>
  <si>
    <t>2.01 kg</t>
  </si>
  <si>
    <t>8 Cores (2.5 GHz / 4.9 GHz)</t>
  </si>
  <si>
    <t>RZ09-0409</t>
  </si>
  <si>
    <t>Lenovo 5 15ITL05</t>
  </si>
  <si>
    <t>Intel core I7-11800H</t>
  </si>
  <si>
    <t>512GB SSD M.2 2280</t>
  </si>
  <si>
    <t>15.6" FHD  IPS 300nits Anti-glare, 165Hz, 100% sRGB, Dolby Vision, G-Sync, DC dimmer</t>
  </si>
  <si>
    <t>362 x 260 x 22 mm</t>
  </si>
  <si>
    <t>82JK006XAX</t>
  </si>
  <si>
    <t>230W Slim Tip</t>
  </si>
  <si>
    <t>IdeaPad Gaming 3 15ARH05</t>
  </si>
  <si>
    <t>16GB-2x 8GB SO-DIMM DDR4-3200</t>
  </si>
  <si>
    <t>15.6" FHD IPS 250nits Anti-glare, 120Hz</t>
  </si>
  <si>
    <t>1. Power input 2. RJ45 3. HDMI 2.0 4. USB-A 3.1 Gen 1 5. USB-C Gen 2 6. Headphone / mic combo 7. Novo button 8. USB-A 3.1 Gen 1</t>
  </si>
  <si>
    <t>Chameleon Blue</t>
  </si>
  <si>
    <t>8C / 16T, 2.9 / 4.2GHz, 4MB L2 / 8MB L3</t>
  </si>
  <si>
    <t>82EY00B2AX</t>
  </si>
  <si>
    <t>GP66 Leopard 11UH</t>
  </si>
  <si>
    <t>Nvidia GeForce RTX 3080 8GB</t>
  </si>
  <si>
    <t>15.6" FHD 240Hz, IPS-Level</t>
  </si>
  <si>
    <t>3x Type-A USB3.2 Gen1 1x RJ45 1x (8K @ 60Hz / 4K @ 120Hz) HDMI 1x Mini-DisplayPort</t>
  </si>
  <si>
    <t>GS66 Stealth 11UG</t>
  </si>
  <si>
    <t>1x Type-C (USB3.2 Gen2 / DP) 1x Type-C (USB / DP / Thunderbolt™ 4) with PD charging 3x Type-A USB3.2 Gen2 1x RJ45 1x (8K @ 60Hz / 4K @ 120Hz) HDMI</t>
  </si>
  <si>
    <t>Vector GP66</t>
  </si>
  <si>
    <t>32GB 2 x 16, DDR4-3200 2 Slots Max 64GB,</t>
  </si>
  <si>
    <t>1TB SSD, 2x M.2 SSD slot (NVMe PCIe Gen4)</t>
  </si>
  <si>
    <t>15.6" Inch FHD, 360Hz, IPS-Level, Anti glare,</t>
  </si>
  <si>
    <t>4-Cell 65 Whr</t>
  </si>
  <si>
    <t>1x Type-C (USB3.2 Gen2 / DP) 3x Type-A USB3.2 Gen1 1x RJ45 1x (8K @ 60Hz / 4K @ 120Hz) HDMI 1x Mini-DisplayPort</t>
  </si>
  <si>
    <t>Intel® Core™ i9-12900H Processor 24M Cache, up to 5.00 GHz</t>
  </si>
  <si>
    <t>9S7-154422-267</t>
  </si>
  <si>
    <t>2x M.2 SSD slot (NVMe PCIe Gen4)</t>
  </si>
  <si>
    <t>GS66 STEALTH 11UH</t>
  </si>
  <si>
    <t>Intel core I9-11900H</t>
  </si>
  <si>
    <t>15.6" FHD  360Hz, IPS-Level</t>
  </si>
  <si>
    <t>358.3 x 248 x 19.8 mm</t>
  </si>
  <si>
    <t>Nvidia GeForce RTX 3070 Max-Q 8GB</t>
  </si>
  <si>
    <t>8GB, 2 x 4GB, 3200MHz DDR4</t>
  </si>
  <si>
    <t>15.6" FHD 300Hz, close to 100%sRGB</t>
  </si>
  <si>
    <t>4 cell , 99.9Whr</t>
  </si>
  <si>
    <t>Tiger Lake i7-11800H+HM570</t>
  </si>
  <si>
    <t>9S7-16V412-615</t>
  </si>
  <si>
    <t>GP66 Leopard 11UG</t>
  </si>
  <si>
    <t>Intel Core I7 11800H</t>
  </si>
  <si>
    <t>15.6" FHD, 144Hz 72%NTSC IPS-Level, close to 100%sRGB</t>
  </si>
  <si>
    <t>9S7-154322-003</t>
  </si>
  <si>
    <t>64GB, 2 x 32GB, 3200MHz DDR4</t>
  </si>
  <si>
    <t>Victus 16-D0023DX</t>
  </si>
  <si>
    <t>8GB, DDR4-2933 MHz RAM (2 x 4 GB)</t>
  </si>
  <si>
    <t>256GB SSD, PCIe® NVMe™ TLC M.2</t>
  </si>
  <si>
    <t>16.1" Inch FHD, IPS, micro-edge, anti-glare, 250 nits, 45% NTSC</t>
  </si>
  <si>
    <t>Win.11 Home</t>
  </si>
  <si>
    <t>1 SuperSpeed USB Type-C® 5Gbps signaling rate (DisplayPort™ 1.4, HP Sleep and Charge); 1 SuperSpeed USB Type-A 5Gbps signaling rate (HP Sleep and Charge); 2 SuperSpeed USB Type-A 5Gbps signaling rate; 1 HDMI 2.1; 1 RJ-45; 1 AC smart pin; 1 headphone/micro</t>
  </si>
  <si>
    <t>4U097UA</t>
  </si>
  <si>
    <t>D3500QC-OLED007T</t>
  </si>
  <si>
    <t>NVIDIA® GeForce® RTX™ 3050</t>
  </si>
  <si>
    <t>16GB DDR4 on board, Memory Max Up to:16GB</t>
  </si>
  <si>
    <t>512GB SSD, M.2 NVMe™ PCIe® 3.0</t>
  </si>
  <si>
    <t>15.6" Inch FHD, OLED 16:9 aspect ratio, 0.2ms response time, 600nits peak brightness, 100% DCI-P3 color gamut, 1,000,000:1, VESA CERTIFIED Display HDR True Black 600, 1.07 billion colors, PANTONE Validated, Glossy display, 70% less harmful blue light, SGS</t>
  </si>
  <si>
    <t>FHD 1920 x 1080</t>
  </si>
  <si>
    <t>Backlit Chiclet Keyboard with Num-key|1.35mm Key-travel</t>
  </si>
  <si>
    <t>1x USB 3.2 Gen 1 Type-A|1x USB 3.2 Gen 1 Type-C|2x USB 2.0 Type-A|1x HDMI 1.4|1x 3.5mm Combo Audio Jack|1x DC-in|Micro SD card reader</t>
  </si>
  <si>
    <t>90NB0UT2-M01680</t>
  </si>
  <si>
    <t>ø4.5, 120W AC Adapter, Output: 19V DC, 6.3A, 120W, Input: 100~240V AC 50/60Hz universal</t>
  </si>
  <si>
    <t>GV301QC-K6024T</t>
  </si>
  <si>
    <t>16GB, 2 x 8GB, LPDDR4X on board</t>
  </si>
  <si>
    <t>1TB M.2 2230 NVMe™ PCIe® 3.0 SSD</t>
  </si>
  <si>
    <t>13.4:" Inch WUXGA, glossy display sRGB: 116% Adobe: 86% DCI-P3: 85% Touch Screen IPS-level Pantone Validated Optimus</t>
  </si>
  <si>
    <t>"1x ROG XG Mobile Interface 1x USB 3.2 Gen 2 Type-A//2x USB 3.2 Gen 2 Type-C support DisplayPort™ / power delivery//1x 3.5mm Combo Audio Jack"</t>
  </si>
  <si>
    <t>1.3 Kg</t>
  </si>
  <si>
    <t>90NR04G1-M000J0</t>
  </si>
  <si>
    <t>100W AC Adapter</t>
  </si>
  <si>
    <t>IDEAPAD GAMING 3</t>
  </si>
  <si>
    <t>AMD Ryzen™ 7-5800H</t>
  </si>
  <si>
    <t>4GB GDDR6, Boost Clock 1500MHz, TGP 75W</t>
  </si>
  <si>
    <t>15.6" Inch FHD, IPS 250nits Anti-glare, 120Hz, 45% NTSC, DC dimmer</t>
  </si>
  <si>
    <t>AMD Ryzen 7 5800H (8C / 16T, 3.2 / 4.4GHz, 4MB L2 / 16MB L3)</t>
  </si>
  <si>
    <t>Touchpad with multi-touch gesture support</t>
  </si>
  <si>
    <t>FX506HM-HN004T</t>
  </si>
  <si>
    <t>8GB, 2 x 4GB, DDR4-3200 SO-DIMM</t>
  </si>
  <si>
    <t>"1x RJ45 LAN port 1x Thunderbolt™ 4 support DisplayPort™ 3x USB 3.2 Gen 1 Type-A//1x 3.5mm Combo Audio Jack"</t>
  </si>
  <si>
    <t>2.3 GHz up to 4.6 GHz, 24M Cache, 8 Cores</t>
  </si>
  <si>
    <t>90NR0754-M004H0</t>
  </si>
  <si>
    <t>G713QR-K4170T</t>
  </si>
  <si>
    <t>Nvidia GeForce RTX 3070</t>
  </si>
  <si>
    <t>32GB, 2 x 16GB, DDR4-3200 SO-DIMM</t>
  </si>
  <si>
    <t>1TB SSD, M.2 NVMe™ PCIe® 3.0</t>
  </si>
  <si>
    <t>17.3-inch with 300 Nits WQHD (2560 x 1440) 16:9 anti-glare display DCI-P3: 100.00% Refresh Rate: 165Hz Response Time: 3ms IPS-level Optimus</t>
  </si>
  <si>
    <t>WQHD (2560 x 1440)</t>
  </si>
  <si>
    <t>2.7 Kg</t>
  </si>
  <si>
    <t>3.3 GHz up to 4.6 GHz, 16M Cache</t>
  </si>
  <si>
    <t>90NR05J2-M04940</t>
  </si>
  <si>
    <t>G513QR-HF168T</t>
  </si>
  <si>
    <t>16GB, 2 x 8GB DDR4-3200 SO-DIMM</t>
  </si>
  <si>
    <t>15.6" Inch FHD, 200 Nits, anti-glare display sRGB: 62.5% Adobe: 47.34% IPS-level Optimus</t>
  </si>
  <si>
    <t>1x 3.5mm Combo Audio Jack 1x HDMI 2.0b 3x USB 3.2 Gen 1 Type-A 1x USB 3.2 Gen 2 Type-C support DisplayPort™ / power delivery 1x RJ45 LAN port</t>
  </si>
  <si>
    <t>90NR0562-M06440</t>
  </si>
  <si>
    <t>FX516PM-HN024W</t>
  </si>
  <si>
    <t>Nvidia GeForce RTX 3060 6GB</t>
  </si>
  <si>
    <t>16GB, 8GB DDR4 on board + 8GB DDR4-3200 SO-DIMM,</t>
  </si>
  <si>
    <t>15.6" Inch FHD,</t>
  </si>
  <si>
    <t>"1x RJ45 LAN port 1x Thunderbolt™ 4 support DisplayPort™ / power delivery 3x USB 3.2 Gen 1 Type-A//1x 3.5mm Combo Audio Jack"</t>
  </si>
  <si>
    <t>3.3 GHz up to 4.8 GHz, 12M Cache, 4 cores</t>
  </si>
  <si>
    <t>90NR05X1-M004N0</t>
  </si>
  <si>
    <t>FX506HEB-BQ229T</t>
  </si>
  <si>
    <t>NVIDIA® GeForce RTX™ 3050 Ti Laptop GPU</t>
  </si>
  <si>
    <t>15.6" Inch FHD, 16:9, 60Hz</t>
  </si>
  <si>
    <t>Windows 10 Home (64-bit) - Complimentary upgrade to Windows 11 Home</t>
  </si>
  <si>
    <t>3x USB 3.2 (Gen 1) Type-A, 1x USB 3.2 (Gen 2) Type-C support DisplayPort™</t>
  </si>
  <si>
    <t>2.3 GHz (24M Cache, up to 4.6 GHz, 8 Cores)</t>
  </si>
  <si>
    <t>90NR0703-M05750</t>
  </si>
  <si>
    <t>Rog Zephyrus S17 GX703HS-K4048T</t>
  </si>
  <si>
    <t>Intel® Core™ i9-11900H</t>
  </si>
  <si>
    <t>NVIDIA® GeForce RTX™ 3080 16GB</t>
  </si>
  <si>
    <t>32GB, 16GB DDR4 on board + 16GB DDR4-3200</t>
  </si>
  <si>
    <t>17.3" Inch, WQHD 16:9, 165Hz</t>
  </si>
  <si>
    <t>off black</t>
  </si>
  <si>
    <t>90NR06F1-M01140</t>
  </si>
  <si>
    <t>6 GB DDR6</t>
  </si>
  <si>
    <t>16 GB DDR4-3200 SO-DIMM</t>
  </si>
  <si>
    <t>15.6" Inch FHD, 144Hz, IPS-Level</t>
  </si>
  <si>
    <t>Windows 10 Home (Free upgrade to Windows 11)</t>
  </si>
  <si>
    <t>Backlight Keyboard (Single-Color, Red)</t>
  </si>
  <si>
    <t>Katana GF66</t>
  </si>
  <si>
    <t>ROG Strix SCAR 15 G533  G533QS-HF242T</t>
  </si>
  <si>
    <t>AMD Ryzen 9-5900HX</t>
  </si>
  <si>
    <t>NVIDIA GeForce RTX™ 3080</t>
  </si>
  <si>
    <t>8GB DDR6</t>
  </si>
  <si>
    <t>15.6-inch with 200 Nits WQHD (2560 x 1440) 16:9 anti-glare display DCI-P3: 100.00% Refresh Rate: 165Hz Response Time: 3ms IPS-level</t>
  </si>
  <si>
    <t>200 Nits WQHD (2560 x 1440) 16:9</t>
  </si>
  <si>
    <t>Win.10 Home free upgrade to Win.11</t>
  </si>
  <si>
    <t>Optical Mech Keyboard Per-Key RGB Support NumberPad Touchpad</t>
  </si>
  <si>
    <t>اف اتش دي 1080P60 اف بي اس كاميرا خارجيه</t>
  </si>
  <si>
    <t>1x 3.5mm Combo Audio Jack 1x HDMI 2.0b 3x USB 3.2 Gen 1 Type-A 1x USB 3.2 Gen 2 Type-C support DisplayPort™ / power delivery</t>
  </si>
  <si>
    <t>90NR0551-M04000</t>
  </si>
  <si>
    <t>نعم</t>
  </si>
  <si>
    <t>FX706HC-212.TI53050</t>
  </si>
  <si>
    <t>Intel® Core™ i5-11260H</t>
  </si>
  <si>
    <t>NVIDIA® GeForce RTX™ 3050</t>
  </si>
  <si>
    <t>17.3-Inch FHD 144Hz</t>
  </si>
  <si>
    <t>windows 11</t>
  </si>
  <si>
    <t>Intel® Core™ i5-11260H Processor (12M Cache, up to 4.40 GHz)</t>
  </si>
  <si>
    <t>F15 FX506HM-HN002T</t>
  </si>
  <si>
    <t>16 ( 8GB DDR4 on board + 8GB DDR4-3200 SO-DIMM)</t>
  </si>
  <si>
    <t>15.6-inch, FHD (1920 x 1080) 16:9, anti-glare display, sRGB:100.00%, Adobe:75.35%, Refresh Rate:240Hz, IPS-level, Optimus sRGB:62.5%, Adobe:47.34%, DCI-P3:N/A</t>
  </si>
  <si>
    <t>windows 10</t>
  </si>
  <si>
    <t>Full-size Keyboard ENG-AR (Backlit)</t>
  </si>
  <si>
    <t>1x 3.5mm Combo Audio Jack 1x HDMI 2.0b 3x USB 3.2 Gen 1 Type-A 1x RJ45 LAN port 1x Thunderbolt™ 4 support DisplayPort™ 1x USB 3.2 Gen 2 Type-C support DisplayPort™ Thunderbolt 4 not supported on FX506HCB/HEB</t>
  </si>
  <si>
    <t>ECLIPSE GRAY</t>
  </si>
  <si>
    <t>Intel Core i7-11800H (8C / 16T, 2.3 / 4.6GHz, 24MB)</t>
  </si>
  <si>
    <t>200 W AC power adapter</t>
  </si>
  <si>
    <t>GU603HR-K8008T</t>
  </si>
  <si>
    <t>NVIDIA® GeForce RTX™ 3070</t>
  </si>
  <si>
    <t>32Gb DDR4-3200</t>
  </si>
  <si>
    <t>15.6-inch, FHD (1920 x 1080) 16:9, anti-glare display, sRGB:62.5%, Adobe:47.34%, Refresh Rate:144Hz, Value IPS-level, Optimus</t>
  </si>
  <si>
    <t>FHD (1920 x 1080)</t>
  </si>
  <si>
    <t>(24M Cache, up to 4.9 GHz, 8 Cores)</t>
  </si>
  <si>
    <t>90NR04R1-M02560</t>
  </si>
  <si>
    <t>GE66 RAIDER 11UH-227US</t>
  </si>
  <si>
    <t>Intel Core i9-11980HK</t>
  </si>
  <si>
    <t>2TB Nvme SSD</t>
  </si>
  <si>
    <t>15.6" UHD, Anti-Glare Wide View Angle 4K Thin Bezel, Adobe 100%</t>
  </si>
  <si>
    <t>1x Type-C (USB / DP / Thunderbolt™ 4) 1x Type-C USB3.2 Gen2 2x Type-A USB3.2 Gen1 1x Type-A USB3.2 Gen2 1x RJ45 1x SD Express 1x (8K @ 60Hz / 4K @ 120Hz) HDMI 1x Mini-DisplayPort</t>
  </si>
  <si>
    <t>GA503QS-HQ004T</t>
  </si>
  <si>
    <t>Amd Ryzen 9 5900Hs</t>
  </si>
  <si>
    <t>NVIDIA® GeForce RTX™ 3080</t>
  </si>
  <si>
    <t>16GB DDR4 on board + 16GB DDR4-3200 SO-DIMM</t>
  </si>
  <si>
    <t>FHD (2560 x 1440)</t>
  </si>
  <si>
    <t>1x RJ45 LAN port 1x card reader (microSD) 2x USB 3.2 Gen 2 Type-A 2x USB 3.2 Gen 2 Type-C support DisplayPort™ / power delivery / G-SYNC//1x 3.5mm Combo Audio Jack</t>
  </si>
  <si>
    <t>Processor 3.1 GHz (16M Cache, up to 4.5 GHz)</t>
  </si>
  <si>
    <t>90NR04J2-M000V0</t>
  </si>
  <si>
    <t>FX516PM-HN023W</t>
  </si>
  <si>
    <t>Intel® Core™ I7-11370H</t>
  </si>
  <si>
    <t>NVIDIA® GeForce RTX™ 3060 Laptop GPU</t>
  </si>
  <si>
    <t>8GB DDR4 on board, 8GB DDR4-3200 SO-DIMM</t>
  </si>
  <si>
    <t>1x HDMI 2.0b Thunderbolt™ 4 1x Thunderbolt™ 4 support DisplayPort™ / power delivery 3x USB 3.2 Gen 1 Type-A//1x 3.5mm Combo Audio Jack</t>
  </si>
  <si>
    <t>Intel® Core™ i7-11370H Processor 3.3 GHz (12M Cache, up to 4.8 GHz, 4 cores)</t>
  </si>
  <si>
    <t>90NR05X1-M000S0</t>
  </si>
  <si>
    <t>180 Watt AC Adapter</t>
  </si>
  <si>
    <t>FX516PC-HN558T</t>
  </si>
  <si>
    <t>NVIDIA® GeForce RTX™ 3050 Laptop GPU</t>
  </si>
  <si>
    <t>8GB DDR4 on board</t>
  </si>
  <si>
    <t>15.6-inch</t>
  </si>
  <si>
    <t>FHD (1920 x 1080) 16:9</t>
  </si>
  <si>
    <t>1x Thunderbolt™ 4 support DisplayPort™ / power delivery 3x USB 3.2 Gen 1 Type-A//1x 3.5mm Combo Audio Jack 1x HDMI 2.0b Thunderbolt™ 4</t>
  </si>
  <si>
    <t>‎452 x 332 x 90 mm</t>
  </si>
  <si>
    <t>Intel® Core™ i5-11300H Processor 3.1 GHz (8M Cache, up to 4.4 GHz, 4 cores)</t>
  </si>
  <si>
    <t>90NR05U1-M003R0</t>
  </si>
  <si>
    <t>FX516PC-HN001T</t>
  </si>
  <si>
    <t>8GB DDR4-3200 SO-DIMM *2</t>
  </si>
  <si>
    <t>Memory 8GB DDR4 on board, Max Capacity : 32GB  Storage 512GB M.2 NVMe™ PCIe® 3.0 SSD  I/O Ports 1x 3.5mm Combo Audio Jack 1x HDMI 2.0b 3x USB 3.2 Gen 1 Type-A 1x RJ45 LAN port 1x Thunderbolt™ 4 support DisplayPort™ / power delivery  Keyboard and Touchpad</t>
  </si>
  <si>
    <t>1x HDMI 2.0b Thunderbolt™ 4 1x Thunderbolt™ 4 support DisplayPort™ / power delivery 3x USB 3.2 Gen 1 Type-A//1x 3.5mm Combo Audio Jack</t>
  </si>
  <si>
    <t>90NR05U1-M003P0</t>
  </si>
  <si>
    <t>A15 FA506IC-HN018T</t>
  </si>
  <si>
    <t>AMD Ryzen™ 7-4800H</t>
  </si>
  <si>
    <t>15.6-inch, FHD (1920 x 1080) 16:9, anti-glare display, sRGB:62.5%, Adobe:47.34%, DCI-P3:Refresh Rate:144Hz, Value IPS-level</t>
  </si>
  <si>
    <t>1x 3.5mm Combo Audio Jack 1x HDMI 2.0b 3x USB 3.2 Gen 1 Type-A 1x USB 3.2 Gen 2 Type-CWi-Fi 6(802.11ax)+Bluetooth 5.1 (Dual band) 2*2;(*BT version may change with OS upgrades.)</t>
  </si>
  <si>
    <t>AMD Ryzen™ 7 4800H Processor 2.9 GHz (8M Cache, up to 4.2 GHz)</t>
  </si>
  <si>
    <t>90NR0666-M00670</t>
  </si>
  <si>
    <t>AMD RYZEN 7 5800H</t>
  </si>
  <si>
    <t>8 Core, 16 Thread, up to 4.4 GHz, 16MB</t>
  </si>
  <si>
    <t>Intel® Core™ i7-10750H</t>
  </si>
  <si>
    <t>NVIDIA® GeForce® GTX 1650TI</t>
  </si>
  <si>
    <t>16 GB DDR4-2666 SDRAM</t>
  </si>
  <si>
    <t>512GB</t>
  </si>
  <si>
    <t>WIN 10 Home</t>
  </si>
  <si>
    <t>ONYX BLACK</t>
  </si>
  <si>
    <t>Nvidia® GeForce® RTX™ 3060, 6 GB, GDDR6</t>
  </si>
  <si>
    <t>512, M.2 2280, PCIe NVMe Gen3 x4, SSD</t>
  </si>
  <si>
    <t>15.6" FHD</t>
  </si>
  <si>
    <t>Intel® Core™ i7-11800H (24 MB Cache, 8 Core, 2.30 GHz to 4.60 GHz)</t>
  </si>
  <si>
    <t>NVIDIA® GeForce® RTX 3050Ti</t>
  </si>
  <si>
    <t>4 GB</t>
  </si>
  <si>
    <t>512GB SSD M.2 2242 PCIe® 3.0x4 NVMe</t>
  </si>
  <si>
    <t>720p HD with Privacy Shutter</t>
  </si>
  <si>
    <t>4 Cores, 8 Thread, 3.1 Up To 4.4GHz, 8MB</t>
  </si>
  <si>
    <t>82K100F7ED</t>
  </si>
  <si>
    <t>Nvidia® GeForce® RTX™ 3050, 4GB, GDDR6</t>
  </si>
  <si>
    <t>Killer™ 1650i, 2x2, MIMO, 2400 Mbps, 2.4/5 GHz, Wi-Fi 6 (WiFi 802.11ax), Bluetooth 5.1</t>
  </si>
  <si>
    <t>15-ec1011nia</t>
  </si>
  <si>
    <t>AMD Ryzen™ 7 4800H</t>
  </si>
  <si>
    <t>NVIDIA GeForce GTX 1650 Ti 4 GB</t>
  </si>
  <si>
    <t>8 GB RAM</t>
  </si>
  <si>
    <t>1TB HDD + 256GB SSD</t>
  </si>
  <si>
    <t>39.6 cm (15.6") diagonal FHD SVA anti-glare micro-edge WLED-backlit</t>
  </si>
  <si>
    <t>Backlit</t>
  </si>
  <si>
    <t>3-cell, 41 Wh Li-ion</t>
  </si>
  <si>
    <t>Realtek RTL8821CE 802.11b/g/n/ac (1x1) and Bluetooth® 4.2 Combo</t>
  </si>
  <si>
    <t>376 x 246 x 22.5 cm</t>
  </si>
  <si>
    <t>Creator 15M A10SE</t>
  </si>
  <si>
    <t>Intel Core I7-10875H</t>
  </si>
  <si>
    <t>NVIDIA GeForce RTX 2060</t>
  </si>
  <si>
    <t>6GB GDRR6</t>
  </si>
  <si>
    <t>32GB (16GBx2) Up to DDR4-3200 Memory Type 2 Slots Number of SO-DIMM Slot Max 64GB Max Capacity</t>
  </si>
  <si>
    <t>1TB SSD M.2 SSD Combo slot (NVMe PCIe Gen3 / SATA)</t>
  </si>
  <si>
    <t>15.6" inch UHD 4k, IPS-Level 144 Hz</t>
  </si>
  <si>
    <t>Windows 10 Home 64-bit FREE Upgrade to Windows 11</t>
  </si>
  <si>
    <t>3 Cell, 51 Battery (Whr)</t>
  </si>
  <si>
    <t>1x RJ45, 1x (4K @ 30Hz) HDMI, 2x Type-C USB3.2 Gen1, 2x Type-A USB3.2 Gen1, 1x Mic-in/Headphone-out Combo Jack</t>
  </si>
  <si>
    <t>2.3 GHz up to 5.1 - 12 MB cache - 8 cores</t>
  </si>
  <si>
    <t>NVIDIA GeForce GTX 1650TI 4 GB</t>
  </si>
  <si>
    <t>2x 8GB SO-DIMM DDR4-2933</t>
  </si>
  <si>
    <t>15.6" FHD IPS 250nits Anti-glare</t>
  </si>
  <si>
    <t>Free DOS</t>
  </si>
  <si>
    <t>Blue LED Backlit, Arabic</t>
  </si>
  <si>
    <t>3 Cell Integrated Li-Polymer 45Wh battery</t>
  </si>
  <si>
    <t>Two USB 3.2 Gen 1, one USB 3.2 Type-C Gen 1, HDMI 2.0, Ethernet (RJ-45), AC power adapter jack, headphone / microphone combo jack</t>
  </si>
  <si>
    <t>81Y4010BED</t>
  </si>
  <si>
    <t>135W Slim Tip</t>
  </si>
  <si>
    <t>inspiron 14 7440</t>
  </si>
  <si>
    <t>Intel Core 7 150U</t>
  </si>
  <si>
    <t>Intel Graphics</t>
  </si>
  <si>
    <t>2*8 DDR5 5600</t>
  </si>
  <si>
    <t>14", Touch, FHD+ 1920x1200, 60Hz, WVA, IPS, 250 nit, ComfortView</t>
  </si>
  <si>
    <t>4 Cell, 64 Wh, integrated</t>
  </si>
  <si>
    <t>2 USB Type-C® 3.2 Gen 2 (10 Gbps) with Power Delivery and DisplayPort™ 1.4 ports 2 USB 3.2 Gen 1 Type-A ports 1 Universal audio port 1 HDMI 1.4 port</t>
  </si>
  <si>
    <t>314.00 x 226.15 x 15.97 mm</t>
  </si>
  <si>
    <t>1.75 kg</t>
  </si>
  <si>
    <t>Ice Blue</t>
  </si>
  <si>
    <t>10 cores, up to 5.4 GHz</t>
  </si>
  <si>
    <t>IdeaPad Slim 3 15IRH10</t>
  </si>
  <si>
    <t>Intel® Core i7-13620H</t>
  </si>
  <si>
    <t>Integrated Intel® UHD Graphics</t>
  </si>
  <si>
    <t>8GB Soldered DDR5-4800 + 8GB SO-DIMM DDR5-4800</t>
  </si>
  <si>
    <t>15.3" WUXGA IPS 300nits Anti-glare, 45% NTSC, 60Hz</t>
  </si>
  <si>
    <t>Non-backlit, Arabic</t>
  </si>
  <si>
    <t>50Wh</t>
  </si>
  <si>
    <t>2x USB-A (USB 5Gbps / USB 3.2 Gen 1) 1x USB-C® (USB 5Gbps / USB 3.2 Gen 1), with USB PD 3.0 and DisplayPort™ 1.2 1x HDMI® 1.4 1x Headphone / microphone combo jack (3.5mm) 1x SD card reader 1x Power connector</t>
  </si>
  <si>
    <t>343.4 x 239.5 x 16.9-17.9 mm</t>
  </si>
  <si>
    <t>1.59 kg</t>
  </si>
  <si>
    <t>83K100F1ED</t>
  </si>
  <si>
    <t>Intel® Core i5-13420H</t>
  </si>
  <si>
    <t>Cosmic Blue</t>
  </si>
  <si>
    <t>83K100QPED</t>
  </si>
  <si>
    <t>Yoga 7 14AHP9</t>
  </si>
  <si>
    <t>AMD Ryzen™ 5 8640HS</t>
  </si>
  <si>
    <t>Integrated AMD Radeon™ 760M Graphics</t>
  </si>
  <si>
    <t>8GB soldered memory, not upgradable</t>
  </si>
  <si>
    <t>14" WUXGA IPS 300nits Glossy / Anti-fingerprint, 45% NTSC, 60Hz, Dolby Vision®, TÜV Low Blue Light, Glass, Touch</t>
  </si>
  <si>
    <t>71Wh</t>
  </si>
  <si>
    <t>FHD 1080p + IR with Privacy Shutter</t>
  </si>
  <si>
    <t>1x USB-A (USB 5Gbps / USB 3.2 Gen 1), Always On 1x USB-C® (USB 10Gbps / USB 3.2 Gen 2), with USB PD 3.1 and DisplayPort™ 1.4a 1x USB-C® (USB4® 40Gbps), with USB PD 3.1 and DisplayPort™ 1.4a 1x HDMI® 2.1, up to 4K/60Hz 1x Headphone / microphone combo jack</t>
  </si>
  <si>
    <t>317.72 x 222.13 x 16.64 mm</t>
  </si>
  <si>
    <t>1.61 kg</t>
  </si>
  <si>
    <t>6C / 12T, 3.5 / 4.9GHz, 6MB L2 / 16MB L3</t>
  </si>
  <si>
    <t>83DK000DUS</t>
  </si>
  <si>
    <t>IdeaPad 5 14IRH9</t>
  </si>
  <si>
    <t>Intel® UHD Graphics</t>
  </si>
  <si>
    <t>16GB soldered memory, not upgradable</t>
  </si>
  <si>
    <t>14" WUXGA OLED 400nits Glossy, 100% DCI-P3, 60Hz, TÜV Low Blue Light, Glass, Touch</t>
  </si>
  <si>
    <t>1x USB-A (USB 5Gbps / USB 3.2 Gen 1) 1x USB-A (USB 5Gbps / USB 3.2 Gen 1), Always On 2x USB-C® (USB 10Gbps / USB 3.2 Gen 2), with USB PD 3.1 and DisplayPort™ 1.4 1x HDMI® 1.4b 1x Headphone / microphone combo jack (3.5mm) 1x microSD card reader</t>
  </si>
  <si>
    <t>313 x 227 x 17.5 mm</t>
  </si>
  <si>
    <t>83KX0045ED</t>
  </si>
  <si>
    <t>83K100F0ED</t>
  </si>
  <si>
    <t>Modern 15 F13MG</t>
  </si>
  <si>
    <t>Intel Core i5-1334U</t>
  </si>
  <si>
    <t>Intel UHD Graphics</t>
  </si>
  <si>
    <t>15.6" FHD (1920x1080), IPS-Level</t>
  </si>
  <si>
    <t>Single Backlit Keyboard (White) with Copilot Key</t>
  </si>
  <si>
    <t>46.8 Battery (Whr) 3-Cell</t>
  </si>
  <si>
    <t>3x Type-A USB3.2 Gen1 1x Micro SD Card Reader 1x HDMI™ (4K @ 30Hz) 1x Type-C (USB3.2 Gen2 / DisplayPort™/ Power Delivery 3.0)</t>
  </si>
  <si>
    <t>358.9 x 235.9 x 19.9 mm</t>
  </si>
  <si>
    <t>1.7 kg</t>
  </si>
  <si>
    <t>Urban Silver</t>
  </si>
  <si>
    <t>9S7-15S122-661</t>
  </si>
  <si>
    <t>IdeaPad 1 15ALC7</t>
  </si>
  <si>
    <t>AMD Ryzen 7 5700U</t>
  </si>
  <si>
    <t>Integrated AMD Radeon™ Graphics</t>
  </si>
  <si>
    <t>8GB Soldered DDR4-3200</t>
  </si>
  <si>
    <t>15.6" FHD (1920x1080) IPS 250nits Anti-glare</t>
  </si>
  <si>
    <t>Non-backlit, English (UK)</t>
  </si>
  <si>
    <t>42Wh</t>
  </si>
  <si>
    <t>1x USB 2.0 1x USB 3.2 Gen 1 1x USB-C® 3.2 Gen 1 (support data transfer only) 1x HDMI® 1.4b 1x Headphone / microphone combo jack (3.5mm) 1x Card reader 1x Power connector</t>
  </si>
  <si>
    <t>360.2 x 236 x 17.9 mm</t>
  </si>
  <si>
    <t>Cloud Grey</t>
  </si>
  <si>
    <t>(8C / 16T, 1.8 / 4.3GHz, 4MB L2 / 8MB L3)</t>
  </si>
  <si>
    <t>82R400S6UE</t>
  </si>
  <si>
    <t>16GB Soldered LPDDR5x-5200</t>
  </si>
  <si>
    <t>14" WUXGA IPS 300nits Glossy, 45% NTSC, 60Hz, TÜV Low Blue Light, Glass, Touch</t>
  </si>
  <si>
    <t>1.6 kg</t>
  </si>
  <si>
    <t>83KX0044ED</t>
  </si>
  <si>
    <t>IdeaPad 3 15IAU7</t>
  </si>
  <si>
    <t>Integrated Intel® Iris® Xe Graphics Functions as UHD Graphics</t>
  </si>
  <si>
    <t>15.6" FHD (1920x1080) TN 250nits Anti-glare</t>
  </si>
  <si>
    <t>38Wh</t>
  </si>
  <si>
    <t>1x USB 2.0 1x USB 3.2 Gen 1 1x USB-C® 3.2 Gen 1 (support data transfer, Power Delivery and DisplayPort™ 1.2) 1x HDMI® 1.4b 1x Headphone / microphone combo jack (3.5mm) 1x Card reader 1x Power connector</t>
  </si>
  <si>
    <t>359.2 x 236.5 x 19.9 mm</t>
  </si>
  <si>
    <t>1.63 kg</t>
  </si>
  <si>
    <t>10C (2P + 8E) / 12T, P-core 1.3 / 4.4GHz, E-core 0.9 / 3.3GHz, 12MB</t>
  </si>
  <si>
    <t>82RK01AKAD</t>
  </si>
  <si>
    <t>15-fd0021nx</t>
  </si>
  <si>
    <t>Intel® Core™ i3-1315U</t>
  </si>
  <si>
    <t>4 GB DDR4-3200 MT/s (1 x 4 GB)</t>
  </si>
  <si>
    <t>256GB PCIe® NVMe™ M.2 SSD</t>
  </si>
  <si>
    <t>15.6" diagonal, FHD, IPS, micro-edge, anti-glare, 250 nits, 45% NTSC</t>
  </si>
  <si>
    <t>Full-size, soft grey keyboard with numeric keypad</t>
  </si>
  <si>
    <t>3-cell, 41 Wh Li-ion polymer</t>
  </si>
  <si>
    <t>HP True Vision 720p HD camera with temporal noise reduction and integrated dual array digital microphones</t>
  </si>
  <si>
    <t>1 USB Type-C® 5Gbps signaling rate (supports data transfer only and does not support charging or external monitors); 2 USB Type-A 5Gbps signaling rate; 1 AC smart pin; 1 HDMI 1.4b; 1 headphone/microphone combo</t>
  </si>
  <si>
    <t>359 x 236 x 18.6 mm</t>
  </si>
  <si>
    <t>up to 4.5 GHz with Intel® Turbo Boost Technology, 10 MB L3 cache, 6 cores, 8 threads</t>
  </si>
  <si>
    <t>8F4T4EA</t>
  </si>
  <si>
    <t>Lenovo IdeaPad Slim 3 15IRH10</t>
  </si>
  <si>
    <t>Aspire 3 A315-44P-R4GH</t>
  </si>
  <si>
    <t>AMD Radeon Graphics</t>
  </si>
  <si>
    <t>512 GB M.2 PCIe NVMe</t>
  </si>
  <si>
    <t>15.6" Inch FHD Aspect Ratio 16:9 45% NTSC Color Gamut</t>
  </si>
  <si>
    <t>HDMI Yes  Number of HDMI Outputs 1  DisplayPort No  Number of USB 3.2 Gen 1 Type-A Ports 3  Number of USB 3.2 Gen 1 Type-C Ports 1  Total Number of USB Ports 4  Network (RJ-45) Yes</t>
  </si>
  <si>
    <t>1.78 kg</t>
  </si>
  <si>
    <t>NX.KSJEM.004</t>
  </si>
  <si>
    <t>Integrated Intel UHD Graphics</t>
  </si>
  <si>
    <t>16 GB 8GB Soldered DDR5-4800 + 8GB SO-DIMM DDR5-4800</t>
  </si>
  <si>
    <t>512GB SSD M.2 2242 PCIe 4.0x4 NVMe</t>
  </si>
  <si>
    <t>15.3" WUXGA (1920x1200) IPS 300nits Anti-glare, 45% NTSC</t>
  </si>
  <si>
    <t>83K100FMED</t>
  </si>
  <si>
    <t>65W Round Tip (3-pin)</t>
  </si>
  <si>
    <t>OmniBook 5 Flip 14-FP0013DX</t>
  </si>
  <si>
    <t>Intel Core 5 120U</t>
  </si>
  <si>
    <t>8 GB LPDDR5-5200 MT/s (onboard)</t>
  </si>
  <si>
    <t>14" diagonal 2K touch display</t>
  </si>
  <si>
    <t>Full-size, backlit, glacier silver keyboard</t>
  </si>
  <si>
    <t>4-cell, 68 Wh Li-ion polymer</t>
  </si>
  <si>
    <t>1 USB Type-A 10Gbps signaling rate; 1 USB Type-A 5Gbps signaling rate; 1 HDMI-out 2.1; 2 USB Type-C® 10Gbps signaling rate (USB Power Delivery 3.1, DisplayPort™ 1.4a, HP Sleep and Charge)</t>
  </si>
  <si>
    <t>312 x 219 x 18.54 mm</t>
  </si>
  <si>
    <t>1.62 kg</t>
  </si>
  <si>
    <t>Glacier silver</t>
  </si>
  <si>
    <t>up to 5.0 GHz with Intel® Turbo Boost Technology, 12 MB L3 cache, 10 cores, 12 threads</t>
  </si>
  <si>
    <t>B5UJ3UA</t>
  </si>
  <si>
    <t>OmniBook 5 Flip 14-FP0023DX</t>
  </si>
  <si>
    <t>16 GB LPDDR5-5200 MT/s (onboard)</t>
  </si>
  <si>
    <t>up to 5.4 GHz with Intel® Turbo Boost Technology, 12 MB L3 cache, 10 cores, 12 threads</t>
  </si>
  <si>
    <t>B86Q7UA</t>
  </si>
  <si>
    <t>Vivobook 16 X1607QA-MB054W</t>
  </si>
  <si>
    <t>Snapdragon X X1 26 100</t>
  </si>
  <si>
    <t>Qualcomm Adreno GPU</t>
  </si>
  <si>
    <t>16GB LPDDR5X on board</t>
  </si>
  <si>
    <t>1TB M.2 NVMe™ PCIe® 4.0 SSD</t>
  </si>
  <si>
    <t>16.0-inch, WUXGA 16:10 aspect ratio, IPS-level Panel, LED Backlit, 60Hz refresh rate, 300nits, 45% NTSC color gamut, Anti-glare display, (Screen-to-body ratio)89%</t>
  </si>
  <si>
    <t>Backlit Chiclet Keyboard with Num-key, 1.7mm Key-travel, Precision touchpad, With Copilot key</t>
  </si>
  <si>
    <t>FHD camera with IR function to support Windows Hello With privacy shutter</t>
  </si>
  <si>
    <t>2x USB 3.2 Gen 1 Type-A (data speed up to 5Gbps) 2x USB 4.0 Gen 3 Type-C with support for display / power delivery (data speed up to 40Gbps) 1x HDMI 2.1 TMDS 1x 3.5mm Combo Audio Jack</t>
  </si>
  <si>
    <t>357 x 250.6 x 17.9 ~ 19.9 mm</t>
  </si>
  <si>
    <t>1.88 kg</t>
  </si>
  <si>
    <t>Cool Silver</t>
  </si>
  <si>
    <t>(30MB Cache, up to 2.97GHz, 8 cores, 8 Threads); Qualcomm® Hexagon™ NPU up to 45TOPS</t>
  </si>
  <si>
    <t>90NB15Z2-M003U0</t>
  </si>
  <si>
    <t>Vivobook S15 S5507QA-MA037W</t>
  </si>
  <si>
    <t>Snapdragon X Plus X1P 42 100</t>
  </si>
  <si>
    <t>15.6-inch, 3K OLED 16:9 aspect ratio, 0.2ms response time, 600nits HDR peak brightness, 100% DCI-P3 color gamut, 1,000,000:1, VESA CERTIFIED Display HDR True Black 600, 1.07 billion colors, Glossy display, 70% less harmful blue light, TÜV Rheinland-certif</t>
  </si>
  <si>
    <t>Backlit Chiclet Keyboard 1-Zone RGB with Num-key, 1.7mm Key-travel, Precision touchpad, With Copilot key</t>
  </si>
  <si>
    <t>2x USB 3.2 Gen 1 Type-A (data speed up to 5Gbps) 2x USB 4.0 Gen 3 Type-C with support for display / power delivery (data speed up to 40Gbps) 1x HDMI 2.1 TMDS 1x 3.5mm Combo Audio Jack Micro SD card reader</t>
  </si>
  <si>
    <t>352.6 x 226.9 x 14.7 ~ 15.9 mm</t>
  </si>
  <si>
    <t>1.42 kg</t>
  </si>
  <si>
    <t>30MB Cache, up to 3.2GHz, 8 cores, 8 Threads); Qualcomm® Hexagon™ NPU up to 45TOPS</t>
  </si>
  <si>
    <t>90NB14Q2-M00BV0</t>
  </si>
  <si>
    <t>Vivobook S14 M5406UA-QD055W</t>
  </si>
  <si>
    <t>14.0-inch, WUXGA 16:10 aspect ratio, 60Hz refresh rate, 400nits, 600nits HDR peak brightness, 60% NTSC color gamut, 1,000,000:1, VESA CERTIFIED Display HDR True Black 600, 1.07 billion colors, PANTONE Validated, Glossy display, 65% less harmful blue light</t>
  </si>
  <si>
    <t>Backlit Chiclet Keyboard 1-Zone RGB without Num-key, 1.7mm Key-travel, Precision touchpad,</t>
  </si>
  <si>
    <t>75WHrs, 4S1P, 4-cell Li-ion</t>
  </si>
  <si>
    <t>1x USB 3.2 Gen 1 Type-C with support for display / power delivery (data speed up to 5Gbps) 1x USB 4.0 Gen 3 Type-C with support for display / power delivery (data speed up to 40Gbps) 2x USB 3.2 Gen 1 Type-A (data speed up to 5Gbps) 1x HDMI 2.1 TMDS 1x 3.5</t>
  </si>
  <si>
    <t>310.5 x 221.9 x 13.9 ~ 15.9 mm</t>
  </si>
  <si>
    <t>1.30 kg</t>
  </si>
  <si>
    <t>4GHz (24MB Cache, up to 5.2 GHz, 8 cores, 16 Threads); AMD XDNA™ NPU up to 16TOPS</t>
  </si>
  <si>
    <t>90NB1461-M002Z0</t>
  </si>
  <si>
    <t>V15 G4 IRU</t>
  </si>
  <si>
    <t>15.6" FHD TN 250nits Anti-glare, 45% NTSC</t>
  </si>
  <si>
    <t>Non-backlit, English</t>
  </si>
  <si>
    <t>1x USB 2.0 1x USB 3.2 Gen 1 1x USB-C® 3.2 Gen 1 (support data transfer, Power Delivery (20V only) and DisplayPort™ 1.2) 1x HDMI® 1.4b 1x Headphone / microphone combo jack (3.5mm) 1x Ethernet (RJ-45) 1x Power connector</t>
  </si>
  <si>
    <t>359.2 x 235.8 x 19.9 mm</t>
  </si>
  <si>
    <t>Iron Grey</t>
  </si>
  <si>
    <t>83CC0059IN</t>
  </si>
  <si>
    <t>IdeaPad Slim 3 15IRH8</t>
  </si>
  <si>
    <t>16GB Soldered</t>
  </si>
  <si>
    <t>15.6" FHD IPS 300nits Anti-glare</t>
  </si>
  <si>
    <t>Integrated 47Wh</t>
  </si>
  <si>
    <t>2x USB 3.2 Gen 1 1x USB-C® 3.2 Gen 1 (support data transfer, Power Delivery and DisplayPort™ 1.2) 1x HDMI® 1.4 1x Headphone / microphone combo jack (3.5mm) 1x Card reader 1x Power connector</t>
  </si>
  <si>
    <t>359.3 x 235 x 17.9 mm</t>
  </si>
  <si>
    <t>Zenbook DUO UX8406CA-PZ062W</t>
  </si>
  <si>
    <t>Intel Core Ultra 7 255H</t>
  </si>
  <si>
    <t>Intel Arc Graphics</t>
  </si>
  <si>
    <t>32GB LPDDR5X on board</t>
  </si>
  <si>
    <t>14.0-inch, 3K (2880 x 1800) OLED 16:10 aspect ratio, 0.2ms response time, 120Hz refresh rate, 400nits, 500nits HDR peak brightness, 100% DCI-P3 color gamut, 1,000,000:1, VESA CERTIFIED Display HDR True Black 500, 1.07 billion colors, PANTONE Validated, Gl</t>
  </si>
  <si>
    <t>Soft Keyboard, 1.4mm Key-travel, Precision touchpad</t>
  </si>
  <si>
    <t>1x USB 3.2 Gen 1 Type-A (data speed up to 5Gbps) 2x Thunderbolt™ 4 with support for display / power delivery (data speed up to 40Gbps) 1x HDMI 2.1 TMDS 1x 3.5mm Combo Audio Jack</t>
  </si>
  <si>
    <t>313.5 x 217.9 x 14.6 ~ 19.9 mm</t>
  </si>
  <si>
    <t>Inkwell Gray</t>
  </si>
  <si>
    <t>2.0 GHz (24MB Cache, up to 5.1 GHz, 16 cores, 16 Threads); Intel® AI Boost NPU up to 13TOPS</t>
  </si>
  <si>
    <t>90NB14X1-M00AA0</t>
  </si>
  <si>
    <t>ProArt P16 H7606WI-ME139W</t>
  </si>
  <si>
    <t>16.0-inch, 4K OLED 16:10 aspect ratio, 0.2ms response time, 60Hz refresh rate, 400nits, 500nits HDR peak brightness, 100% DCI-P3 color gamut, 1,000,000:1, VESA CERTIFIED Display HDR True Black 500, 1.07 billion colors, PANTONE Validated, Glossy display, 7</t>
  </si>
  <si>
    <t>354.9 x 246.9 x 14.9 x 17.3 mm</t>
  </si>
  <si>
    <t>36MB Cache, up to 5.1GHz, 12 cores, 24 Threads); AMD XDNA™ NPU up to 50TOPS</t>
  </si>
  <si>
    <t>90NB1421-M00AB0</t>
  </si>
  <si>
    <t>Vostro 15 3530</t>
  </si>
  <si>
    <t>8GB, 8GBx1, DDR4, 2666MHz</t>
  </si>
  <si>
    <t>Internal Arabic Qwerty Non Backlit Keyboard</t>
  </si>
  <si>
    <t>4-Cell Battery, 54WHr (Integrated)</t>
  </si>
  <si>
    <t>1 USB 3.2 Gen 1 port 1 USB 2.0 port 1 USB 3.2 Gen 1 Type-C® port 1 Universal audio port 1 HDMI 1.4 port 1 RJ45 Ethernet port 1 Power-adapter port</t>
  </si>
  <si>
    <t>358.50 x 235.56 x 16.96 mm</t>
  </si>
  <si>
    <t>1.66 kg</t>
  </si>
  <si>
    <t>Carbon Black</t>
  </si>
  <si>
    <t>Intel® Graphics</t>
  </si>
  <si>
    <t>Asus Zenbook S16</t>
  </si>
  <si>
    <t>AMD Radeon™ 890M Graphics</t>
  </si>
  <si>
    <t>32GB LPDDR5X</t>
  </si>
  <si>
    <t>16.0-inch, 3K (2880 x 1800) OLED 16:10 aspect ratio, 0.2ms response time, 120Hz refresh rate, 400nits, 500nits HDR peak brightness, 100% DCI-P3 color gamut, 1,000,000:1, VESA CERTIFIED Display HDR True Black 500, 1.07 billion colors, PANTONE Validated, Gl</t>
  </si>
  <si>
    <t>78WHrs, 2S2P, 4-cell Li-ion</t>
  </si>
  <si>
    <t>1x USB 3.2 Gen 2 Type-A (data speed up to 10Gbps) 2x USB 4.0 Gen 3 Type-C with support for display / power delivery (data speed up to 40Gbps) 1x HDMI 2.1 TMDS 1x 3.5mm Combo Audio Jack SD 4.0 card reader</t>
  </si>
  <si>
    <t>353.6 x 243 x 11.9 mm</t>
  </si>
  <si>
    <t>1.50 kg</t>
  </si>
  <si>
    <t>Scandinavian White</t>
  </si>
  <si>
    <t>UM5606WA-RJ263W</t>
  </si>
  <si>
    <t>UX8406CA-OLED009WS</t>
  </si>
  <si>
    <t>313.5 x 217.9 x 14.6 mm</t>
  </si>
  <si>
    <t>285H 2.9 GHz (24MB Cache, up to 5.4 GHz, 16 cores, 16 Threads); Intel® AI Boost NPU up to 13TOPS</t>
  </si>
  <si>
    <t>90NB14X1-M009L0</t>
  </si>
  <si>
    <t>Vostro 3530</t>
  </si>
  <si>
    <t>Intel Core i7-1355U</t>
  </si>
  <si>
    <t>15.6 inch FHD (1920 x 1080) 120Hz 250 nits WVA Anti-Glare LED Backlit Narrow Border Display</t>
  </si>
  <si>
    <t>12 MB cache, 10 cores, 12 threads, up to 5.00 GHz</t>
  </si>
  <si>
    <t>8 GB 1 x 8 GB, DDR5, 5200 MT/s</t>
  </si>
  <si>
    <t>4 Cell, 54 Wh, integrated</t>
  </si>
  <si>
    <t>12 MB cache, 10 cores, 12 threads, up to 5.00 GHz Turbo</t>
  </si>
  <si>
    <t>15-fd0362nia</t>
  </si>
  <si>
    <t>Nvidia GeForce MX570 A</t>
  </si>
  <si>
    <t>2 GB GDDR6</t>
  </si>
  <si>
    <t>8 GB DDR4</t>
  </si>
  <si>
    <t>15.6" diagonal, FHD , micro-edge, anti-glare, 250 nits, 45% NTSC</t>
  </si>
  <si>
    <t>Full-size, backlit, soft grey keyboard with numeric keypad</t>
  </si>
  <si>
    <t>359.8 x 236 x18.6 mm</t>
  </si>
  <si>
    <t>(up to 4.6 GHz with Intel® Turbo Boost Technology, 12 MB L3 cache, 10 cores, 12 threads) 1</t>
  </si>
  <si>
    <t>9Q4N3EA</t>
  </si>
  <si>
    <t>Vostro 3515</t>
  </si>
  <si>
    <t>AMD Ryzen 5 3450U</t>
  </si>
  <si>
    <t>AMD Radeon Vega 8 Graphics</t>
  </si>
  <si>
    <t>8GB, 1x8GB, DDR4, 2400MHz</t>
  </si>
  <si>
    <t>256GB M.2 PCIe NVMe Solid State Drive</t>
  </si>
  <si>
    <t>15.6-inch FHD (1920 x 1080) Anti-glare LED Backlight Non-Touch Narrow Border WVA Display</t>
  </si>
  <si>
    <t>Arabic Non Backlit Keyboard</t>
  </si>
  <si>
    <t>3-Cell Battery, 41WHr (Integrated)</t>
  </si>
  <si>
    <t>358.5 x 235.56 x 18.9 mm</t>
  </si>
  <si>
    <t>1.70 kg</t>
  </si>
  <si>
    <t>4 Core 8 Thread Base 2.1GHz Up To 3.5GHz</t>
  </si>
  <si>
    <t>8GB soldered memory</t>
  </si>
  <si>
    <t>83EM00J2SA</t>
  </si>
  <si>
    <t>15.6" FHD  TN 250nits Anti-glare</t>
  </si>
  <si>
    <t>83EM00D5ED</t>
  </si>
  <si>
    <t>​HP Envy x360 14-es1013dx</t>
  </si>
  <si>
    <t>8 GB DDR4-3200</t>
  </si>
  <si>
    <t>14" diagonal FHD touch display</t>
  </si>
  <si>
    <t>Full-size, backlit, soft grey keyboard</t>
  </si>
  <si>
    <t>3-cell, 43 Wh Li-ion polymer [23]</t>
  </si>
  <si>
    <t>HP True Vision 5MP camera with temporal noise reduction and integrated dual array digital microphones</t>
  </si>
  <si>
    <t>1 USB Type-C® 10Gbps signaling rate (USB Power Delivery, DisplayPort™ 1.4, HP Sleep and Charge); 2 USB Type-A 5Gbps signaling rate; 1 HDMI 2.1; 1 AC smart pin; 1 headphone/microphone combo</t>
  </si>
  <si>
    <t>12 MB L3 cache, 10 cores, 12 threads</t>
  </si>
  <si>
    <t>9R8R2UA</t>
  </si>
  <si>
    <t>Vostro 3520</t>
  </si>
  <si>
    <t>Intel Core I5-1235U</t>
  </si>
  <si>
    <t>4 GB, 1 x 4 GB, DDR4, 2666 MHz</t>
  </si>
  <si>
    <t>English International Non-Backlit Keyboard</t>
  </si>
  <si>
    <t>1. SD 3.0 card reader 2. USB 2.0 3. RJ-45 4. Headset jack 5. Wedge shaped lock slot 6. Power jack 7. HDMI 1.4 port 8. USB 3.2 Gen 1 Type A​ 9. USB 3.2 Gen 1 Type A​</t>
  </si>
  <si>
    <t>12MB Cache, up t o 4.4 GHz, 10 cores</t>
  </si>
  <si>
    <t>Modern 15H B13M</t>
  </si>
  <si>
    <t>Intel Iris Xe Graphics</t>
  </si>
  <si>
    <t>Single Backlit Keyboard (White)</t>
  </si>
  <si>
    <t>3-Cell Battery,</t>
  </si>
  <si>
    <t>1x Type-C (USB3.2 Gen2 / DisplayPort™/ Power Delivery 3.0) 3x Type-A USB3.2 Gen2 1x Micro SD Card Reader 1x HDMI™ 2.1 (4K @ 60Hz)</t>
  </si>
  <si>
    <t>359 x 241 x 19.9 mm</t>
  </si>
  <si>
    <t>Classic Black</t>
  </si>
  <si>
    <t>Envy x360 14-ES1023DX</t>
  </si>
  <si>
    <t>16 GB DDR4-3200 MHz RAM (onboard)</t>
  </si>
  <si>
    <t>3-cell, 43 Wh Li-ion polymer</t>
  </si>
  <si>
    <t>322 x 210.82 x 19.05 mm</t>
  </si>
  <si>
    <t>1.51 kg</t>
  </si>
  <si>
    <t>9R8R3UA</t>
  </si>
  <si>
    <t>Intel Core i3-1215U</t>
  </si>
  <si>
    <t>512GB M.2 PCIe NVMe Solid Stat e Drive</t>
  </si>
  <si>
    <t>15.6 inch FHD 12 0Hz 250 nits WVA Anti- Glare L ED Backlit Narrow Border Displ ay</t>
  </si>
  <si>
    <t>English International Non-Back lit</t>
  </si>
  <si>
    <t>10MB Cache, up t o 4.4 GHz, 6 cores</t>
  </si>
  <si>
    <t>Envy x360 15-EW1058WM</t>
  </si>
  <si>
    <t>Intel® Core™ i5-1335U</t>
  </si>
  <si>
    <t>Intel® Iris® Xe Graphics</t>
  </si>
  <si>
    <t>15.6" diagonal, FHD multitouch-enabled, IPS, edge-to-edge glass, micro-edge, 250 nits, 45% NTSC</t>
  </si>
  <si>
    <t>Full-size, backlit, moonstone grey keyboard</t>
  </si>
  <si>
    <t>3-cell, 51 Wh Li-ion polymer</t>
  </si>
  <si>
    <t>1 USB Type-A 10Gbps signaling rate; 1 USB Type-A 10Gbps signaling rate (HP Sleep and Charge); 2 Thunderbolt™ 4 with USB Type-C® 40Gbps signaling rate (USB Power Delivery, DisplayPort™ 1.4, HP Sleep and Charge); 1 HDMI 2.1; 1 headphone/microphone combo</t>
  </si>
  <si>
    <t>358.90 x 229.10 x 18.54 mm</t>
  </si>
  <si>
    <t>1.81 kg</t>
  </si>
  <si>
    <t>Mineral silver</t>
  </si>
  <si>
    <t>(up to 4.6 GHz with Intel® Turbo Boost Technology, 12 MB L3 cache, 10 cores, 12 threads)</t>
  </si>
  <si>
    <t>85S59UA</t>
  </si>
  <si>
    <t>Prestige 13 AI Evo A1MG</t>
  </si>
  <si>
    <t>16GB LPDDR5</t>
  </si>
  <si>
    <t>13.3" 16:10, 2.8K (2880 x 1800) OLED panel, 100% DCI-P3</t>
  </si>
  <si>
    <t>2x Type-C (USB / DP / Thunderbolt™ 4) with PD charging 1x Type-A USB3.2 Gen1 1x Micro SD Card Reader 1x HDMI™ 2.1 (8K @ 60Hz / 4K @ 120Hz)</t>
  </si>
  <si>
    <t>299 x 210 x 16.9 mm</t>
  </si>
  <si>
    <t>0.99 kg</t>
  </si>
  <si>
    <t>Stellar Gray</t>
  </si>
  <si>
    <t>Vivobook 15 X1504ZA-NJ005W</t>
  </si>
  <si>
    <t>15.6-inch, FHD (1920 x 1080) 16:9 aspect ratio, LED Backlit, 60Hz refresh rate, 250nits, 45% NTSC color gamut, Anti-glare display, TÜV Rheinland-certified, Non-touch screen, (Screen-to-body ratio)84%</t>
  </si>
  <si>
    <t>Backlit Chiclet Keyboard, 1.4mm Key-travel, Precision touchpad</t>
  </si>
  <si>
    <t>42WHrs, 3S1P, 3-cell Li-ion</t>
  </si>
  <si>
    <t>1x USB 2.0 Type-A 1x USB 3.2 Gen 1 Type-C 2x USB 3.2 Gen 1 Type-A 1x HDMI 1.4 1x 3.5mm Combo Audio Jack 1x DC-in</t>
  </si>
  <si>
    <t>359.7 x 232.5 x 17.9 mm</t>
  </si>
  <si>
    <t>1.3 GHz (12M Cache, up to 4.4 GHz, 10 cores)</t>
  </si>
  <si>
    <t>90NB1021-M00NL0</t>
  </si>
  <si>
    <t>ROG Flow X13 GV301RA-LI064W</t>
  </si>
  <si>
    <t>13.4-inch UHD+ 16:10 (3840 x 2400, WQUXGA)+ 60Hz</t>
  </si>
  <si>
    <t>HD 720p</t>
  </si>
  <si>
    <t>299 x 222 x 16.9 mm</t>
  </si>
  <si>
    <t>90NR09X1-M002H0</t>
  </si>
  <si>
    <t>IdeaPad Slim 3 15IRU8</t>
  </si>
  <si>
    <t>Intel® Core i3-1315U</t>
  </si>
  <si>
    <t>8GB Soldered LPDDR5-4800</t>
  </si>
  <si>
    <t>15.6" FHD TN 250nits Anti-glare</t>
  </si>
  <si>
    <t>47Wh</t>
  </si>
  <si>
    <t>6C (2P + 4E) / 8T, P-core 1.2 / 4.5GHz, E-core 0.9 / 3.3GHz, 10MB</t>
  </si>
  <si>
    <t>82X700EQED</t>
  </si>
  <si>
    <t>IdeaPad Flex 5 14IAU7</t>
  </si>
  <si>
    <t>8GB Soldered LPDDR4x-4266</t>
  </si>
  <si>
    <t>256GB SSD M.2 2242 PCIe® 4.0x4 NVMe®</t>
  </si>
  <si>
    <t>52.5Wh</t>
  </si>
  <si>
    <t>1x USB-A (USB 5Gbps / USB 3.2 Gen 1) 1x USB-A (USB 5Gbps / USB 3.2 Gen 1), Always On 1x USB-C® (Thunderbolt™ 4 / USB4® 40Gbps), with USB PD 3.0 and DisplayPort™ 1.4a 1x HDMI® 1.4b 1x Headphone / microphone combo jack (3.5mm) 1x SD card reader 1x Power con</t>
  </si>
  <si>
    <t>313.1 x 224.9 x 17.8 mm</t>
  </si>
  <si>
    <t>1.55 kg</t>
  </si>
  <si>
    <t>6C (2P + 4E) / 8T, P-core 1.2 / 4.4GHz, E-core 0.9 / 3.3GHz, 10MB</t>
  </si>
  <si>
    <t>82R700L4US</t>
  </si>
  <si>
    <t>15-fd0033nx</t>
  </si>
  <si>
    <t>Intel® Core™ i5-1334U</t>
  </si>
  <si>
    <t>Intel® Iris® Xᶱ Graphics</t>
  </si>
  <si>
    <t>15.6" diagonal, FHD , IPS, micro-edge, anti-glare, 250 nits, 45% NTSC</t>
  </si>
  <si>
    <t>up to 4.6 GHz with Intel® Turbo Boost Technology, 12 MB L3 cache, 10 cores, 12 threads</t>
  </si>
  <si>
    <t>9U5V5EA</t>
  </si>
  <si>
    <t>Envy x360 15-FE1082WM</t>
  </si>
  <si>
    <t>Intel Core Ultra 7 155U</t>
  </si>
  <si>
    <t>16 GB LPDDR5-6400 MT/s (onboard)</t>
  </si>
  <si>
    <t>15.6" diagonal FHD touch display</t>
  </si>
  <si>
    <t>4-cell, 55 Wh Li-ion polymer</t>
  </si>
  <si>
    <t>HP Wide Vision 5MP IR camera with temporal noise reduction and integrated dual array digital microphones</t>
  </si>
  <si>
    <t>2 Thunderbolt™ 4 with USB Type-C® 40Gbps signaling rate (USB Power Delivery, DisplayPort™ 2.1, HP Sleep and Charge); 1 USB Type-A 10Gbps signaling rate (HP Sleep and Charge); 1 USB Type-A 10Gbps signaling rate; 1 HDMI 2.1; 1 headphone/microphone combo</t>
  </si>
  <si>
    <t>357 x 228 x 18.28 mm</t>
  </si>
  <si>
    <t>1.87 kg</t>
  </si>
  <si>
    <t>up to 4.8 GHz with Intel® Turbo Boost Technology, 12 MB L3 cache, 12 cores, 14 threads</t>
  </si>
  <si>
    <t>9R1K0UA</t>
  </si>
  <si>
    <t>IdeaPad 5 14IRU9</t>
  </si>
  <si>
    <t>8GB Soldered LPDDR5-5200</t>
  </si>
  <si>
    <t>10C (2P + 8E) / 12T, P-core 1.4 / 5.0GHz, E-core 0.9 / 3.8GHz, 12MB</t>
  </si>
  <si>
    <t>83DT0002US</t>
  </si>
  <si>
    <t>Modern 15 H AI C2HMG</t>
  </si>
  <si>
    <t>Intel Core Ultra 5 225H</t>
  </si>
  <si>
    <t>3 cell, 39.3Whr</t>
  </si>
  <si>
    <t>3x Type-A USB3.2 Gen1 1x Micro SD Card Reader 1x HDMI™ 2.1 (4K @ 60Hz) 1x Type-C (USB3.2 Gen2 / DisplayPort™/ Power Delivery 3.0)</t>
  </si>
  <si>
    <t>359 x 241 x 19.6 mm</t>
  </si>
  <si>
    <t>3 cell, 53.8Whr</t>
  </si>
  <si>
    <t>Vivobook S16 M5606KA-RI417W</t>
  </si>
  <si>
    <t>AMD Ryzen AI 7 350</t>
  </si>
  <si>
    <t>24GB LPDDR5X on board</t>
  </si>
  <si>
    <t>16.0-inch, 3K OLED 16:10 aspect ratio, 120Hz refresh rate, 400nits, 600nits HDR peak brightness, 100% DCI-P3 color gamut, 1,000,000:1, VESA CERTIFIED Display HDR True Black 500, 1.07 billion colors, Glossy display, 70% less harmful blue light, TÜV Rheinla</t>
  </si>
  <si>
    <t>353.6 x 246.9 x 13.9 ~ 15.9 mm</t>
  </si>
  <si>
    <t>90NB1593-M007J0</t>
  </si>
  <si>
    <t>Zenbook S16 ​UM5606WA-RJ288W</t>
  </si>
  <si>
    <t>AMD Radeon 890M Graphics</t>
  </si>
  <si>
    <t>16.0-inch, 3K OLED 16:10 aspect ratio, 0.2ms response time, 120Hz refresh rate, 400nits, 500nits HDR peak brightness, 100% DCI-P3 color gamut, 1,000,000:1, VESA CERTIFIED Display HDR True Black 500, 1.07 billion colors, SGS Eye Care Display, Touch screen,</t>
  </si>
  <si>
    <t>Backlit Chiclet Keyboard, 1.1mm Key-travel, Precision touchpad, With Copilot key</t>
  </si>
  <si>
    <t>353.6 x 243 x 11.9 ~ 12.9 mm</t>
  </si>
  <si>
    <t>90NB13M4-M00HM0</t>
  </si>
  <si>
    <t>Vivobook Go 15 E1504FA-NJ083W</t>
  </si>
  <si>
    <t>AMD Ryzen 3 7320U</t>
  </si>
  <si>
    <t>8GB LPDDR5</t>
  </si>
  <si>
    <t>256GB M.2 NVMe PCIe 3.0 SSD</t>
  </si>
  <si>
    <t>15.6-inch, FHD (1920 x 1080) 16:9 LED Backlit, 60Hz refresh rate, 250nits, 45% NTSC color gamut, Anti-glare display, TÜV Rheinland-certified, (Screen-to-body ratio)84%</t>
  </si>
  <si>
    <t>Chiclet Keyboard, 1.4mm Key-travel, Precision Touchpad</t>
  </si>
  <si>
    <t>1x USB 2.0 Type-A (data speed up to 480Mbps) 1x USB 3.2 Gen 1 Type-A (data speed up to 5Gbps) 1x USB 3.2 Gen 1 Type-C (data speed up to 5Gbps) 1x HDMI 1.4 1x 3.5mm Combo Audio Jack 1x DC-in</t>
  </si>
  <si>
    <t>360.3 x 232.5 x 17.9 mm</t>
  </si>
  <si>
    <t>Green Gray</t>
  </si>
  <si>
    <t>2.4GHz (6MB Cache, up to 4.1GHz, 4 cores, 8 Threads)</t>
  </si>
  <si>
    <t>90NB0ZR3-M02KD0</t>
  </si>
  <si>
    <t>Vivobook S 14 Flip TP3402VA-EG009W</t>
  </si>
  <si>
    <t>Intel Core i9-13900H</t>
  </si>
  <si>
    <t>14.0-inch, WUXGA 16:10 aspect ratio, IPS-level Panel, LED Backlit, 300nits, 45% NTSC color gamut, Glossy display, TÜV Rheinland-certified, Touch screen, (Screen-to-body ratio)85%, With stylus support</t>
  </si>
  <si>
    <t>1x USB 2.0 Type-A (data speed up to 480Mbps) 1x USB 3.2 Gen 2 Type-C with support for display / power delivery (data speed up to 10Gbps) 1x USB 3.2 Gen 2 Type-A (data speed up to 10Gbps) 1x HDMI 2.1 TMDS 1x 3.5mm Combo Audio Jack 1x DC-in</t>
  </si>
  <si>
    <t>313.2 x 227.6 x 18.9 mm</t>
  </si>
  <si>
    <t>2.6 GHz (24MB Cache, up to 5.4 GHz, 14 cores, 20 Threads)</t>
  </si>
  <si>
    <t>90NB10W2-M00LF0</t>
  </si>
  <si>
    <t>16GB Soldered LPDDR5-4800</t>
  </si>
  <si>
    <t>15-FD0022NE</t>
  </si>
  <si>
    <t>359.8 x 236 x 18.6 mm</t>
  </si>
  <si>
    <t>91W37EA</t>
  </si>
  <si>
    <t>Vivobook E410 E1400MA-BV1182W</t>
  </si>
  <si>
    <t>Intel Celeron N4020</t>
  </si>
  <si>
    <t>4GB DDR4 on board</t>
  </si>
  <si>
    <t>128GB M.2 NVMe™ PCIe® 3.0 SSD</t>
  </si>
  <si>
    <t>14.0-inch, HD (1366 x 768) 16:9 aspect ratio, LED Backlit, 60Hz refresh rate, 200nits, 45% NTSC color gamut, Anti-glare display, Non-touch screen, (Screen-to-body ratio)78%</t>
  </si>
  <si>
    <t>1366 x 768</t>
  </si>
  <si>
    <t>VGA camera</t>
  </si>
  <si>
    <t>1x USB 2.0 Type-A (data speed up to 480Mbps) 1x USB 3.2 Gen 1 Type-A (data speed up to 5Gbps) 1x USB 3.2 Gen 1 Type-C (data speed up to 5Gbps) 1x HDMI 1.4 1x Headphone/Headset</t>
  </si>
  <si>
    <t>325 x 217 x 18 ~ 18.4 mm</t>
  </si>
  <si>
    <t>Peacock Blue</t>
  </si>
  <si>
    <t>1.1 GHz (4M Cache, up to 2.8 GHz, 2 cores)</t>
  </si>
  <si>
    <t>90NB0Q11-M001S0</t>
  </si>
  <si>
    <t>IdeaPad 1 15IAU7</t>
  </si>
  <si>
    <t>Intel Core I7-1255U</t>
  </si>
  <si>
    <t>Integrated Intel Iris Xe Graphics Functions as UHD Graphics</t>
  </si>
  <si>
    <t>15.6" FHD (1920x1080) TN 220nits Anti-glare</t>
  </si>
  <si>
    <t>10C (2P + 8E) / 12T, P-core 1.7 / 4.7GHz, E-core 1.2 / 3.5GHz, 12MB</t>
  </si>
  <si>
    <t>82QD00AXED</t>
  </si>
  <si>
    <t>82QD008NED</t>
  </si>
  <si>
    <t>ideapad 5 15ITL05</t>
  </si>
  <si>
    <t>Intel Core i7-1165G7</t>
  </si>
  <si>
    <t>Nvidia GeForce MX450 2GB</t>
  </si>
  <si>
    <t>2GB GDDR6</t>
  </si>
  <si>
    <t>15.6" FHD (1920x1080) IPS 300nits Anti-glare</t>
  </si>
  <si>
    <t>1x USB 3.2 Gen 1 1x USB 3.2 Gen 1 (Always On) 1x USB-C® 3.2 Gen 1 (support data transfer, Power Delivery 3.0 and DisplayPort™ 1.2) 1x HDMI® 1.4b 1x Card reader 1x Headphone / microphone combo jack (3.5mm)</t>
  </si>
  <si>
    <t>356.67 x 233.13 x 17.9 mm</t>
  </si>
  <si>
    <t>Graphite Grey</t>
  </si>
  <si>
    <t>(4C / 8T, 2.8 / 4.7GHz, 12MB)</t>
  </si>
  <si>
    <t>82FG00WMED</t>
  </si>
  <si>
    <t>Envy 16-h1023dx</t>
  </si>
  <si>
    <t>Intel® Core™ i9-13900H</t>
  </si>
  <si>
    <t>16 GB DDR5-5200 MT/s (2 x 8 GB) Transfer rates up to 5200 MT/s. 2 x 8 GB</t>
  </si>
  <si>
    <t>68.83 x 597.91 x 344.93 mm</t>
  </si>
  <si>
    <t>3.7104kg</t>
  </si>
  <si>
    <t>up to 5.4 GHz with Intel® Turbo Boost Technology, 24 MB L3 cache, 14 cores, 20 threads</t>
  </si>
  <si>
    <t>7Z0P3UA</t>
  </si>
  <si>
    <t>Zenbook A14 UX3407QA-QD232W</t>
  </si>
  <si>
    <t>14.0-inch, WUXGA (1920 x 1200) OLED 16:10 aspect ratio, LED Backlit, 0.2ms response time, 60Hz refresh rate, 400nits, 600nits HDR peak brightness, 100% DCI-P3 color gamut, 1,000,000:1, VESA CERTIFIED Display HDR True Black 600, 1.07 billion colors,</t>
  </si>
  <si>
    <t>Backlit Chiclet Keyboard, 1.3mm Key-travel, Precision touchpad, support Smart Gesture Pad</t>
  </si>
  <si>
    <t>1x USB 3.2 Gen 2 Type-A (data speed up to 10Gbps) 2x USB 4.0 Gen 3 Type-C with support for display / power delivery (data speed up to 40Gbps) 1x HDMI 2.1 TMDS 1x 3.5mm Combo Audio Jack</t>
  </si>
  <si>
    <t>310.7 x 213.9 x 13.4 ~ 15.9 mm</t>
  </si>
  <si>
    <t>0.98 kg</t>
  </si>
  <si>
    <t>Iceland Gray</t>
  </si>
  <si>
    <t>30MB Cache, up to 2.97GHz, 8 cores, 8 Threads); Qualcomm® Hexagon™ NPU up to 45TOPS</t>
  </si>
  <si>
    <t>90NB1502-M00HM0</t>
  </si>
  <si>
    <t>Vivobook 15 X1502VA-NJ005W</t>
  </si>
  <si>
    <t>15.6-inch, FHD (1920 x 1080) 16:9 aspect ratio, 60Hz refresh rate 45% NTSC color gamut, Anti-glare display, TÜV Rheinland-certified, (Screen-to-body ratio)82%</t>
  </si>
  <si>
    <t>Chiclet Keyboard with Num-key</t>
  </si>
  <si>
    <t>1x USB 2.0 Type-A (data speed up to 480Mbps)   1x USB 3.2 Gen 1 Type-C with support for power delivery (data speed up to 5Gbps)   2x USB 3.2 Gen 1 Type-A (data speed up to 5Gbps)   1x HDMI 1.4   1x 3.5mm Combo Audio Jack   1x DC-in</t>
  </si>
  <si>
    <t>359.7 x 232.5 x 19.9 mm</t>
  </si>
  <si>
    <t>Vivobook 15 X1502VA-NJ065W</t>
  </si>
  <si>
    <t>15.6-inch Reslution:FHD (1920 x 1080) 16:9 aspect ratio LED Backlit 60Hz refresh rate 250nits Brightness 45% NTSC color gamut Anti-glare display TÜV Rheinland-certified Screen-to-body ratio:82%</t>
  </si>
  <si>
    <t>IdeaPad 1 15IGL7</t>
  </si>
  <si>
    <t>Intel UHD Graphics 600</t>
  </si>
  <si>
    <t>8GB SO-DIMM DDR4-2400</t>
  </si>
  <si>
    <t>15.6" HD TN 220nits Anti-glare</t>
  </si>
  <si>
    <t>1.54 kg</t>
  </si>
  <si>
    <t>Abyss Blue</t>
  </si>
  <si>
    <t>2C / 2T, 1.1 / 2.8GHz, 4MB</t>
  </si>
  <si>
    <t>82V700JWED</t>
  </si>
  <si>
    <t>IdeaPad Slim 5 16IMH9</t>
  </si>
  <si>
    <t>Intel Core Ultra 5 125H</t>
  </si>
  <si>
    <t>16" WUXGA IPS 300nits Anti-glare, 45% NTSC, 60Hz</t>
  </si>
  <si>
    <t>1x USB-A (USB 5Gbps / USB 3.2 Gen 1) 1x USB-A (USB 5Gbps / USB 3.2 Gen 1), Always On 2x USB-C® (USB 5Gbps / USB 3.2 Gen 1), with USB PD 3.0 and DisplayPort™ 1.4 1x HDMI® 1.4b 1x Headphone / microphone combo jack (3.5mm) 1x microSD card reader</t>
  </si>
  <si>
    <t>356 x 251 x 16.9 mm</t>
  </si>
  <si>
    <t>1.82 kg</t>
  </si>
  <si>
    <t>14C (4P + 8E + 2LPE) / 18T, Max Turbo up to 4.5GHz, 18MB</t>
  </si>
  <si>
    <t>83DC003TED</t>
  </si>
  <si>
    <t>83DC003UED</t>
  </si>
  <si>
    <t>Vivobook 15 X1502VA-NJ167W</t>
  </si>
  <si>
    <t>15.6-inch FHD 16:9 aspect ratio LED Backlit 60Hz refresh rate 250nits 45% NTSC color gamut Anti-glare display</t>
  </si>
  <si>
    <t>1x USB 2.0 Type-A (data speed up to 480Mbps) 1x USB 3.2 Gen 1 Type-C with support for power delivery (data speed up to 5Gbps) 2x USB 3.2 Gen 1 Type-A (data speed up to 5Gbps) 1x HDMI 1.4 1x 3.5mm Combo Audio Jack 1x DC-in</t>
  </si>
  <si>
    <t>2.4 GHz (24MB Cache, up to 4.9 GHz, 10 cores, 16 Threads)</t>
  </si>
  <si>
    <t>Intel Core I3-1305U</t>
  </si>
  <si>
    <t>10 MB cache, 5 cores, 6 threads, up to 4.50 GHz</t>
  </si>
  <si>
    <t>Zenbook 14 OLED UX3405CA-PZ007W</t>
  </si>
  <si>
    <t>75WHrs, 2S2P, 4-cell Li-ion</t>
  </si>
  <si>
    <t>312.4 x 220.1 x 14.9 mm</t>
  </si>
  <si>
    <t>1.28 kg</t>
  </si>
  <si>
    <t>Foggy Silver</t>
  </si>
  <si>
    <t>2.0 GHz (24MB Cache, up to 5.1 GHz, 16 cores, 16 Threads)</t>
  </si>
  <si>
    <t>Microsoft</t>
  </si>
  <si>
    <t>Surface Pro 11</t>
  </si>
  <si>
    <t>Snapdragon X Elite</t>
  </si>
  <si>
    <t>32GB LPDDR5x RAM</t>
  </si>
  <si>
    <t>2 X USB-C® / USB4® ports with support for: Charging / Data transfer / DisplayPort 1.4a  / Surface Thunderbolt™ 4 Dock and other accessories Supports fast charging with minimum 65W power supply via Surface Connect or USB-C Surface Pro Keyboard port Surface</t>
  </si>
  <si>
    <t>209 x 287 x 9.3 mm</t>
  </si>
  <si>
    <t>895 g</t>
  </si>
  <si>
    <t>Platinum</t>
  </si>
  <si>
    <t>(12 Core)</t>
  </si>
  <si>
    <t>Inspiron 3520</t>
  </si>
  <si>
    <t>Intel Core I3-1215U</t>
  </si>
  <si>
    <t>8GB, 1x8GB, DDR4, 2666MHz</t>
  </si>
  <si>
    <t>1 USB 3.2 Gen 1 Type-C® port with DisplayPort 1.4 (on 12th Gen Processor configured with Type-C®) 2 USB 3.2 Gen 1 ports (on systems configured with non Type-C®) 1 USB 2.0 port 1 Power Jack 1 headset (headphone and microphone combo) port 1 HDMI 1.4 port (M</t>
  </si>
  <si>
    <t>358.50 x 235.56 x 21.07 mm</t>
  </si>
  <si>
    <t>16GB, 2x8GB, DDR4, 2666MHz</t>
  </si>
  <si>
    <t>Arabic Backlit Keyboard</t>
  </si>
  <si>
    <t>12MB Cache, up t o 4.7 GHz, 10 cores</t>
  </si>
  <si>
    <t>Intel Core i3-1315U</t>
  </si>
  <si>
    <t>Inspiron 3511</t>
  </si>
  <si>
    <t>Intel Core I7-1165G7</t>
  </si>
  <si>
    <t>Non-Backlit Keyboard with Numeric Keypad</t>
  </si>
  <si>
    <t>SD Card Reader | USB 2.0 | Audio jack| Power Jack | HDMI 1.4 | USB 3.2 | USB 3.2</t>
  </si>
  <si>
    <t>358.50 x 235.56 x 17.50 mm</t>
  </si>
  <si>
    <t>1.73 kg</t>
  </si>
  <si>
    <t>12MB Cache, up to 4.7 GHz</t>
  </si>
  <si>
    <t>65 Watt AC Adapter</t>
  </si>
  <si>
    <t>15-FD0355NIA</t>
  </si>
  <si>
    <t>39.6 cm (15.6") diagonal, FHD (1920 x 1080), micro-edge, anti-glare, 250 nits, 45% NTSC</t>
  </si>
  <si>
    <t>9Q341EA</t>
  </si>
  <si>
    <t>Intel Core i5-1335U</t>
  </si>
  <si>
    <t>15.6" FHD (1920*1080), 60Hz 45%NTSC IPS-Level</t>
  </si>
  <si>
    <t>3x Type-A USB3.2 Gen1 1x RJ45 1x Micro SD Card Reader 1x HDMI™ (4K @ 30Hz) 1x Type-C (USB3.2 Gen2 / DisplayPort™/ Power Delivery 3.0)</t>
  </si>
  <si>
    <t>12M Cache, up to 4.60 GHz</t>
  </si>
  <si>
    <t>9S7-15S122-057</t>
  </si>
  <si>
    <t>Vivobook 15 X1504VA-NJ005​</t>
  </si>
  <si>
    <t>512GB M.2 NVMe PCIe 3.0 SSD</t>
  </si>
  <si>
    <t>15.6'' Inch FHD (1920 x 1080) 16:9 aspect ratio LED Backlit 60Hz refresh rate</t>
  </si>
  <si>
    <t>1.3 GHz (12MB Cache, up to 4.6 GHz, 10 cores, 12 Threads)</t>
  </si>
  <si>
    <t>90NB10J1-M01B20</t>
  </si>
  <si>
    <t>Vivobook S14 Flip TN3402YA-LZ007W</t>
  </si>
  <si>
    <t>AMD Ryzen 7 7730U</t>
  </si>
  <si>
    <t>14''​ Inch WUXGA 60Hz</t>
  </si>
  <si>
    <t>1x USB 2.0 Type-A 1x USB 3.2 Gen 2 Type-A 1x USB 3.2 Gen 2 Type-C support display / power delivery 1x HDMI 2.1 TMDS 1x 3.5mm Combo Audio Jack 1x DC-in</t>
  </si>
  <si>
    <t>Transparent Silver</t>
  </si>
  <si>
    <t>2.0GHz (20MB Cache, up to 4.5 GHz, 8 cores, 16 Threads)</t>
  </si>
  <si>
    <t>90NB1112-M00EE0</t>
  </si>
  <si>
    <t>Vivobook S14 Flip TN3402YA-LZ555W</t>
  </si>
  <si>
    <t>AMD Ryzen 5 7430U</t>
  </si>
  <si>
    <t>DDR4 8GB</t>
  </si>
  <si>
    <t>Transparent Silver​</t>
  </si>
  <si>
    <t>2.3GHz (19MB Cache, up to 4.3GHz, 6 cores, 12 Threads)</t>
  </si>
  <si>
    <t>90NB1112-M00CU0</t>
  </si>
  <si>
    <t>Vivobook 15 X1504VA-NJ1007</t>
  </si>
  <si>
    <t>Intel Iris Xᵉ Graphics</t>
  </si>
  <si>
    <t>15.6'' Inch FHD 60Hz</t>
  </si>
  <si>
    <t>Chiclet Keyboard</t>
  </si>
  <si>
    <t>1x USB 2.0 Type-A (data speed up to 480Mbps) 1x USB 3.2 Gen 1 Type-C (data speed up to 5Gbps) 2x USB 3.2 Gen 1 Type-A (data speed up to 5Gbps) 1x HDMI 1.4 1x 3.5mm Combo Audio Jack 1x DC-in</t>
  </si>
  <si>
    <t>359.7 x  232.5 x  17.9 mm</t>
  </si>
  <si>
    <t>1.7 GHz (12MB Cache, up to 5.0 GHz, 10 cores, 12 Threads)</t>
  </si>
  <si>
    <t>90NB10J1-M01LV0</t>
  </si>
  <si>
    <t>Vivobook Go 15 E1504GA-NJ606W</t>
  </si>
  <si>
    <t>Intel® Core™ i3-N305</t>
  </si>
  <si>
    <t>256G SSD</t>
  </si>
  <si>
    <t>15.6-inch, FHD (1920 x 1080) 16:9 aspect ratio, LED Backlit, 60Hz refresh rate, 250nits, 45% NTSC color gamut, Anti-glare display, TÜV Rheinland-certified, (Screen-to-body ratio)84%</t>
  </si>
  <si>
    <t>1x USB 2.0 Type-A 1x USB 3.2 Gen 1 Type-A 1x USB 3.2 Gen 1 Type-C 1x HDMI 1.4 1x 3.5mm Combo Audio Jack 1x DC-in</t>
  </si>
  <si>
    <t>Mixed Black</t>
  </si>
  <si>
    <t>1.8 GHz (6MB Cache, up to 3.8 GHz, 8 cores, 8 Threads)</t>
  </si>
  <si>
    <t>90NB0ZT2-M01110</t>
  </si>
  <si>
    <t>Vivobook Go 15 E1504FA-NJ001</t>
  </si>
  <si>
    <t>4GB LPDDR5 - 5200Mhz</t>
  </si>
  <si>
    <t>256GB M.2 NVMe™ PCIe® 3.0 SSD</t>
  </si>
  <si>
    <t>15.6 inch, FHD (1920 x 1080) 16:9 aspect ratio, LED Backlit, 60Hz refresh rate,</t>
  </si>
  <si>
    <t>English &amp; Arabic</t>
  </si>
  <si>
    <t>Green Grey</t>
  </si>
  <si>
    <t>2.4GHz (6MB cache, up to 4.1GHz, 4 cores, 8 threads)</t>
  </si>
  <si>
    <t>90NB0ZR3-M02800</t>
  </si>
  <si>
    <t>Envy x360 16-AD0013</t>
  </si>
  <si>
    <t>AMD Radeon™ Graphics</t>
  </si>
  <si>
    <t>8 GB LPDDR5-6400 MT/s (onboard)</t>
  </si>
  <si>
    <t>16" diagonal WUXGA touch display</t>
  </si>
  <si>
    <t>2 USB Type-C® 10Gbps signaling rate (USB Power Delivery, DisplayPort™ 1.4a, HP Sleep and Charge); 1 USB Type-A 10Gbps signaling rate (HP Sleep and Charge); 1 USB Type-A 10Gbps signaling rate; 1 HDMI 2.1; 1 headphone/microphone combo</t>
  </si>
  <si>
    <t>356.61 x 245.87 x 18.28 mm</t>
  </si>
  <si>
    <t>1.91 kg</t>
  </si>
  <si>
    <t>up to 4.9 GHz max boost clock, 16 MB L3 cache, 6 cores, 12 threads</t>
  </si>
  <si>
    <t>9R8R9UA</t>
  </si>
  <si>
    <t>65W USB-C</t>
  </si>
  <si>
    <t>15-fd0054ne</t>
  </si>
  <si>
    <t>8 GB</t>
  </si>
  <si>
    <t>15.6" diagonal, FHD (1920 x 1080), micro-edge, anti-glare, 250 nits, 45% NTSC 3</t>
  </si>
  <si>
    <t>35.98 x 23.6 x 1.86 cm</t>
  </si>
  <si>
    <t>(up to 4.6 GHz with Intel® Turbo Boost Technology, 12 MB L3 cache, 10 cores, 12 threads</t>
  </si>
  <si>
    <t>9Q355EA</t>
  </si>
  <si>
    <t>Aspire 3 A315-59-58XR</t>
  </si>
  <si>
    <t>512GB PCIe NVMe M.2</t>
  </si>
  <si>
    <t>15.6" FHD (1920 x 1080) ComfyView LED LCD</t>
  </si>
  <si>
    <t>3x USB 3.2 Gen 1 Type-A 1x HDMI Lock Slot Headphone / Mic</t>
  </si>
  <si>
    <t>Cache 12MB, 3.30GHz up to 4.40GHz, 10 Cores</t>
  </si>
  <si>
    <t>Aspire 3 A315-59-31LZ</t>
  </si>
  <si>
    <t>Cache 10MB, 3.30GHz up to 4.40GHz, 6 Cores</t>
  </si>
  <si>
    <t>Intel® Core™ i3-1215U</t>
  </si>
  <si>
    <t>1366x768</t>
  </si>
  <si>
    <t>Integrated 42Wh</t>
  </si>
  <si>
    <t>82QD00HHED</t>
  </si>
  <si>
    <t>Lenovo Yoga 7 16IML9</t>
  </si>
  <si>
    <t>Intel® Core™ Ultra 7 155U</t>
  </si>
  <si>
    <t>Integrated Intel® Graphics</t>
  </si>
  <si>
    <t>16" WUXGA IPS 300nits Glossy / Anti-fingerprint, 45% NTSC, 60Hz, Dolby Vision®, TÜV Low Blue Light</t>
  </si>
  <si>
    <t>Integrated 71Wh</t>
  </si>
  <si>
    <t>1x USB-A (USB 5Gbps / USB 3.2 Gen 1) 1x USB-A (USB 5Gbps / USB 3.2 Gen 1), Always On 2x USB-C® (Thunderbolt™ 4 / USB4® 40Gbps), with USB PD 3.1 and DisplayPort™ 2.1 1x HDMI® 2.1, up to 4K/60Hz 1x Headphone / microphone combo jack (3.5mm) 1x microSD card r</t>
  </si>
  <si>
    <t>361.79 x 249.95 x 16.99 mm</t>
  </si>
  <si>
    <t>12C (2P + 8E + 2LPE) / 14T, Max Turbo up to 4.8GHz, 12MB</t>
  </si>
  <si>
    <t>83DL0002US</t>
  </si>
  <si>
    <t>Touch Style, on Palm Rest</t>
  </si>
  <si>
    <t>15-GW0054NIA</t>
  </si>
  <si>
    <t>AMD Ryzen 3 3250U</t>
  </si>
  <si>
    <t>4 GB Ram</t>
  </si>
  <si>
    <t>1TB HDD</t>
  </si>
  <si>
    <t>39.6 cm (15.6") diagonal, HD (1366 x 768)</t>
  </si>
  <si>
    <t>Full-size, jet black keyboard with numeric keypad</t>
  </si>
  <si>
    <t>HP True Vision 720p HD camera with integrated dual array digital microphones</t>
  </si>
  <si>
    <t>1 SuperSpeed USB Type-C® 5Gbps signaling rate; 2 SuperSpeed USB Type-A 5Gbps signaling rate; 1 HDMI 1.4b; 1 RJ-45; 1 AC smart pin; 1 headphone/microphone combo</t>
  </si>
  <si>
    <t>1.74 kg</t>
  </si>
  <si>
    <t>Jet black</t>
  </si>
  <si>
    <t>2.6 GHz base clock, up to 3.5 GHz max boost clock, 4 MB L3 cache, 2 cores, 4 threads</t>
  </si>
  <si>
    <t>311K3EA</t>
  </si>
  <si>
    <t>IdeaPad Slim 3 15ABR8</t>
  </si>
  <si>
    <t>8C / 16T, 2.0 / 4.5GHz, 4MB L2 / 16MB L3</t>
  </si>
  <si>
    <t>82XM00ABED</t>
  </si>
  <si>
    <t>IdeaPad 5 15IAL7​</t>
  </si>
  <si>
    <t>Intel® Core™ i7-1255U</t>
  </si>
  <si>
    <t>NVIDIA® GeForce MX550 2GB GDDR6</t>
  </si>
  <si>
    <t>16GB Soldered DDR4-3200</t>
  </si>
  <si>
    <t>15.6" FHD IPS 300nits Anti-glare, 45% NTSC</t>
  </si>
  <si>
    <t>1x USB 3.2 Gen 1 1x USB 3.2 Gen 1 (Always On) 2x USB-C® 3.2 Gen 1 (support data transfer, Power Delivery 3.0 and DisplayPort™ 1.2) 1x HDMI® 1.4b 1x Headphone / microphone combo jack (3.5mm) 1x SD card reader</t>
  </si>
  <si>
    <t>356.67 x 233.13 x 16.9 mm</t>
  </si>
  <si>
    <t>82SF00F1ED</t>
  </si>
  <si>
    <t>15-fd0371nia</t>
  </si>
  <si>
    <t>Intel® Core™ i7-1355U</t>
  </si>
  <si>
    <t>Nvidia GeForce MX570 2GB</t>
  </si>
  <si>
    <t>8GB DDR4 3200MHz</t>
  </si>
  <si>
    <t>15.6" diagonal FHD anti-glare micro-edge display, 250 nits, 45% NTSC 2</t>
  </si>
  <si>
    <t>Full-size, backlit keyboard with numeric keypad in pale gray</t>
  </si>
  <si>
    <t>3-cell 41Wh Lithium-ion Polymer battery</t>
  </si>
  <si>
    <t>HP True Vision 720p HD Camera with noise reduction and integrated dual array digital microphones</t>
  </si>
  <si>
    <t>1 USB Type-C® 5Gbps signaling rate port (data transfer only, does not support charging or connecting to external displays); 2 USB Type-A 5Gbps signaling rate ports; 1 AC smart pin; 1 HDMI 1.4b port; 1 headphone/microphone combo</t>
  </si>
  <si>
    <t>359.8 × 236 × 18.6 mm</t>
  </si>
  <si>
    <t>12MB L3 cache, 10 cores, 12 threads</t>
  </si>
  <si>
    <t>9Q920EA</t>
  </si>
  <si>
    <t>Aspire 7 A715-76G-598U</t>
  </si>
  <si>
    <t>NVIDIA® Geforce RTX™ 2050</t>
  </si>
  <si>
    <t>15.6" inch FHD LCD 144 Hz Aspect Ratio 16:9</t>
  </si>
  <si>
    <t>White backlight</t>
  </si>
  <si>
    <t>48 Wh Lithium Polymer (Li-Polymer)</t>
  </si>
  <si>
    <t>HDMI  Yes Number of HDMI Outputs  1 Number of USB 3.2 Gen 1 Type-A Ports  3 Number of USB 3.2 Gen 1 Type-C Ports  3 Number of USB 3.2 Gen 2 Type-C Ports  1 Total Number of USB Ports  4 USB Type-C  Yes Network (RJ-45)  Yes</t>
  </si>
  <si>
    <t>362.3 x 237.4 x 19.90 mm</t>
  </si>
  <si>
    <t>NH.QMYEM.002</t>
  </si>
  <si>
    <t>83EM007VED</t>
  </si>
  <si>
    <t>83EM0081ED</t>
  </si>
  <si>
    <t>Modern 14 C12MO</t>
  </si>
  <si>
    <t>14.0" FHD (1920x1080), IPS-Level</t>
  </si>
  <si>
    <t>3-Cell Battery</t>
  </si>
  <si>
    <t>1x Type-C (USB3.2 Gen2 / DisplayPort™/ Power Delivery 3.0) 1x Type-A USB3.2 Gen2 2x Type-A USB2.0 1x Micro SD Card Reader 1x HDMI™ (4K @ 30Hz)</t>
  </si>
  <si>
    <t>319.9 x 223 x 19.35 mm</t>
  </si>
  <si>
    <t>1.4 kg</t>
  </si>
  <si>
    <t>12M Cache, up to 4.40 GHz, with IPU</t>
  </si>
  <si>
    <t>Intel Core i7-1255U</t>
  </si>
  <si>
    <t>3-Cell 39.3/53.8 Battery (Whr)</t>
  </si>
  <si>
    <t>Dell Vostro 3510</t>
  </si>
  <si>
    <t>Intel Core i5-1035G1</t>
  </si>
  <si>
    <t>1TB 5400 rpm 2.5" SATA Hard Drive</t>
  </si>
  <si>
    <t>15.6-inch HD Anti-glare LED-Backlit Non-touch Narrow Border Display</t>
  </si>
  <si>
    <t>English Non Backlit Keyboard</t>
  </si>
  <si>
    <t>6MB C ache, up to 3.6 GHz</t>
  </si>
  <si>
    <t>IdeaPad 5 15IAL7</t>
  </si>
  <si>
    <t>NVIDIA® GeForce MX550 2GB</t>
  </si>
  <si>
    <t>82SF00GGED</t>
  </si>
  <si>
    <t>15-FD0068NE</t>
  </si>
  <si>
    <t>NVIDIA® GeForce® MX570</t>
  </si>
  <si>
    <t>9Q919EA</t>
  </si>
  <si>
    <t>256GB SSD M.2 NVMe PCIe Gen3</t>
  </si>
  <si>
    <t>1x Type-C (USB3.2 Gen2 / DP) with PD charging 1x Type-A USB3.2 Gen2 2x Type-A USB2.0 1x Micro SD Card Reader 1x HDMI™ (4K @ 30Hz)</t>
  </si>
  <si>
    <t>1.2 GHz (10M Cache, up to 4.4 GHz, 6 cores)</t>
  </si>
  <si>
    <t>Vivobook Go 15 E1504FA-NJ005W</t>
  </si>
  <si>
    <t>AMD Ryzen 5 7520U</t>
  </si>
  <si>
    <t>8GB LPDDR5 on board</t>
  </si>
  <si>
    <t>2.8GHz (6MB Cache, up to 4.3GHz, 4 cores, 8 Threads)</t>
  </si>
  <si>
    <t>90NB0ZR1-M01WW0</t>
  </si>
  <si>
    <t>X1504VA-NJ005W</t>
  </si>
  <si>
    <t>90NB10J1-M008L0</t>
  </si>
  <si>
    <t>D1502YA-NJ007W</t>
  </si>
  <si>
    <t>1x USB 2.0 Type-A 1x USB 3.2 Gen 1 Type-C support power delivery 2x USB 3.2 Gen 1 Type-A 1x HDMI 1.4 1x 3.5mm Combo Audio Jack 1x DC-in</t>
  </si>
  <si>
    <t>90NB0X21-M00KT0</t>
  </si>
  <si>
    <t>Vivobook 15 X1504VA-NJ017W</t>
  </si>
  <si>
    <t>90NB10J1-M013N0</t>
  </si>
  <si>
    <t>Zenbook 14X OLED UX3404VA-OLED009W</t>
  </si>
  <si>
    <t>16GB LPDDR5 on board</t>
  </si>
  <si>
    <t>14.5-inch  2.8K OLED 16:10 aspect ratio 0.2ms response time 120Hz refresh rate 400nits</t>
  </si>
  <si>
    <t>1x USB 3.2 Gen 2 Type-A 2x Thunderbolt™ 4 supports display / power delivery 1x HDMI 2.1 TMDS 1x 3.5mm Combo Audio Jack</t>
  </si>
  <si>
    <t>321.8 x 225.6 x 16.9 mm</t>
  </si>
  <si>
    <t>1.56 kg</t>
  </si>
  <si>
    <t>90NB1081-M00BT0</t>
  </si>
  <si>
    <t>UX3405MA-PP009WS</t>
  </si>
  <si>
    <t>14.0-inch 3K  OLED 16:10 aspect ratio 0.2ms response time 120Hz refresh rate 400nits 600nits HDR peak brightness 100% DCI-P3 color gamut</t>
  </si>
  <si>
    <t>FHD camera with IR function to support Windows Hello ; With privacy shutter</t>
  </si>
  <si>
    <t>1x USB 3.2 Gen 1 Type-A 2x Thunderbolt™ 4 supports display / power delivery 1x HDMI 2.1 TMDS 1x 3.5mm Combo Audio Jack</t>
  </si>
  <si>
    <t>1.20 kg</t>
  </si>
  <si>
    <t>Ponder Blue</t>
  </si>
  <si>
    <t>185H 2.3 GHz (24MB Cache, up to 5.1 GHz, 16 cores, 22 Threads); Intel® AI Boost NPU</t>
  </si>
  <si>
    <t>UX3405</t>
  </si>
  <si>
    <t>15-FD0033NE</t>
  </si>
  <si>
    <t>4 GB DDR4-3200 MHz RAM (1 x 4 GB)</t>
  </si>
  <si>
    <t>256 GB PCIe® NVMe™ M.2 SSD</t>
  </si>
  <si>
    <t>91W48EA</t>
  </si>
  <si>
    <t>NVIDIA GeForce MX550</t>
  </si>
  <si>
    <t>8GB, 1x8GB, DDR4, 3200MHz</t>
  </si>
  <si>
    <t>Arabic Non-Backlit Keyboard</t>
  </si>
  <si>
    <t>Intel® Core™ i5-1235U</t>
  </si>
  <si>
    <t>Integrated 52.5Wh</t>
  </si>
  <si>
    <t>82R700L5US</t>
  </si>
  <si>
    <t>IdeaPad Flex 5 16IAU7</t>
  </si>
  <si>
    <t>16" WUXGA IPS 300nits Glossy, 45% NTSC, TÜV Low Blue Light, Glass, Touch</t>
  </si>
  <si>
    <t>357.8 x 253.9 x 18.7 mm</t>
  </si>
  <si>
    <t>82R80022US</t>
  </si>
  <si>
    <t>Yoga 7 16IRL8</t>
  </si>
  <si>
    <t>16" WUXGA IPS 300nits Glossy / Anti-fingerprint, 45% NTSC, 60Hz, Dolby Vision®, TÜV Low Blue Light, Glass, Touch</t>
  </si>
  <si>
    <t>1x USB-A (USB 5Gbps / USB 3.2 Gen 1) 1x USB-A (USB 5Gbps / USB 3.2 Gen 1), Always On 2x USB-C® (Thunderbolt™ 4 / USB4® 40Gbps), with USB PD 3.0 and DisplayPort™ 1.4 1x HDMI® 1.4b 1x Headphone / microphone combo jack (3.5mm) 1x microSD card reader</t>
  </si>
  <si>
    <t>362.16 x 250.12 x 16.99 mm</t>
  </si>
  <si>
    <t>2.04 kg</t>
  </si>
  <si>
    <t>10C (2P + 8E) / 12T, P-core 1.3 / 4.6GHz, E-core 0.9 / 3.4GHz, 12MB</t>
  </si>
  <si>
    <t>82YN0001US</t>
  </si>
  <si>
    <t>IdeaPad Flex 5 14ITL05</t>
  </si>
  <si>
    <t>Intel® Core™ i5-1135G7</t>
  </si>
  <si>
    <t>256GB SSD M.2 2242 PCIe® 3.0x4 NVMe®</t>
  </si>
  <si>
    <t>14" FHD IPS 250nits Glossy, Touch</t>
  </si>
  <si>
    <t>Backlit, English</t>
  </si>
  <si>
    <t>1x HDMI® 1.4b 1x Headphone / microphone combo jack (3.5mm) 1x Power connector 1x SD card reader 1x USB 3.2 Gen 1 1x USB 3.2 Gen 1 (Always On) 1x USB-C® 3.2 Gen 1 (support data transfer and Power Delivery)</t>
  </si>
  <si>
    <t>321.5 x 217.5 x 17.9 mm</t>
  </si>
  <si>
    <t>(4C / 8T, 2.4 / 4.2GHz, 8MB)</t>
  </si>
  <si>
    <t>82HS00QWCC</t>
  </si>
  <si>
    <t>Pavilion 14-DV2007NE</t>
  </si>
  <si>
    <t>NVIDIA® GeForce® MX550</t>
  </si>
  <si>
    <t>8GB DDR4-3200MHz</t>
  </si>
  <si>
    <t>14" diagonal, FHD IPS, micro-edge, anti-glare, 250 nits, 45% NTSC</t>
  </si>
  <si>
    <t>1 USB Type-C® 10Gbps signaling rate (USB Power Delivery, DisplayPort™ 1.4, HP Sleep and Charge); 2 USB Type-A 5Gbps signaling rate; 1 AC smart pin; 1 HDMI 2.1; 1 headphone/microphone combo</t>
  </si>
  <si>
    <t>Natural silver aluminum</t>
  </si>
  <si>
    <t>(up to 4.4 GHz with Intel® Turbo Boost Technology, 12 MB L3 cache, 10 cores, 12 threads)</t>
  </si>
  <si>
    <t>6L8J3EA</t>
  </si>
  <si>
    <t>V15 G3 IAP</t>
  </si>
  <si>
    <t>Integrated 38Wh</t>
  </si>
  <si>
    <t>1x USB 2.0 1x USB 3.2 Gen 1 1x USB-C® 3.2 Gen 1 (support data transfer, Power Delivery 3.0 and DisplayPort™ 1.2) 1x HDMI® 1.4b 1x Headphone / microphone combo jack (3.5mm) 1x Ethernet (RJ-45) 1x Power connector</t>
  </si>
  <si>
    <t>359 x 236 x 19.9 mm</t>
  </si>
  <si>
    <t>4.4GHz, E-core 0.9 / 3.3GHz, 10MB</t>
  </si>
  <si>
    <t>82TTA00UIH</t>
  </si>
  <si>
    <t>15S-EQ3007NE</t>
  </si>
  <si>
    <t>AMD Ryzen 5-5625U</t>
  </si>
  <si>
    <t>15.6" diagonal, FHD, micro-edge, anti-glare, 250 nits, 45% NTSC</t>
  </si>
  <si>
    <t>Full-size, backlit, natural silver keyboard with numeric keypad</t>
  </si>
  <si>
    <t>up to 4.3 GHz max boost clock, 16 MB L3 cache, 6 cores, 12 threads</t>
  </si>
  <si>
    <t>6L8K0EA</t>
  </si>
  <si>
    <t>IdeaPad 3 15ADA05</t>
  </si>
  <si>
    <t>AMD Ryzen™ 7 3700U</t>
  </si>
  <si>
    <t>AMD Radeon™ RX Vega 10 Graphics</t>
  </si>
  <si>
    <t>8GB 4GB Soldered DDR4-2400 + 4GB SO-DIMM DDR4-2400</t>
  </si>
  <si>
    <t>Integrated 35Wh</t>
  </si>
  <si>
    <t>0.3MP with Privacy Shutter</t>
  </si>
  <si>
    <t>1x USB 2.0 2x USB 3.2 Gen 1 1x HDMI® 1.4b 1x Card reader 1x Headphone / microphone combo jack (3.5mm) 1x Power connector</t>
  </si>
  <si>
    <t>362.2 x 253.4 x 19.9 mm</t>
  </si>
  <si>
    <t>4C / 8T, 2.3 / 4.0GHz, 2MB L2 / 4MB L3</t>
  </si>
  <si>
    <t>81W1017DFE</t>
  </si>
  <si>
    <t>Vivobook S 14 Flip TN3402YA-LZ005W</t>
  </si>
  <si>
    <t>AMD Ryzen 5 7530U</t>
  </si>
  <si>
    <t>14.0-inch, 2.8K (2880 x 1800) OLED 16:10 aspect ratio, 90Hz refresh rate, 500nits, 500nits HDR peak brightness, 100% DCI-P3 color gamut, 1,000,000:1, VESA CERTIFIED Display HDR True Black 500, 1.07 billion colors, PANTONE Validated, Glossy display, 65% le</t>
  </si>
  <si>
    <t>90 Hz</t>
  </si>
  <si>
    <t>Backlit Chiclet Keyboard, 1.4mm Key-travel, Touchpad</t>
  </si>
  <si>
    <t>2.0GHz (19MB Cache, up to 4.5 GHz, 6 cores, 12 Threads)</t>
  </si>
  <si>
    <t>90NB1112-M006H0</t>
  </si>
  <si>
    <t>UP3404VA-OLED005W</t>
  </si>
  <si>
    <t>Intel Core I5-1340P</t>
  </si>
  <si>
    <t>Intel® Iris Xe Graphics</t>
  </si>
  <si>
    <t>14.0-inch, 2.8K (2880 x 1800) OLED 16:10 aspect ratio, 0.2ms response time, 90Hz refresh rate, 400nits, 550nits HDR peak brightness, 100% DCI-P3 color gamut, 1,000,000:1, VESA CERTIFIED Display HDR True Black 500, 1.07 billion colors, PANTONE Validated, G</t>
  </si>
  <si>
    <t>311.5 x 223.4 x 15.9 mm</t>
  </si>
  <si>
    <t>1.9 GHz (12MB Cache, up to 4.6 GHz, 12 cores, 16 Threads)</t>
  </si>
  <si>
    <t>90NB10E2-M004S0</t>
  </si>
  <si>
    <t>4GB Soldered DDR4-3200</t>
  </si>
  <si>
    <t>15.6" HD (1366x768) TN 220nits Anti-glare</t>
  </si>
  <si>
    <t>82QD00AUED</t>
  </si>
  <si>
    <t>VivoBook 15 A1502ZA-EJ005W</t>
  </si>
  <si>
    <t>15.6-inch, FHD (1920 x 1080) 16:9 aspect ratio, IPS-level Panel, LED Backlit, 60Hz refresh rate, 250nits, 45% NTSC color gamut,</t>
  </si>
  <si>
    <t>1x USB 2.0 Type-A   1x USB 3.2 Gen 1 Type-C   2x USB 3.2 Gen 1 Type-A   1x HDMI 1.4   1x 3.5mm Combo Audio Jack   1x DC-in</t>
  </si>
  <si>
    <t>Quite Blue</t>
  </si>
  <si>
    <t>90NB0VX1-M02SC0</t>
  </si>
  <si>
    <t>Prestige 14 AI Evo C1MG</t>
  </si>
  <si>
    <t>14" Inch 16:10 FHD+ (1920x1200), 144hz 100%sRGB</t>
  </si>
  <si>
    <t>2x Type-C (USB / DP / Thunderbolt™ 4) with PD charging 1x Type-A USB3.2 Gen2 1x HDMI™ 2.1 (8K @ 60Hz / 4K @ 120Hz) 1x RJ45</t>
  </si>
  <si>
    <t>313.4 x 246.5 x 18.95 mm</t>
  </si>
  <si>
    <t>18M Cache, up to 4.50 GHz</t>
  </si>
  <si>
    <t>UX8406MA-PZ009WS</t>
  </si>
  <si>
    <t>Intel® Core™ Ultra 9 Processor 185H</t>
  </si>
  <si>
    <t>Intel® Arc™ Graphics</t>
  </si>
  <si>
    <t>14.0-inch</t>
  </si>
  <si>
    <t>3K (2880 x 1800)</t>
  </si>
  <si>
    <t>75WHrs</t>
  </si>
  <si>
    <t>FHD camera with IR</t>
  </si>
  <si>
    <t>1x USB 3.2 Gen 1 Type-A   2x Thunderbolt™ 4 supports display / power delivery   1x HDMI 2.1 TMDS   1x 3.5mm Combo Audio Jack</t>
  </si>
  <si>
    <t>31.35 x 21.79 x 1.46 ~ 1.99 cm</t>
  </si>
  <si>
    <t>2.3 GHz (24MB Cache, up to 5.1 GHz, 16 cores, 22 Threads</t>
  </si>
  <si>
    <t>90NB12U1-M007M0</t>
  </si>
  <si>
    <t>65W AC Adapter</t>
  </si>
  <si>
    <t>PW03QALR</t>
  </si>
  <si>
    <t>AMD Ryzen™ 7 5700U</t>
  </si>
  <si>
    <t>1x 16GB DDR4 3200</t>
  </si>
  <si>
    <t>512GB SSD PCIe</t>
  </si>
  <si>
    <t>14.0 FHD 45%NTSC</t>
  </si>
  <si>
    <t>720P Slim with Privacy Shutter</t>
  </si>
  <si>
    <t>1x Card reader 1x HDMI® 1.4b 1x Headphone / microphone combo jack (3.5mm) 1x Power connector 1x USB 3.2 Gen 1 1x USB 3.2 Gen 1 (Always On) 1x USB-C® 3.2 Gen 1 (support data transfer and Power Delivery 3.0)</t>
  </si>
  <si>
    <t>8C / 16T, 1.8 / 4.3GHz, 4MB L2 / 8MB L3</t>
  </si>
  <si>
    <t>82HU0158US</t>
  </si>
  <si>
    <t>16GB Soldered LPDDR4x-4266</t>
  </si>
  <si>
    <t>16" 2.5K (2560x1600) IPS 400nits Glossy, 100% sRGB, TÜV Low Blue Light, Glass, Touch</t>
  </si>
  <si>
    <t>82R80002US</t>
  </si>
  <si>
    <t>Envy x360 15-FE0053DX</t>
  </si>
  <si>
    <t>16 GB LPDDR5-5200 MHz RAM (onboard) Transfer rates up to 6400 MT/s. onboard</t>
  </si>
  <si>
    <t>15.6" diagonal, FHD (1920 x 1080), multitouch-enabled, IPS, edge-to-edge glass, micro-edge, 400 nits, low power, 100% sRGB</t>
  </si>
  <si>
    <t>2 Thunderbolt™ 4 with USB Type-C® 40Gbps signaling rate (USB Power Delivery, DisplayPort™ 1.4, HP Sleep and Charge); 1 USB Type-A 10Gbps signaling rate (HP Sleep and Charge); 1 USB Type-A 10Gbps signaling rate; 1 HDMI 2.1; 1 headphone/microphone combo</t>
  </si>
  <si>
    <t>357  x 228 x 18.28 mm</t>
  </si>
  <si>
    <t>1.76 kg</t>
  </si>
  <si>
    <t>7H9Y3UA</t>
  </si>
  <si>
    <t>3-Cell Battery, 41WHr (Integra ted)</t>
  </si>
  <si>
    <t>10MB Cache, up to 4.4 G Hz, 6 cores</t>
  </si>
  <si>
    <t>250 G8</t>
  </si>
  <si>
    <t>Intel Core I5-1035G1</t>
  </si>
  <si>
    <t>8 GB DDR4-2666 MHz RAM (1 x 8 GB)</t>
  </si>
  <si>
    <t>1 TB 5400 rpm SATA HDD</t>
  </si>
  <si>
    <t>15.6" diagonal, HD (1366 x 768), narrow bezel, anti-glare, 250 nits, 45% NTSC 39.6 cm (15.6") diagonal, HD (1366 x 768), narrow bezel, anti-glare, 250 nits, 45% NTSC</t>
  </si>
  <si>
    <t>Full-size keyboard with numeric keypad</t>
  </si>
  <si>
    <t>HP Long Life 3-cell, 41 Wh Li-ion</t>
  </si>
  <si>
    <t>USB Type-C® port with 5Gb/s signaling speed; Two USB Type-A ports with 5Gb/s signaling speed; AC power port; HDMI 1.4b port; Headphone/microphone combination stereo jack; RJ-45 port</t>
  </si>
  <si>
    <t>358 x 242 x 19.9 mm</t>
  </si>
  <si>
    <t>Dark ash silver</t>
  </si>
  <si>
    <t>6M Cache, up to 3.60 GHz</t>
  </si>
  <si>
    <t>12MB Cache, up to 4.4 GHz, 10 cores</t>
  </si>
  <si>
    <t>TravelMate TMP215-53G-55ZV</t>
  </si>
  <si>
    <t>Intel Core I5-1135G7</t>
  </si>
  <si>
    <t>NVIDIA GeForce MX330 2GB</t>
  </si>
  <si>
    <t>2GB GDDR5</t>
  </si>
  <si>
    <t>8 GB 1 x 8GB DDR4 SDRAM</t>
  </si>
  <si>
    <t>15.6" inch Full HD Aspect Ratio 16:9 LCD LED</t>
  </si>
  <si>
    <t>3-cell 48 Wh Lithium Ion (Li-Ion)</t>
  </si>
  <si>
    <t>HDMI Yes VGA Yes Network (RJ-45) Yes Number of HDMI Outputs 1 Total Number of USB Ports 4 Headphone/Microphone Combo Port Yes USB Type-C Yes USB Type-C Detail	USB Type-C port: USB 3.2 Gen 2 (up to 10 Gbps), DisplayPort over USB-C, USB charging 5 V; 3 A, D</t>
  </si>
  <si>
    <t>363 x 255 x 19.90 mm</t>
  </si>
  <si>
    <t>8MB Cache, u p to 4.2 GHz</t>
  </si>
  <si>
    <t>Zenbook S13 OLED UX5304VA-OLED517W</t>
  </si>
  <si>
    <t>Intel Core I7-1355U</t>
  </si>
  <si>
    <t>13.3-inch 2.8K (2880 x 1800) OLED 16:10 aspect ratio 0.2ms response time 60Hz refresh rate 550nits HDR peak brightness 100% DCI-P3 color gamut ontrast ratio 1,000,000:1 Glossy display</t>
  </si>
  <si>
    <t>63WHrs, 2S2P, 4-cell Li-ion</t>
  </si>
  <si>
    <t>296.2 x 216.3 x 10.9 ~ 11.8 mm</t>
  </si>
  <si>
    <t>1.00 kg</t>
  </si>
  <si>
    <t>90NB0Z92-M00D50</t>
  </si>
  <si>
    <t>Intel Core i3- 1115G4</t>
  </si>
  <si>
    <t>4GB, 1x4GB, DDR4, 2666MHz</t>
  </si>
  <si>
    <t>256GB M.2 PCIe NVMe Solid Stat e Drive</t>
  </si>
  <si>
    <t>15.6-inch HD glare LED-Backlit Non-touch N arrow Border Display</t>
  </si>
  <si>
    <t>1. SD Card Reader | 2. USB 2.0 | 3. RJ-45 | 4. Headset Jack* | 5. Wedge Shaped Lock Slot | 6. Power Jack | 7. HDMI* 1.4 | 8. USB 3.2 Gen 1 | 9. USB 3.2 Gen 1</t>
  </si>
  <si>
    <t>1.69 kg</t>
  </si>
  <si>
    <t>6MB Cache, u p to 4.1 GHz</t>
  </si>
  <si>
    <t>16GB, 8GBx2, DDR4, 2666MHz</t>
  </si>
  <si>
    <t>IdeaPad Slim 3 15IAH8</t>
  </si>
  <si>
    <t>1x Card reader 1x HDMI® 1.4 1x Headphone / microphone combo jack (3.5mm) 1x Power connector 1x USB-C® 3.2 Gen 1 (support data transfer, Power Delivery and DisplayPort™ 1.2) 2x USB 3.2 Gen 1</t>
  </si>
  <si>
    <t>83ER0081PS</t>
  </si>
  <si>
    <t>V15 IML</t>
  </si>
  <si>
    <t>Intel Core I3-10110U</t>
  </si>
  <si>
    <t>4GB Soldered DDR4-2666</t>
  </si>
  <si>
    <t>1TB HDD 5400rpm 2.5"</t>
  </si>
  <si>
    <t>15.6" FHD TN 220nits Anti-glare</t>
  </si>
  <si>
    <t>1x Card reader 1x HDMI® 1.4b 1x Headphone / microphone combo jack (3.5mm) 1x Power connector 1x USB 2.0 2x USB 3.2 Gen 1</t>
  </si>
  <si>
    <t>362.2 x 251.5 x 19.9 mm</t>
  </si>
  <si>
    <t>(2C / 4T, 2.1 / 4.1GHz, 4MB)</t>
  </si>
  <si>
    <t>82NB000GED</t>
  </si>
  <si>
    <t>IdeaPad 3 15ALC6</t>
  </si>
  <si>
    <t>AMD Ryzen 7-5700U</t>
  </si>
  <si>
    <t>8GB 4GB Soldered DDR4-3200 + 4GB SO-DIMM DDR4-3200</t>
  </si>
  <si>
    <t>1x Card reader 1x HDMI® 1.4b 1x Headphone / microphone combo jack (3.5mm) 1x Power connector 1x USB 2.0 1x USB 3.2 Gen 1 1x USB-C® 3.2 Gen 1 (support data transfer only)</t>
  </si>
  <si>
    <t>82KU00WCAK</t>
  </si>
  <si>
    <t>83ER007YED</t>
  </si>
  <si>
    <t>8MB Cache, up to 4.2 GHz</t>
  </si>
  <si>
    <t>82QD007WED</t>
  </si>
  <si>
    <t>ExpertBook B9400CEA-KC007R</t>
  </si>
  <si>
    <t>Intel® Iris® Xe graphics</t>
  </si>
  <si>
    <t>16 GB LPDDR4x onboard (dual channel support)</t>
  </si>
  <si>
    <t>1TB M.2 NVMe™ PCIe® 3.0 Performance SSD,</t>
  </si>
  <si>
    <t>14” LED-backlit, IPS Full HD (1920 x 1080), 16:9 aspect, anti-glare screen, 400 nits brightness display 4 mm-thin bezel with 94% screen-to-body ratio Wide 100% sRGB color gamut (NTSC: 72%) IPS-level wide-view technology</t>
  </si>
  <si>
    <t>Full-size, backlit, spill-resistant, with 1.5 mm key travel</t>
  </si>
  <si>
    <t>66 Wh, 4-cell lithium-polymer battery</t>
  </si>
  <si>
    <t>720p HD camera with microphone; IR camera</t>
  </si>
  <si>
    <t>2 x Thunderbolt™ 4 USB-C® (up to 40 Gbps, DisplayPort and power delivery support) 1 x USB 3.2 Gen 2 Type-A 1 x HDMI 1 x RJ45 LAN via micro HDMI port 1 x Kensington® lock slot 1 x Audio combo jack</t>
  </si>
  <si>
    <t>320 x 203 x 14.9 mm</t>
  </si>
  <si>
    <t>2.8 GHz quad-core with Turbo Boost (up to 4.7 GHz) and 12 MB cache</t>
  </si>
  <si>
    <t>90NX0SX1-M07570</t>
  </si>
  <si>
    <t>Spectre x360 14-EF2013DX</t>
  </si>
  <si>
    <t>16 GB LPDDR4x-4266 MHz RAM (onboard)</t>
  </si>
  <si>
    <t>13.5" diagonal, WUXGA+ (1920 x 1280), multitouch-enabled, IPS, edge-to-edge glass, micro-edge, anti-reflection Corning® Gorilla® Glass NBT™, Low Blue Light, 400 nits, low power, 100% sRGB</t>
  </si>
  <si>
    <t>1920 x 1280</t>
  </si>
  <si>
    <t>Full-size, backlit, nightfall black keyboard</t>
  </si>
  <si>
    <t>4-cell, 66 Wh Li-ion polymer</t>
  </si>
  <si>
    <t>1 USB Type-A 10Gbps signaling rate (HP Sleep and Charge); 2 Thunderbolt™ 4 with USB Type-C® 40Gbps signaling rate (USB Power Delivery, DisplayPort™ 1.4, HP Sleep and Charge); 1 headphone/microphone combo</t>
  </si>
  <si>
    <t>297 x 220 x 17 mm</t>
  </si>
  <si>
    <t>1.36 kg</t>
  </si>
  <si>
    <t>Nightfall black</t>
  </si>
  <si>
    <t>12M Cache, up to 5.00 GHz</t>
  </si>
  <si>
    <t>7P0Q7UA</t>
  </si>
  <si>
    <t>Envy x360 14-ES0013DX</t>
  </si>
  <si>
    <t>Intel Core I5-1335U</t>
  </si>
  <si>
    <t>8 GB DDR4-3200 MHz RAM (onboard)</t>
  </si>
  <si>
    <t>14" diagonal, FHD (1920 x 1080), multitouch-enabled, IPS, edge-to-edge glass, micro-edge, 250 nits, low power, 45% NTSC</t>
  </si>
  <si>
    <t>3-cell, 45 Wh Li-ion polymer</t>
  </si>
  <si>
    <t>322 x 210.82  x 19.05 mm</t>
  </si>
  <si>
    <t>up to 4.6 GHz, 12 MB L3 cache, 10 cores, 12 threads</t>
  </si>
  <si>
    <t>7H9Y4UA</t>
  </si>
  <si>
    <t>Pavilion x360 14-EK0073DX</t>
  </si>
  <si>
    <t>14" diagonal, FHD (1920 x 1080), multitouch-enabled, IPS, edge-to-edge glass, micro-edge, 250 nits, 45% NTSC</t>
  </si>
  <si>
    <t>Full-size, space blue keyboard</t>
  </si>
  <si>
    <t>322 x 210 x 18.79 mm</t>
  </si>
  <si>
    <t>Space blue</t>
  </si>
  <si>
    <t>up to 4.4 GHz with Intel® Turbo Boost Technology, 12 MB L3 cache, 10 cores, 12 threads</t>
  </si>
  <si>
    <t>7H713UA</t>
  </si>
  <si>
    <t>ExpertBook B9450FA-BM1050R</t>
  </si>
  <si>
    <t>Intel Core I7-10510U</t>
  </si>
  <si>
    <t>1TB SSD (up to dual 2TB)</t>
  </si>
  <si>
    <t>14” LED-backlit, IPS Full HD (1920 x 1080), 16:9 aspect, anti-glare screen, 300nits brightness display 4mm-thin bezel with 94% screen-to-body ratio Wide 100% sRGB color gamut (NTSC: 72%) IPS-level wide-view technology</t>
  </si>
  <si>
    <t>Full-size, backlit, spill-resistant, with 1.5mm key travel</t>
  </si>
  <si>
    <t>2 x Thunderbolt™ 3 USB-C™ (up to 40Gbps, DisplayPort and power delivery support) 1 x USB 3.1 Gen 2 Type-A 1 x HDMI 1 x RJ45 LAN via micro HDMI port 1 x Kensington® lock slot 1 x Audio combo jack</t>
  </si>
  <si>
    <t>1.8GHz quad-core with Turbo Boost (up to 4.9GHz) and 8MB cache</t>
  </si>
  <si>
    <t>90nx02k1-m15820</t>
  </si>
  <si>
    <t>Pavilion 15-eg0050ne</t>
  </si>
  <si>
    <t>Intel® Iris® Xᵉ Graphics</t>
  </si>
  <si>
    <t>15.6" diagonal, FHD (1920 x 1080), IPS, micro-edge, anti-glare, 250 nits, 45% NTSC</t>
  </si>
  <si>
    <t>1 SuperSpeed USB Type-C® 10Gbps signaling rate (USB Power Delivery, DisplayPort™ 1.4, HP Sleep and Charge); 2 SuperSpeed USB Type-A 5Gbps signaling rate; 1 HDMI 2.0; 1 AC smart pin; 1 headphone/microphone combo</t>
  </si>
  <si>
    <t>360.2 x 234 x 17.9 MM</t>
  </si>
  <si>
    <t>Natural Silver</t>
  </si>
  <si>
    <t>up to 4.7 GHz with Intel® Turbo Boost Technology, 12 MB L3 cache, 4 cores</t>
  </si>
  <si>
    <t>2S6Q9EA</t>
  </si>
  <si>
    <t>Titan Grey Aluminum</t>
  </si>
  <si>
    <t>Vivobook 15X OLED X1503ZA-OLED007W</t>
  </si>
  <si>
    <t>15.6-inch, FHD OLED 16:9 aspect ratio, 0.2ms response time, 60Hz refresh rate, 600nits HDR peak brightness, 100% DCI-P3 color gamut, 1,000,000:1, VESA CERTIFIED Display HDR True Black 600, 1.07 billion colors, PANTONE Validated, Glossy display, 70% less h</t>
  </si>
  <si>
    <t>356.8 x 227.6 x 19.9 mm</t>
  </si>
  <si>
    <t>2.3 GHz (24M Cache, up to 4.7 GHz, 6P+8E cores)</t>
  </si>
  <si>
    <t>90NB0WY1-M00BT0</t>
  </si>
  <si>
    <t>Pavilion 14-DV0027NE</t>
  </si>
  <si>
    <t>2GB</t>
  </si>
  <si>
    <t>8GB DDR4-3200 SDRAM (1 x 8 GB)</t>
  </si>
  <si>
    <t>35.6 cm (14") diagonal, FHD, IPS, micro-edge, anti-glare, 250 nits, 45% NTSC</t>
  </si>
  <si>
    <t>3-cell, 43 Wh Li-ion</t>
  </si>
  <si>
    <t>325 x 216.6 x 17 mm</t>
  </si>
  <si>
    <t>1.41 kg</t>
  </si>
  <si>
    <t>Ceramic White</t>
  </si>
  <si>
    <t>up to 4.2 GHz with Intel® Turbo Boost Technology, 8 MB L3 cache, 4 cores</t>
  </si>
  <si>
    <t>Pavilion 15-EG0100NE</t>
  </si>
  <si>
    <t>NVIDIA® GeForce® MX350 2GB</t>
  </si>
  <si>
    <t>15.6" diagonal, HD, touch, micro-edge, BrightView, 250 nits, 45% NTSC</t>
  </si>
  <si>
    <t>Full-size, backlit, luminous gold keyboard with numeric keypad</t>
  </si>
  <si>
    <t>1 USB Type-C® 10Gbps signaling rate (USB Power Delivery, DisplayPort™ 1.4, HP Sleep and Charge); 2 USB Type-A 5Gbps signaling rate; 1 AC smart pin; 1 HDMI 2.0; 1 headphone/microphone combo</t>
  </si>
  <si>
    <t>360.2 x 234 x 17.9 mm</t>
  </si>
  <si>
    <t>Warm gold</t>
  </si>
  <si>
    <t>256 GB PCIe® NVMe™ SSD</t>
  </si>
  <si>
    <t>15.6" diagonal, FHD, IPS, narrow bezel, anti-glare, 250 nits, 45% NTSC 39.6 cm (15.6") diagonal, FHD (1920 x 1080), IPS, narrow bezel, anti-glare, 250 nits, 45% NTSC [14,16]</t>
  </si>
  <si>
    <t>(up to 4.2 GHz with Intel® Turbo Boost Technology, 8 MB L3 cache, 4 cores)</t>
  </si>
  <si>
    <t>2W8X8EA</t>
  </si>
  <si>
    <t>Vivobook S 14 Flip TN3402QA-LZ005W</t>
  </si>
  <si>
    <t>14.0-inch WUXGA LED Backlit IPS-level 60Hz 300nits 45% NTSC Glossy display TÜV Rheinland-certified</t>
  </si>
  <si>
    <t>1080p FHD camera ; With privacy shutter</t>
  </si>
  <si>
    <t>1x USB 2.0 Type-A 1x USB 3.2 Gen 2 Type-A 1x USB 3.2 Gen 2 Type-C support display / power delivery / VR 1x HDMI 2.1 TMDS 1x 3.5mm Combo Audio Jack 1x DC-in</t>
  </si>
  <si>
    <t>90NB0WT1-M00950</t>
  </si>
  <si>
    <t>Zenbook 14 Flip OLED UN5401QA-OLED007W</t>
  </si>
  <si>
    <t>16GB LPDDR4X on board</t>
  </si>
  <si>
    <t>14.0-inch, 2.8K OLED 16:10 aspect ratio, LED Backlit, 0.2ms response time, 90Hz refresh rate, 550nits HDR peak brightness, 100% DCI-P3 color gamut, 1,000,000:1, VESA CERTIFIED Display HDR True Black 500, 1.07 billion colors, PANTONE Validated, Glossy disp</t>
  </si>
  <si>
    <t>Backlit Chiclet Keyboard, 1.4mm Key-travel, Support NumberPad</t>
  </si>
  <si>
    <t>1x USB 3.2 Gen 2 Type-A 2x USB 3.2 Gen 2 Type-C support display / power delivery 1x HDMI 2.1 TMDS 1x 3.5mm Combo Audio Jack Micro SD card reader</t>
  </si>
  <si>
    <t>311.2 x 222.5 x 15.9 mm</t>
  </si>
  <si>
    <t>1.40 kg</t>
  </si>
  <si>
    <t>Jade Black</t>
  </si>
  <si>
    <t>3.2 GHz (8-core/16-thread, 16MB cache, up to 4.4 GHz max boost)</t>
  </si>
  <si>
    <t>90NB0V31-M005A0</t>
  </si>
  <si>
    <t>Zenbook 14X OLED UX5400EG-OLED007W</t>
  </si>
  <si>
    <t>NVIDIA® GeForce® MX450 2GB</t>
  </si>
  <si>
    <t>16GB LPDDR4X on board, Memory Max Up to:16GB</t>
  </si>
  <si>
    <t>14.0-inch, 2.8K OLED 16:10 aspect ratio, 0.2ms response time, 90Hz refresh rate, 550nits peak brightness, 100% DCI-P3 color gamut, 1,000,000:1, VESA CERTIFIED Display HDR True Black 500, 1.07 billion colors, PANTONE Validated, Glossy display, 70% less har</t>
  </si>
  <si>
    <t>Backlit Chiclet Keyboard|1.4mm Key-travel</t>
  </si>
  <si>
    <t>1x USB 3.2 Gen 2 Type-A|2x Thunderbolt™ 4 supports display / power delivery|1x HDMI 2.0b|1x 3.5mm Combo Audio Jack|Micro SD card reader</t>
  </si>
  <si>
    <t>311.2 x 2212. x 16.9 mm</t>
  </si>
  <si>
    <t>Pine Grey</t>
  </si>
  <si>
    <t>2.8 GHz (12M Cache, up to 4.7 GHz, 4 cores)</t>
  </si>
  <si>
    <t>90NB0T83-M03620</t>
  </si>
  <si>
    <t>Vivobook S 14 Flip TP3402ZA-LZ005W</t>
  </si>
  <si>
    <t>14.0-inch, WUXGA 16:10 aspect ratio, IPS-level Panel, LED Backlit, 60Hz refresh rate, 300nits, 45% NTSC color gamut, Glossy display, TÜV Rheinland-certified, Touch screen, (Screen-to-body ratio)85%, With stylus support, 65% less harmful blue light, TÜV Rh</t>
  </si>
  <si>
    <t>1x USB 2.0 Type-A 1x USB 3.2 Gen 2 Type-A 1x Thunderbolt™ 4 supports display / power delivery 1x HDMI 2.1 TMDS 1x 3.5mm Combo Audio Jack 1x DC-in</t>
  </si>
  <si>
    <t>90NB0WR2-M00930</t>
  </si>
  <si>
    <t>Vivobook S 14 Flip TP3402ZA-LZ007W</t>
  </si>
  <si>
    <t>14.0-inch, WUXGA 16:10 aspect ratio, IPS-level Panel, LED Backlit, 60Hz refresh rate, 300nits, 45% NTSC color gamut, Glossy display, TÜV Rheinland-certified, Touch screen, (Screen-to-body ratio)85%, With stylus support</t>
  </si>
  <si>
    <t>90NB0WR2-M00940</t>
  </si>
  <si>
    <t>Vivobook S 15 OLED K3502ZA-OLED005W</t>
  </si>
  <si>
    <t>1x USB 2.0 Type-A  1x USB 3.2 Gen 1 Type-A  2x Thunderbolt™ 4 supports display / power delivery  1x HDMI 2.1 TMDS  1x 3.5mm Combo Audio Jack</t>
  </si>
  <si>
    <t>359.8 x 232.9 x 18.9 mm</t>
  </si>
  <si>
    <t>Brave Green</t>
  </si>
  <si>
    <t>90NB0WK3-M00JS0</t>
  </si>
  <si>
    <t>Zenbook Duo 14 UX482EGR-HY007W</t>
  </si>
  <si>
    <t>Intel Core I7-1195G7</t>
  </si>
  <si>
    <t>14.0-inch, FHD 16:9 aspect ratio, IPS-level Panel, LED Backlit, 60Hz refresh rate, 400nits, 100% sRGB color gamut, PANTONE Validated, Anti-glare display, Touch screen, (Screen-to-body ratio)93%, With stylus support</t>
  </si>
  <si>
    <t>70WHrs, 4S1P, 4-cell Li-ion</t>
  </si>
  <si>
    <t>1x USB 3.2 Gen 1 Type-A 2x Thunderbolt™ 4 supports display / power delivery 1x HDMI 1.4 1x 3.5mm Combo Audio Jack Micro SD card reader</t>
  </si>
  <si>
    <t>324 x 222 x 17.3 mm</t>
  </si>
  <si>
    <t>3.0 GHz (12M Cache, up to 4.8 GHz, 4 cores)</t>
  </si>
  <si>
    <t>90NB0S51-M002D0</t>
  </si>
  <si>
    <t>IDEAPAD FLEX 5 14ALC05</t>
  </si>
  <si>
    <t>82HU00AQED</t>
  </si>
  <si>
    <t>Modern 14 B5M-208</t>
  </si>
  <si>
    <t>Amd Ryzen 5-5500U</t>
  </si>
  <si>
    <t>256GB NVMe PCIe SSD</t>
  </si>
  <si>
    <t>14" FHD (1920*1080), 60Hz 45%NTSC IPS-Level</t>
  </si>
  <si>
    <t>1x Type-C USB3.2 Gen2 2x Type-A USB3.2 Gen2 1x Micro SD Card Reader 1x HDMI™ (4K @ 30Hz)</t>
  </si>
  <si>
    <t>319 x 220.2 x 16.9-18.1 mm</t>
  </si>
  <si>
    <t>1.3 kg</t>
  </si>
  <si>
    <t>6-Core/12-Thread, 11MB Cache, up to 4.0 GHz max boost</t>
  </si>
  <si>
    <t>Inspiron 3501</t>
  </si>
  <si>
    <t>NVIDIA® GeForce® MX330 2GB</t>
  </si>
  <si>
    <t>15.6-inch FHD Anti-glare LED Backlight Non-Touch Narrow Border WVA Display</t>
  </si>
  <si>
    <t>English International Non-backlit keyboard with numeric keypad-gray</t>
  </si>
  <si>
    <t>3-Cell Battery, 42WHr (Integrated)</t>
  </si>
  <si>
    <t>1. SD Card Reader │ 2. USB 2.0 Gen 1 Type-A │ 3. Wedge-shaped lock slot │ 4. Power-in │ 5. Optional USB 3.2 Gen 1 Type-C with Data Transfer (Available only on configurations with 11th gen processors &amp; NVIDIA® graphics) │ 6. HDMI 1.4 │ 7. RJ45 │ 8. USB 3.2</t>
  </si>
  <si>
    <t>355 x 248 x 17.7 mm</t>
  </si>
  <si>
    <t>1.83 kg</t>
  </si>
  <si>
    <t>Accent Black</t>
  </si>
  <si>
    <t>X515EP-BQ8G7W</t>
  </si>
  <si>
    <t>15.6-inch, FHD (1920 x 1080) 16:9 aspect ratio, LED Backlit, 60Hz refresh rate, 200nits, 45% NTSC color gamut, Anti-glare display, Non-touch screen, (Screen-to-body ratio)83%</t>
  </si>
  <si>
    <t>Chiclet Keyboard with Num-key, 1.4mm Key-travel, Touchpad</t>
  </si>
  <si>
    <t>37WHrs, 2S1P, 2-cell Li-ion</t>
  </si>
  <si>
    <t>1x USB 3.2 Gen 1 Type-A 1x USB 3.2 Gen 1 Type-C 2x USB 2.0 Type-A 1x HDMI 1.4 1x 3.5mm Combo Audio Jack</t>
  </si>
  <si>
    <t>360 x 235 x 19.9 mm</t>
  </si>
  <si>
    <t>Vivobook Go 15 OLED E1504FA-OLED005W</t>
  </si>
  <si>
    <t>AMD Ryzen 5-7520U</t>
  </si>
  <si>
    <t>15.6-inch, FHD (1920 x 1080) OLED 16:9 aspect ratio, 0.2ms response time, 60Hz refresh rate, 400nits, 600nits HDR peak brightness, 100% DCI-P3 color gamut, 1,000,000:1, VESA CERTIFIED Display HDR True Black 500, 1.07 billion colors, PANTONE Validated, Glo</t>
  </si>
  <si>
    <t>2.8GHz (4-core/8-thread, 4MB cache, up to 4.3 GHz max boost),</t>
  </si>
  <si>
    <t>90NB0ZR3-M00NH0</t>
  </si>
  <si>
    <t>VivoBook 15 X1502ZA-EJ003W</t>
  </si>
  <si>
    <t>15.6-inch FHD (1920 x 1080) 16:9 aspect ratio</t>
  </si>
  <si>
    <t>1.2 GHz (10M Cache, up to 4.4 GHz, 6 cores}</t>
  </si>
  <si>
    <t>90NB0VX1-M010H0</t>
  </si>
  <si>
    <t>Vivobook 15 X1500EP-EJ005W</t>
  </si>
  <si>
    <t>1x USB 3.2 Gen 1 Type-A 1x USB 3.2 Gen 1 Type-C 2x USB 2.0 Type-A 1x HDMI 1.4 1x 3.5mm Combo Audio Jack Micro SD card reader (on selected model)</t>
  </si>
  <si>
    <t>360. x 235. x 19.9 mm</t>
  </si>
  <si>
    <t>2.4 GHz (8M Cache, up to 4.2 GHz, 4 cores),</t>
  </si>
  <si>
    <t>90NB0TZ6-M00FE0</t>
  </si>
  <si>
    <t>Vivobook 15 X1500EP-EJ007W</t>
  </si>
  <si>
    <t>90NB0TZ6-M00M20</t>
  </si>
  <si>
    <t>Vivobook 16 X1605ZA-MB005W</t>
  </si>
  <si>
    <t>512GB M.2 NVMe™ PCIe® 3.0 SSD,</t>
  </si>
  <si>
    <t>16.0-inch, WUXGA (1920 x 1200) 16:10 aspect ratio, IPS-level Panel, 60Hz refresh rate, 300nits, 45% NTSC color gamut, Anti-glare display, TÜV Rheinland-certified, Non-touch screen, (Screen-to-body ratio)86%</t>
  </si>
  <si>
    <t>358.7 x 249.5 x 19.9 mm</t>
  </si>
  <si>
    <t>90NB0ZA2-M00460</t>
  </si>
  <si>
    <t>Vivobook 16 X1605VA-MB005W</t>
  </si>
  <si>
    <t>16.0-inch WUXGA (1920 x 1200) 16:10 aspect ratio</t>
  </si>
  <si>
    <t>2.6 GHz (18MB Cache, up to 4.7 GHz, 12 cores, 16 Threads)</t>
  </si>
  <si>
    <t>90NB10N3-M008P0</t>
  </si>
  <si>
    <t>Vivobook 16 X1605VA-MB007W</t>
  </si>
  <si>
    <t>16.0-inch WUXGA (1920 x 1200) 16:10 aspect ratio,</t>
  </si>
  <si>
    <t>90NB10N3-M008R0</t>
  </si>
  <si>
    <t>X515EA-BQ003W</t>
  </si>
  <si>
    <t>Intel Core I3-1115G4</t>
  </si>
  <si>
    <t>15.6-inches FHD (1920 x 1080) 16:9 aspect ratio, IPS-level Panel, LED Backlit, 60Hz refresh rate, 250nits, 45% NTSC color gamut for non-OLED, Anti-glare display, Screen-to-body ratio: 83 %</t>
  </si>
  <si>
    <t>Slate Grey</t>
  </si>
  <si>
    <t>3.0 GHz (6M Cache, up to 4.1 GHz, 2 cores)</t>
  </si>
  <si>
    <t>90NB0TY1-M022W0</t>
  </si>
  <si>
    <t>Vivobook 16 X1605ZA-MB007W</t>
  </si>
  <si>
    <t>1.7 GHz (12M Cache, up to 4.7 GHz, 10 cores)</t>
  </si>
  <si>
    <t>90NB0ZA2-M00600</t>
  </si>
  <si>
    <t>Pavilion x360 14-EK0033DX</t>
  </si>
  <si>
    <t>8 GB DDR4-3200 MHz RAM (onboard) Transfer rates up to 3200 MT/s. onboard</t>
  </si>
  <si>
    <t>14" diagonal, FHD (1920 x 1080), multitouch-enabled, IPS, edge-to-edge glass, micro-edge, 250 nits, 45% NTSC [17]</t>
  </si>
  <si>
    <t>322 x 210 x 19.9 mm</t>
  </si>
  <si>
    <t>67W83UA</t>
  </si>
  <si>
    <t>IdeaPad 3 15ITL6</t>
  </si>
  <si>
    <t>Intel Core i5 1135G7</t>
  </si>
  <si>
    <t>NVIDIA® GeForce MX350 2GB</t>
  </si>
  <si>
    <t>8GB, 4GB Soldered DDR4-3200 + 4GB SO-DIMM DDR4-3200</t>
  </si>
  <si>
    <t>1x USB 2.0 1x USB 3.2 Gen 1 1x USB-C® 3.2 Gen 1 (support data transfer only) 1x HDMI® 1.4b 1x Card reader 1x Headphone / microphone combo jack (3.5mm) 1x Power connector</t>
  </si>
  <si>
    <t>82H800L5AX</t>
  </si>
  <si>
    <t>Nvidia GeForce MX550 2GB</t>
  </si>
  <si>
    <t>V15 G2 ALC</t>
  </si>
  <si>
    <t>AMD Ryzen 5 5500U</t>
  </si>
  <si>
    <t>1x USB 2.0 1x USB 3.2 Gen 1 1x USB-C® 3.2 Gen 1 (support data transfer only) 1x HDMI® 1.4b 1x Ethernet (RJ-45) 1x Headphone / microphone combo jack (3.5mm) 1x Power connector</t>
  </si>
  <si>
    <t>(6C / 12T, 2.1 / 4.0GHz, 3MB L2 / 8MB L3)</t>
  </si>
  <si>
    <t>82KD001EAK</t>
  </si>
  <si>
    <t>15S-EQ2009NE</t>
  </si>
  <si>
    <t>8GB DDR4 3200MHz (1 x 8GB)</t>
  </si>
  <si>
    <t>512 GB PCIe® NVMe™ M.2 Solid State Drive</t>
  </si>
  <si>
    <t>39.6 cm (15.6") diagonal FHD, Anti-Glare, 250 nits, NTSC 45% color</t>
  </si>
  <si>
    <t>Full-size black keyboard with numeric keypad</t>
  </si>
  <si>
    <t>3-cell, 41 Wh lithium-ion battery</t>
  </si>
  <si>
    <t>USB Type-C® 5Gb/s signaling rate (supports data transfer only, does not support charging or connecting to external displays); 2 USB Type-A 5Gb/s signaling rate; 1 AC smart pin; 1 HDMI 1.4b; One headphone and microphone combo jack</t>
  </si>
  <si>
    <t>358.5 × 242 × 17.9 mm</t>
  </si>
  <si>
    <t>1.69 Kg</t>
  </si>
  <si>
    <t>4.3GHz Max Boost, 8MB L3 Cache, 8 Cores, 16 Threads</t>
  </si>
  <si>
    <t>15.6-inch HD Anti -glare LED-Backlit Non-touch Narrow Border Display</t>
  </si>
  <si>
    <t>1. SD Card Reader | 2. USB 2.0 | 3. RJ-45 | 4. Headset Jack* | 5. Wedge Shaped Lock Slot | 6. Power Jack | 7. HDMI* 1.4 | 8. USB 3.2 Gen 1 | 9. USB 3.2 Gen 1</t>
  </si>
  <si>
    <t>Modern 14 B11MOU</t>
  </si>
  <si>
    <t>Intel Core I3-1115G</t>
  </si>
  <si>
    <t>4GB Ram</t>
  </si>
  <si>
    <t>14.0" FHD, IPS-Level</t>
  </si>
  <si>
    <t>1x Type-C USB3.2 Gen2 2x Type-A USB3.2 Gen1 1x Micro SD Card Reader 1x HDMI™ 2.1 (4K @ 60Hz) HDMI™</t>
  </si>
  <si>
    <t>319 x 219 x 16.9-18.1 mm</t>
  </si>
  <si>
    <t>9S7-14D334-1022</t>
  </si>
  <si>
    <t>Aspire 3 A315-58G-55XH</t>
  </si>
  <si>
    <t>NVIDIA GeForce MX350 2GB</t>
  </si>
  <si>
    <t>8 GB DDR4 SDRAM</t>
  </si>
  <si>
    <t>1 TB HDD</t>
  </si>
  <si>
    <t>2-cell Lithium Ion (Li-Ion) 36.70 Wh</t>
  </si>
  <si>
    <t>HDMI Yes Network (RJ-45) Yes Number of HDMI Outputs 1 Total Number of USB Ports 3 Number of USB 2.0 Ports	1 Headphone/Microphone Combo Port	Yes Number of USB 3.2 Gen 1 Type-A Ports	2</t>
  </si>
  <si>
    <t>363.4 x 238.4 x 19.90 mm</t>
  </si>
  <si>
    <t>1.10 kg</t>
  </si>
  <si>
    <t>Pure Silver</t>
  </si>
  <si>
    <t>2.40 GHz up to 4.20 GHz, 4 Cores, 8MB Cache</t>
  </si>
  <si>
    <t>NX.ADUEM.00D</t>
  </si>
  <si>
    <t>VivoBook S14 S433EQ-AM07GW</t>
  </si>
  <si>
    <t>14.0-inch, FHD (1920 x 1080) 16:9 aspect ratio, IPS-level Panel, LED Backlit, 250nits, 100% sRGB color gamut for non-OLED, Anti-glare display</t>
  </si>
  <si>
    <t>1x USB 3.2 Gen 1 Type-A|2x USB 2.0 Type-A|1x Thunderbolt™ 4 supports display / power delivery|1x HDMI 1.4|1x 3.5mm Combo Audio Jack|1x Headphone out|Micro SD card reader</t>
  </si>
  <si>
    <t>324 x 213 x 15.9 mm</t>
  </si>
  <si>
    <t>90NB0RK2-M003T0</t>
  </si>
  <si>
    <t>Zenbook 13 OLED UX325EA-OLED007W</t>
  </si>
  <si>
    <t>13.3-inch, FHD (1920 x 1080) OLED 16:9 aspect ratio, 0.2ms response time, 550nits peak brightness, 100% DCI-P3 color gamut, 1,000,000:1, VESA CERTIFIED Display HDR True Black 500, 1.07 billion colors, PANTONE Validated, Glossy display, 70% less harmful bl</t>
  </si>
  <si>
    <t>Backlit Chiclet Keyboard, 1.4mm Key-travel, Support NumberPad (Optional)</t>
  </si>
  <si>
    <t>67WHrs, 4S1P, 4-cell Li-ion</t>
  </si>
  <si>
    <t>1x USB 3.2 Gen 1 Type-A 2x Thunderbolt™ 4 supports display / power delivery 1x HDMI 2.0b Micro SD card reader</t>
  </si>
  <si>
    <t>304.2 x 203 x 13.9 mm</t>
  </si>
  <si>
    <t>1.14 kg</t>
  </si>
  <si>
    <t>90NB0SL1-M00C20</t>
  </si>
  <si>
    <t>ZenBook 13 OLED UX325EA-OLED005W</t>
  </si>
  <si>
    <t>8GB LPDDR4X on board</t>
  </si>
  <si>
    <t>13.3-inch, FHD OLED 16:9 aspect ratio, 0.2ms response time, 550nits peak brightness, 100% DCI-P3 color gamut, 1,000,000:1, VESA CERTIFIED Display HDR True Black 500, 1.07 billion colors, PANTONE Validated, Glossy display, 70% less harmful blue light, SGS</t>
  </si>
  <si>
    <t>2.4 GHz (8M Cache, up to 4.2 GHz, 4 cores)</t>
  </si>
  <si>
    <t>90NB0SL1-M00C10</t>
  </si>
  <si>
    <t>Surface Pro 9</t>
  </si>
  <si>
    <t>12th Gen Intel® Core™ i7-1255U</t>
  </si>
  <si>
    <t>16GB LPDDR5 RAM</t>
  </si>
  <si>
    <t>Screen: 13” PixelSense™ Flow Display</t>
  </si>
  <si>
    <t>2880 X 1920 (267 PPI)</t>
  </si>
  <si>
    <t>OPTINAL</t>
  </si>
  <si>
    <t>Up to 15.5 hours of typical device usage</t>
  </si>
  <si>
    <t>Windows Hello facial authentication camera (front camera) Front camera and 1080p Full HD video Rear camera 10.0MP autofocus and 1080p 4k HD video recording</t>
  </si>
  <si>
    <t>2W stereo speakers with Dolby® Atmos®Footnote8 , Dual far field studio microphones , 2 x USB-C® with USB 4.0/ Thunderbolt™ 4 1 x Surface Connect port 1 x Surface Type Cover port , Wi-Fi 6E: 802.11ax compatible Bluetooth® Wireless 5.1 technology</t>
  </si>
  <si>
    <t>287 x 209 x 9.3 mm</t>
  </si>
  <si>
    <t>1.94 lb (879 g)</t>
  </si>
  <si>
    <t>1-year limited hardware warranty</t>
  </si>
  <si>
    <t>12M Cache, up to 4.80 GHz, with IPU</t>
  </si>
  <si>
    <t>Huawei</t>
  </si>
  <si>
    <t>MateBook B3-420</t>
  </si>
  <si>
    <t>512 GB NVMe PCIe SSD</t>
  </si>
  <si>
    <t>14 Inch FHD IPS Aspect Ratio 16:9 Screen-to-body Ratio 84%</t>
  </si>
  <si>
    <t>Full-size Backlit Keyboard Touchpad with Multi-touch</t>
  </si>
  <si>
    <t>56 Wh Lithium polymer</t>
  </si>
  <si>
    <t>USB 3.2 Gen1 x 1  USB-A 2.0 x 1  USB-C x 1(supporting charging &amp; data)  HDMI x 1  Mini RJ45 x 1  3.5 mm headset and microphone 2-in-1 jack x 1</t>
  </si>
  <si>
    <t>322.5 X 214.8 X 15.9 mm</t>
  </si>
  <si>
    <t>1.38 kg</t>
  </si>
  <si>
    <t>Space Gray</t>
  </si>
  <si>
    <t>Fingerprint Power Button</t>
  </si>
  <si>
    <t>Vivobook 15 X1502ZA-EJ007W</t>
  </si>
  <si>
    <t>15.6-inch FHD 16:9 aspect ratio 60Hz refresh rate</t>
  </si>
  <si>
    <t>90NB0VX1-M010K0</t>
  </si>
  <si>
    <t>ZenBook 14 UX425EA-KI007W</t>
  </si>
  <si>
    <t>FHD 16:9 aspect ratio 60Hz refresh rate</t>
  </si>
  <si>
    <t>1x USB 3.2 Gen 1 Type-A 2x Thunderbolt™ 4 supports display / power delivery 1x HDMI 2.1 TMDS Micro SD card reader</t>
  </si>
  <si>
    <t>319 x 208 x 13.9 mm</t>
  </si>
  <si>
    <t>1.17 Kg</t>
  </si>
  <si>
    <t>90NB0SM1-M00FD0</t>
  </si>
  <si>
    <t>ZenBook 14 OLED UX3402ZA-OLED005W</t>
  </si>
  <si>
    <t>2.8K OLED 16:10 aspect ratio 90Hz refresh rate</t>
  </si>
  <si>
    <t>1x USB 3.2 Gen 2 Type-A 2x Thunderbolt™ 4 supports display / power delivery 1x HDMI 2.1 TMDS 1x 3.5mm Combo Audio Jack Micro SD card reader</t>
  </si>
  <si>
    <t>313.6 x 220.6 x 16.9 mm</t>
  </si>
  <si>
    <t>1.39 Kg</t>
  </si>
  <si>
    <t>1.7 GHz (12M Cache, up to 4.4 GHz, 4P+8E cores)</t>
  </si>
  <si>
    <t>90NB0WC1-M012R0</t>
  </si>
  <si>
    <t>ZenBook 14 OLED UX3402ZA-OLED007W</t>
  </si>
  <si>
    <t>2.1 GHz (18M Cache, up to 4.7 GHz, 4P+8E cores)</t>
  </si>
  <si>
    <t>90NB0WC1-M011K0</t>
  </si>
  <si>
    <t>ZenBook Flip 14 UP5401ZA-KN007W</t>
  </si>
  <si>
    <t>16GB Ram LPDDR5</t>
  </si>
  <si>
    <t>14.0-inch, 2.8K OLED 16:10 aspect ratio, 0.2ms response time, 90Hz refresh rate, 550nits HDR peak brightness, 100% DCI-P3 color gamut, 1,000,000:1, VESA CERTIFIED Display HDR True Black 500, 1.07 billion colors, PANTONE Validated, 70% less harmful blue li</t>
  </si>
  <si>
    <t>311 x 223 x 15.9 mm</t>
  </si>
  <si>
    <t>1.40 Kg</t>
  </si>
  <si>
    <t>90NB0XL1-M004H0</t>
  </si>
  <si>
    <t>VivoBook 15 X1502ZA-EJ005W</t>
  </si>
  <si>
    <t>15.6 inche FHD 16:9 aspect ratio</t>
  </si>
  <si>
    <t>Backlit Chiclet Keyboard 1.4mm Key-travel</t>
  </si>
  <si>
    <t>90NB0VX1-M010J0</t>
  </si>
  <si>
    <t>Aspire 3 A315-58G-77RJ</t>
  </si>
  <si>
    <t>12GB DDR4 Memory 4GB+8GB</t>
  </si>
  <si>
    <t>1TB HDD + 256GB PCIe NVMe SSD</t>
  </si>
  <si>
    <t>15.6" FHD Acer ComfyView LED LCD</t>
  </si>
  <si>
    <t>36Wh Li-ion battery</t>
  </si>
  <si>
    <t>HD Camera with 2Mic</t>
  </si>
  <si>
    <t>HDMI  Yes Network (RJ-45)  Yes Number of HDMI Outputs  1 Total Number of USB Ports  3 Number of USB 2.0 Ports  1 Headphone/Microphone Combo Port  Yes Number of USB 3.2 Gen 1 Type-A Ports  2</t>
  </si>
  <si>
    <t>363.4 x 238.4 x 19.9 mm</t>
  </si>
  <si>
    <t>1.7 Kg</t>
  </si>
  <si>
    <t>12M Cache, up to 4.70 GHz, with IPU</t>
  </si>
  <si>
    <t>NX.ADUEM.00U</t>
  </si>
  <si>
    <t>Aspire 3 A315-58G-59YM</t>
  </si>
  <si>
    <t>8GB DDR4 Memory 2x4</t>
  </si>
  <si>
    <t>HDMI  Yes,Network (RJ-45)  Yes, Number of HDMI Outputs  1, Total Number of USB Ports  3, Number of USB 2.0 Ports  1, Headphone/Microphone Combo Port  Yes, Number of USB 3.2 Gen 1 Type-A Ports  2,</t>
  </si>
  <si>
    <t>NX.ADUEM.00T</t>
  </si>
  <si>
    <t>Aspire 5 A515-45G-R1KS</t>
  </si>
  <si>
    <t>AMD Radeon RX640 2GB</t>
  </si>
  <si>
    <t>8GB DDR4 Memory</t>
  </si>
  <si>
    <t>48Wh Li-ion battery</t>
  </si>
  <si>
    <t>HDMI  Yes, Network (RJ-45)  Yes, Audio Line In  Yes, Number of HDMI Outputs  1, Total Number of USB Ports  4, Number of USB 2.0 Ports  1, USB Type-C  Yes, USB Type-C Detail  USB Type-C port: USB 3.2 Gen 1 (up to 5 Gbps), Number of USB 3.2 Gen 1 Type-C Por</t>
  </si>
  <si>
    <t>363.4 x 250.5 x 17.95 mm</t>
  </si>
  <si>
    <t>1.76 Kg</t>
  </si>
  <si>
    <t>up to 4.3 GHz max boost clock, 8 MB L3 cache, 8 cores, 16 threads</t>
  </si>
  <si>
    <t>NX.A8AEM.00E</t>
  </si>
  <si>
    <t>Aspire 5 A515-45G-R1RE</t>
  </si>
  <si>
    <t>AMD Ryzen 5-5500U</t>
  </si>
  <si>
    <t>up to 4.0 GHz max boost clock, 8 MB L3 cache, 6 cores, 12 threads</t>
  </si>
  <si>
    <t>NX.A8AEM.00D</t>
  </si>
  <si>
    <t>Aspire 3 A315-56-35TF</t>
  </si>
  <si>
    <t>Intel Core I3-1005G1</t>
  </si>
  <si>
    <t>4 GB DDR4 Memory</t>
  </si>
  <si>
    <t>15.6'' Inch FHD Acer ComfyView LED LCD</t>
  </si>
  <si>
    <t>0.3MP</t>
  </si>
  <si>
    <t>HDMI  Yes, Network (RJ-45)  Yes, Number of HDMI Outputs  1, Total Number of USB Ports  3, Number of USB 2.0 Ports  2, Headphone/Microphone Combo Port  Yes, Number of USB 3.1 Gen 1 Type-A Ports 1,</t>
  </si>
  <si>
    <t>363.4 x 247.5 x 19.9 mm</t>
  </si>
  <si>
    <t>1.9 Kg</t>
  </si>
  <si>
    <t>4M Cache, up to 3.40 GHz</t>
  </si>
  <si>
    <t>NX.HS5EM.01K</t>
  </si>
  <si>
    <t>Aspire 3 A315-58G-51L4</t>
  </si>
  <si>
    <t>8GB DDR4 SDRAM 2 x 4GB</t>
  </si>
  <si>
    <t>15.6'' Inch FHD Aspect Ratio 16:9 Acer ComfyView LED LCD</t>
  </si>
  <si>
    <t>The device features HDMI connectivity, allowing you to connect to external displays. It also includes a network port (RJ-45) for wired internet access. There is one HDMI output available, providing video output to compatible devices. In terms of USB conne</t>
  </si>
  <si>
    <t>363.4  x 238.4 x 19.9 mm</t>
  </si>
  <si>
    <t>NX.ADUEM.00S</t>
  </si>
  <si>
    <t>Vivobook 16X D1603QA-MB007W</t>
  </si>
  <si>
    <t>16.0 inch WUXGA 16:10 aspect ratio 300nits 45% NTSC color gamut Anti-glare display Screen-to-body ratio 86 ％</t>
  </si>
  <si>
    <t>358.4 x 247.7 x 19.9 mm</t>
  </si>
  <si>
    <t>(8-core/16-thread, 20MB cache, up to 4.4 GHz max boost)</t>
  </si>
  <si>
    <t>90NB0Y82-M00K50</t>
  </si>
  <si>
    <t>VivoBook 15 X1502ZA-BQ003W</t>
  </si>
  <si>
    <t>15.6-inch FHD 16:9 aspect ratio LED Backlit IPS-level Panel 250nits 45% NTSC color gamut Anti-glare display TÜV Rheinland-certified Screen-to-body ratio 82 ％</t>
  </si>
  <si>
    <t>90NB0VX1-M00VV0</t>
  </si>
  <si>
    <t>VivoBook 15 X1502ZA-BQ005W</t>
  </si>
  <si>
    <t>90NB0VX1-M00VW0</t>
  </si>
  <si>
    <t>VivoBook 15 X1502ZA-BQ007W</t>
  </si>
  <si>
    <t>Inte Core I7-12700H</t>
  </si>
  <si>
    <t>24M Cache, up to 4.7 GHz, 6P+8E cores</t>
  </si>
  <si>
    <t>90NB0VX1-M00VX0</t>
  </si>
  <si>
    <t>Vivobook Flip 14 TP470EA-EC003W</t>
  </si>
  <si>
    <t>4GB LPDDR4X on board</t>
  </si>
  <si>
    <t>14.0-inch FHD 16:9 aspect ratio LED Backlit IPS-level Panel 250nits 45% NTSC color gamut Glossy display Screen-to-body ratio 82 ％ Touch screen</t>
  </si>
  <si>
    <t>1x USB 2.0 Type-A 1x USB 3.2 Gen 2 Type-A 1x Thunderbolt™ 4 supports display / power delivery 1x HDMI 1.4 1x 3.5mm Combo Audio Jack 1x DC-in Micro SD card reader</t>
  </si>
  <si>
    <t>324 x 220. x 18.7 mm</t>
  </si>
  <si>
    <t>90NB0S01-M00DW0</t>
  </si>
  <si>
    <t>Vivobook Flip 14 TP470EA-EC005W</t>
  </si>
  <si>
    <t>14.0-inch FHD 16:9 aspect ratio LED Backlit IPS-level Panel 60Hz refresh rate 250nits 45% NTSC color gamut Touch screen</t>
  </si>
  <si>
    <t>324 x 220 x 18.7 mm</t>
  </si>
  <si>
    <t>90NB0S01-M00FK0</t>
  </si>
  <si>
    <t>Vivobook Flip 14 TP470EA-EC007W</t>
  </si>
  <si>
    <t>14.0-inch FHD 16:9 aspect ratio LED Backlit IPS-level Panel 250nits Touch screen</t>
  </si>
  <si>
    <t>90NB0S01-M00FL0</t>
  </si>
  <si>
    <t>255 G8</t>
  </si>
  <si>
    <t>15.6'' Inch FHD SVA, Anti-Glare WLED, 250 nits, eDP micro-edge, 45% NTSC</t>
  </si>
  <si>
    <t>Full size textured island-style</t>
  </si>
  <si>
    <t>3-cell,</t>
  </si>
  <si>
    <t>HP TrueVision HD Camera</t>
  </si>
  <si>
    <t>(2) USB-A 3.2 Gen 1 (1) USB 3.2 Gen 1 Type-C 5 Gbps signaling rate (data transfer only; charging or external monitors not supported) (1) HDMI 1.4b (cable sold separately) (1) RJ-45 (1) AC power port (1) Headphone/microphone combo jack</t>
  </si>
  <si>
    <t>Asteroid silver</t>
  </si>
  <si>
    <t>Aspire 3 A315-58-39P3</t>
  </si>
  <si>
    <t>4GB DDR4 SDRAM</t>
  </si>
  <si>
    <t>15.6 Inch FHD LCD Aspect Ratio 16:9</t>
  </si>
  <si>
    <t>2-cell Lithium Ion (Li-Ion) Battery Energy 36.70 Wh</t>
  </si>
  <si>
    <t>HDMI port, an RJ-45 network port, a total of three USB ports (one USB 2.0 and two USB 3.2 Gen 1 Type-A), and a headphone/microphone combo port</t>
  </si>
  <si>
    <t>6MB Cache, up to 4.1 GHz</t>
  </si>
  <si>
    <t>NX.ADDEM.00D</t>
  </si>
  <si>
    <t>45W</t>
  </si>
  <si>
    <t>Aspire 3 A315-58G-5657</t>
  </si>
  <si>
    <t>8GB DDR4 SDRAM  2 x 4GB</t>
  </si>
  <si>
    <t>HDMI port, a network (RJ-45) port, 3 USB ports (1 USB 2.0 and 2 USB 3.2 Gen 1 Type-A), and a headphone/microphone combo port</t>
  </si>
  <si>
    <t>NX.ADUEM.00H</t>
  </si>
  <si>
    <t>15s-EQ2383NIA</t>
  </si>
  <si>
    <t>AMD Ryzen 3 5300U</t>
  </si>
  <si>
    <t>39.6 cm (15.6") diagonal, FHD, micro-edge, anti-glare, 250 nits, 45% NTSC</t>
  </si>
  <si>
    <t>358.5 x 242 x 17.9 mm</t>
  </si>
  <si>
    <t>up to 3.8 GHz max boost clock, 4 MB L3 cache, 4 cores, 8 threads)</t>
  </si>
  <si>
    <t>6B9X3EA</t>
  </si>
  <si>
    <t>15-DW3049NE</t>
  </si>
  <si>
    <t>4GB DDR4-2666 MHz RAM (1 x 4 GB)</t>
  </si>
  <si>
    <t>39.6 cm (15.6") diagonal, HD, micro-edge, anti-glare, 250 nits, 45% NTSC</t>
  </si>
  <si>
    <t>1 USB Type-C® 5Gbps signaling rate; 2 USB Type-A 5Gbps signaling rate; 1 AC smart pin; 1 HDMI 1.4b; 1 headphone/microphone combo; 1 RJ-45</t>
  </si>
  <si>
    <t>358.5 x 242 x 19.9 mm</t>
  </si>
  <si>
    <t>up to 4.1 GHz with Intel® Turbo Boost Technology, 6 MB L3 cache, 2 cores</t>
  </si>
  <si>
    <t>3G4Q9EA</t>
  </si>
  <si>
    <t>VOSTRO 15 3510</t>
  </si>
  <si>
    <t>Nvidia GeForce MX350 2GB</t>
  </si>
  <si>
    <t>3-Cell Battery, 41WHr</t>
  </si>
  <si>
    <t>Modern 14 B11M-803XEG</t>
  </si>
  <si>
    <t>Intel Core I5-1155G7</t>
  </si>
  <si>
    <t>Intel Iris Xe</t>
  </si>
  <si>
    <t>14 Inch FHD IPS-Level</t>
  </si>
  <si>
    <t>Single Backlit Keyboard</t>
  </si>
  <si>
    <t>3-Cell 39.3 Whr</t>
  </si>
  <si>
    <t>1x Type-C (USB / DP / Thunderbolt™) with PD charging 2x Type-A USB3.2 Gen2 1x Micro SD Card Reader 1x HDMI™ 2.1 (4K @ 60Hz)</t>
  </si>
  <si>
    <t>319 x 219 x 16.9 mm</t>
  </si>
  <si>
    <t>8M Cache, up to 4.20 GHz, 4 Cores</t>
  </si>
  <si>
    <t>X515EP-EJ007W</t>
  </si>
  <si>
    <t>Nvidia GeForce MX 330 2GB</t>
  </si>
  <si>
    <t>15.6-inch, FHD 16:9 aspect ratio, LED Backlit, 60Hz refresh rate, 200nits, 45% NTSC color gamut, Anti-glare display, Non-touch screen, (Screen-to-body ratio)85%</t>
  </si>
  <si>
    <t>Backlit Chiclet Keyboard with Num-key, 1.4mm Key-travel</t>
  </si>
  <si>
    <t>1x USB 3.2 Gen 1 Type-A 1x USB 3.2 Gen 1 Type-C 2x USB 2.0 Type-A 1x HDMI 1.4 1x Headphone out Micro SD card reader</t>
  </si>
  <si>
    <t>359 x 235 x 19.9 mm</t>
  </si>
  <si>
    <t>1.8 Kg</t>
  </si>
  <si>
    <t>2.8 GHz up to 4.7 GHz, 12M Cache, 4 cores</t>
  </si>
  <si>
    <t>90NB0TZ2-M00FH0</t>
  </si>
  <si>
    <t>Ideapad 3-15ITL6</t>
  </si>
  <si>
    <t>Nvidia GeForce MX450</t>
  </si>
  <si>
    <t>4GB Soldered DDR4-3200 + 4GB SO-DIMM DDR4-3200 Up to 12GB (4GB soldered + 8GB SO-DIMM) DDR4-3200 offering</t>
  </si>
  <si>
    <t>15.6" FHD 1920x1080 TN 250nits Anti-glare</t>
  </si>
  <si>
    <t>11ac, 2x2 + BT5.0 Standard Ports	 1x USB 2.0 1x USB 3.2 Gen 1 1x USB-C 3.2 Gen 1 (support data transfer only) 1x HDMI 1.4b 1x Card reader 1x Headphone / microphone combo jack (3.5mm) 1x Power connector</t>
  </si>
  <si>
    <t>Intel Core i7-1165G7 4Cores  8T, 2.8  4.7GHz, 12MB</t>
  </si>
  <si>
    <t>82H8018NED</t>
  </si>
  <si>
    <t>65W Round Tip (2-pin, Wall-mount)</t>
  </si>
  <si>
    <t>Infinix</t>
  </si>
  <si>
    <t>In Book X2</t>
  </si>
  <si>
    <t>Intel Core I7-1065G7</t>
  </si>
  <si>
    <t>14 inches, IPS, 16:9, 300 nits, 100% sRGB, 178 degrees,</t>
  </si>
  <si>
    <t>Full-size Backlit Chiclet Keyboard</t>
  </si>
  <si>
    <t>50Wh Lithium polymer</t>
  </si>
  <si>
    <t>Dual-Star light HD Video Camera</t>
  </si>
  <si>
    <t>USB-C x 1 (Data, Charging and DisplayPort) USB-C x 1 (Data) USB 3.0 × 2 HDMI 1.4 × 1 SD card slot x 1 3.5 mm Headset and Microphone Jack x 1</t>
  </si>
  <si>
    <t>323.3 x 211.1 x 14.8 mm</t>
  </si>
  <si>
    <t>1.24 kg</t>
  </si>
  <si>
    <t>8M Cache, up to 3.90 GHz</t>
  </si>
  <si>
    <t>15S-EQ2002NE</t>
  </si>
  <si>
    <t>Amd Ryzen 7-5700U</t>
  </si>
  <si>
    <t>1 USB Type-C® 5Gbps signaling rate; 2 USB Type-A 5Gbps signaling rate; 1 AC smart pin; 1 HDMI 1.4b; 1 headphone/microphone combo</t>
  </si>
  <si>
    <t>AMD Ryzen™ 7 5700U (up to 4.3 GHz max boost clock, 8 MB L3 cache, 8 cores, 16 threads)</t>
  </si>
  <si>
    <t>15S-EQ2012NE</t>
  </si>
  <si>
    <t>Integrated,  AMD Radeon™ Graphics</t>
  </si>
  <si>
    <t>8GB Ram 3200 MHz RAM (1 x 8 GB)</t>
  </si>
  <si>
    <t>39.6 cm (15.6") diagonal, FHD micro-edge, anti-glare, 250 nits, 45% NTSC</t>
  </si>
  <si>
    <t>Jet Black</t>
  </si>
  <si>
    <t>AMD Ryzen™ 5 5500U (up to 4.0 GHz max boost clock, 8 MB L3 cache, 6 cores, 12 threads)</t>
  </si>
  <si>
    <t>4D4Q4EA</t>
  </si>
  <si>
    <t>V14 ADA</t>
  </si>
  <si>
    <t>AMD 3020E</t>
  </si>
  <si>
    <t>4GB Ram SO-DIMM DDR4-2400, Up to 8GB (8GB SO-DIMM) DDR4-2400,</t>
  </si>
  <si>
    <t>14" HD TN 220nits Anti-glare</t>
  </si>
  <si>
    <t>1x USB 2.0 2x USB 3.1 Gen 1 1x HDMI® 1.4b 1x Card reader 1x Headphone / microphone combo jack (3.5mm) 1x Power connector</t>
  </si>
  <si>
    <t>327.1 x 241 x 19.9 mm</t>
  </si>
  <si>
    <t>1.6 Kg</t>
  </si>
  <si>
    <t>82C6006GED</t>
  </si>
  <si>
    <t>8GB (LPDDR5 RAM)</t>
  </si>
  <si>
    <t>13″ Inch Aspect ratio: 3:2 UP To 120Hz Touchscreen</t>
  </si>
  <si>
    <t>2880 X 1920</t>
  </si>
  <si>
    <t>Up to 14 hours of typical device usage</t>
  </si>
  <si>
    <t>2 x USB-C® with USB 4.0/Thunderbolt™ 4 3.5mm headphone jack 1 x Surface Connect port Surface Type Cover port Compatible with Surface Dial off-screen interaction</t>
  </si>
  <si>
    <t>879 g</t>
  </si>
  <si>
    <t>X515EP-BQ8G5W</t>
  </si>
  <si>
    <t>Intel Core i5-1135G7</t>
  </si>
  <si>
    <t>15.6-inche FHD 16:9 aspect ratio, IPS-level Panel, LED Backlit, 250nits, 45% NTSC color gamut, Anti-glare display, Screen-to-body ratio: 83 ％</t>
  </si>
  <si>
    <t>1x USB 3.2 Gen 1 Type-A  1x USB 3.2 Gen 1 Type-C  2x USB 2.0 Type-A  1x HDMI 1.4  1x 3.5mm Combo Audio Jack  1x DC-in  Micro SD card reader (on selected model)</t>
  </si>
  <si>
    <t>90NB0TZ1-M00DT0</t>
  </si>
  <si>
    <t>AMD Ryzen 7-3700U</t>
  </si>
  <si>
    <t>AMD Radeon RX Vega 10 Graphics</t>
  </si>
  <si>
    <t>15.6 inch FHD Anti-glare LED Backlight Non-Touch Narrow Border WVA Display</t>
  </si>
  <si>
    <t>720p at 30 fps HD camera</t>
  </si>
  <si>
    <t>1. SD Card Reader | 2. USB 2.0 | 3. RJ-45 | 4. Headset Jack | 5. Wedge Shaped Lock Slot | 6. Power Jack | 7. HDMI 1.4 | 8. USB 3.2 Gen 1 | 9. USB 3.2 Gen 1</t>
  </si>
  <si>
    <t>358.50 x 235.56 x 18.99 mm</t>
  </si>
  <si>
    <t>4 MB Cache, 4 Core, 8 Threads, 2.3 GHz to 4.0 GHz, 15 W</t>
  </si>
  <si>
    <t>NVIDIA GeForce MX350</t>
  </si>
  <si>
    <t>1x USB 2.0 1x USB 3.2 Gen 1 1x USB-C 3.2 Gen 1 (support data transfer only) 1x HDMI 1.4b 1x Card reader 1x Headphone / microphone combo jack (3.5mm) 1x Power connector</t>
  </si>
  <si>
    <t>4C / 8T, 2.4 / 4.2GHz, 8MB</t>
  </si>
  <si>
    <t>82H800Q8ED</t>
  </si>
  <si>
    <t>Sand</t>
  </si>
  <si>
    <t>IdeaPad 5 Pro 16IHU6</t>
  </si>
  <si>
    <t>NVIDIA GeForce MX450 2GB</t>
  </si>
  <si>
    <t>16" inch 2.5K IPS 350nits Anti-glare, 100% sRGB, 120Hz, TÜV Low Blue Light</t>
  </si>
  <si>
    <t>HD 720p + IR, ToF Sensor</t>
  </si>
  <si>
    <t>1x USB 3.2 Gen 1 1x USB 3.2 Gen 1 (Always On) 1x USB-C 2.0 (support data transfer and Power Delivery 3.0) 1x Thunderbolt 4 (support data transfer, Power Delivery 3.0 and DisplayPort 1.4) 1x HDMI 1.4b 1x Card reader 1x Headphone / microphone combo jack (3.</t>
  </si>
  <si>
    <t>82L9001WED</t>
  </si>
  <si>
    <t>IdeaPad 5 14ALC05</t>
  </si>
  <si>
    <t>14" FHD IPS 300nits Anti-glare</t>
  </si>
  <si>
    <t>Integrated 56.5Wh</t>
  </si>
  <si>
    <t>1x USB 3.2 Gen 1 1x USB 3.2 Gen 1 (Always On) 1x USB-C 3.2 Gen 1 (support data transfer, Power Delivery 3.0 and DisplayPort 1.4) 1x HDMI 1.4b 1x Card reader 1x Headphone / microphone combo jack (3.5mm)</t>
  </si>
  <si>
    <t>321.57 x 211.59 x 16.9 mm</t>
  </si>
  <si>
    <t>Platinum Grey</t>
  </si>
  <si>
    <t>82LM00P6ED</t>
  </si>
  <si>
    <t>6C / 12T, 2.1 / 4.0GHz, 3MB L2 / 8MB L3</t>
  </si>
  <si>
    <t>82KU01B5ED</t>
  </si>
  <si>
    <t>82KU00E5ED</t>
  </si>
  <si>
    <t>2C / 4T, 3.0 / 4.1GHz, 6MB</t>
  </si>
  <si>
    <t>82H801V9ED</t>
  </si>
  <si>
    <t>Amd Ryzen 3 3250U</t>
  </si>
  <si>
    <t>4GB, 1x4GB, DDR4, 2400MHz</t>
  </si>
  <si>
    <t>128GB M.2 PCIe NVMe Solid State Drive</t>
  </si>
  <si>
    <t>15.6'' Inch HD Anti-glare LED-Backlit Non-touch Narrow Border Display</t>
  </si>
  <si>
    <t>4 MB Cache, 2 Core, 4 Threads, 2.6 GHz to 3.5 GHz, 15 W</t>
  </si>
  <si>
    <t>15S-FQ5021NE</t>
  </si>
  <si>
    <t>15.6"Inch diagonal, HD, micro-edge, anti-glare, 250 nits, 45% NTSC 3</t>
  </si>
  <si>
    <t>DW3089NE</t>
  </si>
  <si>
    <t>15.6" Inch, HD, micro-edge, anti-glare, 250 nits, 45% NTSC</t>
  </si>
  <si>
    <t>4C7T4EA</t>
  </si>
  <si>
    <t>15s-EQ2003NE</t>
  </si>
  <si>
    <t>15.6" diagonal, FHD, micro-edge, anti-glare, 250 nits, 45% NTSC 4</t>
  </si>
  <si>
    <t>Full-size, natural silver keyboard with numeric keypad</t>
  </si>
  <si>
    <t>3V822EA</t>
  </si>
  <si>
    <t>45 W Smart AC power adapter</t>
  </si>
  <si>
    <t>15s-FQ5009NE</t>
  </si>
  <si>
    <t>15.6'' diagonal, HD, micro-edge, anti-glare, 250 nits, 45% NTSC</t>
  </si>
  <si>
    <t>up to 4.4 GHz with Intel® Turbo Boost Technology, 10 MB L3 cache, 6 cores, 8 threads</t>
  </si>
  <si>
    <t>6G3H3EA</t>
  </si>
  <si>
    <t>X415EA-BL003W</t>
  </si>
  <si>
    <t>4GB DDR4 on board, Memory Max Up to:16GB</t>
  </si>
  <si>
    <t>14.0-inch, FHD 16:9 aspect ratio, IPS-level Panel, LED Backlit, 250nits, 45% NTSC color gamut, Anti-glare display</t>
  </si>
  <si>
    <t>Chiclet Keyboard Backlit Chiclet Keyboard 1.4mm Key-travel</t>
  </si>
  <si>
    <t>1x USB 3.2 Gen 1 Type-A 1x USB 3.2 Gen 1 Type-C 2x USB 2.0 Type-A 1x HDMI 1.4 1x 3.5mm Combo Audio Jack 1x DC-in</t>
  </si>
  <si>
    <t>325.4 x 216 x 19.9 mm</t>
  </si>
  <si>
    <t>1.60 kg</t>
  </si>
  <si>
    <t>90NB0TT1-M13960</t>
  </si>
  <si>
    <t>ø4.0, 45W AC Adapter, Output: 19V DC, 2.37A, 45W, Input: 100~240V AC 50/60Hz universal</t>
  </si>
  <si>
    <t>VivoBook S14 S433EQ-AM0R7W</t>
  </si>
  <si>
    <t>14.0 inch, FHD 16:9 aspect ratio, IPS-level Panel, LED Backlit, 250nits, 100% sRGB color gamut for non-OLED, Anti-glare display</t>
  </si>
  <si>
    <t>RESOLUT RED</t>
  </si>
  <si>
    <t>90NB0RK1-M004C0</t>
  </si>
  <si>
    <t>ø4.0, 65W AC Adapter, Output: 19V DC, 3.42A, 65W, Input: 100~240V AC 50/60Hz universal</t>
  </si>
  <si>
    <t>MateBook B3-520</t>
  </si>
  <si>
    <t>15.6'' inch IPS  Screen-to-body Ratio 87%  Aspect Ratio 16:9 141 PPI  Brightness 300 nits  Colour Gamut 100% sRGB color gamut  Constrast Ratio 1000:1   Viewing Angle 178°</t>
  </si>
  <si>
    <t>42 Wh Lithium polymer</t>
  </si>
  <si>
    <t>USB 3.2 Gen1 x 1  USB-A 2.0 x 2  USB-C x 1 (supporting charging &amp; data)  HDMI x 1  Mini RJ45 x 1  3.5 mm headset and microphone 2-in-1 jack x 1</t>
  </si>
  <si>
    <t>357.8 x 229.9 x 16.9 mm</t>
  </si>
  <si>
    <t>Space Grey</t>
  </si>
  <si>
    <t>8M Cache, up to 4.20 GHz</t>
  </si>
  <si>
    <t>Inspiron 13 5310</t>
  </si>
  <si>
    <t>Intel Core I7-11390H</t>
  </si>
  <si>
    <t>‎16 GB LPDDR4X</t>
  </si>
  <si>
    <t>‎512GB SSD</t>
  </si>
  <si>
    <t>13.3-inch 16:10 QHD+ Anti-Glare Non-Touch Narrow Border 300nits WVA Display</t>
  </si>
  <si>
    <t>1. USB 3.2 Gen 1 Type-A | 2. Headset jack | 3. HDMI 1.4 | 4. USB Type-C Thunderbolt 4 (full feature) | 5. USB Type-C Thunderbolt 4</t>
  </si>
  <si>
    <t>305.7 x 207.5 x 19.3 mm</t>
  </si>
  <si>
    <t>12M Cache, up to 5.00 GHz, with IPU</t>
  </si>
  <si>
    <t>D515UA-BQ007W</t>
  </si>
  <si>
    <t>8GB DDR4 on board, - Memory Max Up to:16GB</t>
  </si>
  <si>
    <t>15.6-inch, FHD 16:9, IPS-level Panel for non-OLED, Anti-glare display, - Screen-to-body ratio: 83 ％</t>
  </si>
  <si>
    <t>Chiclet Keyboard, 1.4mm Key-travel, Touchpad</t>
  </si>
  <si>
    <t>1x USB 3.2 Gen 1 Type-A 1x USB 3.2 Gen 1 Type-C 2x USB 2.0 Type-A 1x HDMI 1.4 1x 3.5mm Combo Audio Jack 1x DC-in Micro SD card reader (on selected model)</t>
  </si>
  <si>
    <t>360.2 x 234.9 x 19.9 mm</t>
  </si>
  <si>
    <t>1.80 gk</t>
  </si>
  <si>
    <t>8-core/16-thread, 12MB cache, up to 4.3 GHz max boost</t>
  </si>
  <si>
    <t>90NB0U11-M003F0</t>
  </si>
  <si>
    <t>X515FA-BQ003W</t>
  </si>
  <si>
    <t>Intel Core i3-10110U</t>
  </si>
  <si>
    <t>1TB SATA 5400RPM 2.5" HDD</t>
  </si>
  <si>
    <t>15.6-inch, FHD 16:9 aspect ratio, IPS-level Panel, 250nits, 45% NTSC color gamut for non-OLED, Anti-glare display, Screen-to-body ratio: 83 ％</t>
  </si>
  <si>
    <t>Chiclet Keyboard, 1.4mm Key-travel</t>
  </si>
  <si>
    <t>4M Cache, up to 4.1 GHz, 2 cores</t>
  </si>
  <si>
    <t>90NB0W01-M009J0</t>
  </si>
  <si>
    <t>AMD 3020e</t>
  </si>
  <si>
    <t>Integrated AMD Radeon Graphics</t>
  </si>
  <si>
    <t>4GB SO-DIMM DDR4-2400</t>
  </si>
  <si>
    <t>1x USB 2.0 2x USB 3.2 Gen 1 1x HDMI 1.4b 1x Card reader 1x Headphone / microphone combo jack (3.5mm) 1x Power connector</t>
  </si>
  <si>
    <t>Business Black/Grey</t>
  </si>
  <si>
    <t>2C / 2T, 1.2 / 2.6GHz, 1MB L2 / 4MB L3</t>
  </si>
  <si>
    <t>81W100X7ED</t>
  </si>
  <si>
    <t>250 g7</t>
  </si>
  <si>
    <t>4GB DDR4 2400 MHz</t>
  </si>
  <si>
    <t>15.6" diagonal, HD, narrow bezel, anti-glare, 250 nits, 45% NTSC</t>
  </si>
  <si>
    <t>win.10</t>
  </si>
  <si>
    <t>HP Premium Spill-resistant Keyboard; Clickpad with multi-touch gesture support</t>
  </si>
  <si>
    <t>3-cell, 45 Wh Li-ion</t>
  </si>
  <si>
    <t>720p HD camera; IR Camera</t>
  </si>
  <si>
    <t>1 USB 3.1 Type-C™ Gen 1 (Power delivery, DisplayPort™); 1 USB 3.1 Gen 1; 1 USB 3.0 (charging); 1 HDMI 1.4b; 1 RJ-45; 1 headphone/microphone combo; 1 AC power</t>
  </si>
  <si>
    <t>364.9 x 256.9 x 19 mm</t>
  </si>
  <si>
    <t>2Kg</t>
  </si>
  <si>
    <t>4M Cache, 1.20 GHz up to 3.40 GHz</t>
  </si>
  <si>
    <t>1L3K1EA</t>
  </si>
  <si>
    <t>15-DW3033DX</t>
  </si>
  <si>
    <t>Intel Core i3-1115G4</t>
  </si>
  <si>
    <t>405F6UA</t>
  </si>
  <si>
    <t>DW3140NE</t>
  </si>
  <si>
    <t>39.6 cm (15.6") diagonal, HD , micro-edge, anti-glare, 250 nits, 45% NTSC</t>
  </si>
  <si>
    <t>حتى 4.2 جيجاهرتز بتقنية Intel® Turbo Boost ، وذاكرة تخزين مؤقت سعة 8 ميجابايت L3 ، و 4 cores</t>
  </si>
  <si>
    <t>4H591EA</t>
  </si>
  <si>
    <t>dynabook</t>
  </si>
  <si>
    <t>Satellite Pro C50-H-114</t>
  </si>
  <si>
    <t>Intel Core i7-1065G7</t>
  </si>
  <si>
    <t>Intel Iris Plus Graphics</t>
  </si>
  <si>
    <t>8GB DDR4-SDRAM 3200 MHz 1 x 8 GB</t>
  </si>
  <si>
    <t>15.6'' Inch FHD non-reflective eDP™ IPS display with LED sidelighting and 16:9 aspect ratio</t>
  </si>
  <si>
    <t>lithium-ion, 2 cell</t>
  </si>
  <si>
    <t>HD-camera with Dual Mic for Cortana and Skype™ for Business number of interface type : 1</t>
  </si>
  <si>
    <t>1 × external Headphone (stereo) / Microphone combo socket 1 × RJ-45 1 × micro SD™ card slot 1 × USB 3.1 Type-C Gen 1 port which supports Data transfer, Power Delivery and Display Port 2 × USB 3.0 1 × HDMI-out (including 4K support)</t>
  </si>
  <si>
    <t>362.5 x 240.5 x 19.7 mm</t>
  </si>
  <si>
    <t>Satellite Pro C50-H-12A</t>
  </si>
  <si>
    <t>8GB DDR4-SD RAM 3200 MHz 1x SO-DIMM</t>
  </si>
  <si>
    <t>15.6'' Inch HD non-reflective High Brightness eDP™ display with LED sidelighting and 16 : 9 aspect ratio</t>
  </si>
  <si>
    <t>15-dw3103ne</t>
  </si>
  <si>
    <t>15.6"inch diagonal, HD, micro-edge, anti-glare, 250 nits, 45% NTSC</t>
  </si>
  <si>
    <t>up to 4.7 GHz with Intel® Turbo Boost Technology, 12 MB L3 cache, 4 cores, 8 threads</t>
  </si>
  <si>
    <t>4D4J5EA</t>
  </si>
  <si>
    <t>65 W Smart AC power adapter</t>
  </si>
  <si>
    <t>255 G7</t>
  </si>
  <si>
    <t>AMD Ryzen™ 3 3200U</t>
  </si>
  <si>
    <t>AMD Radeon™ Vega 3 Graphics</t>
  </si>
  <si>
    <t>4 GB DDR4-2400 SDRAM</t>
  </si>
  <si>
    <t>1 TB 5400 HDD rpm SATA</t>
  </si>
  <si>
    <t>39.6 cm (15.6 in) diagonal HD SVA eDP anti-glare LED-backlit slim, 67% sRGB, 220 cd/m2</t>
  </si>
  <si>
    <t>2 USB 3.1 Gen 1  1 USB 2.0  1 HDMI 1.4b   1 RJ-45  1 headphone/microphone combo  1 AC power</t>
  </si>
  <si>
    <t>376 x 246 x 22.5 mm</t>
  </si>
  <si>
    <t>2.6GHz base frequency, up to 3.5GHz burst frequency, 4 MB cache, 2 cores</t>
  </si>
  <si>
    <t>214A7ES</t>
  </si>
  <si>
    <t>ZenBook Q408UG-211.BL-11</t>
  </si>
  <si>
    <t>14.0-inch, FHD 16:9 aspect ratio, IPS-level Panel, LED Backlit, 250nits, 100% sRGB color gamut Adobe RGB :75% coverage Anti-glare display, Screen-to-body ratio: 90 ％</t>
  </si>
  <si>
    <t>3-cell Li-ion 63WHrs,</t>
  </si>
  <si>
    <t>1x USB 3.2 Gen 1 Type-A 2x USB 3.2 Gen 2 Type-C support display / power delivery 2x USB 3.2 Gen 2 Type-C 1x HDMI 2.1 1x 3.5mm Combo Audio Jack Micro SD card reader</t>
  </si>
  <si>
    <t>319 x 210 x 16.8 mm</t>
  </si>
  <si>
    <t>90NB0UC1-M00980</t>
  </si>
  <si>
    <t>Abyss Blue/Arctic Grey</t>
  </si>
  <si>
    <t>(2C / 4T, 3.0 / 4.1GHz, 6MB)</t>
  </si>
  <si>
    <t>82H801ALED</t>
  </si>
  <si>
    <t>MateBook D15</t>
  </si>
  <si>
    <t>256 GB PCIe SSD</t>
  </si>
  <si>
    <t>15.6-inch Full HD 16:9 IPS display, 250nits</t>
  </si>
  <si>
    <t>42Wh battery</t>
  </si>
  <si>
    <t>USB 3.2 Gen1 x 1, USB 2.0 x 2, USB-C x 1, HDMI x 1, 3.5 mm headset and microphone 2-in-1 jack x 1</t>
  </si>
  <si>
    <t>2.381 kg</t>
  </si>
  <si>
    <t>Mystic Silver</t>
  </si>
  <si>
    <t>6M Cache, up to 4.10 GHz</t>
  </si>
  <si>
    <t>VOSTRO 5510</t>
  </si>
  <si>
    <t>Intel Core i5-11320H</t>
  </si>
  <si>
    <t>15.6'' inch FHD Anti-glare LED Backlight Non-Touch Narrow Border WVA Display</t>
  </si>
  <si>
    <t>1. SD card reader | 2. USB 3.2 Gen 1 Type-A | 3. RJ45 | 4. Headset jack | 5. Wedge shaped lock | 6. Power jack | 7. HDMI 1.4** | 8. USB 3.2 Gen 1 Type-A | 9. USB 3.2 Gen 2 Type-C™ (i5 processor only) OR Thunderbolt™ 4 (DP/PowerDelivery) (i7 processor only</t>
  </si>
  <si>
    <t>356.06 x 228.9 x 17.99 mm</t>
  </si>
  <si>
    <t>1.632 kg</t>
  </si>
  <si>
    <t>Titan Grey</t>
  </si>
  <si>
    <t>8MB C ache, up to 4.5GHz</t>
  </si>
  <si>
    <t>Surface Pro 8</t>
  </si>
  <si>
    <t>Intel Core i7-1185G7</t>
  </si>
  <si>
    <t>16GB Ram LPDDR4</t>
  </si>
  <si>
    <t>13″ Inch 4K Aspect ratio: 3:2 120Hz Touchscreen</t>
  </si>
  <si>
    <t>2880 x 1920</t>
  </si>
  <si>
    <t>287 x 208 x 9.3 mm</t>
  </si>
  <si>
    <t>891 g</t>
  </si>
  <si>
    <t>V15 ADA</t>
  </si>
  <si>
    <t>15.6"inch HD TN 220nits Anti-glare</t>
  </si>
  <si>
    <t>1x USB 2.0 2x USB 3.1 Gen 1 1x HDMI 1.4b 1x Card reader 1x Headphone / microphone combo jack (3.5mm) 1x Power connector</t>
  </si>
  <si>
    <t>82C7007YED</t>
  </si>
  <si>
    <t>InBook X1</t>
  </si>
  <si>
    <t>256GB PCIe SSD</t>
  </si>
  <si>
    <t>14'' inche IPS FHD 300 nits 100% sRGB Aspect Ratio 16:9 Viewing Angle: 178 degrees</t>
  </si>
  <si>
    <t>55 Wh</t>
  </si>
  <si>
    <t>USB-C x 1 (support data, charging and DisplayPort) USB 3.0 x 2 / USB 2.0 x 1 HDMI x 1 SD card slot x 1 camera switch x 1 3.5 mm Headset and Microphone Jack x 1</t>
  </si>
  <si>
    <t>323.5 X 219.5 X 16.3 mm</t>
  </si>
  <si>
    <t>1.48 kg</t>
  </si>
  <si>
    <t>15-dy2095wm</t>
  </si>
  <si>
    <t>8 GB DDR4-2666 MHz RAM (2 x 4 GB)</t>
  </si>
  <si>
    <t>15.6" diagonal, FHD micro-edge, anti-glare, 250 nits, 45% NTSC</t>
  </si>
  <si>
    <t>1 SuperSpeed USB Type-C® 5Gbps signaling rate; 2 SuperSpeed USB Type-A 5Gbps signaling rate; 1 HDMI 1.4b; 1 AC smart pin; 1 headphone/microphone combo</t>
  </si>
  <si>
    <t>Pavilion 15-Eg0101ne</t>
  </si>
  <si>
    <t>8GB DDR4-3200 MHz RAM (1 x 8 GB)</t>
  </si>
  <si>
    <t>15.6"inch diagonal HD touch, micro-edge, BrightView, 250 nits, 45% NTSC</t>
  </si>
  <si>
    <t>353G7EA</t>
  </si>
  <si>
    <t>15-DW3095NE</t>
  </si>
  <si>
    <t>15.6"inch diagonal HD micro-edge, anti-glare, 250 nits, 45% NTSC</t>
  </si>
  <si>
    <t>4C7T6EA</t>
  </si>
  <si>
    <t>ZenBook Duo14 UX482EG-HY007T</t>
  </si>
  <si>
    <t>16GB LPDDR4X on board, Memory Max Up to:32GB</t>
  </si>
  <si>
    <t>14.0-inch, FHD 16:9 aspect ratio, IPS-level Panel, LED Backlit, 400nits, 100% sRGB color gamut, PANTONE Validated, Anti-glare display, Touch screen, With stylus support, Screen-to-body ratio: 93 ％</t>
  </si>
  <si>
    <t>12M Cache, up to 4.7 GHz, 4 cores</t>
  </si>
  <si>
    <t>90NB0S51-M000F0</t>
  </si>
  <si>
    <t>Vivobook Flip 14</t>
  </si>
  <si>
    <t>8GB, 4GB DDR4 on board, 4GB DDR4 SO-DIMM, Memory Max Up to:16GB</t>
  </si>
  <si>
    <t>14.0-inch, FHD 16:9 aspect ratio, IPS-level Panel, LED Backlit, 250nits, 45% NTSC color gamut, Glossy display, Touch screen, With stylus support, Screen-to-body ratio: 82 ％</t>
  </si>
  <si>
    <t>Backlit Chiclet Keyboard 1.35mm Key-travel</t>
  </si>
  <si>
    <t>1x USB 2.0 Type-A 1x USB 3.2 Gen 2 Type-A 1x USB 3.2 Gen 2 Type-C 1x HDMI 1.4 1x 3.5mm Combo Audio Jack 1x DC-in Micro SD 4.0 card reader</t>
  </si>
  <si>
    <t>324 x 220 x 18.2 mm</t>
  </si>
  <si>
    <t>1.50 Kg</t>
  </si>
  <si>
    <t>Bespoke Black</t>
  </si>
  <si>
    <t>AMD Ryzen™ 5 5500U Processor 2.1GHz (8M Cache, up to 4.0GHz, 6 cores)</t>
  </si>
  <si>
    <t>90NB0U21-M01340</t>
  </si>
  <si>
    <t>Asus ZenBook Flip 15 UM562IQ-EZ007T</t>
  </si>
  <si>
    <t>Amd Ryzen 7-4700U</t>
  </si>
  <si>
    <t>Nvidia GeForce MX350 2GB GDDR5</t>
  </si>
  <si>
    <t>15.6" Inch FHD 16:9 aspect ratio, IPS-level Panel, LED Backlit, 300nits, 100% sRGB color gamut, PANTONE Validated, Glossy display, Touch screen, With stylus support, Screen-to-body ratio: 90 ％</t>
  </si>
  <si>
    <t>Win.10 Home</t>
  </si>
  <si>
    <t>1x USB 2.0 Type-A 1x USB 3.2 Gen 1 Type-A 1x USB 3.2 Gen 1 Type-C 1x HDMI 1.4 1x 3.5mm Combo Audio Jack 1x DC-in Micro SD card reader</t>
  </si>
  <si>
    <t>357.8 x 230 x 20.9 mm</t>
  </si>
  <si>
    <t>Light Grey</t>
  </si>
  <si>
    <t>AMD Ryzen™ 7 4700U Mobile Processor (8C/8T, 12MB Cache, 4.1 GHz Max Boost)</t>
  </si>
  <si>
    <t>90NB0T12-M00510</t>
  </si>
  <si>
    <t>512GB NVMe PCle SSD</t>
  </si>
  <si>
    <t>15.6" Inch IPS Screen-to-body Ratio 87%  Aspect Ratio 16 : 9  Maximum Brightness 250 nits (Typical)  Contrast Ratio 800 : 1  Viewing Angle 178 degrees</t>
  </si>
  <si>
    <t>Full-size keyboard Touchpad Fingerprint Power Button</t>
  </si>
  <si>
    <t>42 Wh</t>
  </si>
  <si>
    <t>720P HD Recessed Camera</t>
  </si>
  <si>
    <t>USB 3.2 Gen1 x 1  USB 2.0 x 2  USB-C x 1  HDMI x 1  3.5 mm headset and microphone 2-in-1 jack x 1</t>
  </si>
  <si>
    <t>1.56 Kg</t>
  </si>
  <si>
    <t>2.8GHz Up to 4.7 GHz</t>
  </si>
  <si>
    <t>V14 G1 IML</t>
  </si>
  <si>
    <t>4GB Soldered DDR4-2666, One memory soldered to system board, one DDR4 SO-DIMM slot, dual-channel capable</t>
  </si>
  <si>
    <t>14" Inch FHD TN 220nits Anti-glare</t>
  </si>
  <si>
    <t>2Core 4Thread, Speed 2.1 Up To 4.1GHz, 4MB Cashe</t>
  </si>
  <si>
    <t>82NA000VED</t>
  </si>
  <si>
    <t>B11M-802EG</t>
  </si>
  <si>
    <t>3-Cell 39/52</t>
  </si>
  <si>
    <t>1x Micro SD Card Reader 1x (4K @ 60Hz) HDMI 2x Type-A USB3.2 Gen2 1x Type-C (USB / DP / Thunderbolt™) with PD charging</t>
  </si>
  <si>
    <t>Blue Stone</t>
  </si>
  <si>
    <t>9S7-14D224-802</t>
  </si>
  <si>
    <t>65W adapter</t>
  </si>
  <si>
    <t>B5M-207EXG</t>
  </si>
  <si>
    <t>1x Micro SD Card Reader 1x (4K @ 30Hz) HDMI 1x Type-C USB3.2 Gen2 2x Type-A USB3.2 Gen2</t>
  </si>
  <si>
    <t>Carbon Gray</t>
  </si>
  <si>
    <t>9S7-14DL24-207</t>
  </si>
  <si>
    <t>IdeaPad L3 15ITL6</t>
  </si>
  <si>
    <t>8GB 4GB Soldered DDR4-2933 + 4GB SO-DIMM DDR4-2933</t>
  </si>
  <si>
    <t>Integrated 36Wh</t>
  </si>
  <si>
    <t>2x USB 3.2 Gen 1 1x USB-C 3.2 Gen 1 (support data transfer only) 1x HDMI 1.4 1x Ethernet (RJ-45) 1x Headphone / microphone combo jack (3.5mm) 1x Power connector</t>
  </si>
  <si>
    <t>363 x 254.6 x 22.9 mm</t>
  </si>
  <si>
    <t>82HL00DQED</t>
  </si>
  <si>
    <t>Pavilion x360 Convertible 14-DY0017NE</t>
  </si>
  <si>
    <t>Intel Core i3-1125G4</t>
  </si>
  <si>
    <t>14" diagonal, FHD  multitouch-enabled, IPS, edge-to-edge glass, micro-edge, 250 nits, 45% NTSC</t>
  </si>
  <si>
    <t>322 x 209 x 19.9 mm</t>
  </si>
  <si>
    <t>up to 3.7 GHz with Intel® Turbo Boost Technology, 8 MB L3 cache, 4 cores, 8 threads</t>
  </si>
  <si>
    <t>40M23EA</t>
  </si>
  <si>
    <t>Amd Ryzen 5-3450U</t>
  </si>
  <si>
    <t>16GB, 1x16GB, DDR4, 3200MHz</t>
  </si>
  <si>
    <t>Abyss Blue/Sand</t>
  </si>
  <si>
    <t>82H8018KED</t>
  </si>
  <si>
    <t>Pavilion 15-EG0062NE</t>
  </si>
  <si>
    <t>8 GB DDR4-3200 SDRAM (1 x 8 GB)</t>
  </si>
  <si>
    <t>15.6"FHD IPS, micro-edge, anti-glare, 250 nits, 45% NTSC</t>
  </si>
  <si>
    <t>Pavilion 13-BB0011NE</t>
  </si>
  <si>
    <t>Intel Iris Xe graphics</t>
  </si>
  <si>
    <t>13.3" FHD IPS, micro-edge, BrightView, 250 nits, 45% NTSC</t>
  </si>
  <si>
    <t>309 x 205 x 17.7 mm</t>
  </si>
  <si>
    <t>4A3C4EA</t>
  </si>
  <si>
    <t>Pavilion 15-EG0053NE</t>
  </si>
  <si>
    <t>1TB PCIe® NVMe™ M.2 SSD</t>
  </si>
  <si>
    <t>2S6R2EA</t>
  </si>
  <si>
    <t>14-DY0142NE</t>
  </si>
  <si>
    <t>35.6 cm (14") diagonal, FHD, multitouch-enabled, IPS, edge-to-edge glass, micro-edge, 250 nits, 45% NTSC</t>
  </si>
  <si>
    <t>1.52 kg</t>
  </si>
  <si>
    <t>up to 4.7 GHz with Intel Turbo Boost Technology, 12 MB L3 cache, 4 cores, 8 threads</t>
  </si>
  <si>
    <t>469X1EA</t>
  </si>
  <si>
    <t>No</t>
  </si>
  <si>
    <t>HP Envy X360</t>
  </si>
  <si>
    <t>8 GB DDR4-3200 MHz</t>
  </si>
  <si>
    <t>13.3" diagonal, FHD, multitouch-enabled, IPS, edge-to-edge glass, micro-edge, BrightView, Corning® Gorilla® Glass NBT™, 1000 nits, 72% NTSC</t>
  </si>
  <si>
    <t>3-cell, 51 Wh</t>
  </si>
  <si>
    <t>HP Wide Vision 720p HD camera with camera shutter and integrated dual array digital microphones</t>
  </si>
  <si>
    <t>1 Thunderbolt™ 4 with USB4™ Type-C® 40Gbps signaling rate (USB Power Delivery, DisplayPort™ 1.4, HP Sleep and Charge); 1 SuperSpeed USB Type-C® 5Gbps signaling rate; 1 SuperSpeed USB Type-A 5Gbps signaling rate (HP Sleep and Charge); 1 AC smart pin; 1 hea</t>
  </si>
  <si>
    <t>30.65 x 19.46 x 1.64 mm</t>
  </si>
  <si>
    <t>1.32 kg</t>
  </si>
  <si>
    <t>65 W AC power adapter</t>
  </si>
  <si>
    <t>Msi Modern 14 B11MO</t>
  </si>
  <si>
    <t>14.0" FHD IPS-Level</t>
  </si>
  <si>
    <t>1x Type-C USB3.2 Gen2 2x Type-A USB3.2 Gen1 1x Micro SD Card Reader 1x (4K @ 60Hz) HDMI</t>
  </si>
  <si>
    <t>9S7-14D314-444</t>
  </si>
  <si>
    <t>Yoga 7 15ITL5</t>
  </si>
  <si>
    <t>12GB Soldered DDR4-3200</t>
  </si>
  <si>
    <t>15.6" FHD (1920x1080) IPS 300nits Glossy, 100% sRGB, AGC Soda-lime Glass, Touch</t>
  </si>
  <si>
    <t>1x USB 3.2 Gen 1 1x USB 3.2 Gen 1 (Always On) 2x Thunderbolt 4 / USB4 40Gbps (support data transfer, Power Delivery 3.0 and DisplayPort 1.4) 1x Headphone / microphone combo jack (3.5mm)</t>
  </si>
  <si>
    <t>356.46 x 235.65 x 17.97 mm</t>
  </si>
  <si>
    <t>Dark Moss</t>
  </si>
  <si>
    <t>82BJ007WUS</t>
  </si>
  <si>
    <t>65W USB-C (3-pin)</t>
  </si>
  <si>
    <t>K513EP-Oled005T</t>
  </si>
  <si>
    <t>NVIDIA® GeForce® MX330, 2GB GDDR5</t>
  </si>
  <si>
    <t>2GB DDR5</t>
  </si>
  <si>
    <t>8GB 4GB DDR4 on board, 4GB DDR4 SO-DIMM, Memory Max Up to:16GB</t>
  </si>
  <si>
    <t>15.6-inch, FHD 16:9 aspect ratio, LED Backlit, 0.2ms response time, 400nits, 600nits peak brightness, 100% DCI-P3 color gamut, PANTONE Validated, Glossy display, Screen-to-body ratio: 85 ％</t>
  </si>
  <si>
    <t>359 x 235 x 17.9 mm</t>
  </si>
  <si>
    <t>(8M Cache, up to 4.2 GHz, 4 cores)</t>
  </si>
  <si>
    <t>90NB0SJ1-M07330</t>
  </si>
  <si>
    <t>UX371EA-OLED007T</t>
  </si>
  <si>
    <t>16GB, LPDDR4X on board, Memory Max Up to:16GB</t>
  </si>
  <si>
    <t>1TB SSD, M.2 NVMe™ PCIe® 3.0 Performance</t>
  </si>
  <si>
    <t>13.3" Inch 4K UHD, 16:9 aspect ratio, 400nits, 100% DCI-P3 color gamut, PANTONE Validated, Glossy display, Touch screen, With stylus support, Screen-to-body ratio: 80%</t>
  </si>
  <si>
    <t>1x USB 3.2 Gen 1 Type-A 2x Thunderbolt™ 4 supports display / power delivery 1x HDMI 1.4</t>
  </si>
  <si>
    <t>305 x 211 x 13.9 mm</t>
  </si>
  <si>
    <t>1.20 Kg</t>
  </si>
  <si>
    <t>90NB0RZ2-M12290</t>
  </si>
  <si>
    <t>TYPE-C, 65W AC Adapter, Output: 20V DC, 3.25A, 65W, Input: 100-240V AC 50/60GHz universal</t>
  </si>
  <si>
    <t>Vostro 3500</t>
  </si>
  <si>
    <t>Nvidia GeForce MX330 2GB</t>
  </si>
  <si>
    <t>15.6'' Inch HD Anti -glare LED-Backlit Non-touch Narrow Border Display</t>
  </si>
  <si>
    <t>Internal Grey Arabic Qwerty Non Backlit Keyboard with numeric Keypad</t>
  </si>
  <si>
    <t>3-Cell Battery, 42WHr</t>
  </si>
  <si>
    <t>1. 3-in-1 SD Media Card | 2. USB 2.0 | 3. Wedge-Shaped Lock Slot | 4. Power In | 5. USB 3.2 Gen 1 Type-C™ (Data only)* | 6. HDMI 1.4 | 7. Ethernet RJ-45 | 8. USB 3.2 Gen 1 | 9. USB 3.2 Gen 1 | 10. Headset Jack.</t>
  </si>
  <si>
    <t>363.96 X 249 X  19 mm</t>
  </si>
  <si>
    <t>Intel® Core™ I7-1165G7</t>
  </si>
  <si>
    <t>2 GB</t>
  </si>
  <si>
    <t>512GB SSD, M.2 PCIe NVMe</t>
  </si>
  <si>
    <t>15.6" Inch FHD, Anti-glare LED Backlight Non-Touch Narrow Border WVA Display</t>
  </si>
  <si>
    <t>Non-Backlit Keyboard</t>
  </si>
  <si>
    <t>720p at 30 fps HD camera, single-integrated microphone</t>
  </si>
  <si>
    <t>Carbon black</t>
  </si>
  <si>
    <t>NVIDIA GeForce MX350 with 2GB GDDR5 graphics memory</t>
  </si>
  <si>
    <t>1TB 5400 rpm 2.5" SATA Hard Drive + 256GB M.2 PCIe NVMe SSD</t>
  </si>
  <si>
    <t>SD Card Reader | 2. USB 2.0 | 3. RJ-45 | 4. Headset Jack* | 5. Wedge Shaped Lock Slot | 6. Power Jack | 7. HDMI* 1.4 | 8. USB 3.2 Gen 1 | 9. USB 3.2 Gen 1</t>
  </si>
  <si>
    <t>Pavilion x360-14T</t>
  </si>
  <si>
    <t>Intel® Core™ i7-1165G7</t>
  </si>
  <si>
    <t>Intel® Iris® Xe</t>
  </si>
  <si>
    <t>14" Inch diagonal FHD</t>
  </si>
  <si>
    <t>Full-size island-style backlit luminous gold keyboard</t>
  </si>
  <si>
    <t>3-cell, 41 Wh Lithium-ion</t>
  </si>
  <si>
    <t>1 SuperSpeed USB Type-C® 10Gbps signaling rate (USB Power Delivery, DisplayPort™ 1.4, HP Sleep and Charge); 2 SuperSpeed USB Type-A 5Gbps signaling rate; 1 HDMI 2.0; 1 headphone/microphone combo</t>
  </si>
  <si>
    <t>324.1 x 221 x 18.8 mm</t>
  </si>
  <si>
    <t>1.61 Kg</t>
  </si>
  <si>
    <t>Pen silver</t>
  </si>
  <si>
    <t>up to 4.7 GHz, 12 MB L3 cache, 4 cores</t>
  </si>
  <si>
    <t>8GB, DDR4,</t>
  </si>
  <si>
    <t>512GB M.2 PCIe NVMe</t>
  </si>
  <si>
    <t>15.6''Inch FHD</t>
  </si>
  <si>
    <t>4-Cell Battery, 54WHr</t>
  </si>
  <si>
    <t>HD 1280 x 720 at 30 fps camera with dual-array microphones</t>
  </si>
  <si>
    <t>1 RJ-45 Ethernet port 2 USB 3.2 Gen 1 ports 1 USB 3.2 Gen 2x2 Type C® port with DisplayPort Alt mode/Power Delivery (i5 only) 1 USB Type C® Thunderbolt 4.0 port (i7 only) 1 Headset Jack 1 HDMI 1.4 port 1 DC-in port</t>
  </si>
  <si>
    <t>1year</t>
  </si>
  <si>
    <t>12MB Cache, up to 4.8GHz</t>
  </si>
  <si>
    <t>UX363EA-OLED007T</t>
  </si>
  <si>
    <t>16GB LPDDR4</t>
  </si>
  <si>
    <t>1TB M.2 NVMe™ PCIe®</t>
  </si>
  <si>
    <t>13.3" inch, FHD, OLED</t>
  </si>
  <si>
    <t>IR camera‎</t>
  </si>
  <si>
    <t>1x USB 3.2 Gen 1 Type-A 2x Thunderbolt™ 4 supports display / power delivery//1x HDMI 1.4//N/A</t>
  </si>
  <si>
    <t>Intel® Core™ i7-1165G7 Processor 2.8 GHz (12M Cache, up to 4.7 GHz, 4 cores)</t>
  </si>
  <si>
    <t>90NB0RZ1-M08500</t>
  </si>
  <si>
    <t>Plug type :USB Type-C™ Output : 19 V DC, A, 65 W Input : 100 -240 V AC, 50/60 Hz universal</t>
  </si>
  <si>
    <t>X515EP-BQ254T</t>
  </si>
  <si>
    <t>8GB, 4GB DDR4 on board + 4GB DDR4 SO-DIMM</t>
  </si>
  <si>
    <t>15.6-inch, FHD (1920 x 1080) 16:9 aspect ratio, 250nits, 45% NTSC color gamut, LED Backlit for non-OLED, Anti-glare display, IPS-level Panel, Screen-to-body ratio: 83 ％</t>
  </si>
  <si>
    <t>37 WHrs, 2S1</t>
  </si>
  <si>
    <t>1x USB 3.2 Gen 1 Type-A 1x USB 3.2 Gen 1 Type-C 2x USB 2.0 Type-A//1x HDMI 1.4 1x 3.5mm Combo Audio Jack//N/A</t>
  </si>
  <si>
    <t>90NB0TZ2-M03760</t>
  </si>
  <si>
    <t>ø4.0, 45W AC Adapter</t>
  </si>
  <si>
    <t>Integrated Intel Iris® Xe Graphics</t>
  </si>
  <si>
    <t>8GB, 1x8GB, DDR4</t>
  </si>
  <si>
    <t>1 TB 5400 rpm SATA HDD, 512 ssd</t>
  </si>
  <si>
    <t>15.6" FHD (1920x1080) TN 250nits Anti-glare, 45% NTSC</t>
  </si>
  <si>
    <t>1x card reader • 1x USB 3.2 Gen 1 • 1x HDMI 1.4b • 1x USB 3.2 Gen 1 (Always On) • 1x USB-C 3.2 Gen 1 (support data transfer, Power Delivery 3.0 and DisplayPort 1.2) • 1x headphone / microphone combo jack (3.5mm)</t>
  </si>
  <si>
    <t>321.57 x 211.59 x 19.1 mm</t>
  </si>
  <si>
    <t>Intel Core i5-1135G7 (4C / 8T, 2.4 / 4.2GHz, 8MB)</t>
  </si>
  <si>
    <t>Intel core I5-1135G7</t>
  </si>
  <si>
    <t>4GB, 1x4GB, DDR4, 3200MHz</t>
  </si>
  <si>
    <t>2 USB 3.2 Gen 1 port 1 USB 2.0 port 1 Audio jack 1 HDMI 1.4 port 1 Flip-Down RJ-45 port 10/100/1000 Mbps</t>
  </si>
  <si>
    <t>(8MB Cache, u p to 4.2 GHz)</t>
  </si>
  <si>
    <t>15-dw3012ne</t>
  </si>
  <si>
    <t>16GB, 2x8GB, DDR4</t>
  </si>
  <si>
    <t>Full-sized keyboard with number pad</t>
  </si>
  <si>
    <t>3-cell, 65 W, 41 Wh Li-ion</t>
  </si>
  <si>
    <t>720p HD Camera with Array Microphone</t>
  </si>
  <si>
    <t>1 SuperSpeed USB Type-C® 5Gbps signaling rate 2 SuperSpeed USB Type-A 5Gbps signaling rate 1 HDMI 1.4b 1 RJ-45 1 AC smart pin 1 headphone/microphone combo</t>
  </si>
  <si>
    <t>15-dw3014ne</t>
  </si>
  <si>
    <t>NVIDIA GeForce MX350 2GB GDDR5</t>
  </si>
  <si>
    <t>35.85 x 24.2 x 1.99 cm</t>
  </si>
  <si>
    <t>(up to 4.2 GHz with Intel® Turbo Boost Technology, 8 MB L3 cache, 4 cores</t>
  </si>
  <si>
    <t>Intel Core i3-1005G1</t>
  </si>
  <si>
    <t>(4M Cache, 1.20 GHz up to 3.40 GHz)</t>
  </si>
  <si>
    <t>65W</t>
  </si>
  <si>
    <t>Dell VOSTRO 3500</t>
  </si>
  <si>
    <t>English International Non Backlit Keyboard with numeric Key pad - Grey</t>
  </si>
  <si>
    <t>1. 3-in-1 SD Media Card | 2. USB 2.0 | 3. Wedge-Shaped Lock Slot | 4. Power In | 5. USB 3.2 Gen 1 Type-C™ (Data only) | 6. HDMI 1.4 | 7. Ethernet RJ-45 | 8. USB 3.2 Gen 1 | 9. USB 3.2 Gen 1 | 10. Headset Jack</t>
  </si>
  <si>
    <t>363.96 x 249.0 x 19.0 mm</t>
  </si>
  <si>
    <t>1.98 KG</t>
  </si>
  <si>
    <t>DW3021NIA</t>
  </si>
  <si>
    <t>4 GB DDR4-2666 SDRAM (1 x 4 GB)</t>
  </si>
  <si>
    <t>1 SuperSpeed USB Type-C® 5Gbps signaling rate 2 SuperSpeed USB Type-A 5Gbps signaling rate 1 HDMI 1.4b 1 RJ-45 1 AC smart pin 1 headphone/microphone combo Expansion slots 1 multi-format SD media card reader</t>
  </si>
  <si>
    <t>Intel® Core™ i5-(1135G7) (8M Cache, up to 4.20 GHz)</t>
  </si>
  <si>
    <t>Inspiron 14 5406</t>
  </si>
  <si>
    <t>Integrated</t>
  </si>
  <si>
    <t>8GB (2x4GB) DDR4 3200 MHz, dual-channel Maximum 16GB</t>
  </si>
  <si>
    <t>14"FHD, 220 nits, NTSC (45% typical) , Wide Viewing Angle</t>
  </si>
  <si>
    <t>Windows 10 Home 64-bit</t>
  </si>
  <si>
    <t>3-Cell Battery, 40WHr (Integra ted)</t>
  </si>
  <si>
    <t>720p HD</t>
  </si>
  <si>
    <t>1. SD Card Reader | 2. USB 3.2 Gen 1 Type A | 3. Headphone/Microphone Combo | 4. Wedge-shaped lock slot | 5. Power jack | 6. HDMI 1.4b | 7. USB 3.2 Gen 1 Type A | 8. USB 3.2 Gen 2 Type-C™ (DP/Data Transfer/PowerDelivery)</t>
  </si>
  <si>
    <t>18.94 x 324.30 x 222.90 mm</t>
  </si>
  <si>
    <t>1.72 kg</t>
  </si>
  <si>
    <t>1 YEAR</t>
  </si>
  <si>
    <t>Up to 4.1 GHz - 6 MB cache - 2 cores</t>
  </si>
  <si>
    <t>45 Watt AC Adapter</t>
  </si>
  <si>
    <t>IdeaPad 3 15IML05</t>
  </si>
  <si>
    <t>4GBx1 One memory soldered to systemboard, one DDR4 SO-DIMM slot</t>
  </si>
  <si>
    <t>15.6” FHD  anti-glare,, 220 nits</t>
  </si>
  <si>
    <t>Integrated Li-Polymer 35Wh battery</t>
  </si>
  <si>
    <t>1x USB 2.0 • 2x USB 3.2 Gen 1 • 1x HDMI 1.4b • 1x card reader • 1x headphone / microphone combo jack (3.5mm) • 1x power connector</t>
  </si>
  <si>
    <t>ABYSS-BLUE / PLATINUM GREY</t>
  </si>
  <si>
    <t>Intel Core i3-10110U (2C / 4T, 2.1 / 4.1GHz, 4MB)</t>
  </si>
  <si>
    <t>45W Round Tip</t>
  </si>
  <si>
    <t>Modern 14 B10MW</t>
  </si>
  <si>
    <t>4 GB DDR4-2666, 1 Slot</t>
  </si>
  <si>
    <t>256GB M.2 SSD Combo slot (NVMe PCIe Gen3 / SATA) SSD</t>
  </si>
  <si>
    <t>3 cell, 52 Battery (Whr)</t>
  </si>
  <si>
    <t>1 Mic-in/Headphone-out Combo Jack, 1x Type-C (USB3.2 Gen1 / DP), 1x Type-A USB3.2 Gen1, 2x Type-A USB3.2 Gen2, 1x Micro SD</t>
  </si>
  <si>
    <t>319 x 220.2 x 16.9 mm</t>
  </si>
  <si>
    <t>2.1 GHz up to 4.2 - 4 MB cache - 4 cores</t>
  </si>
  <si>
    <t>Surface Pro 11th Edition Copilot+</t>
  </si>
  <si>
    <t>13-inch OLED or LCD HDR</t>
  </si>
  <si>
    <t>14 hours video playback</t>
  </si>
  <si>
    <t>Up to 4K camera and video</t>
  </si>
  <si>
    <t>2 x USB-C® ports</t>
  </si>
  <si>
    <t>ThinkPad E16 Gen 2</t>
  </si>
  <si>
    <t>Intel Core Ultra 5 125U</t>
  </si>
  <si>
    <t>16 GB DDR5-5600</t>
  </si>
  <si>
    <t>512 GB SSD PCIe</t>
  </si>
  <si>
    <t>16" Inch WUXGA</t>
  </si>
  <si>
    <t>1080P FHD RGB with Dual Microphone and Privacy Shutter</t>
  </si>
  <si>
    <t>1x 1 x USB-A 3.2 Gen 1; 1 x USB-A 3.2 Gen 2; HDMI 2.1; 1 x K-Lock; 1 x USB 3.2 Gen2 (Type C); TBT 4.0; 1 x Combo Mic/Audio; 1 x RJ45</t>
  </si>
  <si>
    <t>21MAS04600</t>
  </si>
  <si>
    <t>Intel® Core i5-1235U</t>
  </si>
  <si>
    <t>82TT000SUE</t>
  </si>
  <si>
    <t>ThinkPad E14 Gen 5</t>
  </si>
  <si>
    <t>Intel® Core i7-1355U</t>
  </si>
  <si>
    <t>8GB Soldered DDR4-3200 + 8GB SO-DIMM DDR4-3200</t>
  </si>
  <si>
    <t>512GB SSD M.2 2242 PCIe® 4.0x4 NVMe® Opal 2.0</t>
  </si>
  <si>
    <t>14" WUXGA (1920x1200) IPS 300nits Anti-glare, 45% NTSC</t>
  </si>
  <si>
    <t>Backlit, English (UK)</t>
  </si>
  <si>
    <t>1x USB 2.0 1x USB 3.2 Gen 1 (Always On) 1x USB-C® 3.2 Gen 2 (support data transfer, Power Delivery 3.0 and DisplayPort™ 1.4) 1x Thunderbolt™ 4 / USB4® 40Gbps (support data transfer, Power Delivery 3.0 and DisplayPort™ 1.4) 1x HDMI® 2.1, up to 4K/60Hz 1x H</t>
  </si>
  <si>
    <t>313 x 219.3 x 17.99 mm</t>
  </si>
  <si>
    <t>1.43 kg</t>
  </si>
  <si>
    <t>10C (2P + 8E) / 12T, P-core 1.7 / 5.0GHz, E-core 1.2 / 3.7GHz, 12MB</t>
  </si>
  <si>
    <t>21JK00A4UE</t>
  </si>
  <si>
    <t>ExpertBook B1502CBA-NJ3220</t>
  </si>
  <si>
    <t>8GB DDR4 on board Memory Max Up to : 40GB</t>
  </si>
  <si>
    <t>512GB M.2 2280 NVMe™ PCIe® 4.0 SSD</t>
  </si>
  <si>
    <t>15.6-inch, FHD 16:9, Wide view, Anti-glare display, LED Backlit, 250nits, NTSC: 45%, Screen-to-body ratio:83 %</t>
  </si>
  <si>
    <t>Backlit Chiclet Keyboard, 1.4mm Key-travel, Spill-resistant Keyboard</t>
  </si>
  <si>
    <t>42WHrs, 3S1P, 3-cell Li-ion Long life rechargeable lithium polymer battery.</t>
  </si>
  <si>
    <t>1x USB 2.0 Type-A Up to 2x USB 3.2 Gen 1 Type-A 1x USB 3.2 Gen 1 Type-C support power delivery 1x USB 3.2 Gen 2 Type-C support display / power delivery 1x HDMI 1.4, up to 1920x1080p/60Hz 1x 3.5mm Combo Audio Jack 1x RJ45 Gigabit Ethernet</t>
  </si>
  <si>
    <t>361.6 x 233 x 19.9 mm</t>
  </si>
  <si>
    <t>1.7 GHz (12M Cache, up to 4.7 GHz, 10 cores</t>
  </si>
  <si>
    <t>Pro 16 PC16250</t>
  </si>
  <si>
    <t>Intel® Core™ Ultra 7 265U</t>
  </si>
  <si>
    <t>Integrated Intel® graphics</t>
  </si>
  <si>
    <t>16 GB: 1 x 16 GB, DDR5, 5600 MT/s (5200 MT/s with Intel® Core™ processors)</t>
  </si>
  <si>
    <t>16", Non-Touch, FHD+, 300 nit, 45% NTSC, Anti-Glare, FHD+IR Cam</t>
  </si>
  <si>
    <t>English UK backlit Copilot key keyboard with numeric keypad</t>
  </si>
  <si>
    <t>3-cell, 55 Wh, ExpressCharge™ Capable, ExpressCharge™ Boost Capable</t>
  </si>
  <si>
    <t>1 Global headset port 1 HDMI 2.1 (TMDS) port 1 USB 3.2 Gen 1 (5 Gbps) Type-A port 1 USB 3.2 Gen 1 (5 Gbps) Type-A port with PowerShare 1 USB 3.2 Gen 2 (10 Gbps) Type-C® port with DisplayPort™ Alt mode/Power Delivery 1 Thunderbolt™ 4 (40 Gbps) port with Po</t>
  </si>
  <si>
    <t>vPro® (12 TOPS NPU, 12 cores, up to 5.3 GHz)</t>
  </si>
  <si>
    <t>8 GB: 1 x 8 GB, DDR5, 5600 MT/ s (5200 MT/s with Intel</t>
  </si>
  <si>
    <t>Pro 14 PC14250</t>
  </si>
  <si>
    <t>Intel Core Ultra 7 265U</t>
  </si>
  <si>
    <t>512 GB, SSD</t>
  </si>
  <si>
    <t>14", Non-Touch, FHD+, IPS, Anti-Glare, 300 nits, 45% NTSC, FHD IR Cam</t>
  </si>
  <si>
    <t>English US backlit Copilot key keyboard</t>
  </si>
  <si>
    <t>Ports 1 Global headset port 1 HDMI 2.1 (TMDS) port 1 USB 3.2 Gen 1 (5 Gbps) Type-A port 1 USB 3.2 Gen 1 (5 Gbps) Type-A port with PowerShare 1 USB 3.2 Gen 2 (10 Gbps) Type-C® port with DisplayPort™ Alt mode/Power Delivery 1 Thunderbolt™ 4 (40 Gbps) port w</t>
  </si>
  <si>
    <t>12 TOPS NPU, 12 cores, up to 5.2 GHz</t>
  </si>
  <si>
    <t>Intel® Core™ 5 120U</t>
  </si>
  <si>
    <t>8 GB: 1 x 8 GB, DDR5, 5600 MT/ s</t>
  </si>
  <si>
    <t>14", Non-Touch, FHD+, 300 nit, 45% NTSC, Anti-Glare, FHD Cam</t>
  </si>
  <si>
    <t>Arabic backlit Copilot key key board, 79-key</t>
  </si>
  <si>
    <t>3-cell, 45 Wh, ExpressCharge™ Capable, ExpressCharge™ Boost Capable</t>
  </si>
  <si>
    <t>10 cores, up to 5.0 GHz</t>
  </si>
  <si>
    <t>Integrated Intel Graphics</t>
  </si>
  <si>
    <t>8 GB: 1 x 8 GB, DDR5, 5600 MT/ s (5200 MT/s with Intel Core p rocessors)</t>
  </si>
  <si>
    <t>14", Non-Touch, FHD+, 300 nit, 45% NTSC, Anti-Glare, FHD+IR Cam</t>
  </si>
  <si>
    <t>65W AC rugged adapter, 4.5mm b arrel, E4 1 rows available</t>
  </si>
  <si>
    <t>FHD HDR + IR Camera, Facial Re cognition, TNR, Camera Shutter , Microphone 1 rows available</t>
  </si>
  <si>
    <t>Magnetite color</t>
  </si>
  <si>
    <t>ProBook 460 G11</t>
  </si>
  <si>
    <t>16 GB DDR5-5600 MT/s (1 x 16 GB)</t>
  </si>
  <si>
    <t>512 GB PCIe® NVMe™ SSD</t>
  </si>
  <si>
    <t>40.6 cm (16") diagonal, WUXGA (1920 x 1200), IPS, anti-glare, 300 nits, 45% NTSC</t>
  </si>
  <si>
    <t>HP Premium Keyboard – spill-resistant, backlit keyboard with numeric keypad</t>
  </si>
  <si>
    <t>HP Long Life 3-cell, 56 Wh Li-ion</t>
  </si>
  <si>
    <t>2 USB Type-C® 20Gbps signaling rate (USB Power Delivery, DisplayPort™ 1.4, HP Sleep and Charge); 2 USB Type-A 5Gbps signaling rate (1 charging, 1 power); 1 HDMI 2.1; 1 stereo headphone/microphone combo jack; 1 RJ-45</t>
  </si>
  <si>
    <t>35.94 x 25.11 x 1.09 cm (front); 35.94 x 25.11 x 1.7 cm (rear)</t>
  </si>
  <si>
    <t>Pike silver</t>
  </si>
  <si>
    <t>A23C9EA</t>
  </si>
  <si>
    <t>ProBook 450 G10</t>
  </si>
  <si>
    <t>15.6" diagonal, FHD, IPS, narrow bezel, anti-glare, 250 nits, 45% NTSC</t>
  </si>
  <si>
    <t>HP Long Life 3-cell, 51 Wh Li-ion</t>
  </si>
  <si>
    <t>2 USB Type-A 5Gbps signaling rate (1 charging, 1 power); 1 AC power; 1 HDMI 2.1; 1 stereo headphone/microphone combo jack; 1 RJ-45; 2 USB Type-C® 10Gbps signaling rate (USB Power Delivery, DisplayPort™ 2.1)</t>
  </si>
  <si>
    <t>359.4 x 233.9 x 19.9 mm</t>
  </si>
  <si>
    <t>1.79 kg</t>
  </si>
  <si>
    <t>9G1R1ET</t>
  </si>
  <si>
    <t>39.6 cm (15.6") diagonal, FHD, touch, IPS, narrow bezel, 250 nits, 45% NTSC</t>
  </si>
  <si>
    <t>85D08EA</t>
  </si>
  <si>
    <t>ThinkPad E14 Gen 7</t>
  </si>
  <si>
    <t>Integrated IntelArc</t>
  </si>
  <si>
    <t>14" WUXGA IPS 300nits Anti-glare, 45% NTSC, 60Hz</t>
  </si>
  <si>
    <t>48Wh</t>
  </si>
  <si>
    <t>FHD 1080p + IR Hybrid with Privacy Shutter</t>
  </si>
  <si>
    <t>1x USB-A (USB 5Gbps / USB 3.2 Gen 1) 1x USB-A (USB 10Gbps / USB 3.2 Gen 2), Always On 1x USB-C® (Thunderbolt™ 4 / USB4® 40Gbps), with USB PD 3.1 and DisplayPort™ 2.1 1x HDMI® 2.1, up to 4K/60Hz 1x Headphone / microphone combo jack (3.5mm) 1x Ethernet (RJ-</t>
  </si>
  <si>
    <t>313 x 220.3 x 10.1/15.25 mm</t>
  </si>
  <si>
    <t>1.34 kg</t>
  </si>
  <si>
    <t>16C (6P + 8E + 2LPE) / 16T, Max Turbo up to 5.1GHz, 24MB</t>
  </si>
  <si>
    <t>21SX001TGR</t>
  </si>
  <si>
    <t>16" diagonal, WUXGA (1920 x 1200), IPS, anti-glare, 300 nits, 45% NTSC</t>
  </si>
  <si>
    <t>359.4 x 251.1 x 10.9 mm</t>
  </si>
  <si>
    <t>up to 4.8 GHz with Intel® Turbo Boost Technology, 24 MB L3 cache, 16 cores, 22 threads</t>
  </si>
  <si>
    <t>A23BQEA</t>
  </si>
  <si>
    <t>ThinkPad E16 Gen 3</t>
  </si>
  <si>
    <t>Integrated Intel® Arc™ 140T GPU Functions as Intel Graphics</t>
  </si>
  <si>
    <t>Backlit, English (EU)</t>
  </si>
  <si>
    <t>1x USB-A (USB 5Gbps / USB 3.2 Gen 1) 1x USB-A (USB 10Gbps / USB 3.2 Gen 2), Always On 1x USB-C® (USB 20Gbps / USB 3.2 Gen 2x2), with USB PD 3.1 and DisplayPort™ 1.4 1x USB-C® (Thunderbolt™ 4 / USB4® 40Gbps), with USB PD 3.1 and DisplayPort™ 2.1 1x HDMI® 2</t>
  </si>
  <si>
    <t>356 x 249 x 10.1 17.05 mm</t>
  </si>
  <si>
    <t>21SR0017GQ</t>
  </si>
  <si>
    <t>Summit 13 AI+ Evo A2VMTG</t>
  </si>
  <si>
    <t>Intel Core Ultra 9 288V</t>
  </si>
  <si>
    <t>32GB LPDDR5x</t>
  </si>
  <si>
    <t>13.3" FHD+, 16:10, IPS-Level Touchscreen 100% sRGB</t>
  </si>
  <si>
    <t>70 Battery (Whr) 4-Cell</t>
  </si>
  <si>
    <t>1x Type-A USB3.2 Gen1 1x HDMI™ 2.1 (8K @ 60Hz / 4K @ 120Hz) 2x Thunderbolt™ 4 (DisplayPort™/ Power Delivery 3.0)</t>
  </si>
  <si>
    <t>300.2 x 222.25 x 15.9 -16.2 mm</t>
  </si>
  <si>
    <t>1.35 kg</t>
  </si>
  <si>
    <t>Latitude 3550</t>
  </si>
  <si>
    <t>Intel Integrated Iris Xe</t>
  </si>
  <si>
    <t>512GB, M.2 2230, QLC PCIe Gen 4 NVMe</t>
  </si>
  <si>
    <t>15.6" FHD Non-Touc h, AG, IPS, 250 nits, FHD IR C am, WLAN</t>
  </si>
  <si>
    <t>Arabic backlit AI hotkey keybo ard with numeric keypad, 99-ke y 2 rows available</t>
  </si>
  <si>
    <t>12 MB cache, 10 cores, up to 4 .60 GHz Turbo</t>
  </si>
  <si>
    <t>15-fd0211ne</t>
  </si>
  <si>
    <t>B6QQ7EA</t>
  </si>
  <si>
    <t>14" WUXGA IPS 300nits Anti-glare, 45% NTSC</t>
  </si>
  <si>
    <t>1080P FHD RGB with Microphone and Privacy Shutter</t>
  </si>
  <si>
    <t>1x 1 x Kensington® Security Slot™; 1 x Combo Mic/Audio; 1 x RJ45; 1 x HDMI® 2.0; 1 x USB-A 3.2 Gen 1 (Always On); 1 x USB-A 2.0; 1 x USB-C 3.2 Gen 2; 1 x Thunderbolt™ 4</t>
  </si>
  <si>
    <t>21JKS0HA00</t>
  </si>
  <si>
    <t>ProBook 440 G8</t>
  </si>
  <si>
    <t>256GB PCIe® NVMe™ SSD</t>
  </si>
  <si>
    <t>14'' Inch HD</t>
  </si>
  <si>
    <t>1366 X 768</t>
  </si>
  <si>
    <t>Spill-resistant keyboard</t>
  </si>
  <si>
    <t>HP Long Life 3-cell, 45 Wh Li-ion</t>
  </si>
  <si>
    <t>720p HD privacy camera</t>
  </si>
  <si>
    <t>32M74EA</t>
  </si>
  <si>
    <t>Integrated Intel® Arc</t>
  </si>
  <si>
    <t>16" WUXGA IPS 300nits Anti-glare, 45% NTSC</t>
  </si>
  <si>
    <t>1x USB-A (USB 5Gbps / USB 3.2 Gen 1) 1x USB-A (USB 10Gbps / USB 3.2 Gen 2), Always On 1x USB-C® (USB 20Gbps / USB 3.2 Gen 2x2), with USB PD 3.0 and DisplayPort™ 1.4 1x USB-C® (Thunderbolt™ 4 / USB4® 40Gbps), with USB PD 3.0 and DisplayPort™ 2.1 1x HDMI® 2</t>
  </si>
  <si>
    <t>356.1 x 247.7 x 19.85 mm</t>
  </si>
  <si>
    <t>21MA001PGR</t>
  </si>
  <si>
    <t>ThinkPad E14 Gen 6</t>
  </si>
  <si>
    <t>1.44 kg</t>
  </si>
  <si>
    <t>21M70024GP</t>
  </si>
  <si>
    <t>NVIDIA® GeForce MX550</t>
  </si>
  <si>
    <t>21JK000NGR</t>
  </si>
  <si>
    <t>Touch Style, Integrated in Power Button</t>
  </si>
  <si>
    <t>EliteBook 840 G8</t>
  </si>
  <si>
    <t>512GB SSD M.2 2242 PCIe®</t>
  </si>
  <si>
    <t>14.0 inch FHD</t>
  </si>
  <si>
    <t>6A3N9AV</t>
  </si>
  <si>
    <t>Nvidia GeForce MX550</t>
  </si>
  <si>
    <t>1x 1 x HDMI® 2.0; 1 x Kensington® Security Slot™; 1 x Combo Mic/Audio; 1 x RJ45; 1 x USB-A 3.2 Gen 1 (Always On); 1 x USB-A 2.0; 1 x USB-C 3.2 Gen 2; 1 x Thunderbolt™ 4</t>
  </si>
  <si>
    <t>Latitude 3540</t>
  </si>
  <si>
    <t>8 GB,1x8 GB, DDR4, 3200</t>
  </si>
  <si>
    <t>512 GB, M.2 2230, PCIe NVMe, SSD, Class 35</t>
  </si>
  <si>
    <t>15.6", FHD 1920x1080, 60Hz, WV A/IPS, Non-Touch, Anti-Glare, 250 nit, NTSC 45%,</t>
  </si>
  <si>
    <t>Arabic backlit keyboard with numeric keypad, 99-key</t>
  </si>
  <si>
    <t>3-cell, 42 Wh, ExpressCharge™ Capable, ExpressCharge™ Boost Capable</t>
  </si>
  <si>
    <t>FHD Camera, Temporal Noise Reduction, No ExpressSign-In, Camera Shutter, Mic</t>
  </si>
  <si>
    <t>1 USB 3.2 Gen 2 Type-C® port with DisplayPort Alt mode/Power Delivery 2 USB 3.2 Gen 1 port 1 USB 3.2 Gen 1 port with PowerShare 1 HDMI 1.4 port 1 universal audio port 1 power-adapter port 1 RJ-45 Ethernet port</t>
  </si>
  <si>
    <t>359.0 x 239.7 x 20.4 mm</t>
  </si>
  <si>
    <t>Intel Core Ultra 5 235U</t>
  </si>
  <si>
    <t>Arabic backlit Copilot key key board with numeric keypad</t>
  </si>
  <si>
    <t>2 Thunderbolt™ 4 (40 Gbps) with DisplayPort™ 2.1 Alt Mode/USB Type-C®/USB4/Power Delivery ports 1 USB 3.2 Gen 1 Type-A port with PowerShare 1 USB 3.2 Gen 1 Type-A port 1 HDMI 2.1 port 1 global headset jack 1 RJ45 Ethernet port, 1GbE (only with Core™ Serie</t>
  </si>
  <si>
    <t>vPro® (12 TOPS NPU, 12 cores, up to 4.9 GHz)</t>
  </si>
  <si>
    <t>8 GB: 1 x 8 GB, DDR5, 5600 MT/s (5200 MT/s with Intel® Core™ processors)</t>
  </si>
  <si>
    <t>16", Non-Touch, FHD+, IPS, Anti-Glare, 300 nits, 45% NTSC, FHD IR Cam</t>
  </si>
  <si>
    <t>FHD HDR + IR Camera, Facial Re cognition, TNR, Camera Shutter , Microphone</t>
  </si>
  <si>
    <t>Integrated Intel Arc</t>
  </si>
  <si>
    <t>1x 8 GB DDR5-5600</t>
  </si>
  <si>
    <t>1x 1 x RJ45; 1 x USB-A 3.2 Gen 1; 1 x USB-A 3.2 Gen 2; HDMI 2.1; 1 x K-Lock; 1 x USB 3.2 Gen2 (Type C); TBT 4.0; 1 x Combo Mic/Audio</t>
  </si>
  <si>
    <t>21MAS0BR00</t>
  </si>
  <si>
    <t>720P HD RGB with Microphone and Privacy Shutter</t>
  </si>
  <si>
    <t>1x 1 x RJ45; 1 x USB-A 3.2 Gen 2; 1 x USB-A 3.2 Gen 1; 1 x USB-C 3.2 Gen 2; 1 x Combo Audio Jack; 1 x HDMI 2.1 TMDS; 1 x Thunderbolt™ 4; 1 x K-Lock</t>
  </si>
  <si>
    <t>21M7S12000</t>
  </si>
  <si>
    <t>up to 4.3 GHz with Intel® Turbo Boost Technology, 12 MB L3 cache, 12 cores, 14 threads</t>
  </si>
  <si>
    <t>B9ZF2ET</t>
  </si>
  <si>
    <t>967U5ET</t>
  </si>
  <si>
    <t>16GB DDR4-3200 MT/s (1 x 16 GB)</t>
  </si>
  <si>
    <t>15.6" diagonal, FHD, touch, IPS, narrow bezel, 250 nits, 45% NTSC</t>
  </si>
  <si>
    <t>85C39EA</t>
  </si>
  <si>
    <t>HP Long Life 3-cell, 42 Wh Li-ion</t>
  </si>
  <si>
    <t>B20WPAT</t>
  </si>
  <si>
    <t>512GB PCIe® NVMe™ SSD</t>
  </si>
  <si>
    <t>Pike silver aluminum</t>
  </si>
  <si>
    <t>A23BYEA</t>
  </si>
  <si>
    <t>Latitude 5550</t>
  </si>
  <si>
    <t>Integrated Intel Iris Xe or UHD graphics</t>
  </si>
  <si>
    <t>16 GB: 2 x 8 GB, DDR5, 5600 MT /s (5200 MT/s with 13th Gen In tel Core processors)</t>
  </si>
  <si>
    <t>512 GB, M.2 2230, TLC, Gen 4 P CIe NVMe, SSD</t>
  </si>
  <si>
    <t>15.6", FHD, 60Hz, IP S, Non-Touch, AG, 250 nit, 45% NTSC, FHD+IR Cam, 4G</t>
  </si>
  <si>
    <t>Arabic backlit AI hotkey keybo ard with numeric keypad, 99-key</t>
  </si>
  <si>
    <t>3-cell, 54 Wh, ExpressCharge C apable, ExpressCharge Boost Ca pable</t>
  </si>
  <si>
    <t>12 MB cache, 10 cores, 12 thre ads, up to 5.0 GHz Turbo</t>
  </si>
  <si>
    <t>ThinkPad X1 Carbon Gen 12</t>
  </si>
  <si>
    <t>Intel® Core Ultra 7 155U</t>
  </si>
  <si>
    <t>32GB Soldered LPDDR5x-6400</t>
  </si>
  <si>
    <t>512GB SSD M.2 2280 PCIe® 4.0x4 Performance NVMe® Opal 2.0</t>
  </si>
  <si>
    <t>14" WUXGA IPS 400nits Anti-glare, 100% sRGB, 60Hz, Low Power, Touch</t>
  </si>
  <si>
    <t>1x USB-A (USB 5Gbps / USB 3.2 Gen 1) 1x USB-A (USB 5Gbps / USB 3.2 Gen 1), Always On 2x USB-C® (Thunderbolt™ 4 / USB4® 40Gbps), with USB PD 3.0 and DisplayPort™ 2.1 1x HDMI® 2.1, up to 4K/60Hz 1x Headphone / microphone combo jack (3.5mm)</t>
  </si>
  <si>
    <t>312.80 x 214.75 x 14.96 mm</t>
  </si>
  <si>
    <t>1.08 kg</t>
  </si>
  <si>
    <t>21KC00A7US</t>
  </si>
  <si>
    <t>Prestige 14 AI Evo C2HMG</t>
  </si>
  <si>
    <t>14" Inch 16:10 FHD+, 144hz 100%sRGB</t>
  </si>
  <si>
    <t>90 Battery (Whr) 4-Cell</t>
  </si>
  <si>
    <t>1x HDMI™ 2.1 (8K @ 60Hz / 4K @ 120Hz) 1x Type-A USB3.2 Gen2 2x Thunderbolt™ 4 (DisplayPort™/ Power Delivery 3.0)</t>
  </si>
  <si>
    <t>16 GB DDR4-3200 MT/s (1 x 16 GB) Transfer rates up to 3200 MT/s.</t>
  </si>
  <si>
    <t>39.6 cm (15.6") diagonal, FHD (1920 x 1080), IPS, narrow bezel, anti-glare, 250 nits, 45% NTSC</t>
  </si>
  <si>
    <t>9G2N6ET</t>
  </si>
  <si>
    <t>ThinkBook 16 G6 IRL</t>
  </si>
  <si>
    <t>45Wh</t>
  </si>
  <si>
    <t>356 x 253.5 x 17.5 mm</t>
  </si>
  <si>
    <t>21KH003RED</t>
  </si>
  <si>
    <t>ThinkPad X13 Yoga Gen 2</t>
  </si>
  <si>
    <t>8 GB LPD4X-4266</t>
  </si>
  <si>
    <t>13.3''Inch WUXGA</t>
  </si>
  <si>
    <t>1x 720P HD with ThinkShutter</t>
  </si>
  <si>
    <t>1x Kensington lock; HDMI 2.0; Combo audio/microphone jack; 2x USB-A 3.2 Gen 1; 2 x TBT4 (DP1.4a</t>
  </si>
  <si>
    <t>Modern 14 F13MG</t>
  </si>
  <si>
    <t>46.8 Battery (Whr)   3-Cell</t>
  </si>
  <si>
    <t>3x Type-A USB3.2 Gen1  1x Micro SD Card Reader  1x HDMI™ (4K @ 30Hz)   1x RJ45   1x Type-C (USB3.2 Gen2 / DisplayPort™/ Power Delivery 3.0)</t>
  </si>
  <si>
    <t>323.9 x 217.2 x 19.9 mm</t>
  </si>
  <si>
    <t>Platinum Gray</t>
  </si>
  <si>
    <t>12M Cache, up to 5.00 GHz, 10 Cores</t>
  </si>
  <si>
    <t>Urban silver</t>
  </si>
  <si>
    <t>Latitude 3450</t>
  </si>
  <si>
    <t>Intel Integrated Iris Xe UHD</t>
  </si>
  <si>
    <t>8 GB, DDR5, 5600 MT/ s</t>
  </si>
  <si>
    <t>14.0" FHD Non-Touc h, AG, IPS, 250 nits, FHD IR C am, WLAN</t>
  </si>
  <si>
    <t>Arabic backlit AI hotkey keybo ard, 79-key</t>
  </si>
  <si>
    <t>3- cell, 54Wh Battery, Express Charge, Express Charge Boost capable</t>
  </si>
  <si>
    <t>Intel Core Ultra 5</t>
  </si>
  <si>
    <t>Integrated Intel graphics</t>
  </si>
  <si>
    <t>15.6", FHD, 60Hz, IP S, Non-Touch, AG, 250 nit, 45% NTSC, FHD Cam, 4G</t>
  </si>
  <si>
    <t>65W AC adapter, USB Type-C, Ec oDesign</t>
  </si>
  <si>
    <t>FHD HDR RGB Camera, TNR, Camer a Shutter, Microphone</t>
  </si>
  <si>
    <t>12 MB cache, 12 cores, 14 threads, up to 4.3 GHz Turbo</t>
  </si>
  <si>
    <t>Latitude 5450</t>
  </si>
  <si>
    <t>8 GB, DDR5, 5600 MT/ s (5200 MT/s</t>
  </si>
  <si>
    <t>14.0", FHD, 60Hz, IP S, Non-Touch, AG, 250 nit, 45% NTSC, FHD+IR Cam, 4G</t>
  </si>
  <si>
    <t>FHD HDR + IR Camera, Facial Re cognition, TNR, Camera</t>
  </si>
  <si>
    <t>ThinkBook 14 G7 IML</t>
  </si>
  <si>
    <t>Intel® Core™ Ultra 5 125U</t>
  </si>
  <si>
    <t>8GB SO-DIMM DDR5-5600</t>
  </si>
  <si>
    <t>1x USB-A (USB 5Gbps / USB 3.2 Gen 1) 1x USB-A (USB 5Gbps / USB 3.2 Gen 1), Always On 1x USB-C® (USB 10Gbps / USB 3.2 Gen 2), with USB PD 3.0 and DisplayPort™ 1.4 1x USB-C® (Thunderbolt™ 4 / USB4® 40Gbps), with USB PD 3.0 and DisplayPort™ 2.1 1x HDMI® 2.1,</t>
  </si>
  <si>
    <t>313.5 x 224 x 16.9 mm</t>
  </si>
  <si>
    <t>12C (2P + 8E + 2LPE) / 14T, Max Turbo up to 4.3GHz, 12MB</t>
  </si>
  <si>
    <t>21MR000DGQ</t>
  </si>
  <si>
    <t>Integrated Intel® Arc™ Graphics</t>
  </si>
  <si>
    <t>21MR001BGQ</t>
  </si>
  <si>
    <t>ThinkPad X13 2-in-1 Gen 5</t>
  </si>
  <si>
    <t>32GB soldered memory, not upgradable</t>
  </si>
  <si>
    <t>1TB SSD M.2 2280 PCIe® 4.0x4 NVMe® Opal 2.0v</t>
  </si>
  <si>
    <t>13.3" WUXGA IPS 300nits Anti-glare, 100% sRGB, Touch</t>
  </si>
  <si>
    <t>54.7Wh</t>
  </si>
  <si>
    <t>5.0MP + IR Discrete with Privacy Shutter</t>
  </si>
  <si>
    <t>301.7 x 214.6 x 16.4 mm</t>
  </si>
  <si>
    <t>1.25 kg</t>
  </si>
  <si>
    <t>21LW000EED</t>
  </si>
  <si>
    <t>ThinkPad X13 Gen 4</t>
  </si>
  <si>
    <t>1TB SSD M.2 2280 PCIe® 4.0x4 NVMe® Opal 2.0</t>
  </si>
  <si>
    <t>13.3" WUXGA (1920x1200) IPS 300nits Anti-glare, 100% sRGB</t>
  </si>
  <si>
    <t>41Wh</t>
  </si>
  <si>
    <t>1x USB 3.2 Gen 1 1x USB 3.2 Gen 1 (Always On) 2x Thunderbolt™ 4 / USB4® 40Gbps (support data transfer, Power Delivery 3.0 and DisplayPort™ 2.0) 1x HDMI® 2.1, up to 4K/60Hz 1x Headphone / microphone combo jack (3.5mm)</t>
  </si>
  <si>
    <t>301.7 x 214.8 x 15.95 mm</t>
  </si>
  <si>
    <t>1.09 kg</t>
  </si>
  <si>
    <t>21EX000VED</t>
  </si>
  <si>
    <t>ThinkPad T14s Gen 5</t>
  </si>
  <si>
    <t>14" WUXGA (1920x1200) IPS 400nits Anti-glare, 45% NTSC, DBEF5</t>
  </si>
  <si>
    <t>58Wh</t>
  </si>
  <si>
    <t>313.6 x 219.4 x 16.9 mm</t>
  </si>
  <si>
    <t>21LS000KED</t>
  </si>
  <si>
    <t>ThinkPad T14 Gen 5</t>
  </si>
  <si>
    <t>14" WUXGA (1920x1200) IPS 400nits Anti-glare, 45% NTSC, 60Hz, DBEF5</t>
  </si>
  <si>
    <t>1x USB-A (USB 5Gbps / USB 3.2 Gen 1) 1x USB-A (USB 5Gbps / USB 3.2 Gen 1), Always On 2x USB-C® (Thunderbolt™ 4 / USB4® 40Gbps), with USB PD 3.0 and DisplayPort™ 2.1 1x HDMI® 2.1, up to 4K/60Hz 1x Headphone / microphone combo jack (3.5mm) 1x Ethernet (RJ-4</t>
  </si>
  <si>
    <t>315.9 x 223.7 x 17.7 mm</t>
  </si>
  <si>
    <t>21ML000FED</t>
  </si>
  <si>
    <t>512GB SSD M.2 2280 PCIe® 4.0x4 NVMe® Opal 2.0</t>
  </si>
  <si>
    <t>21ML000AED</t>
  </si>
  <si>
    <t>ThinkPad L13 2-in-1 Gen 5</t>
  </si>
  <si>
    <t>16GB Soldered LPDDR5-6400</t>
  </si>
  <si>
    <t>13.3" WUXGA (1920x1200) IPS 300nits Anti-reflection / Anti-smudge, 100% sRGB, Touch</t>
  </si>
  <si>
    <t>46Wh</t>
  </si>
  <si>
    <t>Front FHD 1080p + IR Hybrid with Privacy Shutter</t>
  </si>
  <si>
    <t>2x USB-A (USB 5Gbps / USB 3.2 Gen 1), one Always On 1x USB-C® (USB 20Gbps / USB 3.2 Gen 2x2), with USB PD 3.0 and DisplayPort™ 1.4 1x USB-C® (Thunderbolt™ 4 / USB4® 40Gbps), with USB PD 3.0 and DisplayPort™ 2.1 1x HDMI® 2.1, up to 4K/60Hz 1x Headphone / m</t>
  </si>
  <si>
    <t>305 x 218 x 17.06 mm</t>
  </si>
  <si>
    <t>21LM000AED</t>
  </si>
  <si>
    <t>21ML000CED</t>
  </si>
  <si>
    <t>ThinkPad E16 GEN 1</t>
  </si>
  <si>
    <t>16" WUXGA (1920x1200) IPS 300nits Anti-glare, 45% NTSC</t>
  </si>
  <si>
    <t>21JN00HPGQ</t>
  </si>
  <si>
    <t>1TB SSD M.2 2242 PCIe® 4.0x4 NVMe® Opal 2.0</t>
  </si>
  <si>
    <t>21M7001UED</t>
  </si>
  <si>
    <t>21JK00DGED</t>
  </si>
  <si>
    <t>21JK009YED</t>
  </si>
  <si>
    <t>1x 8GB SO-DIMM DDR5-5600</t>
  </si>
  <si>
    <t>21MA000BGR</t>
  </si>
  <si>
    <t>1TB SSD M.2 2280 PCIe® 4.0x4 Performance NVMe® Opal 2.0</t>
  </si>
  <si>
    <t>14" WUXGA IPS 400nits Anti-glare, 100% sRGB, 60Hz, Low Power</t>
  </si>
  <si>
    <t>FHD 1080p + IR Discrete with Privacy Shutter</t>
  </si>
  <si>
    <t>21KC0014ED</t>
  </si>
  <si>
    <t>Surface Studio 2</t>
  </si>
  <si>
    <t>Touchscreen 14.4” PixelSense™ Flow Display Aspect ratio: 3:2 Contrast ratio: 1500:1</t>
  </si>
  <si>
    <t>2400 x 1600</t>
  </si>
  <si>
    <t>up to 19 hours of typical device usage</t>
  </si>
  <si>
    <t>2 x USB-CFootnote® with USB4Footnote®/ Thunderbolt 4 (with DisplayPort and Power Delivery) USB-A 3.1 MicroSDXC card reader 3.5 mm headphone jack  Surface Connect port</t>
  </si>
  <si>
    <t>230.12 x 323 x 21.84 mm</t>
  </si>
  <si>
    <t>1.89 Kg</t>
  </si>
  <si>
    <t>ZRF-00001-NOB</t>
  </si>
  <si>
    <t>Intel  Core Ultra 7 155U</t>
  </si>
  <si>
    <t>16GB Soldered LPDDR5x-6400</t>
  </si>
  <si>
    <t>21KC000YED</t>
  </si>
  <si>
    <t>Latitude 5530</t>
  </si>
  <si>
    <t>8 GB, 1 x 8 GB, DDR4,</t>
  </si>
  <si>
    <t>M.2 256GB PCIe NVMe SSD</t>
  </si>
  <si>
    <t>15.6" FHD Anti Gla re, Non-Touch, 250 nits,</t>
  </si>
  <si>
    <t>English UK backlit keyboard with numeric keypad, 100-key</t>
  </si>
  <si>
    <t>58WHR, 4 Cell Battery Express Charge Capable</t>
  </si>
  <si>
    <t>12 MB cache, 10 cores, up to 4.40 GHz Turbo</t>
  </si>
  <si>
    <t>8GB DDR4 3200</t>
  </si>
  <si>
    <t>1x 720P HD RGB with Dual Microphone and Privacy Shutter</t>
  </si>
  <si>
    <t>1x HDMI 2.0; King lock; 1 x Combo Mic/Audio; 1xUSB 3.2 Gen1 USB Type-A with AOU; 1 USB 2.0(Type A); 1 x RJ45; 1 x USB 3.2 Gen2 (Type C); TBT 4.0</t>
  </si>
  <si>
    <t>21JNS08A00</t>
  </si>
  <si>
    <t>​Intel Core I5-1335U</t>
  </si>
  <si>
    <t>21JNS08900</t>
  </si>
  <si>
    <t>21JLS41N00</t>
  </si>
  <si>
    <t>ThinkBook 15 G4 IAP</t>
  </si>
  <si>
    <t>Nvidia GeForce MX550 2GB GDDR6</t>
  </si>
  <si>
    <t>MX550 2GB GDDR6</t>
  </si>
  <si>
    <t>1x USB 3.2 Gen 1 1x USB 3.2 Gen 1 (Always On) 1x USB-C® 3.2 Gen 2 (support data transfer, Power Delivery 3.0 and DisplayPort™ 1.4) 1x Thunderbolt™ 4 / USB4® 40Gbps (support data transfer, Power Delivery 3.0 and DisplayPort™ 1.4) 1x HDMI® 2.1, up to 4K/6</t>
  </si>
  <si>
    <t>357 x 235 x 18.9 mm</t>
  </si>
  <si>
    <t>Mineral Grey</t>
  </si>
  <si>
    <t>21DJ003KED</t>
  </si>
  <si>
    <t>ThinkBook 15 G2 ITL</t>
  </si>
  <si>
    <t>NVIDIA® GeForce MX450 2GB</t>
  </si>
  <si>
    <t>256GB SSD M.2 2242 PCIe® 3.0x4 NVMe® + Empty HDD Bay</t>
  </si>
  <si>
    <t>15.6" FHD (1920x1080) TN 220nits Anti-glare, 45% NTSC</t>
  </si>
  <si>
    <t>1x USB 3.2 Gen 1 1x USB 3.2 Gen 1 (Always On) 1x USB-C® 3.2 Gen 2 (support data transfer, Power Delivery 3.0 and DisplayPort™ 1.4) 1x Thunderbolt™ 4 / USB4® 40Gbps (support data transfer, Power Delivery 3.0 and DisplayPort™ 1.4) 1x HDMI® 1.4b 1x Card read</t>
  </si>
  <si>
    <t>4C / 8T, 2.8 / 4.7GHz, 12MB</t>
  </si>
  <si>
    <t>20VE000XAK</t>
  </si>
  <si>
    <t>Latitude 5520</t>
  </si>
  <si>
    <t>8GB, 1 x 8 GB, DDR4, 3200 MT/ s, single-channel, Non-ECC</t>
  </si>
  <si>
    <t>M.2 512GB PCIe NVMe Class 35 Solid State Drive</t>
  </si>
  <si>
    <t>15.6" FHD (1920x1080) Non-Touch, Anti-Glare, 250nits</t>
  </si>
  <si>
    <t>4 Cell 63Whr ExpressChargeTM Capable Battery</t>
  </si>
  <si>
    <t>HD Camera Bezel with Mic</t>
  </si>
  <si>
    <t>uSD 4.0 Memory Card Reader | 2. Global Headset Jack | 3. USB 3.2 Powershare| 4. USB 3.2 | 5. HDMI 2.0 | 6. RJ45 | 7. Wedge Lock Slot | 8. Thunderbolt™ 4 with Power Delivery and DisplayPort (USB Type-C™) | 9. Thunderbolt™ 4 with Power Delivery and DisplayP</t>
  </si>
  <si>
    <t>357.8 x 233.3 x 19.87 mm</t>
  </si>
  <si>
    <t>1.59 Kg</t>
  </si>
  <si>
    <t>4 Core, 8 MB Cache, up to 4.2GHz</t>
  </si>
  <si>
    <t>65W Type-C EPEAT Adapter</t>
  </si>
  <si>
    <t>4GB, 1x4GB, DDR4 Non-ECC</t>
  </si>
  <si>
    <t>500GB SSD</t>
  </si>
  <si>
    <t>15.6" HD Anti Glare , Non-Touch, 220 nits,</t>
  </si>
  <si>
    <t>41WHR, 3 Cell Battery Express Charge Capable</t>
  </si>
  <si>
    <t>HD Camera, Temporal Noise Reduction, No ExpressSign-In, Camera Shutter, Mic</t>
  </si>
  <si>
    <t>21JN001QGP</t>
  </si>
  <si>
    <t>21DJ003DED</t>
  </si>
  <si>
    <t>ZHY-00019</t>
  </si>
  <si>
    <t>Snapdragon® X Plus (10 Core)</t>
  </si>
  <si>
    <t>Qualcomm® Adreno™ GPU</t>
  </si>
  <si>
    <t>16 GB LPDDR5x</t>
  </si>
  <si>
    <t>Touchscreen: 13 inch PixelSense™ Flow display11 Resolution: 2880 x 1920 Aspect ratio: 3:2 Contrast ratio: 1200:1 Dynamic refresh rate: up to 120 Hz Colour profile: sRGB and Vivid Individually colour-calibrated display Adaptive colour Adaptive contrast</t>
  </si>
  <si>
    <t>Up to 14 hours of local video playback9</t>
  </si>
  <si>
    <t>10.5MP Ultra HD Rear Camera</t>
  </si>
  <si>
    <t>2 X USB-C® / USB4® ports with support for: Charging Data transfer DisplayPort 1.4a Surface Thunderbolt™ 4 Dock and other accessories Supports fast charging with minimum 65 W power supply via Surface Connect or USB-C 10 Surface Pro Keyboard port  Surface C</t>
  </si>
  <si>
    <t>287.02 x 208.28 x 9.39 mm</t>
  </si>
  <si>
    <t>0.89 kg</t>
  </si>
  <si>
    <t>Surface Pro Copilot</t>
  </si>
  <si>
    <t>39 W with USB-C</t>
  </si>
  <si>
    <t>lntel® Core™ i7-1355U</t>
  </si>
  <si>
    <t>1x HDMI® 2.1, up to 4K/60Hz 1x Headphone / microphone combo jack (3.5mm) 1x Ethernet (RJ-45) 1x USB 2.0 1x USB 3.2 Gen 1 (Always On) 1x USB-C® 3.2 Gen 2 (support data transfer, Power Delivery 3.0 and DisplayPort™ 1.4) 1x Thunderbolt™ 4 / USB4® 40Gbps (sup</t>
  </si>
  <si>
    <t>21JN007VUE</t>
  </si>
  <si>
    <t>21JN00CKGQ</t>
  </si>
  <si>
    <t>Inspiron 16 7640</t>
  </si>
  <si>
    <t>16", Touch, FHD+ 1920x1200, 60Hz, WVA, IPS, 300 nit, ComfortView Plus</t>
  </si>
  <si>
    <t>2 USB 3.2 Gen 1 Type-A ports 2 Thunderbolt 4.0 ports 1 Universal audio jack 1 HDMI 1.4 port* *The maximum resolution supported over HDMI is 1920x1080 @60Hz. No 4K/2K output.</t>
  </si>
  <si>
    <t>356.78 x 250.60 x 16.12 mm</t>
  </si>
  <si>
    <t>24 MB cache, 16 cores, 22 threads, up to 4.80 GHz Turbo</t>
  </si>
  <si>
    <t>Envy x360 16-ac0013dx</t>
  </si>
  <si>
    <t>16 GB LPDDR5-6400</t>
  </si>
  <si>
    <t>5MP IR camera</t>
  </si>
  <si>
    <t>1 USB Type-C® 10Gbps signaling rate (USB Power Delivery, DisplayPort™ 1.4, HP Sleep and Charge); 1 USB Type-A 10Gbps signaling rate (HP Sleep and Charge); 1 USB Type-A 10Gbps signaling rate; 1 HDMI-out 2.1; 1 headphone/microphone combo; 1 Thunderbolt™ 4 w</t>
  </si>
  <si>
    <t>356.61 x 245.87 x 18.28 mm</t>
  </si>
  <si>
    <t>1.87kg</t>
  </si>
  <si>
    <t>256 GB SSD PCIe</t>
  </si>
  <si>
    <t>13.3 WUXGA</t>
  </si>
  <si>
    <t>20W9S08V00</t>
  </si>
  <si>
    <t>Intel® Core i7-1255U</t>
  </si>
  <si>
    <t>256GB</t>
  </si>
  <si>
    <t>13" Touchscreen PixelSense Flow</t>
  </si>
  <si>
    <t>1080p full HD video</t>
  </si>
  <si>
    <t>2x USB-C with USB 4.0 /Thunderbolt 4 - 1x Surface Connect port, 1x Surface Keyboard port</t>
  </si>
  <si>
    <t>11.3 x 8.2 x 0.37 inches</t>
  </si>
  <si>
    <t>Green</t>
  </si>
  <si>
    <t>85D04EA</t>
  </si>
  <si>
    <t>Latitude 3340</t>
  </si>
  <si>
    <t>256 GB, M.2 2230, PCIe NVMe, SSD,</t>
  </si>
  <si>
    <t>13.3" FHD 1920x1080, 60Hz, WVA/IPS, Touch,</t>
  </si>
  <si>
    <t>3 Cell, 54 Wh,</t>
  </si>
  <si>
    <t>1 USB 3.2 Gen1 port with PowerShare 1 USB 3.2 Gen1 port 1 USB Type-C 3.2 Gen2 with Power Delivery &amp; DisplayPort 1 HDMI 1.4 port 1 Universal Audio Jack</t>
  </si>
  <si>
    <t>306.0 x 210.9 x 18.7 mm</t>
  </si>
  <si>
    <t>12 MB cache, 10 cores, 12 threads, up to 4.6 GHz Turbo</t>
  </si>
  <si>
    <t>lenovo ThinkBook 14 G2 ITL</t>
  </si>
  <si>
    <t>16GB 8GB Soldered DDR4-3200 + 8GB SO-DIMM DDR4-3200</t>
  </si>
  <si>
    <t>256GB SSD M.2 2242 PCIe® 3.0x4 NVMe® + 1TB HDD 5400rpm 2.5"</t>
  </si>
  <si>
    <t>14" FHD IPS 250nits Anti-glare, 45% NTSC</t>
  </si>
  <si>
    <t>323 x 218 x 17.9 mm</t>
  </si>
  <si>
    <t>20VD00GUED</t>
  </si>
  <si>
    <t>Inspiron 14-7430</t>
  </si>
  <si>
    <t>Intel  Core  i7-1355U</t>
  </si>
  <si>
    <t>14", FHD+ 1920x1200, 60Hz, WVA, Touch, 250 nit, ComfortView</t>
  </si>
  <si>
    <t>English US backlit keyboard</t>
  </si>
  <si>
    <t>Integrated Widescreen FHD (1080p)</t>
  </si>
  <si>
    <t>Ports 1 HDMI 1.4 (The maximum resolution supported over HDMI is 1920x1080 @60Hz. No 4K2K output.) 2 Intel Thunderbolt 4.0 1 USB 3.2 Gen 1 Type-A 1 Universal Audio Jack</t>
  </si>
  <si>
    <t>15.54 mm - 18.55 mm x 314 mm x 226.56 mm</t>
  </si>
  <si>
    <t>1.58 kg</t>
  </si>
  <si>
    <t>ThinkPad E15 Gen 4</t>
  </si>
  <si>
    <t>NVIDIA® GeForce® MX550 2GB</t>
  </si>
  <si>
    <t>1x 8 GB DDR4-3200</t>
  </si>
  <si>
    <t>1x Ethernet (RJ-45) 1x HDMI® 2.1, up to 4K/60Hz 1x Headphone / microphone combo jack (3.5mm) 1x Thunderbolt™ 4 / USB4® 40Gbps (support data transfer, Power Delivery 3.0 and DisplayPort™ 1.4) 1x USB 2.0 1x USB 3.2 Gen 1 (Always On)</t>
  </si>
  <si>
    <t>365 x 240 x 18.9 mm</t>
  </si>
  <si>
    <t>21E6S0C800</t>
  </si>
  <si>
    <t>K5504VA-MA007W</t>
  </si>
  <si>
    <t>15.6-inch, 2.8K OLED 16:9 aspect ratio, 0.2ms response time, 120Hz refresh rate, 600nits HDR peak brightness, 100% DCI-P3 color gamut, 1,000,000:1, VESA CERTIFIED Display HDR True Black 600, 1.07 billion colors, PANTONE Validated, Glossy display, 70% less</t>
  </si>
  <si>
    <t>Backlit Chiclet Keyboard, 1.35mm Key-travel, Precision touchpad</t>
  </si>
  <si>
    <t>1x USB 2.0 Type-A 1x USB 3.2 Gen 1 Type-A 1x Thunderbolt™ 4 supports display / power delivery 1x HDMI 1.4 1x 3.5mm Combo Audio Jack 1x DC-in</t>
  </si>
  <si>
    <t>359.3 x 229.4 x 17.9 mm</t>
  </si>
  <si>
    <t>Solar Blue</t>
  </si>
  <si>
    <t>90NB0ZK1-M00P20</t>
  </si>
  <si>
    <t>ThinkPad E16</t>
  </si>
  <si>
    <t>2GB GDDR6</t>
  </si>
  <si>
    <t>512GB SSD M.2 2242 PCIe® 4.0×4 NVMe® Opal 2.0</t>
  </si>
  <si>
    <t>16" WUXGA</t>
  </si>
  <si>
    <t>1920×1200</t>
  </si>
  <si>
    <t>356.1 x 247.7 x 19.85 mm</t>
  </si>
  <si>
    <t>10C (2P + 8E) / 12T, P-core 1.7 / 5.0GHz, E-core 1.2 / 3.7GHz, 12MB</t>
  </si>
  <si>
    <t>21JNS08E00</t>
  </si>
  <si>
    <t>Touch Style, Integrated in Power Button</t>
  </si>
  <si>
    <t>Latitude 5440</t>
  </si>
  <si>
    <t>Intel Integrated Graphics</t>
  </si>
  <si>
    <t>16 GB, 2 x 8 GB, DDR4, 3200 MT</t>
  </si>
  <si>
    <t>14.0" FHD Non-Touch, AG, IPS, 250 nits</t>
  </si>
  <si>
    <t>Arabic backlit keyboard, 79-key</t>
  </si>
  <si>
    <t>3-cell, 54Wh Battery</t>
  </si>
  <si>
    <t>FHD IR Cam</t>
  </si>
  <si>
    <t>2 Thunderbolt™ 4 ports with DisplayPort™ Alt Mode/USB Type-C/USB4/Power Delivery 1 USB 3.2 Gen 1 port with PowerShare 1 USB 3.2 Gen 1 port 1 HDMI 2.0 port 1 Universal audio port 1 RJ45 Ethernet port</t>
  </si>
  <si>
    <t>321.40 x 212 x 19.1 mm</t>
  </si>
  <si>
    <t>12 MB cache, 10 cores, 12 threads, up to 5.0 GHz Turbo</t>
  </si>
  <si>
    <t>Latitude 5540</t>
  </si>
  <si>
    <t>Inte Iris Xe Graphics</t>
  </si>
  <si>
    <t>8 GB, 1 x 8 GB, DDR4, 3200 MT/ s, single-channel, Non-ECC</t>
  </si>
  <si>
    <t>M.2 2230 PCIe NVMe Gen4x4 512GB SSD Class 35</t>
  </si>
  <si>
    <t>15.6" FHD Non-Touc h, AG, IPS, 250 nits,</t>
  </si>
  <si>
    <t>Single Point keyboard Arabic with backlit</t>
  </si>
  <si>
    <t>3- cell, 54Wh Battery</t>
  </si>
  <si>
    <t>FHD IR Cam+IP</t>
  </si>
  <si>
    <t>2 Thunderbolt™ 4 port with Power Delivery and DisplayPort™ 1 USB 3.2 Gen 1 port with PowerShare 1 USB 3.2 Gen 1 port 1 HDMI 2.0 port 1 Universal audio port 1 RJ-45 Ethernet port</t>
  </si>
  <si>
    <t>357.80 x 233.30 x 22.80 mm</t>
  </si>
  <si>
    <t>1.613 kg</t>
  </si>
  <si>
    <t>Latitude 3420</t>
  </si>
  <si>
    <t>M.2 256GB PCIe NVMe Class 35 Solid State Drive</t>
  </si>
  <si>
    <t>14" FHD (1920 x 1080) AG Non-Touch, 250nits,</t>
  </si>
  <si>
    <t>Single Pointing Backlit Keyboard, Arabian</t>
  </si>
  <si>
    <t>3 Cell 41Whr ExpressCharge Capable Battery</t>
  </si>
  <si>
    <t>1 USB Type-C 3.2 Gen2 with DisplayPort alt mode/Power Delivery 1 USB 3.2 Gen 1 port 1 USB 3.2 Gen 1 port with PowerShare 1 USB 2.0 port 1 HDMI 1.4a port 1 RJ-45 Ethernet port 1 universal audio port 1 power adapter port</t>
  </si>
  <si>
    <t>326 x 226 x 17.6 mm</t>
  </si>
  <si>
    <t>4 Core, 8M cache, base 2.4GHz, up to 4.2GHz</t>
  </si>
  <si>
    <t>ProBook 440 G10</t>
  </si>
  <si>
    <t>35.6 cm (14") diagonal, FHD (1920 x 1080), IPS, narrow bezel, anti-glare, 250 nits, 45% NTSC</t>
  </si>
  <si>
    <t>Windows 11 pro</t>
  </si>
  <si>
    <t>HP Premium Keyboard – spill-resistant, backlit keyboard</t>
  </si>
  <si>
    <t>Two USB Type-A ports with 5Gb/s signaling speed (one for charging, one for power); AC power port; HDMI 2.1 port; Stereo headphone/microphone combination jack; RJ-45 port; 2 USB Type-C® ports with 10 Gb/s signaling rate (USB Power, DisplayPort™ 2.1)</t>
  </si>
  <si>
    <t>321.9 x 213.9 x 19.9 mm</t>
  </si>
  <si>
    <t>Up to 4.6 GHz with Intel® Turbo Boost Technology, 12MB L3 cache, 10 cores, 12 threads</t>
  </si>
  <si>
    <t>39.6 cm (15.6") diagonal, HD (1366 x 768), narrow bezel, anti-glare, 250 nits, 45% NTSC</t>
  </si>
  <si>
    <t>Latitude 5430</t>
  </si>
  <si>
    <t>14.0" FHD (1920x1080) Anti Glare, Non-Touch, WVA, 250 nits, HD Camera, WLAN</t>
  </si>
  <si>
    <t>Arabic backlit keyboard, 79-ke y</t>
  </si>
  <si>
    <t>321.40 x 212 x 19.3 mm</t>
  </si>
  <si>
    <t>ProBook 450 G8</t>
  </si>
  <si>
    <t>1 SuperSpeed USB Type-C® 10Gbps signaling rate (USB Power Delivery, DisplayPort™ 1.4);3 SuperSpeed USB Type-A 5Gbps signaling rate (1 charging, 1 power);1 HDMI 1.4b;1 headphone/microphone combo;1 AC power;1 RJ-45</t>
  </si>
  <si>
    <t>59V06EA</t>
  </si>
  <si>
    <t>ThinkPad L13 YOGA Gen 2</t>
  </si>
  <si>
    <t>8GB 1x 8 GB DDR4-3200</t>
  </si>
  <si>
    <t>13.3" FHD (1920 x 1080) IPS, anti-glare, touchscreen,</t>
  </si>
  <si>
    <t>4-cell (46Wh), integrated</t>
  </si>
  <si>
    <t>720p with Privacy Shutter + World Facing 5.0MP</t>
  </si>
  <si>
    <t>1 x USB 3.2 Gen 1  1 x USB 3.2 Gen 1 (Always On)  1 x USB-C 3.2 Gen 2 (support data transfer, Power Delivery and DisplayPort™ 1.2)  1 x Thunderbolt 4 / USB4™ 40Gbps (support data transfer, Power Delivery 3.0 and DisplayPort 1.4)  1 x HDMI 2.0  1 x microSD</t>
  </si>
  <si>
    <t>311.5 x 219 x 17.6 mm</t>
  </si>
  <si>
    <t>Elite x360 830 G9</t>
  </si>
  <si>
    <t>16GB DDR5-4800 MHz RAM (onboard)</t>
  </si>
  <si>
    <t>13.3" diagonal, WUXGA (1920 x 1200), touch, IPS, anti-glare, 400 nits, 100% sRGB</t>
  </si>
  <si>
    <t>2 Thunderbolt™ 4 USB Type-C® ports with 40 Gb/s signaling rate (USB Power, DisplayPort™ 1.4); Two USB Type-A ports with 5Gb/s signaling speed (one for charging); HDMI 2.0 port; Stereo headphone/microphone combo jack 13</t>
  </si>
  <si>
    <t>30.01 x 21.62 x 1.92 cm</t>
  </si>
  <si>
    <t>3 Year</t>
  </si>
  <si>
    <t>up to 4.7 GHz with Intel® Turbo Boost Technology, 12 MB L3 cache, 10 cores, 12 threads</t>
  </si>
  <si>
    <t>8GB, 1 x 8 GB, DDR4, 3200 MT/ s</t>
  </si>
  <si>
    <t>512GB, M.2 2230, PCIe NVMe, S SD, Class 35</t>
  </si>
  <si>
    <t>15.6", FHD, 60Hz, WVA/IPS, Non-Touch, Anti-Glare, 250 nit, NTSC 45%,</t>
  </si>
  <si>
    <t>12 MB cache, 10 cores, up to 5 .00 GHz Turbo</t>
  </si>
  <si>
    <t>ProBook 450 G9</t>
  </si>
  <si>
    <t>NVIDIA GeForce MX570 2GB</t>
  </si>
  <si>
    <t>2GB DDR6</t>
  </si>
  <si>
    <t>15.6" diagonal, FHD, IPS, narrow bezel, anti-glare, 250 nits, 45% NTSC 39.6 cm (15.6") diagonal, FHD (1920 x 1080), IPS, narrow bezel, anti-glare, 250 nits, 45% NTSC</t>
  </si>
  <si>
    <t>Spill-resistant, full-size keyboard with numeric keypad</t>
  </si>
  <si>
    <t>3 SuperSpeed USB Type-A 5Gbps signaling rate (1 charging, 1 power);  1 SuperSpeed USB Type-C® 10Gbps signaling rate (USB Power Delivery, DisplayPort™ 2.1);  1 headphone/microphone combo;  1 AC power;  1 RJ-45;  1 HDMI 2.1b</t>
  </si>
  <si>
    <t>5Y3T5EA</t>
  </si>
  <si>
    <t>Latitude 3520</t>
  </si>
  <si>
    <t>15.6" FHD AG Non -Touch, 250nits,</t>
  </si>
  <si>
    <t>Single Pointing Backlit Keyboard, Arabian, 10 Key Numpad</t>
  </si>
  <si>
    <t>3 Cell 41Whr ExpressChargeTM Capable Battery</t>
  </si>
  <si>
    <t>Optional uSim card tray, uSD 3.0 card reader slot, Audio jack, USB 2.0, USB 3.2 Gen 1 Type-A port, RJ-45 with status LED, Wedge-shaped lock slot, Power-in, 4.5mm barrel with status LED, HDMI 1.4, USB 3.2 Gen 1 Type-A port, USB 3.2 Gen 2x2 Type-C™ port wit</t>
  </si>
  <si>
    <t>361 x 240.9 x 18.06 mm</t>
  </si>
  <si>
    <t>1.79 Kg</t>
  </si>
  <si>
    <t>ThinkPad E14 Gen 4</t>
  </si>
  <si>
    <t>14" FHD IPS 300nits Anti-glare, 45% NTSC</t>
  </si>
  <si>
    <t>324 x 220.7 x 17.9 mm</t>
  </si>
  <si>
    <t>1.64 kg</t>
  </si>
  <si>
    <t>21E300BFGR</t>
  </si>
  <si>
    <t>10C (2P +8E) / 12T, P-core 1.7 / 4.7GHz, E-core 1.2 / 3.5GHz, 12MB</t>
  </si>
  <si>
    <t>21E600AJGR</t>
  </si>
  <si>
    <t>ThinkPad E15 Gen 2</t>
  </si>
  <si>
    <t>15.6" FHD (1920x1080) IPS 250nits Anti-glare, 45% NTSC</t>
  </si>
  <si>
    <t>1x USB 2.0 1x USB 3.2 Gen 1 (Always On) 1x Thunderbolt™ 4 / USB4® 40Gbps (support data transfer, Power Delivery 3.0 and DisplayPort™ 1.4) 1x HDMI® 1.4b 1x Ethernet (RJ-45) 1x Headphone / microphone combo jack (3.5mm)</t>
  </si>
  <si>
    <t>20TD0034GP</t>
  </si>
  <si>
    <t>Latitude 5420</t>
  </si>
  <si>
    <t>Intel Core I5-1145G7</t>
  </si>
  <si>
    <t>16 GB, 1 x 16 GB, DDR4, 3200 M T/s, single-channel, Non-ECC</t>
  </si>
  <si>
    <t>14" FHD Non-Touch, Anti-Glare, 250nits</t>
  </si>
  <si>
    <t>4 Cell 63Whr Express ChargeTM Capable Battery</t>
  </si>
  <si>
    <t>uSD 4.0 Memory Card Reader | 2. Global Headset Jack | 3. USB 3.2 Powershare | 4. USB 3.2 | 5. HDMI 2.0 | 6. RJ45 | 7. Wedge Lock Slot | 8. Thunderbolt™ 4 with Power Delivery and DisplayPort (USB Type-C™) | 9. Thunderbolt™ 4 with Power Delivery and Displa</t>
  </si>
  <si>
    <t>321.4 x 212 x 19.3 mm</t>
  </si>
  <si>
    <t>1.37 Kg</t>
  </si>
  <si>
    <t>4 Core , 8 MB Cache, up to 4.4GHz</t>
  </si>
  <si>
    <t>15.6" FHD IPS 250nits Anti-glare, 45% NTSC</t>
  </si>
  <si>
    <t>20TD002YUE</t>
  </si>
  <si>
    <t>2Core / 4Thread, 3GHz Up to 4.1GHz, 6MB</t>
  </si>
  <si>
    <t>43W73EA</t>
  </si>
  <si>
    <t>8GB, 1x8GB, DDR4 Non-ECC</t>
  </si>
  <si>
    <t>15.6" HD AG Non-Touch, 220nits, Camera &amp; Microp hone, WLAN Capable</t>
  </si>
  <si>
    <t>Intel Core I5-1135G7 4 Core, 8M cache, base 2.4GHz, up to 4.2GHz</t>
  </si>
  <si>
    <t>15.6" HD AG Non-Touch, 220nits, Camera &amp; Microphone, WLAN Capable</t>
  </si>
  <si>
    <t>Optional uSim card tray | 2. uSD 3.0 card reader slot | 3. Audio jack | 4. USB 2.0 | 5. USB 3.2 Gen 1 Type-A port | 6. RJ-45 with status LED | 7. Wedge-shaped lock slot | 8. Power-in, 4.5mm barrel with status LED | 9. HDMI 1.4 | 10. USB 3.2 Gen 1 Type-A p</t>
  </si>
  <si>
    <t>4 Core, 12M Cache, bas e 2.8 GHz, up to 4.7 GHz</t>
  </si>
  <si>
    <t>Touch Fingerprint Reader in Power Button, WLAN Capable</t>
  </si>
  <si>
    <t>15.6 inches diagonal, HD, narrow bezel, anti-glare, 250 nits, 45% NTSC</t>
  </si>
  <si>
    <t>HP Premium Keyboard – spill-resistant, full-size, optional backlit keyboard with numeric keypad</t>
  </si>
  <si>
    <t>3-cell, 51 Wh Li-ion</t>
  </si>
  <si>
    <t>Single Pointing Backlit Keyboard, English UK, 10 Key Numpad</t>
  </si>
  <si>
    <t>NVIDIA® GeForce® MX570 2GB</t>
  </si>
  <si>
    <t>3 SuperSpeed USB Type-A 5Gbps signaling rate (1 charging, 1 power); 1 SuperSpeed USB Type-C® 10Gbps signaling rate (USB Power Delivery, DisplayPort™ 2.1); 1 headphone/microphone combo; 1 AC power; 1 RJ-45; 1 HDMI 2.1b</t>
  </si>
  <si>
    <t>5Y3T1EA</t>
  </si>
  <si>
    <t>XPS 13 9305</t>
  </si>
  <si>
    <t>16 GB, Dual Channel, LPDDR4x, 4267 MHz, integrated</t>
  </si>
  <si>
    <t>512GB PCIe Gen3 x4 SSD</t>
  </si>
  <si>
    <t>13.3-inch, FHD 1920 x 1080, 60 Hz,</t>
  </si>
  <si>
    <t>4-cell, 52 WHr lithium-ion</t>
  </si>
  <si>
    <t>2 Thunderbolt™ 4 ports with Power Delivery/DisplayPort 1 USB 3.2 Gen 2 Type-C™ port with Power Delivery/DisplayPort 1 Headset (headphone and microphone combo) port</t>
  </si>
  <si>
    <t>302 x 199 x 15.8 mm</t>
  </si>
  <si>
    <t>1.16 kg</t>
  </si>
  <si>
    <t>12 MB Cache, 4 Core, up to 4.70 GHz</t>
  </si>
  <si>
    <t>8 GB, Dual Channel, LPDDR4x, 4267 MHz, integrated</t>
  </si>
  <si>
    <t>8 MB Cache, 4 Core, up to 4.20 GHz</t>
  </si>
  <si>
    <t>2 GB GDDR5</t>
  </si>
  <si>
    <t>3 SuperSpeed USB Type-A 5Gbps signaling rate (1 charging, 1 power); 1 HDMI 1.4b; 1 headphone/microphone combo; 1 AC power; 1 RJ-45</t>
  </si>
  <si>
    <t>2X7W9EA</t>
  </si>
  <si>
    <t>2X7X3EA</t>
  </si>
  <si>
    <t>1TB 2.5" 5400RPM 7mm SMR Hard Drive</t>
  </si>
  <si>
    <t>3 Cell 41Whr</t>
  </si>
  <si>
    <t>ThinkPad E14 Gen 2</t>
  </si>
  <si>
    <t>256GB SSD M.2 2242 PCIe 3.0x4 NVMe</t>
  </si>
  <si>
    <t>14" FHD IPS 250nits Anti-glare</t>
  </si>
  <si>
    <t>1x USB 2.0 1x USB 3.2 Gen 1 (Always On) 1x Thunderbolt 4 / USB 4 40Gbps (support data transfer, Power Delivery 3.0, and DisplayPort 1.4) 1x HDMI 1.4b 1x Ethernet (RJ-45) 1x Headphone / microphone combo jack (3.5mm)</t>
  </si>
  <si>
    <t>324 x 220 x 17.9 mm</t>
  </si>
  <si>
    <t>20TA006AUE</t>
  </si>
  <si>
    <t>Touch Style</t>
  </si>
  <si>
    <t>Thinkpad T14 Gen 2</t>
  </si>
  <si>
    <t>Intel core I5-1145G7</t>
  </si>
  <si>
    <t>16GB DDR4-3200 (Soldered) + 1x Empty SoDIMM Slot</t>
  </si>
  <si>
    <t>256GB SSD PCLE OPAL 2.0</t>
  </si>
  <si>
    <t>14'' Inch FHD Non-Touch</t>
  </si>
  <si>
    <t>Keyboard, Arabic, Baclit</t>
  </si>
  <si>
    <t>3 Cell Li-pol 50 Wh</t>
  </si>
  <si>
    <t>720P, IR 2Mic Shutter</t>
  </si>
  <si>
    <t>1x USB 3.2 Gen 1 1x USB 3.2 Gen 1 ( Always on ) 2x Thunderbolt 4 / USB4 40Gbps ( support data transfer, power Delivery 3.0 and Display port 1.4a) 1x HDMI 2.0 1X Micro SD Card reader 1x Headphone / microphone  combo jack (3.5mm)</t>
  </si>
  <si>
    <t>17.9 x 329 x 227 mm</t>
  </si>
  <si>
    <t>1.47 Kg</t>
  </si>
  <si>
    <t>8M Cache, up to 4.40 GHz, with IPU</t>
  </si>
  <si>
    <t>ThinkPad T14</t>
  </si>
  <si>
    <t>16GB LPDDR4x</t>
  </si>
  <si>
    <t>14" FHD , IPS</t>
  </si>
  <si>
    <t>Keyboard, Arabic, Backlit</t>
  </si>
  <si>
    <t>50Wh Li-Ion</t>
  </si>
  <si>
    <t>IR &amp; 720p with Privacy Shutter</t>
  </si>
  <si>
    <t>1x USB 3.2 Gen 1  1x USB 3.2 Gen 1 (Always On)  2x Thunderbolt 4 / USB4™ 40Gbps (support data transfer, Power Delivery 3.0 and DisplayPort™ 1.4a)  1x HDMI 2.0  1x microSD card reader  1x Headphone / microphone combo jack (3.5mm)</t>
  </si>
  <si>
    <t>329 x 227 x 17.9 mm</t>
  </si>
  <si>
    <t>4 cores 8t, 2.6-4.4GHz, 8MB Cache</t>
  </si>
  <si>
    <t>65W 3-pin USB-C</t>
  </si>
  <si>
    <t>ThinkPad X1 Carbon Gen 9</t>
  </si>
  <si>
    <t>16GB Soldered LPDDR4x-4266 (non upgradeable)</t>
  </si>
  <si>
    <t>512GB SSD M.2 2280 PCIe 4.0x4 Performance  NVMe Opal2</t>
  </si>
  <si>
    <t>14" inch WUXGA IPS 400 nits Anti-glare</t>
  </si>
  <si>
    <t>1x USB 3.2 Gen 1  1x USB 3.2 Gen 1 (Always On)  2x Thunderbolt 4 / USB4 40Gbps (support data  transfer, Power Delivery 3.0 and DisplayPort  1.4a)  1x HDMI 2.0  1x Headphone / microphone combo jack  (3.5mm)  1x Nano-SIM Card Slot</t>
  </si>
  <si>
    <t>315 x 221.6 x 14.9 mm</t>
  </si>
  <si>
    <t>1.133 kg</t>
  </si>
  <si>
    <t>4c 8t, 3.0-4.8GHz, 12MB cache</t>
  </si>
  <si>
    <t>8GB Ram 1 x 8GB 3200Mhz</t>
  </si>
  <si>
    <t>1TB HDD 5400 Rpm 2.5" Inch</t>
  </si>
  <si>
    <t>15.6" Inch HD, 220 Nits,</t>
  </si>
  <si>
    <t>41 WHR , 3Cell, LITH</t>
  </si>
  <si>
    <t>4 Cores, 12MB Cashe 2.80GHz, to 4.70GHz</t>
  </si>
  <si>
    <t>1TB 2.5" 5400RPM 7mm SMR</t>
  </si>
  <si>
    <t>15.6" Inch HD AG Non-T ouch, 220nits, Camera &amp; Microp hone, WLAN Capable</t>
  </si>
  <si>
    <t>Single Pointing Backlit Keyboard</t>
  </si>
  <si>
    <t>3 Cell 41Whr Express Charge Capable Battery</t>
  </si>
  <si>
    <t>256GB SSD, M.2 PCIe NVMe Class 35</t>
  </si>
  <si>
    <t>15.6" Inch HD, Non-Touch, Anti-Glare, TN, 220nits</t>
  </si>
  <si>
    <t>Single Pointing Backlit Arabic Keyboard</t>
  </si>
  <si>
    <t>3-Cell 42Whr, Express Charge TM Capable Battery</t>
  </si>
  <si>
    <t>256GB SSD M.2 PCIe NVMe Class 35</t>
  </si>
  <si>
    <t>14" Inch HD,  Non-Touch, Anti-Glare, TN, 220 nits</t>
  </si>
  <si>
    <t>3-Cell 42Whr Express Charge Capable Battery</t>
  </si>
  <si>
    <t>1X8 GB, 3200MHz DDR4</t>
  </si>
  <si>
    <t>15.6" Inch HD</t>
  </si>
  <si>
    <t>3 Cell 41Whr ExpressChargeTM</t>
  </si>
  <si>
    <t>1 USB 3.2 Gen 2x2 Type-C port with DisplayPort alt mode/Power Delivery, 2 USB 3.2 Gen 1 Type-A port, 1 USB 2.0 port, 1 HDMI 1.4a port, 1 RJ-45 Ethernet port, 1 universal audio port, 1 power adapter port</t>
  </si>
  <si>
    <t>(4 Core, 8M cache, base 2.4GHz, up to 4.2GHz)</t>
  </si>
  <si>
    <t>ThinkPad E15 Gen2</t>
  </si>
  <si>
    <t>Intel core i5-1135G7</t>
  </si>
  <si>
    <t>15.6 FHD IPS</t>
  </si>
  <si>
    <t>USB-C Thunderbolt™ 4 USB 3.2 Gen 1 Type A (always on) USB 2.0 Gen 1 Type A Headphone / mic combo HDMI 1.4 RJ45</t>
  </si>
  <si>
    <t>8.9 x 365x 240 mm</t>
  </si>
  <si>
    <t>1.70kg</t>
  </si>
  <si>
    <t>Intel® Core™ i5-1135G7 Processor (8M Cache, up to 4.20 GHz)</t>
  </si>
  <si>
    <t>THINKBOOK 15</t>
  </si>
  <si>
    <t>NVIDIA® GeForce® MX450 2GB GDDR6</t>
  </si>
  <si>
    <t>1x 8GB SO-DIMM DDR4-2666 / Up to 32GB DDR4-2666</t>
  </si>
  <si>
    <t>15.6" FHD  TN 220nits Anti-glare</t>
  </si>
  <si>
    <t>(1920x1080)</t>
  </si>
  <si>
    <t>1x USB-C 3.1 Gen 1 1x USB 3.1 Gen 1 (Always On) 1x USB 3.1 Gen 1 1x Ethernet (RJ-45) 1x USB-C 3.1 Gen 2 (support data transfer, Power Delivery and DisplayPort) 1x card reader 1x HDMI 1.4b 1x headphone / microphone combo jack (3.5mm) 1x power connector 1x</t>
  </si>
  <si>
    <t>364 x 245 x 18.9 mm</t>
  </si>
  <si>
    <t>YEAR</t>
  </si>
  <si>
    <t>Intel® Core™ i5-1135G7 (4C / 8T, 2.4 / 4.2GHz, 8MB)</t>
  </si>
  <si>
    <t>20VE000MED</t>
  </si>
  <si>
    <t>ThinkBook 14</t>
  </si>
  <si>
    <t>INTEL CORE i5-1035G1</t>
  </si>
  <si>
    <t>AMD Radeon™ 630</t>
  </si>
  <si>
    <t>8 GB DDR4-2666 SO-DIMM (1 x 8 GB)</t>
  </si>
  <si>
    <t>14.1" TN, 220 nits, Anti-glare</t>
  </si>
  <si>
    <t>1x USB 2.0 1x USB 3.1 Gen 1 1x USB 3.1 Gen 1 (Always On) 1x USB-C 3.1 Gen 1 1x USB-C 3.1 Gen 2 (support data transfer, Power Delivery and DisplayPort™) 1x HDMI 1.4b 1x card reader 1x Ethernet (RJ-45) 1x headphone / microphone combo jack (3.5mm) 1x power c</t>
  </si>
  <si>
    <t>326 x 230 x 17.9 mm</t>
  </si>
  <si>
    <t>1.0 GHz up to 3.6 - 6 MB cache - 4 cores</t>
  </si>
  <si>
    <t>20SL00RKAK</t>
  </si>
  <si>
    <t>Dell Latitude 3510</t>
  </si>
  <si>
    <t>Intel® Core™ i5-10210U</t>
  </si>
  <si>
    <t>NVIDIA GeForce MX230 2GB</t>
  </si>
  <si>
    <t>8GB, 2x4GB, DDR4</t>
  </si>
  <si>
    <t>15.6" FHD WVA An ti-Glare Non-Touch, Camera &amp; Microphone</t>
  </si>
  <si>
    <t>Internal Grey Arabic Qwerty Backlit Keyboard with numeric Keypad</t>
  </si>
  <si>
    <t>3 Cell 40Whr</t>
  </si>
  <si>
    <t>1. Optional uSim Card Tray | 2. Micro SD 3.0 SD Reader | 3. Universal Audio Jack | 4. USB 2.0 | 5. USB 3.2 Gen 1 | 6. RJ-45 with status LED | 7. Wedge-shaped Lock Slot | 8. Power-in, 4.5mm barrel with status LED | 9. HDMI 1.4 | 10. USB 3.2 Gen 1 | 11. Doc</t>
  </si>
  <si>
    <t>17.97 x 361.40 x 247.85 mm</t>
  </si>
  <si>
    <t>Black / Grey</t>
  </si>
  <si>
    <t>4 Core, 6M cache, base 1.6GHz, up to 4.2GHz</t>
  </si>
  <si>
    <t>Vivobook Pro 15 OLED N6506CU-MA014W</t>
  </si>
  <si>
    <t>24GB 8GB DDR5 on board 16GB DDR5 SO-DIMM</t>
  </si>
  <si>
    <t>15.6-inch, 3K OLED 16:9 aspect ratio, 0.2ms response time, 120Hz refresh rate, 400nits, 500nits HDR peak brightness, 100% DCI-P3 color gamut, 1,000,000:1, VESA CERTIFIED Display HDR True Black 600, 1.07 billion colors, PANTONE Validated, Glossy display, 7</t>
  </si>
  <si>
    <t>Backlit Chiclet Keyboard with Num-key, 1.4mm Key-travel, Precision touchpad, support DialPad, With Copilot key</t>
  </si>
  <si>
    <t>5.0M camera With privacy shutter</t>
  </si>
  <si>
    <t>1x USB 3.2 Gen 2 Type-C with support for display / power delivery (data speed up to 10Gbps) 2x USB 3.2 Gen 1 Type-A (data speed up to 5Gbps) 1x Thunderbolt™ 4 with support for display / power delivery (data speed up to 40Gbps) 1x HDMI 2.1 TMDS 1x 3.5mm Co</t>
  </si>
  <si>
    <t>355.7 x 235.3 x 19.9 ~ 19.9 mm</t>
  </si>
  <si>
    <t>Earl Gray</t>
  </si>
  <si>
    <t>90NB15E3-M00380</t>
  </si>
  <si>
    <t>Spectre x360 16-F2013DX</t>
  </si>
  <si>
    <t>16" diagonal, 3K+ (3072 x 1920), multitouch-enabled, IPS, edge-to-edge glass, micro-edge, Corning® Gorilla® Glass NBT™, Low Blue Light, 400 nits, 100% sRGB</t>
  </si>
  <si>
    <t>3072 x 1920</t>
  </si>
  <si>
    <t>Full-size, backlit, nocturne blue keyboard</t>
  </si>
  <si>
    <t>1 USB Type-A 10Gbps signaling rate (HP Sleep and Charge); 2 Thunderbolt™ 4 with USB Type-C® 40Gbps signaling rate (USB Power Delivery, DisplayPort™ 1.4, HP Sleep and Charge); 1 HDMI 2.1; 1 AC smart pin; 1 headphone/microphone combo</t>
  </si>
  <si>
    <t>14.09 x 9.66 x 0.78 in</t>
  </si>
  <si>
    <t>2.15 kg</t>
  </si>
  <si>
    <t>Nocturne blue</t>
  </si>
  <si>
    <t>7H0Z9UA</t>
  </si>
  <si>
    <t>90 W Smart AC power adapter</t>
  </si>
  <si>
    <t>ROG Flow X13 GV301QC-K6029T</t>
  </si>
  <si>
    <t>AMD Ryzen 9-5980HS</t>
  </si>
  <si>
    <t>13.4-inch WUXGA (1920 x 1200) 16:10 glossy display sRGB: 100% Adobe: 75% DCI-P3: 75% Touch Screen Refresh Rate: 120Hz IPS-level Pantone Validated Support stylus: Yes Optimus</t>
  </si>
  <si>
    <t>(8-core/16-thread, 20MB cache, up to 4.8 GHz max boost)</t>
  </si>
  <si>
    <t>90NR04G5-M02030</t>
  </si>
  <si>
    <t>ROG Flow Z13 GZ301ZE-LC178W</t>
  </si>
  <si>
    <t>16GB, 2x8GB, LPDDR5 on board</t>
  </si>
  <si>
    <t>13.4-inch UHD+ 16:10, WQUXGA) glossy display DCI-P3: 85 Touch Screen Response Time: 30ms IPS-level Pantone Validated Support stylus: Yes MUX Switch + Optimus Support Dolby Vision HDR : Yes</t>
  </si>
  <si>
    <t>302 x 204 x 12.0 mm</t>
  </si>
  <si>
    <t>90NR07X1-M00H90</t>
  </si>
  <si>
    <t>M7600QC-OLED007T</t>
  </si>
  <si>
    <t>16GB DDR4 on board, Memory Max Up to:32GB</t>
  </si>
  <si>
    <t>16" Inch OLED 4K, 16:10 aspect ratio, 0.2ms response time, 400nits, 550nits peak brightness, 100% DCI-P3 color gamut, 1,000,000:1, VESA CERTIFIED Display HDR True Black 500, 1.07 billion colors, PANTONE Validated, Glossy display, 70% less harmful blue lig</t>
  </si>
  <si>
    <t>90NB0V81-M00690</t>
  </si>
  <si>
    <t>GA401QM-K2040T</t>
  </si>
  <si>
    <t>AMD Ryzen™ 9-5900HS</t>
  </si>
  <si>
    <t>NVIDIA® GeForce RTX™ 3060</t>
  </si>
  <si>
    <t>16GB, 8GB DDR4 on board + 8GB DDR4-3200 SO-DIMM</t>
  </si>
  <si>
    <t>14''Inch WQHD (2560 x 1440) 16:9 anti-glare display DCI-P3: 100% Refresh Rate: 120Hz IPS-level Pantone Validated Optimus</t>
  </si>
  <si>
    <t>WQHD 2560 x 1440</t>
  </si>
  <si>
    <t>1x USB 3.2 Gen 2 Type-C 1x USB 3.2 Gen 2 Type-C support DisplayPort™ / power delivery / G-SYNC 2x USB 3.2 Gen 1 Type-A//1x 3.5mm Combo Audio Jack</t>
  </si>
  <si>
    <t>90NR05S3-M001A0</t>
  </si>
  <si>
    <t>Brand</t>
  </si>
  <si>
    <t>Product Name</t>
  </si>
  <si>
    <t>Video Graphics Memorey</t>
  </si>
  <si>
    <t>Hard Drive</t>
  </si>
  <si>
    <t>Unknown</t>
  </si>
  <si>
    <t>Intel Core i9-I4900HX</t>
  </si>
  <si>
    <t>Video Graphics</t>
  </si>
  <si>
    <t>Product Number</t>
  </si>
  <si>
    <t>Power Supply Type</t>
  </si>
  <si>
    <t>2TB SSD M.2 2280 PCIe® 4.0x4 NVMe®</t>
  </si>
  <si>
    <t>Support SSD M2</t>
  </si>
  <si>
    <t>Pointing Device</t>
  </si>
  <si>
    <t>Optical Drive</t>
  </si>
  <si>
    <t>Series</t>
  </si>
  <si>
    <t>GDDR 24GB</t>
  </si>
  <si>
    <t>AMD Ryzen 5-6600H</t>
  </si>
  <si>
    <t>AMD Ryzen 7-4800H</t>
  </si>
  <si>
    <t xml:space="preserve">2880 X 1920 </t>
  </si>
  <si>
    <t>MX 2GB GDDR6</t>
  </si>
  <si>
    <t>512GB SSD Class 35</t>
  </si>
  <si>
    <t>Keyword</t>
  </si>
  <si>
    <t>Family</t>
  </si>
  <si>
    <t>Victus</t>
  </si>
  <si>
    <t>OMEN</t>
  </si>
  <si>
    <t>Alienware</t>
  </si>
  <si>
    <t>ROG Strix</t>
  </si>
  <si>
    <t>ROG Zephyrus</t>
  </si>
  <si>
    <t>TUF Gaming</t>
  </si>
  <si>
    <t>Legion Pro</t>
  </si>
  <si>
    <t>Legion</t>
  </si>
  <si>
    <t>LOQ</t>
  </si>
  <si>
    <t>IdeaPad Gaming</t>
  </si>
  <si>
    <t>IdeaPad</t>
  </si>
  <si>
    <t>ThinkPad</t>
  </si>
  <si>
    <t>ThinkBook</t>
  </si>
  <si>
    <t>Vivobook</t>
  </si>
  <si>
    <t>Zenbook</t>
  </si>
  <si>
    <t>Aspire</t>
  </si>
  <si>
    <t>Nitro</t>
  </si>
  <si>
    <t>Predator</t>
  </si>
  <si>
    <t>Katana</t>
  </si>
  <si>
    <t>Cyborg</t>
  </si>
  <si>
    <t>Sword</t>
  </si>
  <si>
    <t>Raider</t>
  </si>
  <si>
    <t>Titan</t>
  </si>
  <si>
    <t>Vector</t>
  </si>
  <si>
    <t>Stealth</t>
  </si>
  <si>
    <t>Envy</t>
  </si>
  <si>
    <t>Pavilion</t>
  </si>
  <si>
    <t>Latitude</t>
  </si>
  <si>
    <t>Inspiron</t>
  </si>
  <si>
    <t>Vostro</t>
  </si>
  <si>
    <t>XPS</t>
  </si>
  <si>
    <t>Surface</t>
  </si>
  <si>
    <t>MateBook</t>
  </si>
  <si>
    <t xml:space="preserve">Brand </t>
  </si>
  <si>
    <t>GPU Memory</t>
  </si>
  <si>
    <t>Intel Core i9</t>
  </si>
  <si>
    <t>24 GB</t>
  </si>
  <si>
    <t>96 GB</t>
  </si>
  <si>
    <t>6144 GB</t>
  </si>
  <si>
    <t>1024 GB</t>
  </si>
  <si>
    <t>165Hz</t>
  </si>
  <si>
    <t>Intel Core i5</t>
  </si>
  <si>
    <t>512 GB</t>
  </si>
  <si>
    <t>144Hz</t>
  </si>
  <si>
    <t>Intel Core 7</t>
  </si>
  <si>
    <t>Intel Core 9</t>
  </si>
  <si>
    <t>32 GB</t>
  </si>
  <si>
    <t>Intel Core i7</t>
  </si>
  <si>
    <t>Intel Core Ultra 9</t>
  </si>
  <si>
    <t>AMD Ryzen AI 9</t>
  </si>
  <si>
    <t>AMD Ryzen AI 7</t>
  </si>
  <si>
    <t>64 GB</t>
  </si>
  <si>
    <t>2048 GB</t>
  </si>
  <si>
    <t>AMD Ryzen 9</t>
  </si>
  <si>
    <t>12 GB</t>
  </si>
  <si>
    <t>AMD Ryzen 7</t>
  </si>
  <si>
    <t>1.46 kg</t>
  </si>
  <si>
    <t>Other</t>
  </si>
  <si>
    <t>116 GB</t>
  </si>
  <si>
    <t>Intel Core 5</t>
  </si>
  <si>
    <t>3.3 kg</t>
  </si>
  <si>
    <t>4096 GB</t>
  </si>
  <si>
    <t>AMD Ryzen 5</t>
  </si>
  <si>
    <t>Intel Core Ultra 7</t>
  </si>
  <si>
    <t/>
  </si>
  <si>
    <t>3.35 kg</t>
  </si>
  <si>
    <t>60Hz</t>
  </si>
  <si>
    <t>2880x1800</t>
  </si>
  <si>
    <t>1.57 kg</t>
  </si>
  <si>
    <t>2.74 kg</t>
  </si>
  <si>
    <t>2.78 kg</t>
  </si>
  <si>
    <t>2.67 kg</t>
  </si>
  <si>
    <t>3200x2000</t>
  </si>
  <si>
    <t>2.32 kg</t>
  </si>
  <si>
    <t>3840x2160</t>
  </si>
  <si>
    <t>1.18 kg</t>
  </si>
  <si>
    <t>2.89 kg</t>
  </si>
  <si>
    <t>256 GB</t>
  </si>
  <si>
    <t>2880x1620</t>
  </si>
  <si>
    <t>2.56 kg</t>
  </si>
  <si>
    <t>10 GB</t>
  </si>
  <si>
    <t>2.08 kg</t>
  </si>
  <si>
    <t>Intel Core i3</t>
  </si>
  <si>
    <t>Snapdragon</t>
  </si>
  <si>
    <t>Snapdragon X Plus</t>
  </si>
  <si>
    <t>128 GB</t>
  </si>
  <si>
    <t>3.71 kg</t>
  </si>
  <si>
    <t>0.9 kg</t>
  </si>
  <si>
    <t>48 GB</t>
  </si>
  <si>
    <t>1.2 kg</t>
  </si>
  <si>
    <t>90Hz</t>
  </si>
  <si>
    <t>1 kg</t>
  </si>
  <si>
    <t>1920x1280</t>
  </si>
  <si>
    <t>1.1 kg</t>
  </si>
  <si>
    <t>2880x1920</t>
  </si>
  <si>
    <t>0 kg</t>
  </si>
  <si>
    <t>1.17 kg</t>
  </si>
  <si>
    <t>1.39 kg</t>
  </si>
  <si>
    <t>0.88 kg</t>
  </si>
  <si>
    <t>Dynabook</t>
  </si>
  <si>
    <t xml:space="preserve"> </t>
  </si>
  <si>
    <t>2400x1600</t>
  </si>
  <si>
    <t>1.89 kg</t>
  </si>
  <si>
    <t>500 GB</t>
  </si>
  <si>
    <t>1.37 kg</t>
  </si>
  <si>
    <t>1.47 kg</t>
  </si>
  <si>
    <t>1.13 kg</t>
  </si>
  <si>
    <t>3072x1920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</si>
</sst>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scheme val="minor"/>
    </font>
    <font>
      <sz val="11"/>
      <color theme="1"/>
      <name val="Calibri"/>
      <scheme val="minor"/>
    </font>
    <font>
      <sz val="11"/>
      <color theme="1"/>
      <name val="Calibri"/>
    </font>
    <font>
      <sz val="12"/>
      <color rgb="FF242424"/>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xf numFmtId="0" fontId="1" fillId="0" borderId="0" xfId="0" applyFont="1" applyAlignment="1"/>
    <xf numFmtId="11" fontId="2" fillId="0" borderId="0" xfId="0" applyNumberFormat="1" applyFont="1"/>
    <xf numFmtId="164" fontId="2" fillId="0" borderId="0" xfId="0" applyNumberFormat="1" applyFont="1"/>
    <xf numFmtId="0" fontId="3"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4"/>
  <sheetViews>
    <sheetView workbookViewId="0"/>
  </sheetViews>
  <sheetFormatPr defaultColWidth="14.453125" defaultRowHeight="15" customHeight="1" x14ac:dyDescent="0.35"/>
  <cols>
    <col min="1" max="19" width="8.7265625" customWidth="1"/>
    <col min="20" max="20" width="12.26953125" customWidth="1"/>
    <col min="21" max="30" width="8.7265625" customWidth="1"/>
  </cols>
  <sheetData>
    <row r="1" spans="1:30"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4.5" x14ac:dyDescent="0.35">
      <c r="A2" s="1" t="s">
        <v>30</v>
      </c>
      <c r="B2" s="1" t="s">
        <v>31</v>
      </c>
      <c r="C2" s="1" t="s">
        <v>32</v>
      </c>
      <c r="D2" s="1" t="s">
        <v>33</v>
      </c>
      <c r="E2" s="1" t="s">
        <v>34</v>
      </c>
      <c r="F2" s="1" t="s">
        <v>35</v>
      </c>
      <c r="G2" s="1" t="s">
        <v>36</v>
      </c>
      <c r="H2" s="1" t="s">
        <v>37</v>
      </c>
      <c r="I2" s="1" t="s">
        <v>38</v>
      </c>
      <c r="J2" s="1" t="s">
        <v>39</v>
      </c>
      <c r="K2" s="1" t="s">
        <v>40</v>
      </c>
      <c r="L2" s="1" t="s">
        <v>41</v>
      </c>
      <c r="M2" s="1" t="s">
        <v>42</v>
      </c>
      <c r="N2" s="1" t="s">
        <v>43</v>
      </c>
      <c r="O2" s="1" t="s">
        <v>44</v>
      </c>
      <c r="P2" s="1" t="s">
        <v>45</v>
      </c>
      <c r="Q2" s="1" t="s">
        <v>46</v>
      </c>
      <c r="R2" s="1" t="s">
        <v>47</v>
      </c>
      <c r="S2" s="1" t="s">
        <v>48</v>
      </c>
      <c r="T2" s="1">
        <v>320000</v>
      </c>
    </row>
    <row r="3" spans="1:30" ht="14.5" x14ac:dyDescent="0.35">
      <c r="A3" s="1" t="s">
        <v>30</v>
      </c>
      <c r="B3" s="1" t="s">
        <v>49</v>
      </c>
      <c r="C3" s="1" t="s">
        <v>50</v>
      </c>
      <c r="D3" s="1" t="s">
        <v>51</v>
      </c>
      <c r="E3" s="1" t="s">
        <v>52</v>
      </c>
      <c r="F3" s="1" t="s">
        <v>53</v>
      </c>
      <c r="G3" s="1" t="s">
        <v>54</v>
      </c>
      <c r="H3" s="1" t="s">
        <v>55</v>
      </c>
      <c r="I3" s="1" t="s">
        <v>56</v>
      </c>
      <c r="J3" s="1" t="s">
        <v>57</v>
      </c>
      <c r="K3" s="1" t="s">
        <v>40</v>
      </c>
      <c r="L3" s="1" t="s">
        <v>58</v>
      </c>
      <c r="M3" s="1" t="s">
        <v>59</v>
      </c>
      <c r="N3" s="1" t="s">
        <v>60</v>
      </c>
      <c r="O3" s="1" t="s">
        <v>61</v>
      </c>
      <c r="P3" s="1" t="s">
        <v>62</v>
      </c>
      <c r="Q3" s="1" t="s">
        <v>63</v>
      </c>
      <c r="R3" s="1" t="s">
        <v>64</v>
      </c>
      <c r="S3" s="1" t="s">
        <v>48</v>
      </c>
      <c r="T3" s="1">
        <v>79999</v>
      </c>
      <c r="U3" s="1" t="s">
        <v>65</v>
      </c>
    </row>
    <row r="4" spans="1:30" ht="14.5" x14ac:dyDescent="0.35">
      <c r="A4" s="1" t="s">
        <v>66</v>
      </c>
      <c r="B4" s="1" t="s">
        <v>67</v>
      </c>
      <c r="C4" s="1" t="s">
        <v>68</v>
      </c>
      <c r="D4" s="1" t="s">
        <v>69</v>
      </c>
      <c r="E4" s="1" t="s">
        <v>70</v>
      </c>
      <c r="F4" s="1" t="s">
        <v>71</v>
      </c>
      <c r="G4" s="1" t="s">
        <v>72</v>
      </c>
      <c r="H4" s="1" t="s">
        <v>73</v>
      </c>
      <c r="I4" s="1" t="s">
        <v>74</v>
      </c>
      <c r="J4" s="1" t="s">
        <v>75</v>
      </c>
      <c r="K4" s="1" t="s">
        <v>40</v>
      </c>
      <c r="M4" s="1" t="s">
        <v>76</v>
      </c>
      <c r="O4" s="1" t="s">
        <v>77</v>
      </c>
      <c r="R4" s="1" t="s">
        <v>64</v>
      </c>
      <c r="S4" s="1" t="s">
        <v>78</v>
      </c>
      <c r="T4" s="1">
        <v>39999</v>
      </c>
      <c r="U4" s="1" t="s">
        <v>79</v>
      </c>
      <c r="V4" s="1" t="s">
        <v>80</v>
      </c>
    </row>
    <row r="5" spans="1:30" ht="14.5" x14ac:dyDescent="0.35">
      <c r="A5" s="1" t="s">
        <v>81</v>
      </c>
      <c r="B5" s="1" t="s">
        <v>82</v>
      </c>
      <c r="C5" s="1" t="s">
        <v>83</v>
      </c>
      <c r="D5" s="1" t="s">
        <v>84</v>
      </c>
      <c r="E5" s="1" t="s">
        <v>85</v>
      </c>
      <c r="F5" s="1" t="s">
        <v>86</v>
      </c>
      <c r="G5" s="1" t="s">
        <v>87</v>
      </c>
      <c r="H5" s="1" t="s">
        <v>88</v>
      </c>
      <c r="I5" s="1" t="s">
        <v>89</v>
      </c>
      <c r="J5" s="1" t="s">
        <v>39</v>
      </c>
      <c r="K5" s="1" t="s">
        <v>90</v>
      </c>
      <c r="M5" s="1" t="s">
        <v>91</v>
      </c>
      <c r="O5" s="1" t="s">
        <v>92</v>
      </c>
      <c r="P5" s="1" t="s">
        <v>93</v>
      </c>
      <c r="Q5" s="1" t="s">
        <v>94</v>
      </c>
      <c r="S5" s="1" t="s">
        <v>78</v>
      </c>
      <c r="T5" s="1">
        <v>57999</v>
      </c>
      <c r="V5" s="1" t="s">
        <v>95</v>
      </c>
    </row>
    <row r="6" spans="1:30" ht="14.5" x14ac:dyDescent="0.35">
      <c r="A6" s="1" t="s">
        <v>81</v>
      </c>
      <c r="B6" s="1" t="s">
        <v>82</v>
      </c>
      <c r="C6" s="1" t="s">
        <v>96</v>
      </c>
      <c r="D6" s="1" t="s">
        <v>97</v>
      </c>
      <c r="E6" s="1" t="s">
        <v>52</v>
      </c>
      <c r="F6" s="1" t="s">
        <v>98</v>
      </c>
      <c r="G6" s="1" t="s">
        <v>99</v>
      </c>
      <c r="H6" s="1" t="s">
        <v>100</v>
      </c>
      <c r="I6" s="1" t="s">
        <v>89</v>
      </c>
      <c r="J6" s="1" t="s">
        <v>39</v>
      </c>
      <c r="K6" s="1" t="s">
        <v>101</v>
      </c>
      <c r="L6" s="1" t="s">
        <v>102</v>
      </c>
      <c r="M6" s="1" t="s">
        <v>103</v>
      </c>
      <c r="N6" s="1" t="s">
        <v>104</v>
      </c>
      <c r="O6" s="1" t="s">
        <v>105</v>
      </c>
      <c r="P6" s="1" t="s">
        <v>106</v>
      </c>
      <c r="Q6" s="1" t="s">
        <v>94</v>
      </c>
      <c r="S6" s="1" t="s">
        <v>78</v>
      </c>
      <c r="T6" s="1">
        <v>89999</v>
      </c>
      <c r="V6" s="1" t="s">
        <v>107</v>
      </c>
    </row>
    <row r="7" spans="1:30" ht="14.5" x14ac:dyDescent="0.35">
      <c r="A7" s="1" t="s">
        <v>81</v>
      </c>
      <c r="B7" s="1" t="s">
        <v>82</v>
      </c>
      <c r="C7" s="1" t="s">
        <v>83</v>
      </c>
      <c r="D7" s="1" t="s">
        <v>108</v>
      </c>
      <c r="E7" s="1" t="s">
        <v>85</v>
      </c>
      <c r="F7" s="1" t="s">
        <v>109</v>
      </c>
      <c r="G7" s="1" t="s">
        <v>99</v>
      </c>
      <c r="H7" s="1" t="s">
        <v>88</v>
      </c>
      <c r="I7" s="1" t="s">
        <v>89</v>
      </c>
      <c r="J7" s="1" t="s">
        <v>39</v>
      </c>
      <c r="K7" s="1" t="s">
        <v>101</v>
      </c>
      <c r="M7" s="1" t="s">
        <v>91</v>
      </c>
      <c r="O7" s="1" t="s">
        <v>92</v>
      </c>
      <c r="P7" s="1" t="s">
        <v>93</v>
      </c>
      <c r="Q7" s="1" t="s">
        <v>94</v>
      </c>
      <c r="S7" s="1" t="s">
        <v>78</v>
      </c>
      <c r="T7" s="1">
        <v>67999</v>
      </c>
      <c r="V7" s="1" t="s">
        <v>95</v>
      </c>
    </row>
    <row r="8" spans="1:30" ht="14.5" x14ac:dyDescent="0.35">
      <c r="A8" s="1" t="s">
        <v>81</v>
      </c>
      <c r="B8" s="1" t="s">
        <v>82</v>
      </c>
      <c r="C8" s="1" t="s">
        <v>83</v>
      </c>
      <c r="D8" s="1" t="s">
        <v>110</v>
      </c>
      <c r="E8" s="1" t="s">
        <v>85</v>
      </c>
      <c r="F8" s="1" t="s">
        <v>86</v>
      </c>
      <c r="G8" s="1" t="s">
        <v>99</v>
      </c>
      <c r="H8" s="1" t="s">
        <v>100</v>
      </c>
      <c r="I8" s="1" t="s">
        <v>89</v>
      </c>
      <c r="J8" s="1" t="s">
        <v>111</v>
      </c>
      <c r="K8" s="1" t="s">
        <v>101</v>
      </c>
      <c r="M8" s="1" t="s">
        <v>91</v>
      </c>
      <c r="O8" s="1" t="s">
        <v>92</v>
      </c>
      <c r="P8" s="1" t="s">
        <v>93</v>
      </c>
      <c r="Q8" s="1" t="s">
        <v>94</v>
      </c>
      <c r="S8" s="1" t="s">
        <v>78</v>
      </c>
      <c r="T8" s="1">
        <v>57999</v>
      </c>
      <c r="V8" s="1" t="s">
        <v>95</v>
      </c>
    </row>
    <row r="9" spans="1:30" ht="14.5" x14ac:dyDescent="0.35">
      <c r="A9" s="1" t="s">
        <v>112</v>
      </c>
      <c r="B9" s="1" t="s">
        <v>113</v>
      </c>
      <c r="C9" s="1" t="s">
        <v>114</v>
      </c>
      <c r="D9" s="1" t="s">
        <v>115</v>
      </c>
      <c r="E9" s="1" t="s">
        <v>116</v>
      </c>
      <c r="F9" s="1" t="s">
        <v>117</v>
      </c>
      <c r="G9" s="1" t="s">
        <v>118</v>
      </c>
      <c r="H9" s="1" t="s">
        <v>119</v>
      </c>
      <c r="I9" s="1" t="s">
        <v>120</v>
      </c>
      <c r="J9" s="1" t="s">
        <v>75</v>
      </c>
      <c r="K9" s="1" t="s">
        <v>121</v>
      </c>
      <c r="L9" s="1" t="s">
        <v>122</v>
      </c>
      <c r="M9" s="1" t="s">
        <v>123</v>
      </c>
      <c r="N9" s="1" t="s">
        <v>124</v>
      </c>
      <c r="O9" s="1" t="s">
        <v>125</v>
      </c>
      <c r="P9" s="1" t="s">
        <v>126</v>
      </c>
      <c r="Q9" s="1" t="s">
        <v>127</v>
      </c>
      <c r="R9" s="1" t="s">
        <v>128</v>
      </c>
      <c r="S9" s="1" t="s">
        <v>129</v>
      </c>
      <c r="T9" s="1">
        <v>40999</v>
      </c>
      <c r="U9" s="1" t="s">
        <v>79</v>
      </c>
      <c r="V9" s="1" t="s">
        <v>130</v>
      </c>
      <c r="W9" s="1" t="s">
        <v>131</v>
      </c>
    </row>
    <row r="10" spans="1:30" ht="14.5" x14ac:dyDescent="0.35">
      <c r="A10" s="1" t="s">
        <v>112</v>
      </c>
      <c r="B10" s="1" t="s">
        <v>132</v>
      </c>
      <c r="C10" s="1" t="s">
        <v>133</v>
      </c>
      <c r="D10" s="1" t="s">
        <v>134</v>
      </c>
      <c r="E10" s="1" t="s">
        <v>116</v>
      </c>
      <c r="F10" s="1" t="s">
        <v>135</v>
      </c>
      <c r="G10" s="1" t="s">
        <v>136</v>
      </c>
      <c r="H10" s="1" t="s">
        <v>137</v>
      </c>
      <c r="I10" s="1" t="s">
        <v>120</v>
      </c>
      <c r="J10" s="1" t="s">
        <v>75</v>
      </c>
      <c r="K10" s="1" t="s">
        <v>121</v>
      </c>
      <c r="L10" s="1" t="s">
        <v>138</v>
      </c>
      <c r="M10" s="1" t="s">
        <v>139</v>
      </c>
      <c r="N10" s="1" t="s">
        <v>140</v>
      </c>
      <c r="O10" s="1" t="s">
        <v>141</v>
      </c>
      <c r="Q10" s="1" t="s">
        <v>142</v>
      </c>
      <c r="R10" s="1" t="s">
        <v>128</v>
      </c>
      <c r="S10" s="1" t="s">
        <v>129</v>
      </c>
      <c r="T10" s="1">
        <v>51499</v>
      </c>
      <c r="U10" s="1" t="s">
        <v>65</v>
      </c>
      <c r="V10" s="1" t="s">
        <v>143</v>
      </c>
      <c r="W10" s="1" t="s">
        <v>144</v>
      </c>
    </row>
    <row r="11" spans="1:30" ht="14.5" x14ac:dyDescent="0.35">
      <c r="A11" s="1" t="s">
        <v>112</v>
      </c>
      <c r="B11" s="1" t="s">
        <v>145</v>
      </c>
      <c r="C11" s="1" t="s">
        <v>114</v>
      </c>
      <c r="D11" s="1" t="s">
        <v>134</v>
      </c>
      <c r="E11" s="1" t="s">
        <v>116</v>
      </c>
      <c r="F11" s="1" t="s">
        <v>146</v>
      </c>
      <c r="G11" s="1" t="s">
        <v>118</v>
      </c>
      <c r="H11" s="1" t="s">
        <v>147</v>
      </c>
      <c r="I11" s="1" t="s">
        <v>120</v>
      </c>
      <c r="J11" s="1" t="s">
        <v>75</v>
      </c>
      <c r="K11" s="1" t="s">
        <v>101</v>
      </c>
      <c r="L11" s="1" t="s">
        <v>122</v>
      </c>
      <c r="M11" s="1" t="s">
        <v>139</v>
      </c>
      <c r="N11" s="1" t="s">
        <v>124</v>
      </c>
      <c r="O11" s="1" t="s">
        <v>148</v>
      </c>
      <c r="P11" s="1" t="s">
        <v>149</v>
      </c>
      <c r="Q11" s="1" t="s">
        <v>127</v>
      </c>
      <c r="R11" s="1" t="s">
        <v>128</v>
      </c>
      <c r="S11" s="1" t="s">
        <v>78</v>
      </c>
      <c r="T11" s="1">
        <v>47777</v>
      </c>
      <c r="U11" s="1" t="s">
        <v>79</v>
      </c>
      <c r="V11" s="1" t="s">
        <v>130</v>
      </c>
      <c r="W11" s="1" t="s">
        <v>150</v>
      </c>
    </row>
    <row r="12" spans="1:30" ht="14.5" x14ac:dyDescent="0.35">
      <c r="A12" s="1" t="s">
        <v>151</v>
      </c>
      <c r="B12" s="1" t="s">
        <v>152</v>
      </c>
      <c r="C12" s="1" t="s">
        <v>153</v>
      </c>
      <c r="D12" s="1" t="s">
        <v>154</v>
      </c>
      <c r="E12" s="1" t="s">
        <v>70</v>
      </c>
      <c r="F12" s="1" t="s">
        <v>155</v>
      </c>
      <c r="G12" s="1" t="s">
        <v>156</v>
      </c>
      <c r="H12" s="1" t="s">
        <v>157</v>
      </c>
      <c r="I12" s="1" t="s">
        <v>120</v>
      </c>
      <c r="J12" s="1" t="s">
        <v>75</v>
      </c>
      <c r="K12" s="1" t="s">
        <v>90</v>
      </c>
      <c r="L12" s="1" t="s">
        <v>158</v>
      </c>
      <c r="M12" s="1" t="s">
        <v>159</v>
      </c>
      <c r="N12" s="1" t="s">
        <v>160</v>
      </c>
      <c r="O12" s="1" t="s">
        <v>161</v>
      </c>
      <c r="P12" s="1" t="s">
        <v>162</v>
      </c>
      <c r="Q12" s="1" t="s">
        <v>163</v>
      </c>
      <c r="R12" s="1" t="s">
        <v>164</v>
      </c>
      <c r="S12" s="1" t="s">
        <v>165</v>
      </c>
      <c r="T12" s="1">
        <v>31999</v>
      </c>
      <c r="U12" s="1" t="s">
        <v>166</v>
      </c>
      <c r="V12" s="1" t="s">
        <v>167</v>
      </c>
      <c r="W12" s="1" t="s">
        <v>168</v>
      </c>
    </row>
    <row r="13" spans="1:30" ht="14.5" x14ac:dyDescent="0.35">
      <c r="A13" s="1" t="s">
        <v>112</v>
      </c>
      <c r="B13" s="1" t="s">
        <v>169</v>
      </c>
      <c r="C13" s="1" t="s">
        <v>170</v>
      </c>
      <c r="D13" s="1" t="s">
        <v>115</v>
      </c>
      <c r="E13" s="1" t="s">
        <v>116</v>
      </c>
      <c r="F13" s="1" t="s">
        <v>135</v>
      </c>
      <c r="G13" s="1" t="s">
        <v>171</v>
      </c>
      <c r="H13" s="1" t="s">
        <v>172</v>
      </c>
      <c r="I13" s="1" t="s">
        <v>120</v>
      </c>
      <c r="J13" s="1" t="s">
        <v>75</v>
      </c>
      <c r="K13" s="1" t="s">
        <v>101</v>
      </c>
      <c r="L13" s="1" t="s">
        <v>122</v>
      </c>
      <c r="M13" s="1" t="s">
        <v>139</v>
      </c>
      <c r="N13" s="1" t="s">
        <v>140</v>
      </c>
      <c r="O13" s="1" t="s">
        <v>141</v>
      </c>
      <c r="P13" s="1" t="s">
        <v>173</v>
      </c>
      <c r="Q13" s="1" t="s">
        <v>142</v>
      </c>
      <c r="R13" s="1" t="s">
        <v>128</v>
      </c>
      <c r="S13" s="1" t="s">
        <v>78</v>
      </c>
      <c r="T13" s="1">
        <v>39666</v>
      </c>
      <c r="U13" s="1" t="s">
        <v>65</v>
      </c>
      <c r="V13" s="1" t="s">
        <v>174</v>
      </c>
      <c r="W13" s="1" t="s">
        <v>175</v>
      </c>
    </row>
    <row r="14" spans="1:30" ht="14.5" x14ac:dyDescent="0.35">
      <c r="A14" s="1" t="s">
        <v>112</v>
      </c>
      <c r="B14" s="1" t="s">
        <v>176</v>
      </c>
      <c r="C14" s="1" t="s">
        <v>170</v>
      </c>
      <c r="D14" s="1" t="s">
        <v>115</v>
      </c>
      <c r="E14" s="1" t="s">
        <v>116</v>
      </c>
      <c r="F14" s="1" t="s">
        <v>135</v>
      </c>
      <c r="G14" s="1" t="s">
        <v>171</v>
      </c>
      <c r="H14" s="1" t="s">
        <v>177</v>
      </c>
      <c r="I14" s="1" t="s">
        <v>178</v>
      </c>
      <c r="J14" s="1" t="s">
        <v>75</v>
      </c>
      <c r="K14" s="1" t="s">
        <v>101</v>
      </c>
      <c r="L14" s="1" t="s">
        <v>179</v>
      </c>
      <c r="M14" s="1" t="s">
        <v>139</v>
      </c>
      <c r="N14" s="1" t="s">
        <v>140</v>
      </c>
      <c r="O14" s="1" t="s">
        <v>141</v>
      </c>
      <c r="P14" s="1" t="s">
        <v>173</v>
      </c>
      <c r="Q14" s="1" t="s">
        <v>142</v>
      </c>
      <c r="R14" s="1" t="s">
        <v>180</v>
      </c>
      <c r="S14" s="1" t="s">
        <v>78</v>
      </c>
      <c r="T14" s="1">
        <v>39666</v>
      </c>
      <c r="U14" s="1" t="s">
        <v>65</v>
      </c>
      <c r="V14" s="1" t="s">
        <v>174</v>
      </c>
      <c r="W14" s="1" t="s">
        <v>181</v>
      </c>
    </row>
    <row r="15" spans="1:30" ht="14.5" x14ac:dyDescent="0.35">
      <c r="A15" s="1" t="s">
        <v>112</v>
      </c>
      <c r="B15" s="1" t="s">
        <v>182</v>
      </c>
      <c r="C15" s="1" t="s">
        <v>183</v>
      </c>
      <c r="D15" s="1" t="s">
        <v>115</v>
      </c>
      <c r="E15" s="1" t="s">
        <v>116</v>
      </c>
      <c r="F15" s="1" t="s">
        <v>184</v>
      </c>
      <c r="G15" s="1" t="s">
        <v>118</v>
      </c>
      <c r="H15" s="1" t="s">
        <v>185</v>
      </c>
      <c r="I15" s="1" t="s">
        <v>120</v>
      </c>
      <c r="J15" s="1" t="s">
        <v>75</v>
      </c>
      <c r="K15" s="1" t="s">
        <v>101</v>
      </c>
      <c r="L15" s="1" t="s">
        <v>186</v>
      </c>
      <c r="M15" s="1" t="s">
        <v>139</v>
      </c>
      <c r="N15" s="1" t="s">
        <v>124</v>
      </c>
      <c r="O15" s="1" t="s">
        <v>187</v>
      </c>
      <c r="P15" s="1" t="s">
        <v>188</v>
      </c>
      <c r="Q15" s="1" t="s">
        <v>127</v>
      </c>
      <c r="R15" s="1" t="s">
        <v>180</v>
      </c>
      <c r="S15" s="1" t="s">
        <v>78</v>
      </c>
      <c r="T15" s="1">
        <v>33999</v>
      </c>
      <c r="U15" s="1" t="s">
        <v>79</v>
      </c>
      <c r="V15" s="1" t="s">
        <v>189</v>
      </c>
      <c r="W15" s="1" t="s">
        <v>190</v>
      </c>
    </row>
    <row r="16" spans="1:30" ht="14.5" x14ac:dyDescent="0.35">
      <c r="A16" s="1" t="s">
        <v>112</v>
      </c>
      <c r="B16" s="1" t="s">
        <v>191</v>
      </c>
      <c r="C16" s="1" t="s">
        <v>183</v>
      </c>
      <c r="D16" s="1" t="s">
        <v>115</v>
      </c>
      <c r="E16" s="1" t="s">
        <v>116</v>
      </c>
      <c r="F16" s="1" t="s">
        <v>184</v>
      </c>
      <c r="G16" s="1" t="s">
        <v>118</v>
      </c>
      <c r="H16" s="1" t="s">
        <v>192</v>
      </c>
      <c r="I16" s="1" t="s">
        <v>120</v>
      </c>
      <c r="J16" s="1" t="s">
        <v>75</v>
      </c>
      <c r="K16" s="1" t="s">
        <v>101</v>
      </c>
      <c r="L16" s="1" t="s">
        <v>193</v>
      </c>
      <c r="M16" s="1" t="s">
        <v>139</v>
      </c>
      <c r="N16" s="1" t="s">
        <v>124</v>
      </c>
      <c r="O16" s="1" t="s">
        <v>187</v>
      </c>
      <c r="P16" s="1" t="s">
        <v>194</v>
      </c>
      <c r="Q16" s="1" t="s">
        <v>127</v>
      </c>
      <c r="R16" s="1" t="s">
        <v>128</v>
      </c>
      <c r="S16" s="1" t="s">
        <v>78</v>
      </c>
      <c r="T16" s="1">
        <v>33999</v>
      </c>
      <c r="U16" s="1" t="s">
        <v>79</v>
      </c>
      <c r="V16" s="1" t="s">
        <v>189</v>
      </c>
      <c r="W16" s="1" t="s">
        <v>195</v>
      </c>
    </row>
    <row r="17" spans="1:23" ht="14.5" x14ac:dyDescent="0.35">
      <c r="A17" s="1" t="s">
        <v>112</v>
      </c>
      <c r="B17" s="1" t="s">
        <v>196</v>
      </c>
      <c r="C17" s="1" t="s">
        <v>197</v>
      </c>
      <c r="D17" s="1" t="s">
        <v>198</v>
      </c>
      <c r="E17" s="1" t="s">
        <v>85</v>
      </c>
      <c r="F17" s="1" t="s">
        <v>135</v>
      </c>
      <c r="G17" s="1" t="s">
        <v>171</v>
      </c>
      <c r="H17" s="1" t="s">
        <v>199</v>
      </c>
      <c r="I17" s="1" t="s">
        <v>89</v>
      </c>
      <c r="J17" s="1" t="s">
        <v>200</v>
      </c>
      <c r="K17" s="1" t="s">
        <v>201</v>
      </c>
      <c r="L17" s="1" t="s">
        <v>202</v>
      </c>
      <c r="M17" s="1" t="s">
        <v>139</v>
      </c>
      <c r="N17" s="1" t="s">
        <v>140</v>
      </c>
      <c r="O17" s="1" t="s">
        <v>203</v>
      </c>
      <c r="P17" s="1" t="s">
        <v>204</v>
      </c>
      <c r="Q17" s="1" t="s">
        <v>205</v>
      </c>
      <c r="R17" s="1" t="s">
        <v>206</v>
      </c>
      <c r="S17" s="1" t="s">
        <v>78</v>
      </c>
      <c r="T17" s="1">
        <v>106999</v>
      </c>
      <c r="V17" s="1" t="s">
        <v>207</v>
      </c>
      <c r="W17" s="1" t="s">
        <v>208</v>
      </c>
    </row>
    <row r="18" spans="1:23" ht="14.5" x14ac:dyDescent="0.35">
      <c r="A18" s="1" t="s">
        <v>112</v>
      </c>
      <c r="B18" s="1" t="s">
        <v>209</v>
      </c>
      <c r="C18" s="1" t="s">
        <v>210</v>
      </c>
      <c r="D18" s="1" t="s">
        <v>198</v>
      </c>
      <c r="E18" s="1" t="s">
        <v>85</v>
      </c>
      <c r="F18" s="1" t="s">
        <v>211</v>
      </c>
      <c r="G18" s="1" t="s">
        <v>171</v>
      </c>
      <c r="H18" s="1" t="s">
        <v>212</v>
      </c>
      <c r="I18" s="1" t="s">
        <v>89</v>
      </c>
      <c r="J18" s="1" t="s">
        <v>200</v>
      </c>
      <c r="K18" s="1" t="s">
        <v>201</v>
      </c>
      <c r="L18" s="1" t="s">
        <v>202</v>
      </c>
      <c r="M18" s="1" t="s">
        <v>213</v>
      </c>
      <c r="N18" s="1" t="s">
        <v>140</v>
      </c>
      <c r="O18" s="1" t="s">
        <v>214</v>
      </c>
      <c r="P18" s="1" t="s">
        <v>215</v>
      </c>
      <c r="Q18" s="1" t="s">
        <v>216</v>
      </c>
      <c r="R18" s="1" t="s">
        <v>217</v>
      </c>
      <c r="S18" s="1" t="s">
        <v>78</v>
      </c>
      <c r="T18" s="1">
        <v>104999</v>
      </c>
      <c r="V18" s="1" t="s">
        <v>218</v>
      </c>
    </row>
    <row r="19" spans="1:23" ht="14.5" x14ac:dyDescent="0.35">
      <c r="A19" s="1" t="s">
        <v>151</v>
      </c>
      <c r="B19" s="1" t="s">
        <v>219</v>
      </c>
      <c r="C19" s="1" t="s">
        <v>220</v>
      </c>
      <c r="D19" s="1" t="s">
        <v>198</v>
      </c>
      <c r="E19" s="1" t="s">
        <v>52</v>
      </c>
      <c r="F19" s="1" t="s">
        <v>221</v>
      </c>
      <c r="G19" s="1" t="s">
        <v>222</v>
      </c>
      <c r="H19" s="1" t="s">
        <v>223</v>
      </c>
      <c r="I19" s="1" t="s">
        <v>224</v>
      </c>
      <c r="J19" s="1" t="s">
        <v>57</v>
      </c>
      <c r="K19" s="1" t="s">
        <v>90</v>
      </c>
      <c r="L19" s="1" t="s">
        <v>225</v>
      </c>
      <c r="M19" s="1" t="s">
        <v>226</v>
      </c>
      <c r="N19" s="1" t="s">
        <v>227</v>
      </c>
      <c r="O19" s="1" t="s">
        <v>228</v>
      </c>
      <c r="P19" s="1" t="s">
        <v>229</v>
      </c>
      <c r="Q19" s="1" t="s">
        <v>230</v>
      </c>
      <c r="R19" s="1" t="s">
        <v>231</v>
      </c>
      <c r="S19" s="1" t="s">
        <v>78</v>
      </c>
      <c r="T19" s="1">
        <v>107999</v>
      </c>
      <c r="U19" s="1" t="s">
        <v>65</v>
      </c>
      <c r="V19" s="1" t="s">
        <v>232</v>
      </c>
      <c r="W19" s="1" t="s">
        <v>233</v>
      </c>
    </row>
    <row r="20" spans="1:23" ht="14.5" x14ac:dyDescent="0.35">
      <c r="A20" s="1" t="s">
        <v>234</v>
      </c>
      <c r="B20" s="1" t="s">
        <v>235</v>
      </c>
      <c r="C20" s="1" t="s">
        <v>236</v>
      </c>
      <c r="D20" s="1" t="s">
        <v>237</v>
      </c>
      <c r="E20" s="1" t="s">
        <v>52</v>
      </c>
      <c r="F20" s="1" t="s">
        <v>238</v>
      </c>
      <c r="G20" s="1" t="s">
        <v>239</v>
      </c>
      <c r="H20" s="1" t="s">
        <v>240</v>
      </c>
      <c r="I20" s="1" t="s">
        <v>89</v>
      </c>
      <c r="J20" s="1" t="s">
        <v>200</v>
      </c>
      <c r="K20" s="1" t="s">
        <v>90</v>
      </c>
      <c r="M20" s="1" t="s">
        <v>241</v>
      </c>
      <c r="N20" s="1" t="s">
        <v>242</v>
      </c>
      <c r="O20" s="1" t="s">
        <v>243</v>
      </c>
      <c r="P20" s="1" t="s">
        <v>244</v>
      </c>
      <c r="Q20" s="1" t="s">
        <v>245</v>
      </c>
      <c r="R20" s="1" t="s">
        <v>246</v>
      </c>
      <c r="S20" s="1" t="s">
        <v>129</v>
      </c>
      <c r="T20" s="1">
        <v>105200</v>
      </c>
      <c r="V20" s="1" t="s">
        <v>247</v>
      </c>
      <c r="W20" s="1" t="s">
        <v>248</v>
      </c>
    </row>
    <row r="21" spans="1:23" ht="15.75" customHeight="1" x14ac:dyDescent="0.35">
      <c r="A21" s="1" t="s">
        <v>151</v>
      </c>
      <c r="B21" s="1" t="s">
        <v>249</v>
      </c>
      <c r="C21" s="1" t="s">
        <v>250</v>
      </c>
      <c r="D21" s="1" t="s">
        <v>251</v>
      </c>
      <c r="E21" s="1" t="s">
        <v>252</v>
      </c>
      <c r="F21" s="1" t="s">
        <v>253</v>
      </c>
      <c r="G21" s="1" t="s">
        <v>254</v>
      </c>
      <c r="H21" s="1" t="s">
        <v>255</v>
      </c>
      <c r="I21" s="1" t="s">
        <v>224</v>
      </c>
      <c r="J21" s="1" t="s">
        <v>256</v>
      </c>
      <c r="K21" s="1" t="s">
        <v>257</v>
      </c>
      <c r="L21" s="1" t="s">
        <v>258</v>
      </c>
      <c r="M21" s="1" t="s">
        <v>259</v>
      </c>
      <c r="N21" s="1" t="s">
        <v>227</v>
      </c>
      <c r="O21" s="1" t="s">
        <v>260</v>
      </c>
      <c r="P21" s="1" t="s">
        <v>261</v>
      </c>
      <c r="Q21" s="1" t="s">
        <v>262</v>
      </c>
      <c r="R21" s="1" t="s">
        <v>231</v>
      </c>
      <c r="S21" s="1" t="s">
        <v>78</v>
      </c>
      <c r="T21" s="1">
        <v>205000</v>
      </c>
      <c r="V21" s="1" t="s">
        <v>263</v>
      </c>
      <c r="W21" s="1" t="s">
        <v>264</v>
      </c>
    </row>
    <row r="22" spans="1:23" ht="15.75" customHeight="1" x14ac:dyDescent="0.35">
      <c r="A22" s="1" t="s">
        <v>112</v>
      </c>
      <c r="B22" s="1" t="s">
        <v>265</v>
      </c>
      <c r="C22" s="1" t="s">
        <v>133</v>
      </c>
      <c r="D22" s="1" t="s">
        <v>134</v>
      </c>
      <c r="E22" s="1" t="s">
        <v>116</v>
      </c>
      <c r="F22" s="1" t="s">
        <v>135</v>
      </c>
      <c r="G22" s="1" t="s">
        <v>171</v>
      </c>
      <c r="H22" s="1" t="s">
        <v>266</v>
      </c>
      <c r="I22" s="1" t="s">
        <v>120</v>
      </c>
      <c r="J22" s="1" t="s">
        <v>75</v>
      </c>
      <c r="K22" s="1" t="s">
        <v>101</v>
      </c>
      <c r="L22" s="1" t="s">
        <v>179</v>
      </c>
      <c r="M22" s="1" t="s">
        <v>139</v>
      </c>
      <c r="N22" s="1" t="s">
        <v>140</v>
      </c>
      <c r="O22" s="1" t="s">
        <v>141</v>
      </c>
      <c r="P22" s="1" t="s">
        <v>173</v>
      </c>
      <c r="Q22" s="1" t="s">
        <v>267</v>
      </c>
      <c r="R22" s="1" t="s">
        <v>180</v>
      </c>
      <c r="S22" s="1" t="s">
        <v>78</v>
      </c>
      <c r="T22" s="1">
        <v>53999</v>
      </c>
      <c r="U22" s="1" t="s">
        <v>65</v>
      </c>
      <c r="V22" s="1" t="s">
        <v>143</v>
      </c>
      <c r="W22" s="1" t="s">
        <v>268</v>
      </c>
    </row>
    <row r="23" spans="1:23" ht="15.75" customHeight="1" x14ac:dyDescent="0.35">
      <c r="A23" s="1" t="s">
        <v>234</v>
      </c>
      <c r="B23" s="1" t="s">
        <v>269</v>
      </c>
      <c r="C23" s="1" t="s">
        <v>270</v>
      </c>
      <c r="D23" s="1" t="s">
        <v>271</v>
      </c>
      <c r="E23" s="1" t="s">
        <v>272</v>
      </c>
      <c r="F23" s="1" t="s">
        <v>273</v>
      </c>
      <c r="G23" s="1" t="s">
        <v>239</v>
      </c>
      <c r="H23" s="1" t="s">
        <v>274</v>
      </c>
      <c r="I23" s="1" t="s">
        <v>275</v>
      </c>
      <c r="J23" s="1" t="s">
        <v>57</v>
      </c>
      <c r="K23" s="1" t="s">
        <v>90</v>
      </c>
      <c r="L23" s="1" t="s">
        <v>276</v>
      </c>
      <c r="M23" s="1" t="s">
        <v>241</v>
      </c>
      <c r="N23" s="1" t="s">
        <v>277</v>
      </c>
      <c r="O23" s="1" t="s">
        <v>278</v>
      </c>
      <c r="P23" s="1" t="s">
        <v>279</v>
      </c>
      <c r="Q23" s="1" t="s">
        <v>280</v>
      </c>
      <c r="R23" s="1" t="s">
        <v>281</v>
      </c>
      <c r="S23" s="2" t="s">
        <v>282</v>
      </c>
      <c r="T23" s="1">
        <v>109300</v>
      </c>
      <c r="V23" s="1" t="s">
        <v>283</v>
      </c>
    </row>
    <row r="24" spans="1:23" ht="15.75" customHeight="1" x14ac:dyDescent="0.35">
      <c r="A24" s="1" t="s">
        <v>234</v>
      </c>
      <c r="B24" s="1" t="s">
        <v>284</v>
      </c>
      <c r="C24" s="1" t="s">
        <v>285</v>
      </c>
      <c r="D24" s="1" t="s">
        <v>198</v>
      </c>
      <c r="E24" s="1" t="s">
        <v>52</v>
      </c>
      <c r="F24" s="1" t="s">
        <v>286</v>
      </c>
      <c r="G24" s="1" t="s">
        <v>239</v>
      </c>
      <c r="H24" s="1" t="s">
        <v>287</v>
      </c>
      <c r="I24" s="1" t="s">
        <v>275</v>
      </c>
      <c r="J24" s="1" t="s">
        <v>57</v>
      </c>
      <c r="K24" s="1" t="s">
        <v>40</v>
      </c>
      <c r="L24" s="1" t="s">
        <v>288</v>
      </c>
      <c r="M24" s="1" t="s">
        <v>241</v>
      </c>
      <c r="N24" s="1" t="s">
        <v>277</v>
      </c>
      <c r="O24" s="1" t="s">
        <v>289</v>
      </c>
      <c r="P24" s="1" t="s">
        <v>290</v>
      </c>
      <c r="Q24" s="1" t="s">
        <v>280</v>
      </c>
      <c r="R24" s="1" t="s">
        <v>281</v>
      </c>
      <c r="S24" s="1" t="s">
        <v>78</v>
      </c>
      <c r="T24" s="1">
        <v>102000</v>
      </c>
      <c r="V24" s="1" t="s">
        <v>291</v>
      </c>
    </row>
    <row r="25" spans="1:23" ht="15.75" customHeight="1" x14ac:dyDescent="0.35">
      <c r="A25" s="1" t="s">
        <v>234</v>
      </c>
      <c r="B25" s="1" t="s">
        <v>292</v>
      </c>
      <c r="C25" s="1" t="s">
        <v>293</v>
      </c>
      <c r="D25" s="1" t="s">
        <v>294</v>
      </c>
      <c r="E25" s="1" t="s">
        <v>52</v>
      </c>
      <c r="F25" s="1" t="s">
        <v>286</v>
      </c>
      <c r="G25" s="1" t="s">
        <v>295</v>
      </c>
      <c r="H25" s="1" t="s">
        <v>296</v>
      </c>
      <c r="I25" s="1" t="s">
        <v>275</v>
      </c>
      <c r="J25" s="1" t="s">
        <v>57</v>
      </c>
      <c r="K25" s="1" t="s">
        <v>201</v>
      </c>
      <c r="L25" s="1" t="s">
        <v>297</v>
      </c>
      <c r="M25" s="1" t="s">
        <v>241</v>
      </c>
      <c r="N25" s="1" t="s">
        <v>242</v>
      </c>
      <c r="O25" s="1" t="s">
        <v>298</v>
      </c>
      <c r="P25" s="1" t="s">
        <v>299</v>
      </c>
      <c r="Q25" s="1" t="s">
        <v>300</v>
      </c>
      <c r="R25" s="1" t="s">
        <v>301</v>
      </c>
      <c r="S25" s="1" t="s">
        <v>78</v>
      </c>
      <c r="T25" s="1">
        <v>56199</v>
      </c>
      <c r="V25" s="1" t="s">
        <v>302</v>
      </c>
    </row>
    <row r="26" spans="1:23" ht="15.75" customHeight="1" x14ac:dyDescent="0.35">
      <c r="A26" s="1" t="s">
        <v>234</v>
      </c>
      <c r="B26" s="1" t="s">
        <v>303</v>
      </c>
      <c r="C26" s="1" t="s">
        <v>236</v>
      </c>
      <c r="D26" s="1" t="s">
        <v>294</v>
      </c>
      <c r="E26" s="1" t="s">
        <v>52</v>
      </c>
      <c r="F26" s="1" t="s">
        <v>304</v>
      </c>
      <c r="G26" s="1" t="s">
        <v>239</v>
      </c>
      <c r="H26" s="1" t="s">
        <v>305</v>
      </c>
      <c r="I26" s="1" t="s">
        <v>89</v>
      </c>
      <c r="J26" s="1" t="s">
        <v>57</v>
      </c>
      <c r="K26" s="1" t="s">
        <v>90</v>
      </c>
      <c r="M26" s="1" t="s">
        <v>306</v>
      </c>
      <c r="N26" s="1" t="s">
        <v>242</v>
      </c>
      <c r="O26" s="1" t="s">
        <v>307</v>
      </c>
      <c r="P26" s="1" t="s">
        <v>308</v>
      </c>
      <c r="Q26" s="1" t="s">
        <v>309</v>
      </c>
      <c r="R26" s="1" t="s">
        <v>301</v>
      </c>
      <c r="S26" s="1" t="s">
        <v>78</v>
      </c>
      <c r="T26" s="1">
        <v>66999</v>
      </c>
      <c r="V26" s="1" t="s">
        <v>247</v>
      </c>
    </row>
    <row r="27" spans="1:23" ht="15.75" customHeight="1" x14ac:dyDescent="0.35">
      <c r="A27" s="1" t="s">
        <v>234</v>
      </c>
      <c r="B27" s="1" t="s">
        <v>310</v>
      </c>
      <c r="C27" s="1" t="s">
        <v>311</v>
      </c>
      <c r="D27" s="1" t="s">
        <v>312</v>
      </c>
      <c r="E27" s="1" t="s">
        <v>70</v>
      </c>
      <c r="F27" s="1" t="s">
        <v>313</v>
      </c>
      <c r="G27" s="1" t="s">
        <v>295</v>
      </c>
      <c r="H27" s="1" t="s">
        <v>314</v>
      </c>
      <c r="I27" s="1" t="s">
        <v>89</v>
      </c>
      <c r="J27" s="1" t="s">
        <v>57</v>
      </c>
      <c r="K27" s="1" t="s">
        <v>40</v>
      </c>
      <c r="L27" s="1" t="s">
        <v>315</v>
      </c>
      <c r="M27" s="1" t="s">
        <v>306</v>
      </c>
      <c r="N27" s="1" t="s">
        <v>242</v>
      </c>
      <c r="O27" s="1" t="s">
        <v>316</v>
      </c>
      <c r="P27" s="1" t="s">
        <v>317</v>
      </c>
      <c r="Q27" s="1" t="s">
        <v>309</v>
      </c>
      <c r="R27" s="1" t="s">
        <v>246</v>
      </c>
      <c r="S27" s="1" t="s">
        <v>78</v>
      </c>
      <c r="T27" s="1">
        <v>48888</v>
      </c>
      <c r="V27" s="1" t="s">
        <v>318</v>
      </c>
    </row>
    <row r="28" spans="1:23" ht="15.75" customHeight="1" x14ac:dyDescent="0.35">
      <c r="A28" s="1" t="s">
        <v>30</v>
      </c>
      <c r="B28" s="1" t="s">
        <v>319</v>
      </c>
      <c r="C28" s="1" t="s">
        <v>320</v>
      </c>
      <c r="D28" s="1" t="s">
        <v>51</v>
      </c>
      <c r="E28" s="1" t="s">
        <v>52</v>
      </c>
      <c r="F28" s="1" t="s">
        <v>321</v>
      </c>
      <c r="G28" s="1" t="s">
        <v>322</v>
      </c>
      <c r="H28" s="1" t="s">
        <v>323</v>
      </c>
      <c r="I28" s="1" t="s">
        <v>224</v>
      </c>
      <c r="J28" s="1" t="s">
        <v>256</v>
      </c>
      <c r="K28" s="1" t="s">
        <v>40</v>
      </c>
      <c r="L28" s="1" t="s">
        <v>324</v>
      </c>
      <c r="M28" s="1" t="s">
        <v>325</v>
      </c>
      <c r="N28" s="1" t="s">
        <v>326</v>
      </c>
      <c r="O28" s="1" t="s">
        <v>327</v>
      </c>
      <c r="P28" s="1" t="s">
        <v>328</v>
      </c>
      <c r="Q28" s="1" t="s">
        <v>329</v>
      </c>
      <c r="R28" s="1" t="s">
        <v>64</v>
      </c>
      <c r="S28" s="1" t="s">
        <v>165</v>
      </c>
      <c r="T28" s="1">
        <v>94999</v>
      </c>
      <c r="W28" s="1" t="s">
        <v>330</v>
      </c>
    </row>
    <row r="29" spans="1:23" ht="15.75" customHeight="1" x14ac:dyDescent="0.35">
      <c r="A29" s="1" t="s">
        <v>30</v>
      </c>
      <c r="B29" s="1" t="s">
        <v>331</v>
      </c>
      <c r="C29" s="1" t="s">
        <v>320</v>
      </c>
      <c r="D29" s="1" t="s">
        <v>332</v>
      </c>
      <c r="E29" s="1" t="s">
        <v>34</v>
      </c>
      <c r="F29" s="1" t="s">
        <v>333</v>
      </c>
      <c r="G29" s="1" t="s">
        <v>322</v>
      </c>
      <c r="H29" s="1" t="s">
        <v>334</v>
      </c>
      <c r="I29" s="1" t="s">
        <v>224</v>
      </c>
      <c r="J29" s="1" t="s">
        <v>256</v>
      </c>
      <c r="K29" s="1" t="s">
        <v>40</v>
      </c>
      <c r="L29" s="1" t="s">
        <v>324</v>
      </c>
      <c r="M29" s="1" t="s">
        <v>325</v>
      </c>
      <c r="N29" s="1" t="s">
        <v>43</v>
      </c>
      <c r="O29" s="1" t="s">
        <v>335</v>
      </c>
      <c r="P29" s="1" t="s">
        <v>336</v>
      </c>
      <c r="Q29" s="1" t="s">
        <v>337</v>
      </c>
      <c r="R29" s="1" t="s">
        <v>338</v>
      </c>
      <c r="S29" s="1" t="s">
        <v>339</v>
      </c>
      <c r="T29" s="1">
        <v>228337</v>
      </c>
      <c r="W29" s="1" t="s">
        <v>340</v>
      </c>
    </row>
    <row r="30" spans="1:23" ht="15.75" customHeight="1" x14ac:dyDescent="0.35">
      <c r="A30" s="1" t="s">
        <v>30</v>
      </c>
      <c r="B30" s="1" t="s">
        <v>341</v>
      </c>
      <c r="C30" s="1" t="s">
        <v>32</v>
      </c>
      <c r="D30" s="1" t="s">
        <v>33</v>
      </c>
      <c r="E30" s="1" t="s">
        <v>34</v>
      </c>
      <c r="F30" s="1" t="s">
        <v>342</v>
      </c>
      <c r="G30" s="1" t="s">
        <v>343</v>
      </c>
      <c r="H30" s="1" t="s">
        <v>344</v>
      </c>
      <c r="I30" s="1" t="s">
        <v>345</v>
      </c>
      <c r="J30" s="1" t="s">
        <v>39</v>
      </c>
      <c r="K30" s="1" t="s">
        <v>40</v>
      </c>
      <c r="L30" s="1" t="s">
        <v>346</v>
      </c>
      <c r="M30" s="1" t="s">
        <v>42</v>
      </c>
      <c r="N30" s="1" t="s">
        <v>43</v>
      </c>
      <c r="O30" s="1" t="s">
        <v>347</v>
      </c>
      <c r="P30" s="1" t="s">
        <v>45</v>
      </c>
      <c r="Q30" s="1" t="s">
        <v>46</v>
      </c>
      <c r="R30" s="1" t="s">
        <v>47</v>
      </c>
      <c r="S30" s="1" t="s">
        <v>339</v>
      </c>
      <c r="T30" s="1">
        <v>249999</v>
      </c>
    </row>
    <row r="31" spans="1:23" ht="15.75" customHeight="1" x14ac:dyDescent="0.35">
      <c r="A31" s="1" t="s">
        <v>66</v>
      </c>
      <c r="B31" s="1" t="s">
        <v>348</v>
      </c>
      <c r="C31" s="1" t="s">
        <v>349</v>
      </c>
      <c r="D31" s="1" t="s">
        <v>350</v>
      </c>
      <c r="F31" s="1" t="s">
        <v>351</v>
      </c>
      <c r="G31" s="1" t="s">
        <v>352</v>
      </c>
      <c r="H31" s="1" t="s">
        <v>353</v>
      </c>
      <c r="I31" s="1" t="s">
        <v>74</v>
      </c>
      <c r="K31" s="1" t="s">
        <v>101</v>
      </c>
      <c r="L31" s="1" t="s">
        <v>354</v>
      </c>
      <c r="M31" s="1" t="s">
        <v>355</v>
      </c>
      <c r="N31" s="1" t="s">
        <v>356</v>
      </c>
      <c r="O31" s="1" t="s">
        <v>357</v>
      </c>
      <c r="P31" s="1" t="s">
        <v>358</v>
      </c>
      <c r="Q31" s="1" t="s">
        <v>359</v>
      </c>
      <c r="R31" s="1" t="s">
        <v>246</v>
      </c>
      <c r="S31" s="1" t="s">
        <v>78</v>
      </c>
      <c r="T31" s="1">
        <v>26699</v>
      </c>
      <c r="U31" s="1" t="s">
        <v>166</v>
      </c>
    </row>
    <row r="32" spans="1:23" ht="15.75" customHeight="1" x14ac:dyDescent="0.35">
      <c r="A32" s="1" t="s">
        <v>112</v>
      </c>
      <c r="B32" s="1" t="s">
        <v>360</v>
      </c>
      <c r="C32" s="1" t="s">
        <v>361</v>
      </c>
      <c r="D32" s="1" t="s">
        <v>154</v>
      </c>
      <c r="E32" s="1" t="s">
        <v>362</v>
      </c>
      <c r="F32" s="1" t="s">
        <v>363</v>
      </c>
      <c r="G32" s="1" t="s">
        <v>118</v>
      </c>
      <c r="H32" s="1" t="s">
        <v>364</v>
      </c>
      <c r="I32" s="1" t="s">
        <v>120</v>
      </c>
      <c r="J32" s="1" t="s">
        <v>75</v>
      </c>
      <c r="K32" s="1" t="s">
        <v>101</v>
      </c>
      <c r="L32" s="1" t="s">
        <v>186</v>
      </c>
      <c r="M32" s="1" t="s">
        <v>139</v>
      </c>
      <c r="N32" s="1" t="s">
        <v>124</v>
      </c>
      <c r="O32" s="1" t="s">
        <v>187</v>
      </c>
      <c r="P32" s="1" t="s">
        <v>149</v>
      </c>
      <c r="Q32" s="1" t="s">
        <v>127</v>
      </c>
      <c r="R32" s="1" t="s">
        <v>180</v>
      </c>
      <c r="S32" s="1" t="s">
        <v>78</v>
      </c>
      <c r="T32" s="1">
        <v>34999</v>
      </c>
      <c r="U32" s="1" t="s">
        <v>79</v>
      </c>
      <c r="V32" s="1" t="s">
        <v>365</v>
      </c>
      <c r="W32" s="1" t="s">
        <v>366</v>
      </c>
    </row>
    <row r="33" spans="1:24" ht="15.75" customHeight="1" x14ac:dyDescent="0.35">
      <c r="A33" s="1" t="s">
        <v>30</v>
      </c>
      <c r="B33" s="1" t="s">
        <v>367</v>
      </c>
      <c r="C33" s="1" t="s">
        <v>83</v>
      </c>
      <c r="D33" s="1" t="s">
        <v>69</v>
      </c>
      <c r="E33" s="1" t="s">
        <v>70</v>
      </c>
      <c r="F33" s="1" t="s">
        <v>368</v>
      </c>
      <c r="G33" s="1" t="s">
        <v>369</v>
      </c>
      <c r="H33" s="1" t="s">
        <v>370</v>
      </c>
      <c r="I33" s="1" t="s">
        <v>120</v>
      </c>
      <c r="J33" s="1" t="s">
        <v>75</v>
      </c>
      <c r="K33" s="1" t="s">
        <v>101</v>
      </c>
      <c r="L33" s="1" t="s">
        <v>371</v>
      </c>
      <c r="M33" s="1" t="s">
        <v>372</v>
      </c>
      <c r="N33" s="1" t="s">
        <v>373</v>
      </c>
      <c r="O33" s="1" t="s">
        <v>374</v>
      </c>
      <c r="P33" s="1" t="s">
        <v>375</v>
      </c>
      <c r="Q33" s="1" t="s">
        <v>376</v>
      </c>
      <c r="R33" s="1" t="s">
        <v>338</v>
      </c>
      <c r="S33" s="1" t="s">
        <v>165</v>
      </c>
      <c r="T33" s="1">
        <v>41999</v>
      </c>
    </row>
    <row r="34" spans="1:24" ht="15.75" customHeight="1" x14ac:dyDescent="0.35">
      <c r="A34" s="1" t="s">
        <v>30</v>
      </c>
      <c r="B34" s="1" t="s">
        <v>377</v>
      </c>
      <c r="C34" s="1" t="s">
        <v>378</v>
      </c>
      <c r="D34" s="1" t="s">
        <v>379</v>
      </c>
      <c r="E34" s="1" t="s">
        <v>380</v>
      </c>
      <c r="F34" s="1" t="s">
        <v>381</v>
      </c>
      <c r="G34" s="1" t="s">
        <v>382</v>
      </c>
      <c r="H34" s="1" t="s">
        <v>55</v>
      </c>
      <c r="I34" s="1" t="s">
        <v>56</v>
      </c>
      <c r="K34" s="1" t="s">
        <v>101</v>
      </c>
      <c r="L34" s="1" t="s">
        <v>58</v>
      </c>
      <c r="M34" s="1" t="s">
        <v>59</v>
      </c>
      <c r="N34" s="1" t="s">
        <v>373</v>
      </c>
      <c r="O34" s="1" t="s">
        <v>383</v>
      </c>
      <c r="P34" s="1" t="s">
        <v>62</v>
      </c>
      <c r="Q34" s="1" t="s">
        <v>63</v>
      </c>
      <c r="R34" s="1" t="s">
        <v>64</v>
      </c>
      <c r="S34" s="1" t="s">
        <v>165</v>
      </c>
      <c r="T34" s="1">
        <v>61999</v>
      </c>
    </row>
    <row r="35" spans="1:24" ht="15.75" customHeight="1" x14ac:dyDescent="0.35">
      <c r="A35" s="1" t="s">
        <v>30</v>
      </c>
      <c r="B35" s="1" t="s">
        <v>377</v>
      </c>
      <c r="C35" s="1" t="s">
        <v>384</v>
      </c>
      <c r="D35" s="1" t="s">
        <v>385</v>
      </c>
      <c r="E35" s="1" t="s">
        <v>52</v>
      </c>
      <c r="F35" s="1" t="s">
        <v>386</v>
      </c>
      <c r="G35" s="1" t="s">
        <v>54</v>
      </c>
      <c r="H35" s="1" t="s">
        <v>387</v>
      </c>
      <c r="I35" s="1" t="s">
        <v>56</v>
      </c>
      <c r="J35" s="1" t="s">
        <v>57</v>
      </c>
      <c r="K35" s="1" t="s">
        <v>40</v>
      </c>
      <c r="L35" s="1" t="s">
        <v>388</v>
      </c>
      <c r="M35" s="1" t="s">
        <v>59</v>
      </c>
      <c r="N35" s="1" t="s">
        <v>373</v>
      </c>
      <c r="O35" s="1" t="s">
        <v>383</v>
      </c>
      <c r="P35" s="1" t="s">
        <v>62</v>
      </c>
      <c r="Q35" s="1" t="s">
        <v>63</v>
      </c>
      <c r="R35" s="1" t="s">
        <v>64</v>
      </c>
      <c r="S35" s="1" t="s">
        <v>165</v>
      </c>
      <c r="T35" s="1">
        <v>69999</v>
      </c>
      <c r="U35" s="1" t="s">
        <v>65</v>
      </c>
    </row>
    <row r="36" spans="1:24" ht="15.75" customHeight="1" x14ac:dyDescent="0.35">
      <c r="A36" s="1" t="s">
        <v>151</v>
      </c>
      <c r="B36" s="1" t="s">
        <v>389</v>
      </c>
      <c r="C36" s="1" t="s">
        <v>390</v>
      </c>
      <c r="D36" s="1" t="s">
        <v>391</v>
      </c>
      <c r="E36" s="1" t="s">
        <v>70</v>
      </c>
      <c r="F36" s="1" t="s">
        <v>392</v>
      </c>
      <c r="G36" s="1" t="s">
        <v>156</v>
      </c>
      <c r="H36" s="1" t="s">
        <v>393</v>
      </c>
      <c r="I36" s="1" t="s">
        <v>74</v>
      </c>
      <c r="J36" s="1" t="s">
        <v>75</v>
      </c>
      <c r="K36" s="1" t="s">
        <v>101</v>
      </c>
      <c r="L36" s="1" t="s">
        <v>158</v>
      </c>
      <c r="M36" s="1" t="s">
        <v>394</v>
      </c>
      <c r="N36" s="1" t="s">
        <v>395</v>
      </c>
      <c r="O36" s="1" t="s">
        <v>396</v>
      </c>
      <c r="P36" s="1" t="s">
        <v>397</v>
      </c>
      <c r="Q36" s="1" t="s">
        <v>398</v>
      </c>
      <c r="R36" s="1" t="s">
        <v>164</v>
      </c>
      <c r="S36" s="1" t="s">
        <v>78</v>
      </c>
      <c r="T36" s="1">
        <v>39999</v>
      </c>
      <c r="V36" s="1" t="s">
        <v>399</v>
      </c>
      <c r="W36" s="1" t="s">
        <v>400</v>
      </c>
    </row>
    <row r="37" spans="1:24" ht="15.75" customHeight="1" x14ac:dyDescent="0.35">
      <c r="A37" s="1" t="s">
        <v>112</v>
      </c>
      <c r="B37" s="1" t="s">
        <v>401</v>
      </c>
      <c r="C37" s="1" t="s">
        <v>402</v>
      </c>
      <c r="D37" s="1" t="s">
        <v>115</v>
      </c>
      <c r="E37" s="1" t="s">
        <v>116</v>
      </c>
      <c r="F37" s="1" t="s">
        <v>403</v>
      </c>
      <c r="G37" s="1" t="s">
        <v>171</v>
      </c>
      <c r="H37" s="1" t="s">
        <v>404</v>
      </c>
      <c r="I37" s="1" t="s">
        <v>120</v>
      </c>
      <c r="J37" s="1" t="s">
        <v>75</v>
      </c>
      <c r="K37" s="1" t="s">
        <v>101</v>
      </c>
      <c r="L37" s="1" t="s">
        <v>179</v>
      </c>
      <c r="M37" s="1" t="s">
        <v>139</v>
      </c>
      <c r="N37" s="1" t="s">
        <v>140</v>
      </c>
      <c r="O37" s="1" t="s">
        <v>141</v>
      </c>
      <c r="P37" s="1" t="s">
        <v>405</v>
      </c>
      <c r="Q37" s="1" t="s">
        <v>142</v>
      </c>
      <c r="R37" s="1" t="s">
        <v>180</v>
      </c>
      <c r="S37" s="1" t="s">
        <v>78</v>
      </c>
      <c r="T37" s="1">
        <v>42999</v>
      </c>
      <c r="U37" s="1" t="s">
        <v>79</v>
      </c>
      <c r="V37" s="1" t="s">
        <v>406</v>
      </c>
      <c r="W37" s="1" t="s">
        <v>407</v>
      </c>
    </row>
    <row r="38" spans="1:24" ht="15.75" customHeight="1" x14ac:dyDescent="0.35">
      <c r="A38" s="1" t="s">
        <v>151</v>
      </c>
      <c r="B38" s="1" t="s">
        <v>389</v>
      </c>
      <c r="C38" s="1" t="s">
        <v>408</v>
      </c>
      <c r="D38" s="1" t="s">
        <v>409</v>
      </c>
      <c r="E38" s="1" t="s">
        <v>410</v>
      </c>
      <c r="F38" s="1" t="s">
        <v>411</v>
      </c>
      <c r="G38" s="1" t="s">
        <v>156</v>
      </c>
      <c r="H38" s="1" t="s">
        <v>393</v>
      </c>
      <c r="I38" s="1" t="s">
        <v>120</v>
      </c>
      <c r="J38" s="1" t="s">
        <v>75</v>
      </c>
      <c r="K38" s="1" t="s">
        <v>101</v>
      </c>
      <c r="L38" s="1" t="s">
        <v>158</v>
      </c>
      <c r="M38" s="1" t="s">
        <v>394</v>
      </c>
      <c r="N38" s="1" t="s">
        <v>395</v>
      </c>
      <c r="O38" s="1" t="s">
        <v>396</v>
      </c>
      <c r="P38" s="1" t="s">
        <v>397</v>
      </c>
      <c r="Q38" s="1" t="s">
        <v>398</v>
      </c>
      <c r="R38" s="1" t="s">
        <v>164</v>
      </c>
      <c r="S38" s="1" t="s">
        <v>129</v>
      </c>
      <c r="T38" s="1">
        <v>47777</v>
      </c>
      <c r="V38" s="1" t="s">
        <v>412</v>
      </c>
      <c r="W38" s="1" t="s">
        <v>413</v>
      </c>
    </row>
    <row r="39" spans="1:24" ht="15.75" customHeight="1" x14ac:dyDescent="0.35">
      <c r="A39" s="1" t="s">
        <v>81</v>
      </c>
      <c r="B39" s="1" t="s">
        <v>414</v>
      </c>
      <c r="C39" s="1" t="s">
        <v>415</v>
      </c>
      <c r="D39" s="1" t="s">
        <v>154</v>
      </c>
      <c r="E39" s="1" t="s">
        <v>70</v>
      </c>
      <c r="F39" s="1" t="s">
        <v>416</v>
      </c>
      <c r="G39" s="1" t="s">
        <v>417</v>
      </c>
      <c r="H39" s="1" t="s">
        <v>418</v>
      </c>
      <c r="I39" s="1" t="s">
        <v>120</v>
      </c>
      <c r="J39" s="1" t="s">
        <v>39</v>
      </c>
      <c r="K39" s="1" t="s">
        <v>101</v>
      </c>
      <c r="L39" s="1" t="s">
        <v>419</v>
      </c>
      <c r="M39" s="1" t="s">
        <v>420</v>
      </c>
      <c r="O39" s="1" t="s">
        <v>421</v>
      </c>
      <c r="P39" s="1" t="s">
        <v>422</v>
      </c>
      <c r="Q39" s="1" t="s">
        <v>423</v>
      </c>
      <c r="R39" s="1" t="s">
        <v>424</v>
      </c>
      <c r="S39" s="1" t="s">
        <v>425</v>
      </c>
      <c r="T39" s="1">
        <v>37777</v>
      </c>
      <c r="U39" s="1" t="s">
        <v>79</v>
      </c>
      <c r="V39" s="1" t="s">
        <v>426</v>
      </c>
      <c r="X39" s="1" t="s">
        <v>427</v>
      </c>
    </row>
    <row r="40" spans="1:24" ht="15.75" customHeight="1" x14ac:dyDescent="0.35">
      <c r="A40" s="1" t="s">
        <v>151</v>
      </c>
      <c r="B40" s="1" t="s">
        <v>428</v>
      </c>
      <c r="C40" s="1" t="s">
        <v>429</v>
      </c>
      <c r="D40" s="1" t="s">
        <v>430</v>
      </c>
      <c r="E40" s="1" t="s">
        <v>52</v>
      </c>
      <c r="F40" s="1" t="s">
        <v>221</v>
      </c>
      <c r="G40" s="1" t="s">
        <v>156</v>
      </c>
      <c r="H40" s="1" t="s">
        <v>431</v>
      </c>
      <c r="I40" s="1" t="s">
        <v>224</v>
      </c>
      <c r="J40" s="1" t="s">
        <v>256</v>
      </c>
      <c r="K40" s="1" t="s">
        <v>40</v>
      </c>
      <c r="L40" s="1" t="s">
        <v>432</v>
      </c>
      <c r="M40" s="1" t="s">
        <v>226</v>
      </c>
      <c r="N40" s="1" t="s">
        <v>227</v>
      </c>
      <c r="O40" s="1" t="s">
        <v>433</v>
      </c>
      <c r="P40" s="1" t="s">
        <v>434</v>
      </c>
      <c r="Q40" s="1" t="s">
        <v>63</v>
      </c>
      <c r="R40" s="1" t="s">
        <v>231</v>
      </c>
      <c r="S40" s="1" t="s">
        <v>165</v>
      </c>
      <c r="T40" s="1">
        <v>66666</v>
      </c>
      <c r="U40" s="1" t="s">
        <v>65</v>
      </c>
      <c r="V40" s="1" t="s">
        <v>435</v>
      </c>
      <c r="W40" s="1" t="s">
        <v>436</v>
      </c>
    </row>
    <row r="41" spans="1:24" ht="15.75" customHeight="1" x14ac:dyDescent="0.35">
      <c r="A41" s="1" t="s">
        <v>112</v>
      </c>
      <c r="B41" s="1" t="s">
        <v>437</v>
      </c>
      <c r="C41" s="1" t="s">
        <v>183</v>
      </c>
      <c r="D41" s="1" t="s">
        <v>438</v>
      </c>
      <c r="E41" s="1" t="s">
        <v>439</v>
      </c>
      <c r="F41" s="1" t="s">
        <v>440</v>
      </c>
      <c r="G41" s="1" t="s">
        <v>118</v>
      </c>
      <c r="H41" s="1" t="s">
        <v>441</v>
      </c>
      <c r="I41" s="1" t="s">
        <v>120</v>
      </c>
      <c r="J41" s="1" t="s">
        <v>75</v>
      </c>
      <c r="K41" s="1" t="s">
        <v>101</v>
      </c>
      <c r="L41" s="1" t="s">
        <v>193</v>
      </c>
      <c r="M41" s="1" t="s">
        <v>442</v>
      </c>
      <c r="O41" s="1" t="s">
        <v>187</v>
      </c>
      <c r="P41" s="1" t="s">
        <v>126</v>
      </c>
      <c r="Q41" s="1" t="s">
        <v>127</v>
      </c>
      <c r="R41" s="1" t="s">
        <v>64</v>
      </c>
      <c r="S41" s="1" t="s">
        <v>78</v>
      </c>
      <c r="T41" s="1">
        <v>30999</v>
      </c>
      <c r="U41" s="1" t="s">
        <v>79</v>
      </c>
      <c r="V41" s="1" t="s">
        <v>189</v>
      </c>
      <c r="W41" s="1" t="s">
        <v>443</v>
      </c>
    </row>
    <row r="42" spans="1:24" ht="15.75" customHeight="1" x14ac:dyDescent="0.35">
      <c r="A42" s="1" t="s">
        <v>112</v>
      </c>
      <c r="B42" s="1" t="s">
        <v>444</v>
      </c>
      <c r="C42" s="1" t="s">
        <v>183</v>
      </c>
      <c r="D42" s="1" t="s">
        <v>438</v>
      </c>
      <c r="E42" s="1" t="s">
        <v>439</v>
      </c>
      <c r="F42" s="1" t="s">
        <v>440</v>
      </c>
      <c r="G42" s="1" t="s">
        <v>118</v>
      </c>
      <c r="H42" s="1" t="s">
        <v>441</v>
      </c>
      <c r="I42" s="1" t="s">
        <v>120</v>
      </c>
      <c r="J42" s="1" t="s">
        <v>75</v>
      </c>
      <c r="K42" s="1" t="s">
        <v>101</v>
      </c>
      <c r="L42" s="1" t="s">
        <v>186</v>
      </c>
      <c r="M42" s="1" t="s">
        <v>445</v>
      </c>
      <c r="O42" s="1" t="s">
        <v>187</v>
      </c>
      <c r="P42" s="1" t="s">
        <v>126</v>
      </c>
      <c r="Q42" s="1" t="s">
        <v>127</v>
      </c>
      <c r="R42" s="1" t="s">
        <v>180</v>
      </c>
      <c r="S42" s="1" t="s">
        <v>78</v>
      </c>
      <c r="T42" s="1">
        <v>31899</v>
      </c>
      <c r="U42" s="1" t="s">
        <v>79</v>
      </c>
      <c r="V42" s="1" t="s">
        <v>189</v>
      </c>
      <c r="W42" s="1" t="s">
        <v>446</v>
      </c>
    </row>
    <row r="43" spans="1:24" ht="15.75" customHeight="1" x14ac:dyDescent="0.35">
      <c r="A43" s="1" t="s">
        <v>151</v>
      </c>
      <c r="B43" s="1" t="s">
        <v>219</v>
      </c>
      <c r="C43" s="1" t="s">
        <v>220</v>
      </c>
      <c r="D43" s="1" t="s">
        <v>51</v>
      </c>
      <c r="E43" s="1" t="s">
        <v>52</v>
      </c>
      <c r="F43" s="1" t="s">
        <v>447</v>
      </c>
      <c r="G43" s="1" t="s">
        <v>222</v>
      </c>
      <c r="H43" s="1" t="s">
        <v>448</v>
      </c>
      <c r="I43" s="1" t="s">
        <v>89</v>
      </c>
      <c r="J43" s="1" t="s">
        <v>57</v>
      </c>
      <c r="K43" s="1" t="s">
        <v>101</v>
      </c>
      <c r="L43" s="1" t="s">
        <v>449</v>
      </c>
      <c r="M43" s="1" t="s">
        <v>226</v>
      </c>
      <c r="N43" s="1" t="s">
        <v>227</v>
      </c>
      <c r="O43" s="1" t="s">
        <v>228</v>
      </c>
      <c r="P43" s="1" t="s">
        <v>229</v>
      </c>
      <c r="Q43" s="1" t="s">
        <v>230</v>
      </c>
      <c r="R43" s="1" t="s">
        <v>231</v>
      </c>
      <c r="S43" s="1" t="s">
        <v>129</v>
      </c>
      <c r="T43" s="1">
        <v>113000</v>
      </c>
      <c r="U43" s="1" t="s">
        <v>65</v>
      </c>
      <c r="V43" s="1" t="s">
        <v>232</v>
      </c>
      <c r="W43" s="1" t="s">
        <v>450</v>
      </c>
    </row>
    <row r="44" spans="1:24" ht="15.75" customHeight="1" x14ac:dyDescent="0.35">
      <c r="A44" s="1" t="s">
        <v>234</v>
      </c>
      <c r="B44" s="1" t="s">
        <v>451</v>
      </c>
      <c r="C44" s="1" t="s">
        <v>285</v>
      </c>
      <c r="D44" s="1" t="s">
        <v>97</v>
      </c>
      <c r="E44" s="1" t="s">
        <v>410</v>
      </c>
      <c r="F44" s="1" t="s">
        <v>452</v>
      </c>
      <c r="G44" s="1" t="s">
        <v>453</v>
      </c>
      <c r="H44" s="1" t="s">
        <v>454</v>
      </c>
      <c r="I44" s="1" t="s">
        <v>275</v>
      </c>
      <c r="J44" s="1" t="s">
        <v>57</v>
      </c>
      <c r="K44" s="1" t="s">
        <v>40</v>
      </c>
      <c r="L44" s="1" t="s">
        <v>455</v>
      </c>
      <c r="M44" s="1" t="s">
        <v>241</v>
      </c>
      <c r="O44" s="1" t="s">
        <v>456</v>
      </c>
      <c r="P44" s="1" t="s">
        <v>290</v>
      </c>
      <c r="Q44" s="1" t="s">
        <v>280</v>
      </c>
      <c r="R44" s="1" t="s">
        <v>281</v>
      </c>
      <c r="S44" s="1" t="s">
        <v>129</v>
      </c>
      <c r="T44" s="1">
        <v>92999</v>
      </c>
      <c r="V44" s="1" t="s">
        <v>457</v>
      </c>
      <c r="W44" s="1" t="s">
        <v>458</v>
      </c>
    </row>
    <row r="45" spans="1:24" ht="15.75" customHeight="1" x14ac:dyDescent="0.35">
      <c r="A45" s="1" t="s">
        <v>234</v>
      </c>
      <c r="B45" s="1" t="s">
        <v>459</v>
      </c>
      <c r="C45" s="1" t="s">
        <v>460</v>
      </c>
      <c r="D45" s="1" t="s">
        <v>461</v>
      </c>
      <c r="F45" s="1" t="s">
        <v>462</v>
      </c>
      <c r="G45" s="1" t="s">
        <v>295</v>
      </c>
      <c r="H45" s="1" t="s">
        <v>463</v>
      </c>
      <c r="I45" s="1" t="s">
        <v>275</v>
      </c>
      <c r="J45" s="1" t="s">
        <v>75</v>
      </c>
      <c r="K45" s="1" t="s">
        <v>40</v>
      </c>
      <c r="M45" s="1" t="s">
        <v>464</v>
      </c>
      <c r="N45" s="1" t="s">
        <v>465</v>
      </c>
      <c r="P45" s="1" t="s">
        <v>466</v>
      </c>
      <c r="Q45" s="1" t="s">
        <v>300</v>
      </c>
      <c r="R45" s="1" t="s">
        <v>467</v>
      </c>
      <c r="S45" s="1" t="s">
        <v>129</v>
      </c>
      <c r="T45" s="1">
        <v>36666</v>
      </c>
      <c r="V45" s="1" t="s">
        <v>468</v>
      </c>
      <c r="W45" s="1" t="s">
        <v>469</v>
      </c>
    </row>
    <row r="46" spans="1:24" ht="15.75" customHeight="1" x14ac:dyDescent="0.35">
      <c r="A46" s="1" t="s">
        <v>234</v>
      </c>
      <c r="B46" s="1" t="s">
        <v>470</v>
      </c>
      <c r="C46" s="1" t="s">
        <v>320</v>
      </c>
      <c r="D46" s="1" t="s">
        <v>471</v>
      </c>
      <c r="E46" s="1" t="s">
        <v>272</v>
      </c>
      <c r="F46" s="1" t="s">
        <v>286</v>
      </c>
      <c r="G46" s="1" t="s">
        <v>472</v>
      </c>
      <c r="H46" s="1" t="s">
        <v>473</v>
      </c>
      <c r="I46" s="1" t="s">
        <v>89</v>
      </c>
      <c r="J46" s="1" t="s">
        <v>256</v>
      </c>
      <c r="K46" s="1" t="s">
        <v>40</v>
      </c>
      <c r="L46" s="1" t="s">
        <v>474</v>
      </c>
      <c r="M46" s="1" t="s">
        <v>241</v>
      </c>
      <c r="N46" s="1" t="s">
        <v>242</v>
      </c>
      <c r="O46" s="1" t="s">
        <v>475</v>
      </c>
      <c r="P46" s="1" t="s">
        <v>476</v>
      </c>
      <c r="Q46" s="1" t="s">
        <v>477</v>
      </c>
      <c r="R46" s="1" t="s">
        <v>478</v>
      </c>
      <c r="S46" s="1" t="s">
        <v>129</v>
      </c>
      <c r="T46" s="1">
        <v>164888</v>
      </c>
      <c r="V46" s="1" t="s">
        <v>479</v>
      </c>
      <c r="W46" s="1" t="s">
        <v>480</v>
      </c>
    </row>
    <row r="47" spans="1:24" ht="15.75" customHeight="1" x14ac:dyDescent="0.35">
      <c r="A47" s="1" t="s">
        <v>234</v>
      </c>
      <c r="B47" s="1" t="s">
        <v>481</v>
      </c>
      <c r="C47" s="1" t="s">
        <v>320</v>
      </c>
      <c r="D47" s="1" t="s">
        <v>482</v>
      </c>
      <c r="E47" s="1" t="s">
        <v>272</v>
      </c>
      <c r="F47" s="1" t="s">
        <v>483</v>
      </c>
      <c r="G47" s="1" t="s">
        <v>239</v>
      </c>
      <c r="H47" s="1" t="s">
        <v>484</v>
      </c>
      <c r="I47" s="1" t="s">
        <v>275</v>
      </c>
      <c r="J47" s="1" t="s">
        <v>57</v>
      </c>
      <c r="K47" s="1" t="s">
        <v>40</v>
      </c>
      <c r="L47" s="1" t="s">
        <v>485</v>
      </c>
      <c r="M47" s="1" t="s">
        <v>241</v>
      </c>
      <c r="N47" s="1" t="s">
        <v>242</v>
      </c>
      <c r="O47" s="1" t="s">
        <v>475</v>
      </c>
      <c r="P47" s="1" t="s">
        <v>486</v>
      </c>
      <c r="Q47" s="1" t="s">
        <v>487</v>
      </c>
      <c r="R47" s="1" t="s">
        <v>281</v>
      </c>
      <c r="S47" s="1" t="s">
        <v>129</v>
      </c>
      <c r="T47" s="1">
        <v>135000</v>
      </c>
      <c r="V47" s="1" t="s">
        <v>479</v>
      </c>
      <c r="W47" s="1" t="s">
        <v>488</v>
      </c>
    </row>
    <row r="48" spans="1:24" ht="15.75" customHeight="1" x14ac:dyDescent="0.35">
      <c r="A48" s="1" t="s">
        <v>234</v>
      </c>
      <c r="B48" s="1" t="s">
        <v>489</v>
      </c>
      <c r="C48" s="1" t="s">
        <v>490</v>
      </c>
      <c r="D48" s="1" t="s">
        <v>409</v>
      </c>
      <c r="E48" s="1" t="s">
        <v>410</v>
      </c>
      <c r="F48" s="1" t="s">
        <v>491</v>
      </c>
      <c r="G48" s="1" t="s">
        <v>239</v>
      </c>
      <c r="H48" s="1" t="s">
        <v>492</v>
      </c>
      <c r="I48" s="1" t="s">
        <v>275</v>
      </c>
      <c r="J48" s="1" t="s">
        <v>57</v>
      </c>
      <c r="K48" s="1" t="s">
        <v>40</v>
      </c>
      <c r="L48" s="1" t="s">
        <v>493</v>
      </c>
      <c r="M48" s="1" t="s">
        <v>241</v>
      </c>
      <c r="N48" s="1" t="s">
        <v>465</v>
      </c>
      <c r="O48" s="1" t="s">
        <v>494</v>
      </c>
      <c r="P48" s="1" t="s">
        <v>290</v>
      </c>
      <c r="Q48" s="1" t="s">
        <v>280</v>
      </c>
      <c r="R48" s="1" t="s">
        <v>281</v>
      </c>
      <c r="S48" s="1" t="s">
        <v>129</v>
      </c>
      <c r="T48" s="1">
        <v>85399</v>
      </c>
      <c r="U48" s="1" t="s">
        <v>65</v>
      </c>
      <c r="V48" s="1" t="s">
        <v>495</v>
      </c>
      <c r="W48" s="1" t="s">
        <v>496</v>
      </c>
    </row>
    <row r="49" spans="1:25" ht="15.75" customHeight="1" x14ac:dyDescent="0.35">
      <c r="A49" s="1" t="s">
        <v>30</v>
      </c>
      <c r="B49" s="1" t="s">
        <v>497</v>
      </c>
      <c r="C49" s="1" t="s">
        <v>50</v>
      </c>
      <c r="D49" s="1" t="s">
        <v>498</v>
      </c>
      <c r="E49" s="1" t="s">
        <v>410</v>
      </c>
      <c r="F49" s="1" t="s">
        <v>53</v>
      </c>
      <c r="G49" s="1" t="s">
        <v>54</v>
      </c>
      <c r="H49" s="1" t="s">
        <v>499</v>
      </c>
      <c r="I49" s="1" t="s">
        <v>120</v>
      </c>
      <c r="J49" s="1" t="s">
        <v>75</v>
      </c>
      <c r="K49" s="1" t="s">
        <v>101</v>
      </c>
      <c r="L49" s="1" t="s">
        <v>324</v>
      </c>
      <c r="M49" s="1" t="s">
        <v>500</v>
      </c>
      <c r="N49" s="1" t="s">
        <v>326</v>
      </c>
      <c r="O49" s="1" t="s">
        <v>501</v>
      </c>
      <c r="P49" s="1" t="s">
        <v>502</v>
      </c>
      <c r="Q49" s="1" t="s">
        <v>503</v>
      </c>
      <c r="R49" s="1" t="s">
        <v>338</v>
      </c>
      <c r="S49" s="1" t="s">
        <v>129</v>
      </c>
      <c r="T49" s="1">
        <v>69999</v>
      </c>
      <c r="U49" s="1" t="s">
        <v>65</v>
      </c>
      <c r="V49" s="1" t="s">
        <v>504</v>
      </c>
    </row>
    <row r="50" spans="1:25" ht="15.75" customHeight="1" x14ac:dyDescent="0.35">
      <c r="A50" s="1" t="s">
        <v>151</v>
      </c>
      <c r="B50" s="1" t="s">
        <v>505</v>
      </c>
      <c r="C50" s="1" t="s">
        <v>506</v>
      </c>
      <c r="D50" s="1" t="s">
        <v>350</v>
      </c>
      <c r="E50" s="1" t="s">
        <v>507</v>
      </c>
      <c r="F50" s="1" t="s">
        <v>411</v>
      </c>
      <c r="G50" s="1" t="s">
        <v>156</v>
      </c>
      <c r="H50" s="1" t="s">
        <v>393</v>
      </c>
      <c r="I50" s="1" t="s">
        <v>120</v>
      </c>
      <c r="J50" s="1" t="s">
        <v>75</v>
      </c>
      <c r="K50" s="1" t="s">
        <v>90</v>
      </c>
      <c r="L50" s="1" t="s">
        <v>508</v>
      </c>
      <c r="M50" s="1" t="s">
        <v>394</v>
      </c>
      <c r="N50" s="1" t="s">
        <v>395</v>
      </c>
      <c r="O50" s="1" t="s">
        <v>396</v>
      </c>
      <c r="P50" s="1" t="s">
        <v>397</v>
      </c>
      <c r="Q50" s="1" t="s">
        <v>398</v>
      </c>
      <c r="R50" s="1" t="s">
        <v>164</v>
      </c>
      <c r="S50" s="1" t="s">
        <v>165</v>
      </c>
      <c r="T50" s="1">
        <v>30777</v>
      </c>
      <c r="U50" s="1" t="s">
        <v>166</v>
      </c>
      <c r="V50" s="1" t="s">
        <v>167</v>
      </c>
    </row>
    <row r="51" spans="1:25" ht="15.75" customHeight="1" x14ac:dyDescent="0.35">
      <c r="A51" s="1" t="s">
        <v>234</v>
      </c>
      <c r="B51" s="1" t="s">
        <v>509</v>
      </c>
      <c r="C51" s="1" t="s">
        <v>510</v>
      </c>
      <c r="D51" s="1" t="s">
        <v>511</v>
      </c>
      <c r="E51" s="1" t="s">
        <v>512</v>
      </c>
      <c r="F51" s="1" t="s">
        <v>513</v>
      </c>
      <c r="G51" s="1" t="s">
        <v>322</v>
      </c>
      <c r="H51" s="1" t="s">
        <v>514</v>
      </c>
      <c r="I51" s="1" t="s">
        <v>89</v>
      </c>
      <c r="J51" s="1" t="s">
        <v>256</v>
      </c>
      <c r="K51" s="1" t="s">
        <v>40</v>
      </c>
      <c r="L51" s="1" t="s">
        <v>515</v>
      </c>
      <c r="M51" s="1" t="s">
        <v>241</v>
      </c>
      <c r="N51" s="1" t="s">
        <v>242</v>
      </c>
      <c r="O51" s="1" t="s">
        <v>516</v>
      </c>
      <c r="P51" s="1" t="s">
        <v>517</v>
      </c>
      <c r="Q51" s="1" t="s">
        <v>518</v>
      </c>
      <c r="R51" s="1" t="s">
        <v>246</v>
      </c>
      <c r="S51" s="1" t="s">
        <v>129</v>
      </c>
      <c r="T51" s="1">
        <v>108000</v>
      </c>
      <c r="V51" s="1" t="s">
        <v>519</v>
      </c>
      <c r="W51" s="1" t="s">
        <v>520</v>
      </c>
    </row>
    <row r="52" spans="1:25" ht="15.75" customHeight="1" x14ac:dyDescent="0.35">
      <c r="A52" s="1" t="s">
        <v>30</v>
      </c>
      <c r="B52" s="1" t="s">
        <v>521</v>
      </c>
      <c r="C52" s="1" t="s">
        <v>510</v>
      </c>
      <c r="D52" s="1" t="s">
        <v>522</v>
      </c>
      <c r="E52" s="1" t="s">
        <v>410</v>
      </c>
      <c r="F52" s="1" t="s">
        <v>523</v>
      </c>
      <c r="G52" s="1" t="s">
        <v>524</v>
      </c>
      <c r="H52" s="1" t="s">
        <v>525</v>
      </c>
      <c r="I52" s="1" t="s">
        <v>224</v>
      </c>
      <c r="J52" s="1" t="s">
        <v>256</v>
      </c>
      <c r="K52" s="1" t="s">
        <v>40</v>
      </c>
      <c r="L52" s="1" t="s">
        <v>346</v>
      </c>
      <c r="M52" s="1" t="s">
        <v>526</v>
      </c>
      <c r="N52" s="1" t="s">
        <v>43</v>
      </c>
      <c r="O52" s="1" t="s">
        <v>527</v>
      </c>
      <c r="P52" s="1" t="s">
        <v>528</v>
      </c>
      <c r="Q52" s="1" t="s">
        <v>529</v>
      </c>
      <c r="R52" s="1" t="s">
        <v>530</v>
      </c>
      <c r="S52" s="1" t="s">
        <v>129</v>
      </c>
      <c r="T52" s="1">
        <v>104999</v>
      </c>
      <c r="V52" s="1" t="s">
        <v>531</v>
      </c>
    </row>
    <row r="53" spans="1:25" ht="15.75" customHeight="1" x14ac:dyDescent="0.35">
      <c r="A53" s="1" t="s">
        <v>30</v>
      </c>
      <c r="B53" s="1" t="s">
        <v>532</v>
      </c>
      <c r="C53" s="1" t="s">
        <v>320</v>
      </c>
      <c r="D53" s="1" t="s">
        <v>533</v>
      </c>
      <c r="E53" s="1" t="s">
        <v>252</v>
      </c>
      <c r="F53" s="1" t="s">
        <v>534</v>
      </c>
      <c r="G53" s="1" t="s">
        <v>322</v>
      </c>
      <c r="H53" s="1" t="s">
        <v>535</v>
      </c>
      <c r="I53" s="1" t="s">
        <v>224</v>
      </c>
      <c r="J53" s="1" t="s">
        <v>256</v>
      </c>
      <c r="K53" s="1" t="s">
        <v>90</v>
      </c>
      <c r="L53" s="1" t="s">
        <v>324</v>
      </c>
      <c r="M53" s="1" t="s">
        <v>325</v>
      </c>
      <c r="N53" s="1" t="s">
        <v>43</v>
      </c>
      <c r="O53" s="1" t="s">
        <v>335</v>
      </c>
      <c r="P53" s="1" t="s">
        <v>536</v>
      </c>
      <c r="Q53" s="1" t="s">
        <v>537</v>
      </c>
      <c r="R53" s="1" t="s">
        <v>338</v>
      </c>
      <c r="S53" s="1" t="s">
        <v>339</v>
      </c>
      <c r="T53" s="1">
        <v>151999</v>
      </c>
    </row>
    <row r="54" spans="1:25" ht="15.75" customHeight="1" x14ac:dyDescent="0.35">
      <c r="A54" s="1" t="s">
        <v>112</v>
      </c>
      <c r="B54" s="1" t="s">
        <v>538</v>
      </c>
      <c r="C54" s="1" t="s">
        <v>539</v>
      </c>
      <c r="D54" s="1" t="s">
        <v>522</v>
      </c>
      <c r="E54" s="1" t="s">
        <v>540</v>
      </c>
      <c r="F54" s="1" t="s">
        <v>541</v>
      </c>
      <c r="G54" s="1" t="s">
        <v>542</v>
      </c>
      <c r="H54" s="1" t="s">
        <v>543</v>
      </c>
      <c r="I54" s="1" t="s">
        <v>120</v>
      </c>
      <c r="J54" s="1" t="s">
        <v>75</v>
      </c>
      <c r="K54" s="1" t="s">
        <v>90</v>
      </c>
      <c r="L54" s="1" t="s">
        <v>544</v>
      </c>
      <c r="M54" s="1" t="s">
        <v>139</v>
      </c>
      <c r="N54" s="1" t="s">
        <v>140</v>
      </c>
      <c r="O54" s="1" t="s">
        <v>545</v>
      </c>
      <c r="P54" s="1" t="s">
        <v>546</v>
      </c>
      <c r="Q54" s="1" t="s">
        <v>547</v>
      </c>
      <c r="R54" s="1" t="s">
        <v>548</v>
      </c>
      <c r="S54" s="1" t="s">
        <v>129</v>
      </c>
      <c r="T54" s="1">
        <v>82399</v>
      </c>
      <c r="U54" s="1" t="s">
        <v>65</v>
      </c>
      <c r="V54" s="1" t="s">
        <v>143</v>
      </c>
      <c r="W54" s="1" t="s">
        <v>549</v>
      </c>
    </row>
    <row r="55" spans="1:25" ht="15.75" customHeight="1" x14ac:dyDescent="0.35">
      <c r="A55" s="1" t="s">
        <v>30</v>
      </c>
      <c r="B55" s="1" t="s">
        <v>550</v>
      </c>
      <c r="C55" s="1" t="s">
        <v>490</v>
      </c>
      <c r="D55" s="1" t="s">
        <v>551</v>
      </c>
      <c r="E55" s="1" t="s">
        <v>552</v>
      </c>
      <c r="F55" s="1" t="s">
        <v>553</v>
      </c>
      <c r="G55" s="1" t="s">
        <v>554</v>
      </c>
      <c r="H55" s="1" t="s">
        <v>525</v>
      </c>
      <c r="I55" s="1" t="s">
        <v>224</v>
      </c>
      <c r="J55" s="1" t="s">
        <v>256</v>
      </c>
      <c r="K55" s="1" t="s">
        <v>555</v>
      </c>
      <c r="L55" s="1" t="s">
        <v>346</v>
      </c>
      <c r="M55" s="1" t="s">
        <v>325</v>
      </c>
      <c r="N55" s="1" t="s">
        <v>326</v>
      </c>
      <c r="O55" s="1" t="s">
        <v>556</v>
      </c>
      <c r="P55" s="1" t="s">
        <v>536</v>
      </c>
      <c r="Q55" s="1" t="s">
        <v>537</v>
      </c>
      <c r="R55" s="1" t="s">
        <v>338</v>
      </c>
      <c r="S55" s="1" t="s">
        <v>129</v>
      </c>
      <c r="T55" s="1">
        <v>179888</v>
      </c>
      <c r="U55" s="1" t="s">
        <v>65</v>
      </c>
    </row>
    <row r="56" spans="1:25" ht="15.75" customHeight="1" x14ac:dyDescent="0.35">
      <c r="A56" s="1" t="s">
        <v>30</v>
      </c>
      <c r="B56" s="1" t="s">
        <v>557</v>
      </c>
      <c r="C56" s="1" t="s">
        <v>320</v>
      </c>
      <c r="D56" s="1" t="s">
        <v>558</v>
      </c>
      <c r="E56" s="1" t="s">
        <v>272</v>
      </c>
      <c r="F56" s="1" t="s">
        <v>559</v>
      </c>
      <c r="G56" s="1" t="s">
        <v>560</v>
      </c>
      <c r="H56" s="1" t="s">
        <v>561</v>
      </c>
      <c r="I56" s="1" t="s">
        <v>224</v>
      </c>
      <c r="J56" s="1" t="s">
        <v>256</v>
      </c>
      <c r="K56" s="1" t="s">
        <v>201</v>
      </c>
      <c r="L56" s="1" t="s">
        <v>324</v>
      </c>
      <c r="M56" s="1" t="s">
        <v>325</v>
      </c>
      <c r="N56" s="1" t="s">
        <v>43</v>
      </c>
      <c r="O56" s="1" t="s">
        <v>335</v>
      </c>
      <c r="P56" s="1" t="s">
        <v>536</v>
      </c>
      <c r="Q56" s="1" t="s">
        <v>537</v>
      </c>
      <c r="R56" s="1" t="s">
        <v>338</v>
      </c>
      <c r="S56" s="1" t="s">
        <v>165</v>
      </c>
      <c r="T56" s="1">
        <v>129999</v>
      </c>
    </row>
    <row r="57" spans="1:25" ht="15.75" customHeight="1" x14ac:dyDescent="0.35">
      <c r="A57" s="1" t="s">
        <v>30</v>
      </c>
      <c r="B57" s="1" t="s">
        <v>532</v>
      </c>
      <c r="C57" s="1" t="s">
        <v>320</v>
      </c>
      <c r="D57" s="1" t="s">
        <v>562</v>
      </c>
      <c r="E57" s="1" t="s">
        <v>252</v>
      </c>
      <c r="F57" s="1" t="s">
        <v>563</v>
      </c>
      <c r="G57" s="1" t="s">
        <v>560</v>
      </c>
      <c r="H57" s="1" t="s">
        <v>561</v>
      </c>
      <c r="I57" s="1" t="s">
        <v>224</v>
      </c>
      <c r="J57" s="1" t="s">
        <v>256</v>
      </c>
      <c r="K57" s="1" t="s">
        <v>201</v>
      </c>
      <c r="L57" s="1" t="s">
        <v>324</v>
      </c>
      <c r="M57" s="1" t="s">
        <v>325</v>
      </c>
      <c r="N57" s="1" t="s">
        <v>43</v>
      </c>
      <c r="O57" s="1" t="s">
        <v>335</v>
      </c>
      <c r="P57" s="1" t="s">
        <v>536</v>
      </c>
      <c r="Q57" s="1" t="s">
        <v>537</v>
      </c>
      <c r="R57" s="1" t="s">
        <v>338</v>
      </c>
      <c r="S57" s="1" t="s">
        <v>165</v>
      </c>
      <c r="T57" s="1">
        <v>169999</v>
      </c>
    </row>
    <row r="58" spans="1:25" ht="15.75" customHeight="1" x14ac:dyDescent="0.35">
      <c r="A58" s="1" t="s">
        <v>30</v>
      </c>
      <c r="B58" s="1" t="s">
        <v>564</v>
      </c>
      <c r="C58" s="1" t="s">
        <v>32</v>
      </c>
      <c r="D58" s="1" t="s">
        <v>565</v>
      </c>
      <c r="E58" s="1" t="s">
        <v>34</v>
      </c>
      <c r="F58" s="1" t="s">
        <v>342</v>
      </c>
      <c r="G58" s="1" t="s">
        <v>566</v>
      </c>
      <c r="H58" s="1" t="s">
        <v>37</v>
      </c>
      <c r="I58" s="1" t="s">
        <v>38</v>
      </c>
      <c r="J58" s="1" t="s">
        <v>39</v>
      </c>
      <c r="K58" s="1" t="s">
        <v>201</v>
      </c>
      <c r="L58" s="1" t="s">
        <v>567</v>
      </c>
      <c r="M58" s="1" t="s">
        <v>42</v>
      </c>
      <c r="N58" s="1" t="s">
        <v>43</v>
      </c>
      <c r="O58" s="1" t="s">
        <v>44</v>
      </c>
      <c r="P58" s="1" t="s">
        <v>45</v>
      </c>
      <c r="Q58" s="1" t="s">
        <v>46</v>
      </c>
      <c r="R58" s="1" t="s">
        <v>47</v>
      </c>
      <c r="S58" s="1" t="s">
        <v>165</v>
      </c>
      <c r="T58" s="1">
        <v>299999</v>
      </c>
    </row>
    <row r="59" spans="1:25" ht="15.75" customHeight="1" x14ac:dyDescent="0.35">
      <c r="A59" s="1" t="s">
        <v>151</v>
      </c>
      <c r="B59" s="1" t="s">
        <v>568</v>
      </c>
      <c r="C59" s="1" t="s">
        <v>569</v>
      </c>
      <c r="D59" s="1" t="s">
        <v>115</v>
      </c>
      <c r="E59" s="1" t="s">
        <v>70</v>
      </c>
      <c r="F59" s="1" t="s">
        <v>570</v>
      </c>
      <c r="G59" s="1" t="s">
        <v>156</v>
      </c>
      <c r="H59" s="1" t="s">
        <v>393</v>
      </c>
      <c r="I59" s="1" t="s">
        <v>74</v>
      </c>
      <c r="J59" s="1" t="s">
        <v>75</v>
      </c>
      <c r="L59" s="1" t="s">
        <v>158</v>
      </c>
      <c r="M59" s="1" t="s">
        <v>394</v>
      </c>
      <c r="N59" s="1" t="s">
        <v>571</v>
      </c>
      <c r="O59" s="1" t="s">
        <v>396</v>
      </c>
      <c r="P59" s="1" t="s">
        <v>397</v>
      </c>
      <c r="Q59" s="1" t="s">
        <v>398</v>
      </c>
      <c r="R59" s="1" t="s">
        <v>164</v>
      </c>
      <c r="S59" s="1" t="s">
        <v>165</v>
      </c>
      <c r="T59" s="1">
        <v>36666</v>
      </c>
      <c r="U59" s="1" t="s">
        <v>79</v>
      </c>
      <c r="V59" s="1" t="s">
        <v>572</v>
      </c>
      <c r="W59" s="1" t="s">
        <v>573</v>
      </c>
    </row>
    <row r="60" spans="1:25" ht="15.75" customHeight="1" x14ac:dyDescent="0.35">
      <c r="A60" s="1" t="s">
        <v>234</v>
      </c>
      <c r="B60" s="1" t="s">
        <v>574</v>
      </c>
      <c r="C60" s="1" t="s">
        <v>320</v>
      </c>
      <c r="D60" s="1" t="s">
        <v>562</v>
      </c>
      <c r="E60" s="1" t="s">
        <v>252</v>
      </c>
      <c r="F60" s="1" t="s">
        <v>575</v>
      </c>
      <c r="G60" s="1" t="s">
        <v>576</v>
      </c>
      <c r="H60" s="1" t="s">
        <v>577</v>
      </c>
      <c r="I60" s="1" t="s">
        <v>89</v>
      </c>
      <c r="J60" s="1" t="s">
        <v>256</v>
      </c>
      <c r="K60" s="1" t="s">
        <v>201</v>
      </c>
      <c r="L60" s="1" t="s">
        <v>474</v>
      </c>
      <c r="M60" s="1" t="s">
        <v>241</v>
      </c>
      <c r="N60" s="1" t="s">
        <v>242</v>
      </c>
      <c r="O60" s="1" t="s">
        <v>475</v>
      </c>
      <c r="P60" s="1" t="s">
        <v>578</v>
      </c>
      <c r="Q60" s="1" t="s">
        <v>579</v>
      </c>
      <c r="R60" s="1" t="s">
        <v>64</v>
      </c>
      <c r="S60" s="1" t="s">
        <v>78</v>
      </c>
      <c r="T60" s="1">
        <v>193999</v>
      </c>
      <c r="V60" s="1" t="s">
        <v>479</v>
      </c>
      <c r="W60" s="1" t="s">
        <v>580</v>
      </c>
    </row>
    <row r="61" spans="1:25" ht="15.75" customHeight="1" x14ac:dyDescent="0.35">
      <c r="A61" s="1" t="s">
        <v>234</v>
      </c>
      <c r="B61" s="1" t="s">
        <v>581</v>
      </c>
      <c r="C61" s="1" t="s">
        <v>582</v>
      </c>
      <c r="D61" s="1" t="s">
        <v>271</v>
      </c>
      <c r="E61" s="1" t="s">
        <v>272</v>
      </c>
      <c r="F61" s="1" t="s">
        <v>483</v>
      </c>
      <c r="G61" s="1" t="s">
        <v>472</v>
      </c>
      <c r="H61" s="1" t="s">
        <v>583</v>
      </c>
      <c r="I61" s="1" t="s">
        <v>89</v>
      </c>
      <c r="J61" s="1" t="s">
        <v>256</v>
      </c>
      <c r="K61" s="1" t="s">
        <v>201</v>
      </c>
      <c r="L61" s="1" t="s">
        <v>474</v>
      </c>
      <c r="M61" s="1" t="s">
        <v>241</v>
      </c>
      <c r="N61" s="1" t="s">
        <v>242</v>
      </c>
      <c r="O61" s="1" t="s">
        <v>475</v>
      </c>
      <c r="P61" s="1" t="s">
        <v>578</v>
      </c>
      <c r="Q61" s="1" t="s">
        <v>579</v>
      </c>
      <c r="R61" s="1" t="s">
        <v>64</v>
      </c>
      <c r="S61" s="1" t="s">
        <v>78</v>
      </c>
      <c r="T61" s="1">
        <v>155000</v>
      </c>
      <c r="V61" s="1" t="s">
        <v>479</v>
      </c>
      <c r="W61" s="1" t="s">
        <v>584</v>
      </c>
    </row>
    <row r="62" spans="1:25" ht="15.75" customHeight="1" x14ac:dyDescent="0.35">
      <c r="A62" s="1" t="s">
        <v>234</v>
      </c>
      <c r="B62" s="1" t="s">
        <v>585</v>
      </c>
      <c r="C62" s="1" t="s">
        <v>586</v>
      </c>
      <c r="D62" s="1" t="s">
        <v>587</v>
      </c>
      <c r="E62" s="1" t="s">
        <v>272</v>
      </c>
      <c r="F62" s="1" t="s">
        <v>588</v>
      </c>
      <c r="G62" s="1" t="s">
        <v>589</v>
      </c>
      <c r="H62" s="1" t="s">
        <v>590</v>
      </c>
      <c r="I62" s="1" t="s">
        <v>89</v>
      </c>
      <c r="J62" s="1" t="s">
        <v>256</v>
      </c>
      <c r="K62" s="1" t="s">
        <v>201</v>
      </c>
      <c r="L62" s="1" t="s">
        <v>591</v>
      </c>
      <c r="M62" s="1" t="s">
        <v>592</v>
      </c>
      <c r="N62" s="1" t="s">
        <v>242</v>
      </c>
      <c r="O62" s="1" t="s">
        <v>593</v>
      </c>
      <c r="P62" s="1" t="s">
        <v>594</v>
      </c>
      <c r="Q62" s="1" t="s">
        <v>518</v>
      </c>
      <c r="R62" s="1" t="s">
        <v>246</v>
      </c>
      <c r="S62" s="1" t="s">
        <v>78</v>
      </c>
      <c r="T62" s="1">
        <v>147777</v>
      </c>
      <c r="V62" s="1" t="s">
        <v>595</v>
      </c>
      <c r="W62" s="1" t="s">
        <v>596</v>
      </c>
    </row>
    <row r="63" spans="1:25" ht="15.75" customHeight="1" x14ac:dyDescent="0.35">
      <c r="A63" s="1" t="s">
        <v>112</v>
      </c>
      <c r="B63" s="1" t="s">
        <v>597</v>
      </c>
      <c r="C63" s="1" t="s">
        <v>598</v>
      </c>
      <c r="D63" s="1" t="s">
        <v>562</v>
      </c>
      <c r="E63" s="1" t="s">
        <v>599</v>
      </c>
      <c r="F63" s="1" t="s">
        <v>211</v>
      </c>
      <c r="G63" s="1" t="s">
        <v>171</v>
      </c>
      <c r="H63" s="1" t="s">
        <v>600</v>
      </c>
      <c r="I63" s="1" t="s">
        <v>89</v>
      </c>
      <c r="J63" s="1" t="s">
        <v>256</v>
      </c>
      <c r="K63" s="1" t="s">
        <v>201</v>
      </c>
      <c r="L63" s="1" t="s">
        <v>601</v>
      </c>
      <c r="M63" s="1" t="s">
        <v>213</v>
      </c>
      <c r="N63" s="1" t="s">
        <v>602</v>
      </c>
      <c r="O63" s="1" t="s">
        <v>603</v>
      </c>
      <c r="P63" s="1" t="s">
        <v>604</v>
      </c>
      <c r="Q63" s="1" t="s">
        <v>605</v>
      </c>
      <c r="R63" s="1" t="s">
        <v>217</v>
      </c>
      <c r="S63" s="1" t="s">
        <v>78</v>
      </c>
      <c r="T63" s="1">
        <v>200000</v>
      </c>
      <c r="V63" s="1" t="s">
        <v>606</v>
      </c>
      <c r="W63" s="1" t="s">
        <v>607</v>
      </c>
      <c r="Y63" s="1" t="s">
        <v>64</v>
      </c>
    </row>
    <row r="64" spans="1:25" ht="15.75" customHeight="1" x14ac:dyDescent="0.35">
      <c r="A64" s="1" t="s">
        <v>112</v>
      </c>
      <c r="B64" s="1" t="s">
        <v>608</v>
      </c>
      <c r="C64" s="1" t="s">
        <v>361</v>
      </c>
      <c r="D64" s="1" t="s">
        <v>69</v>
      </c>
      <c r="E64" s="1" t="s">
        <v>362</v>
      </c>
      <c r="F64" s="1" t="s">
        <v>609</v>
      </c>
      <c r="G64" s="1" t="s">
        <v>610</v>
      </c>
      <c r="H64" s="1" t="s">
        <v>611</v>
      </c>
      <c r="I64" s="1" t="s">
        <v>120</v>
      </c>
      <c r="J64" s="1" t="s">
        <v>75</v>
      </c>
      <c r="K64" s="1" t="s">
        <v>101</v>
      </c>
      <c r="L64" s="1" t="s">
        <v>138</v>
      </c>
      <c r="M64" s="1" t="s">
        <v>139</v>
      </c>
      <c r="N64" s="1" t="s">
        <v>140</v>
      </c>
      <c r="O64" s="1" t="s">
        <v>141</v>
      </c>
      <c r="P64" s="1" t="s">
        <v>173</v>
      </c>
      <c r="R64" s="1" t="s">
        <v>612</v>
      </c>
      <c r="S64" s="1" t="s">
        <v>78</v>
      </c>
      <c r="T64" s="1">
        <v>41199</v>
      </c>
      <c r="U64" s="1" t="s">
        <v>79</v>
      </c>
      <c r="V64" s="1" t="s">
        <v>365</v>
      </c>
      <c r="W64" s="1" t="s">
        <v>613</v>
      </c>
    </row>
    <row r="65" spans="1:23" ht="15.75" customHeight="1" x14ac:dyDescent="0.35">
      <c r="A65" s="1" t="s">
        <v>151</v>
      </c>
      <c r="B65" s="1" t="s">
        <v>568</v>
      </c>
      <c r="C65" s="1" t="s">
        <v>539</v>
      </c>
      <c r="D65" s="1" t="s">
        <v>409</v>
      </c>
      <c r="E65" s="1" t="s">
        <v>410</v>
      </c>
      <c r="F65" s="1" t="s">
        <v>614</v>
      </c>
      <c r="G65" s="1" t="s">
        <v>222</v>
      </c>
      <c r="H65" s="1" t="s">
        <v>615</v>
      </c>
      <c r="I65" s="1" t="s">
        <v>616</v>
      </c>
      <c r="J65" s="1" t="s">
        <v>75</v>
      </c>
      <c r="K65" s="1" t="s">
        <v>101</v>
      </c>
      <c r="L65" s="1" t="s">
        <v>158</v>
      </c>
      <c r="M65" s="1" t="s">
        <v>617</v>
      </c>
      <c r="N65" s="1" t="s">
        <v>571</v>
      </c>
      <c r="O65" s="1" t="s">
        <v>618</v>
      </c>
      <c r="P65" s="1" t="s">
        <v>397</v>
      </c>
      <c r="Q65" s="1" t="s">
        <v>398</v>
      </c>
      <c r="R65" s="1" t="s">
        <v>164</v>
      </c>
      <c r="S65" s="1" t="s">
        <v>165</v>
      </c>
      <c r="T65" s="1">
        <v>58699</v>
      </c>
      <c r="U65" s="1" t="s">
        <v>65</v>
      </c>
      <c r="V65" s="1" t="s">
        <v>619</v>
      </c>
      <c r="W65" s="1" t="s">
        <v>620</v>
      </c>
    </row>
    <row r="66" spans="1:23" ht="15.75" customHeight="1" x14ac:dyDescent="0.35">
      <c r="A66" s="1" t="s">
        <v>234</v>
      </c>
      <c r="B66" s="1" t="s">
        <v>621</v>
      </c>
      <c r="C66" s="1" t="s">
        <v>460</v>
      </c>
      <c r="D66" s="1" t="s">
        <v>69</v>
      </c>
      <c r="E66" s="1" t="s">
        <v>70</v>
      </c>
      <c r="F66" s="1" t="s">
        <v>622</v>
      </c>
      <c r="G66" s="1" t="s">
        <v>295</v>
      </c>
      <c r="H66" s="1" t="s">
        <v>623</v>
      </c>
      <c r="I66" s="1" t="s">
        <v>275</v>
      </c>
      <c r="J66" s="1" t="s">
        <v>75</v>
      </c>
      <c r="K66" s="1" t="s">
        <v>90</v>
      </c>
      <c r="M66" s="1" t="s">
        <v>464</v>
      </c>
      <c r="N66" s="1" t="s">
        <v>465</v>
      </c>
      <c r="O66" s="1" t="s">
        <v>624</v>
      </c>
      <c r="P66" s="1" t="s">
        <v>466</v>
      </c>
      <c r="Q66" s="1" t="s">
        <v>300</v>
      </c>
      <c r="R66" s="1" t="s">
        <v>467</v>
      </c>
      <c r="S66" s="1" t="s">
        <v>78</v>
      </c>
      <c r="T66" s="1">
        <v>39999</v>
      </c>
      <c r="V66" s="1" t="s">
        <v>625</v>
      </c>
    </row>
    <row r="67" spans="1:23" ht="15.75" customHeight="1" x14ac:dyDescent="0.35">
      <c r="A67" s="1" t="s">
        <v>234</v>
      </c>
      <c r="B67" s="1" t="s">
        <v>626</v>
      </c>
      <c r="C67" s="1" t="s">
        <v>627</v>
      </c>
      <c r="D67" s="1" t="s">
        <v>350</v>
      </c>
      <c r="E67" s="1" t="s">
        <v>507</v>
      </c>
      <c r="F67" s="1" t="s">
        <v>628</v>
      </c>
      <c r="G67" s="1" t="s">
        <v>629</v>
      </c>
      <c r="H67" s="1" t="s">
        <v>630</v>
      </c>
      <c r="I67" s="1" t="s">
        <v>275</v>
      </c>
      <c r="J67" s="1" t="s">
        <v>75</v>
      </c>
      <c r="K67" s="1" t="s">
        <v>90</v>
      </c>
      <c r="L67" s="1" t="s">
        <v>631</v>
      </c>
      <c r="M67" s="1" t="s">
        <v>632</v>
      </c>
      <c r="N67" s="1" t="s">
        <v>633</v>
      </c>
      <c r="O67" s="1" t="s">
        <v>634</v>
      </c>
      <c r="P67" s="1" t="s">
        <v>635</v>
      </c>
      <c r="Q67" s="1" t="s">
        <v>636</v>
      </c>
      <c r="R67" s="1" t="s">
        <v>637</v>
      </c>
      <c r="S67" s="1" t="s">
        <v>78</v>
      </c>
      <c r="T67" s="1">
        <v>29999</v>
      </c>
      <c r="U67" s="1" t="s">
        <v>166</v>
      </c>
      <c r="V67" s="1" t="s">
        <v>638</v>
      </c>
    </row>
    <row r="68" spans="1:23" ht="15.75" customHeight="1" x14ac:dyDescent="0.35">
      <c r="A68" s="1" t="s">
        <v>151</v>
      </c>
      <c r="B68" s="1" t="s">
        <v>568</v>
      </c>
      <c r="C68" s="1" t="s">
        <v>639</v>
      </c>
      <c r="D68" s="1" t="s">
        <v>640</v>
      </c>
      <c r="E68" s="1" t="s">
        <v>410</v>
      </c>
      <c r="F68" s="1" t="s">
        <v>614</v>
      </c>
      <c r="G68" s="1" t="s">
        <v>222</v>
      </c>
      <c r="H68" s="1" t="s">
        <v>393</v>
      </c>
      <c r="I68" s="1" t="s">
        <v>120</v>
      </c>
      <c r="J68" s="1" t="s">
        <v>75</v>
      </c>
      <c r="K68" s="1" t="s">
        <v>90</v>
      </c>
      <c r="L68" s="1" t="s">
        <v>158</v>
      </c>
      <c r="M68" s="1" t="s">
        <v>394</v>
      </c>
      <c r="N68" s="1" t="s">
        <v>571</v>
      </c>
      <c r="O68" s="1" t="s">
        <v>396</v>
      </c>
      <c r="P68" s="1" t="s">
        <v>397</v>
      </c>
      <c r="Q68" s="1" t="s">
        <v>398</v>
      </c>
      <c r="R68" s="1" t="s">
        <v>164</v>
      </c>
      <c r="S68" s="1" t="s">
        <v>165</v>
      </c>
      <c r="T68" s="1">
        <v>59699</v>
      </c>
      <c r="U68" s="1" t="s">
        <v>65</v>
      </c>
      <c r="V68" s="1" t="s">
        <v>619</v>
      </c>
      <c r="W68" s="1" t="s">
        <v>641</v>
      </c>
    </row>
    <row r="69" spans="1:23" ht="15.75" customHeight="1" x14ac:dyDescent="0.35">
      <c r="A69" s="1" t="s">
        <v>30</v>
      </c>
      <c r="B69" s="1" t="s">
        <v>642</v>
      </c>
      <c r="C69" s="1" t="s">
        <v>643</v>
      </c>
      <c r="D69" s="1" t="s">
        <v>409</v>
      </c>
      <c r="E69" s="1" t="s">
        <v>410</v>
      </c>
      <c r="F69" s="1" t="s">
        <v>53</v>
      </c>
      <c r="G69" s="1" t="s">
        <v>644</v>
      </c>
      <c r="H69" s="1" t="s">
        <v>370</v>
      </c>
      <c r="I69" s="1" t="s">
        <v>120</v>
      </c>
      <c r="J69" s="1" t="s">
        <v>75</v>
      </c>
      <c r="K69" s="1" t="s">
        <v>101</v>
      </c>
      <c r="L69" s="1" t="s">
        <v>645</v>
      </c>
      <c r="M69" s="1" t="s">
        <v>372</v>
      </c>
      <c r="N69" s="1" t="s">
        <v>373</v>
      </c>
      <c r="O69" s="1" t="s">
        <v>646</v>
      </c>
      <c r="P69" s="1" t="s">
        <v>375</v>
      </c>
      <c r="Q69" s="1" t="s">
        <v>376</v>
      </c>
      <c r="R69" s="1" t="s">
        <v>338</v>
      </c>
      <c r="S69" s="1" t="s">
        <v>165</v>
      </c>
      <c r="T69" s="1">
        <v>45599</v>
      </c>
    </row>
    <row r="70" spans="1:23" ht="15.75" customHeight="1" x14ac:dyDescent="0.35">
      <c r="A70" s="1" t="s">
        <v>30</v>
      </c>
      <c r="B70" s="1" t="s">
        <v>647</v>
      </c>
      <c r="C70" s="1" t="s">
        <v>648</v>
      </c>
      <c r="D70" s="1" t="s">
        <v>69</v>
      </c>
      <c r="E70" s="1" t="s">
        <v>70</v>
      </c>
      <c r="F70" s="1" t="s">
        <v>53</v>
      </c>
      <c r="G70" s="1" t="s">
        <v>644</v>
      </c>
      <c r="H70" s="1" t="s">
        <v>370</v>
      </c>
      <c r="I70" s="1" t="s">
        <v>120</v>
      </c>
      <c r="J70" s="1" t="s">
        <v>75</v>
      </c>
      <c r="K70" s="1" t="s">
        <v>121</v>
      </c>
      <c r="L70" s="1" t="s">
        <v>388</v>
      </c>
      <c r="M70" s="1" t="s">
        <v>649</v>
      </c>
      <c r="N70" s="1" t="s">
        <v>373</v>
      </c>
      <c r="O70" s="1" t="s">
        <v>650</v>
      </c>
      <c r="P70" s="1" t="s">
        <v>651</v>
      </c>
      <c r="Q70" s="1" t="s">
        <v>652</v>
      </c>
      <c r="R70" s="1" t="s">
        <v>64</v>
      </c>
      <c r="S70" s="1" t="s">
        <v>165</v>
      </c>
      <c r="T70" s="1">
        <v>52249</v>
      </c>
    </row>
    <row r="71" spans="1:23" ht="15.75" customHeight="1" x14ac:dyDescent="0.35">
      <c r="A71" s="1" t="s">
        <v>30</v>
      </c>
      <c r="B71" s="1" t="s">
        <v>653</v>
      </c>
      <c r="C71" s="1" t="s">
        <v>648</v>
      </c>
      <c r="D71" s="1" t="s">
        <v>409</v>
      </c>
      <c r="E71" s="1" t="s">
        <v>410</v>
      </c>
      <c r="F71" s="1" t="s">
        <v>53</v>
      </c>
      <c r="G71" s="1" t="s">
        <v>644</v>
      </c>
      <c r="H71" s="1" t="s">
        <v>370</v>
      </c>
      <c r="I71" s="1" t="s">
        <v>120</v>
      </c>
      <c r="J71" s="1" t="s">
        <v>75</v>
      </c>
      <c r="K71" s="1" t="s">
        <v>101</v>
      </c>
      <c r="L71" s="1" t="s">
        <v>388</v>
      </c>
      <c r="M71" s="1" t="s">
        <v>649</v>
      </c>
      <c r="N71" s="1" t="s">
        <v>373</v>
      </c>
      <c r="O71" s="1" t="s">
        <v>650</v>
      </c>
      <c r="P71" s="1" t="s">
        <v>651</v>
      </c>
      <c r="Q71" s="1" t="s">
        <v>652</v>
      </c>
      <c r="R71" s="1" t="s">
        <v>64</v>
      </c>
      <c r="S71" s="1" t="s">
        <v>165</v>
      </c>
      <c r="T71" s="1">
        <v>56899</v>
      </c>
    </row>
    <row r="72" spans="1:23" ht="15.75" customHeight="1" x14ac:dyDescent="0.35">
      <c r="A72" s="1" t="s">
        <v>30</v>
      </c>
      <c r="B72" s="1" t="s">
        <v>654</v>
      </c>
      <c r="C72" s="1" t="s">
        <v>655</v>
      </c>
      <c r="D72" s="1" t="s">
        <v>461</v>
      </c>
      <c r="E72" s="1" t="s">
        <v>507</v>
      </c>
      <c r="F72" s="1" t="s">
        <v>656</v>
      </c>
      <c r="G72" s="1" t="s">
        <v>657</v>
      </c>
      <c r="H72" s="1" t="s">
        <v>370</v>
      </c>
      <c r="I72" s="1" t="s">
        <v>74</v>
      </c>
      <c r="J72" s="1" t="s">
        <v>75</v>
      </c>
      <c r="K72" s="1" t="s">
        <v>101</v>
      </c>
      <c r="L72" s="1" t="s">
        <v>645</v>
      </c>
      <c r="M72" s="1" t="s">
        <v>372</v>
      </c>
      <c r="N72" s="1" t="s">
        <v>373</v>
      </c>
      <c r="O72" s="1" t="s">
        <v>658</v>
      </c>
      <c r="P72" s="1" t="s">
        <v>375</v>
      </c>
      <c r="Q72" s="1" t="s">
        <v>376</v>
      </c>
      <c r="R72" s="1" t="s">
        <v>659</v>
      </c>
      <c r="S72" s="1" t="s">
        <v>165</v>
      </c>
      <c r="T72" s="1">
        <v>34849</v>
      </c>
      <c r="U72" s="1" t="s">
        <v>79</v>
      </c>
    </row>
    <row r="73" spans="1:23" ht="15.75" customHeight="1" x14ac:dyDescent="0.35">
      <c r="A73" s="1" t="s">
        <v>112</v>
      </c>
      <c r="B73" s="1" t="s">
        <v>660</v>
      </c>
      <c r="C73" s="1" t="s">
        <v>661</v>
      </c>
      <c r="D73" s="1" t="s">
        <v>115</v>
      </c>
      <c r="E73" s="1" t="s">
        <v>116</v>
      </c>
      <c r="F73" s="1" t="s">
        <v>541</v>
      </c>
      <c r="G73" s="1" t="s">
        <v>171</v>
      </c>
      <c r="H73" s="1" t="s">
        <v>662</v>
      </c>
      <c r="I73" s="1" t="s">
        <v>120</v>
      </c>
      <c r="J73" s="1" t="s">
        <v>75</v>
      </c>
      <c r="K73" s="1" t="s">
        <v>101</v>
      </c>
      <c r="L73" s="1" t="s">
        <v>138</v>
      </c>
      <c r="M73" s="1" t="s">
        <v>139</v>
      </c>
      <c r="N73" s="1" t="s">
        <v>140</v>
      </c>
      <c r="O73" s="1" t="s">
        <v>141</v>
      </c>
      <c r="P73" s="1" t="s">
        <v>173</v>
      </c>
      <c r="Q73" s="1" t="s">
        <v>142</v>
      </c>
      <c r="R73" s="1" t="s">
        <v>128</v>
      </c>
      <c r="S73" s="1" t="s">
        <v>78</v>
      </c>
      <c r="T73" s="1">
        <v>39499</v>
      </c>
      <c r="U73" s="1" t="s">
        <v>65</v>
      </c>
      <c r="V73" s="1" t="s">
        <v>174</v>
      </c>
      <c r="W73" s="1" t="s">
        <v>663</v>
      </c>
    </row>
    <row r="74" spans="1:23" ht="15.75" customHeight="1" x14ac:dyDescent="0.35">
      <c r="A74" s="1" t="s">
        <v>112</v>
      </c>
      <c r="B74" s="1" t="s">
        <v>664</v>
      </c>
      <c r="C74" s="1" t="s">
        <v>361</v>
      </c>
      <c r="D74" s="1" t="s">
        <v>312</v>
      </c>
      <c r="E74" s="1" t="s">
        <v>116</v>
      </c>
      <c r="F74" s="1" t="s">
        <v>665</v>
      </c>
      <c r="G74" s="1" t="s">
        <v>118</v>
      </c>
      <c r="H74" s="1" t="s">
        <v>364</v>
      </c>
      <c r="I74" s="1" t="s">
        <v>120</v>
      </c>
      <c r="J74" s="1" t="s">
        <v>75</v>
      </c>
      <c r="K74" s="1" t="s">
        <v>101</v>
      </c>
      <c r="L74" s="1" t="s">
        <v>193</v>
      </c>
      <c r="M74" s="1" t="s">
        <v>139</v>
      </c>
      <c r="N74" s="1" t="s">
        <v>124</v>
      </c>
      <c r="O74" s="1" t="s">
        <v>187</v>
      </c>
      <c r="P74" s="1" t="s">
        <v>126</v>
      </c>
      <c r="Q74" s="1" t="s">
        <v>127</v>
      </c>
      <c r="R74" s="1" t="s">
        <v>128</v>
      </c>
      <c r="S74" s="1" t="s">
        <v>78</v>
      </c>
      <c r="T74" s="1">
        <v>39099</v>
      </c>
      <c r="U74" s="1" t="s">
        <v>79</v>
      </c>
      <c r="V74" s="1" t="s">
        <v>365</v>
      </c>
      <c r="W74" s="1" t="s">
        <v>666</v>
      </c>
    </row>
    <row r="75" spans="1:23" ht="15.75" customHeight="1" x14ac:dyDescent="0.35">
      <c r="A75" s="1" t="s">
        <v>234</v>
      </c>
      <c r="B75" s="1" t="s">
        <v>667</v>
      </c>
      <c r="C75" s="1" t="s">
        <v>668</v>
      </c>
      <c r="D75" s="1" t="s">
        <v>669</v>
      </c>
      <c r="E75" s="1" t="s">
        <v>410</v>
      </c>
      <c r="F75" s="1" t="s">
        <v>670</v>
      </c>
      <c r="G75" s="1" t="s">
        <v>239</v>
      </c>
      <c r="H75" s="1" t="s">
        <v>314</v>
      </c>
      <c r="I75" s="1" t="s">
        <v>89</v>
      </c>
      <c r="J75" s="1" t="s">
        <v>57</v>
      </c>
      <c r="K75" s="1" t="s">
        <v>90</v>
      </c>
      <c r="L75" s="1" t="s">
        <v>315</v>
      </c>
      <c r="M75" s="1" t="s">
        <v>306</v>
      </c>
      <c r="N75" s="1" t="s">
        <v>242</v>
      </c>
      <c r="O75" s="1" t="s">
        <v>316</v>
      </c>
      <c r="P75" s="1" t="s">
        <v>317</v>
      </c>
      <c r="Q75" s="1" t="s">
        <v>309</v>
      </c>
      <c r="R75" s="1" t="s">
        <v>246</v>
      </c>
      <c r="S75" s="1" t="s">
        <v>78</v>
      </c>
      <c r="T75" s="1">
        <v>64777</v>
      </c>
      <c r="V75" s="1" t="s">
        <v>671</v>
      </c>
      <c r="W75" s="1" t="s">
        <v>672</v>
      </c>
    </row>
    <row r="76" spans="1:23" ht="15.75" customHeight="1" x14ac:dyDescent="0.35">
      <c r="A76" s="1" t="s">
        <v>112</v>
      </c>
      <c r="B76" s="1" t="s">
        <v>673</v>
      </c>
      <c r="C76" s="1" t="s">
        <v>361</v>
      </c>
      <c r="D76" s="1" t="s">
        <v>312</v>
      </c>
      <c r="E76" s="1" t="s">
        <v>116</v>
      </c>
      <c r="F76" s="1" t="s">
        <v>665</v>
      </c>
      <c r="G76" s="1" t="s">
        <v>118</v>
      </c>
      <c r="H76" s="1" t="s">
        <v>674</v>
      </c>
      <c r="I76" s="1" t="s">
        <v>120</v>
      </c>
      <c r="J76" s="1" t="s">
        <v>75</v>
      </c>
      <c r="K76" s="1" t="s">
        <v>101</v>
      </c>
      <c r="L76" s="1" t="s">
        <v>186</v>
      </c>
      <c r="M76" s="1" t="s">
        <v>139</v>
      </c>
      <c r="N76" s="1" t="s">
        <v>124</v>
      </c>
      <c r="O76" s="1" t="s">
        <v>187</v>
      </c>
      <c r="P76" s="1" t="s">
        <v>126</v>
      </c>
      <c r="Q76" s="1" t="s">
        <v>127</v>
      </c>
      <c r="R76" s="1" t="s">
        <v>180</v>
      </c>
      <c r="S76" s="1" t="s">
        <v>78</v>
      </c>
      <c r="T76" s="1">
        <v>38888</v>
      </c>
      <c r="U76" s="1" t="s">
        <v>79</v>
      </c>
      <c r="V76" s="1" t="s">
        <v>365</v>
      </c>
      <c r="W76" s="1" t="s">
        <v>675</v>
      </c>
    </row>
    <row r="77" spans="1:23" ht="15.75" customHeight="1" x14ac:dyDescent="0.35">
      <c r="A77" s="1" t="s">
        <v>151</v>
      </c>
      <c r="B77" s="1" t="s">
        <v>152</v>
      </c>
      <c r="C77" s="1" t="s">
        <v>676</v>
      </c>
      <c r="D77" s="1" t="s">
        <v>350</v>
      </c>
      <c r="E77" s="1" t="s">
        <v>507</v>
      </c>
      <c r="F77" s="1" t="s">
        <v>155</v>
      </c>
      <c r="G77" s="1" t="s">
        <v>156</v>
      </c>
      <c r="H77" s="1" t="s">
        <v>157</v>
      </c>
      <c r="I77" s="1" t="s">
        <v>120</v>
      </c>
      <c r="J77" s="1" t="s">
        <v>75</v>
      </c>
      <c r="K77" s="1" t="s">
        <v>101</v>
      </c>
      <c r="L77" s="1" t="s">
        <v>158</v>
      </c>
      <c r="M77" s="1" t="s">
        <v>159</v>
      </c>
      <c r="N77" s="1" t="s">
        <v>160</v>
      </c>
      <c r="O77" s="1" t="s">
        <v>161</v>
      </c>
      <c r="P77" s="1" t="s">
        <v>162</v>
      </c>
      <c r="Q77" s="1" t="s">
        <v>163</v>
      </c>
      <c r="R77" s="1" t="s">
        <v>164</v>
      </c>
      <c r="S77" s="1" t="s">
        <v>78</v>
      </c>
      <c r="T77" s="1">
        <v>29749</v>
      </c>
      <c r="U77" s="1" t="s">
        <v>166</v>
      </c>
      <c r="V77" s="1" t="s">
        <v>167</v>
      </c>
      <c r="W77" s="1" t="s">
        <v>677</v>
      </c>
    </row>
    <row r="78" spans="1:23" ht="15.75" customHeight="1" x14ac:dyDescent="0.35">
      <c r="A78" s="1" t="s">
        <v>112</v>
      </c>
      <c r="B78" s="1" t="s">
        <v>678</v>
      </c>
      <c r="C78" s="1" t="s">
        <v>539</v>
      </c>
      <c r="D78" s="1" t="s">
        <v>679</v>
      </c>
      <c r="E78" s="1" t="s">
        <v>410</v>
      </c>
      <c r="F78" s="1" t="s">
        <v>680</v>
      </c>
      <c r="G78" s="1" t="s">
        <v>322</v>
      </c>
      <c r="H78" s="1" t="s">
        <v>681</v>
      </c>
      <c r="I78" s="1" t="s">
        <v>616</v>
      </c>
      <c r="J78" s="1" t="s">
        <v>57</v>
      </c>
      <c r="K78" s="1" t="s">
        <v>555</v>
      </c>
      <c r="O78" s="1" t="s">
        <v>682</v>
      </c>
      <c r="P78" s="1" t="s">
        <v>683</v>
      </c>
      <c r="Q78" s="1" t="s">
        <v>684</v>
      </c>
      <c r="R78" s="1" t="s">
        <v>217</v>
      </c>
      <c r="S78" s="1" t="s">
        <v>129</v>
      </c>
      <c r="T78" s="1">
        <v>91499</v>
      </c>
      <c r="U78" s="1" t="s">
        <v>65</v>
      </c>
      <c r="V78" s="1" t="s">
        <v>685</v>
      </c>
    </row>
    <row r="79" spans="1:23" ht="15.75" customHeight="1" x14ac:dyDescent="0.35">
      <c r="A79" s="1" t="s">
        <v>112</v>
      </c>
      <c r="B79" s="1" t="s">
        <v>686</v>
      </c>
      <c r="C79" s="1" t="s">
        <v>687</v>
      </c>
      <c r="D79" s="1" t="s">
        <v>312</v>
      </c>
      <c r="E79" s="1" t="s">
        <v>70</v>
      </c>
      <c r="F79" s="1" t="s">
        <v>665</v>
      </c>
      <c r="G79" s="1" t="s">
        <v>118</v>
      </c>
      <c r="H79" s="1" t="s">
        <v>688</v>
      </c>
      <c r="I79" s="1" t="s">
        <v>120</v>
      </c>
      <c r="K79" s="1" t="s">
        <v>90</v>
      </c>
      <c r="L79" s="1" t="s">
        <v>193</v>
      </c>
      <c r="M79" s="1" t="s">
        <v>139</v>
      </c>
      <c r="N79" s="1" t="s">
        <v>124</v>
      </c>
      <c r="O79" s="1" t="s">
        <v>689</v>
      </c>
      <c r="P79" s="1" t="s">
        <v>690</v>
      </c>
      <c r="Q79" s="1" t="s">
        <v>127</v>
      </c>
      <c r="R79" s="1" t="s">
        <v>128</v>
      </c>
      <c r="S79" s="1" t="s">
        <v>78</v>
      </c>
      <c r="T79" s="1">
        <v>38888</v>
      </c>
      <c r="U79" s="1" t="s">
        <v>79</v>
      </c>
      <c r="V79" s="1" t="s">
        <v>189</v>
      </c>
      <c r="W79" s="1" t="s">
        <v>691</v>
      </c>
    </row>
    <row r="80" spans="1:23" ht="15.75" customHeight="1" x14ac:dyDescent="0.35">
      <c r="A80" s="1" t="s">
        <v>112</v>
      </c>
      <c r="B80" s="1" t="s">
        <v>692</v>
      </c>
      <c r="C80" s="1" t="s">
        <v>693</v>
      </c>
      <c r="D80" s="1" t="s">
        <v>694</v>
      </c>
      <c r="E80" s="1" t="s">
        <v>70</v>
      </c>
      <c r="F80" s="1" t="s">
        <v>363</v>
      </c>
      <c r="G80" s="1" t="s">
        <v>118</v>
      </c>
      <c r="H80" s="1" t="s">
        <v>364</v>
      </c>
      <c r="I80" s="1" t="s">
        <v>120</v>
      </c>
      <c r="J80" s="1" t="s">
        <v>75</v>
      </c>
      <c r="K80" s="1" t="s">
        <v>101</v>
      </c>
      <c r="L80" s="1" t="s">
        <v>193</v>
      </c>
      <c r="M80" s="1" t="s">
        <v>139</v>
      </c>
      <c r="N80" s="1" t="s">
        <v>124</v>
      </c>
      <c r="O80" s="1" t="s">
        <v>187</v>
      </c>
      <c r="P80" s="1" t="s">
        <v>126</v>
      </c>
      <c r="Q80" s="1" t="s">
        <v>127</v>
      </c>
      <c r="R80" s="1" t="s">
        <v>612</v>
      </c>
      <c r="S80" s="1" t="s">
        <v>78</v>
      </c>
      <c r="T80" s="1">
        <v>40999</v>
      </c>
      <c r="U80" s="1" t="s">
        <v>79</v>
      </c>
      <c r="V80" s="1" t="s">
        <v>406</v>
      </c>
      <c r="W80" s="1" t="s">
        <v>695</v>
      </c>
    </row>
    <row r="81" spans="1:23" ht="15.75" customHeight="1" x14ac:dyDescent="0.35">
      <c r="A81" s="1" t="s">
        <v>112</v>
      </c>
      <c r="B81" s="1" t="s">
        <v>696</v>
      </c>
      <c r="C81" s="1" t="s">
        <v>133</v>
      </c>
      <c r="D81" s="1" t="s">
        <v>669</v>
      </c>
      <c r="E81" s="1" t="s">
        <v>410</v>
      </c>
      <c r="F81" s="1" t="s">
        <v>697</v>
      </c>
      <c r="G81" s="1" t="s">
        <v>698</v>
      </c>
      <c r="H81" s="1" t="s">
        <v>699</v>
      </c>
      <c r="I81" s="1" t="s">
        <v>120</v>
      </c>
      <c r="J81" s="1" t="s">
        <v>75</v>
      </c>
      <c r="K81" s="1" t="s">
        <v>101</v>
      </c>
      <c r="L81" s="1" t="s">
        <v>700</v>
      </c>
      <c r="M81" s="1" t="s">
        <v>701</v>
      </c>
      <c r="N81" s="1" t="s">
        <v>140</v>
      </c>
      <c r="O81" s="1" t="s">
        <v>702</v>
      </c>
      <c r="P81" s="1" t="s">
        <v>405</v>
      </c>
      <c r="Q81" s="1" t="s">
        <v>267</v>
      </c>
      <c r="S81" s="1" t="s">
        <v>78</v>
      </c>
      <c r="T81" s="1">
        <v>59999</v>
      </c>
      <c r="U81" s="1" t="s">
        <v>65</v>
      </c>
      <c r="V81" s="1" t="s">
        <v>143</v>
      </c>
      <c r="W81" s="1" t="s">
        <v>703</v>
      </c>
    </row>
    <row r="82" spans="1:23" ht="15.75" customHeight="1" x14ac:dyDescent="0.35">
      <c r="A82" s="1" t="s">
        <v>151</v>
      </c>
      <c r="B82" s="1" t="s">
        <v>568</v>
      </c>
      <c r="C82" s="1" t="s">
        <v>704</v>
      </c>
      <c r="D82" s="1" t="s">
        <v>134</v>
      </c>
      <c r="E82" s="1" t="s">
        <v>70</v>
      </c>
      <c r="F82" s="1" t="s">
        <v>570</v>
      </c>
      <c r="G82" s="1" t="s">
        <v>156</v>
      </c>
      <c r="H82" s="1" t="s">
        <v>615</v>
      </c>
      <c r="I82" s="1" t="s">
        <v>74</v>
      </c>
      <c r="J82" s="1" t="s">
        <v>75</v>
      </c>
      <c r="K82" s="1" t="s">
        <v>121</v>
      </c>
      <c r="L82" s="1" t="s">
        <v>158</v>
      </c>
      <c r="M82" s="1" t="s">
        <v>617</v>
      </c>
      <c r="N82" s="1" t="s">
        <v>571</v>
      </c>
      <c r="O82" s="1" t="s">
        <v>396</v>
      </c>
      <c r="P82" s="1" t="s">
        <v>397</v>
      </c>
      <c r="Q82" s="1" t="s">
        <v>398</v>
      </c>
      <c r="R82" s="1" t="s">
        <v>301</v>
      </c>
      <c r="S82" s="1" t="s">
        <v>78</v>
      </c>
      <c r="T82" s="1">
        <v>46499</v>
      </c>
      <c r="U82" s="1" t="s">
        <v>79</v>
      </c>
      <c r="V82" s="1" t="s">
        <v>705</v>
      </c>
    </row>
    <row r="83" spans="1:23" ht="15.75" customHeight="1" x14ac:dyDescent="0.35">
      <c r="A83" s="1" t="s">
        <v>112</v>
      </c>
      <c r="B83" s="1" t="s">
        <v>706</v>
      </c>
      <c r="C83" s="1" t="s">
        <v>133</v>
      </c>
      <c r="D83" s="1" t="s">
        <v>669</v>
      </c>
      <c r="E83" s="1" t="s">
        <v>540</v>
      </c>
      <c r="F83" s="1" t="s">
        <v>707</v>
      </c>
      <c r="G83" s="1" t="s">
        <v>118</v>
      </c>
      <c r="H83" s="1" t="s">
        <v>708</v>
      </c>
      <c r="I83" s="1" t="s">
        <v>120</v>
      </c>
      <c r="J83" s="1" t="s">
        <v>75</v>
      </c>
      <c r="K83" s="1" t="s">
        <v>101</v>
      </c>
      <c r="L83" s="1" t="s">
        <v>179</v>
      </c>
      <c r="M83" s="1" t="s">
        <v>139</v>
      </c>
      <c r="N83" s="1" t="s">
        <v>140</v>
      </c>
      <c r="O83" s="1" t="s">
        <v>709</v>
      </c>
      <c r="P83" s="1" t="s">
        <v>405</v>
      </c>
      <c r="Q83" s="1" t="s">
        <v>267</v>
      </c>
      <c r="R83" s="1" t="s">
        <v>180</v>
      </c>
      <c r="S83" s="1" t="s">
        <v>78</v>
      </c>
      <c r="T83" s="1">
        <v>61799</v>
      </c>
      <c r="U83" s="1" t="s">
        <v>65</v>
      </c>
      <c r="V83" s="1" t="s">
        <v>143</v>
      </c>
      <c r="W83" s="1" t="s">
        <v>710</v>
      </c>
    </row>
    <row r="84" spans="1:23" ht="15.75" customHeight="1" x14ac:dyDescent="0.35">
      <c r="A84" s="1" t="s">
        <v>81</v>
      </c>
      <c r="B84" s="1" t="s">
        <v>414</v>
      </c>
      <c r="C84" s="1" t="s">
        <v>711</v>
      </c>
      <c r="D84" s="1" t="s">
        <v>712</v>
      </c>
      <c r="E84" s="1" t="s">
        <v>410</v>
      </c>
      <c r="F84" s="1" t="s">
        <v>713</v>
      </c>
      <c r="G84" s="1" t="s">
        <v>322</v>
      </c>
      <c r="H84" s="1" t="s">
        <v>714</v>
      </c>
      <c r="I84" s="1" t="s">
        <v>120</v>
      </c>
      <c r="J84" s="1" t="s">
        <v>39</v>
      </c>
      <c r="K84" s="1" t="s">
        <v>90</v>
      </c>
      <c r="L84" s="1" t="s">
        <v>419</v>
      </c>
      <c r="M84" s="1" t="s">
        <v>715</v>
      </c>
      <c r="O84" s="1" t="s">
        <v>421</v>
      </c>
      <c r="P84" s="1" t="s">
        <v>422</v>
      </c>
      <c r="Q84" s="1" t="s">
        <v>423</v>
      </c>
      <c r="R84" s="1" t="s">
        <v>246</v>
      </c>
      <c r="S84" s="1" t="s">
        <v>78</v>
      </c>
      <c r="T84" s="1">
        <v>59999</v>
      </c>
      <c r="U84" s="1" t="s">
        <v>79</v>
      </c>
      <c r="V84" s="1" t="s">
        <v>716</v>
      </c>
    </row>
    <row r="85" spans="1:23" ht="15.75" customHeight="1" x14ac:dyDescent="0.35">
      <c r="A85" s="1" t="s">
        <v>151</v>
      </c>
      <c r="B85" s="1" t="s">
        <v>568</v>
      </c>
      <c r="C85" s="1" t="s">
        <v>539</v>
      </c>
      <c r="D85" s="1" t="s">
        <v>640</v>
      </c>
      <c r="E85" s="1" t="s">
        <v>410</v>
      </c>
      <c r="F85" s="1" t="s">
        <v>614</v>
      </c>
      <c r="G85" s="1" t="s">
        <v>156</v>
      </c>
      <c r="H85" s="1" t="s">
        <v>615</v>
      </c>
      <c r="I85" s="1" t="s">
        <v>120</v>
      </c>
      <c r="J85" s="1" t="s">
        <v>75</v>
      </c>
      <c r="K85" s="1" t="s">
        <v>101</v>
      </c>
      <c r="L85" s="1" t="s">
        <v>158</v>
      </c>
      <c r="M85" s="1" t="s">
        <v>617</v>
      </c>
      <c r="N85" s="1" t="s">
        <v>571</v>
      </c>
      <c r="O85" s="1" t="s">
        <v>396</v>
      </c>
      <c r="P85" s="1" t="s">
        <v>397</v>
      </c>
      <c r="Q85" s="1" t="s">
        <v>398</v>
      </c>
      <c r="R85" s="1" t="s">
        <v>164</v>
      </c>
      <c r="S85" s="1" t="s">
        <v>78</v>
      </c>
      <c r="T85" s="1">
        <v>55999</v>
      </c>
      <c r="U85" s="1" t="s">
        <v>65</v>
      </c>
      <c r="V85" s="1" t="s">
        <v>619</v>
      </c>
      <c r="W85" s="1" t="s">
        <v>717</v>
      </c>
    </row>
    <row r="86" spans="1:23" ht="15.75" customHeight="1" x14ac:dyDescent="0.35">
      <c r="A86" s="1" t="s">
        <v>30</v>
      </c>
      <c r="B86" s="1" t="s">
        <v>718</v>
      </c>
      <c r="C86" s="1" t="s">
        <v>719</v>
      </c>
      <c r="D86" s="1" t="s">
        <v>720</v>
      </c>
      <c r="E86" s="1" t="s">
        <v>721</v>
      </c>
      <c r="F86" s="1" t="s">
        <v>722</v>
      </c>
      <c r="G86" s="1" t="s">
        <v>723</v>
      </c>
      <c r="H86" s="1" t="s">
        <v>724</v>
      </c>
      <c r="I86" s="1" t="s">
        <v>74</v>
      </c>
      <c r="J86" s="1" t="s">
        <v>75</v>
      </c>
      <c r="K86" s="1" t="s">
        <v>725</v>
      </c>
      <c r="L86" s="1" t="s">
        <v>726</v>
      </c>
      <c r="M86" s="1" t="s">
        <v>727</v>
      </c>
      <c r="N86" s="1" t="s">
        <v>728</v>
      </c>
      <c r="O86" s="1" t="s">
        <v>729</v>
      </c>
      <c r="P86" s="1" t="s">
        <v>730</v>
      </c>
      <c r="Q86" s="1" t="s">
        <v>245</v>
      </c>
      <c r="R86" s="1" t="s">
        <v>731</v>
      </c>
      <c r="S86" s="1" t="s">
        <v>78</v>
      </c>
      <c r="T86" s="1">
        <v>32499</v>
      </c>
      <c r="U86" s="1" t="s">
        <v>166</v>
      </c>
      <c r="V86" s="1" t="s">
        <v>732</v>
      </c>
    </row>
    <row r="87" spans="1:23" ht="15.75" customHeight="1" x14ac:dyDescent="0.35">
      <c r="A87" s="1" t="s">
        <v>112</v>
      </c>
      <c r="B87" s="1" t="s">
        <v>733</v>
      </c>
      <c r="C87" s="1" t="s">
        <v>402</v>
      </c>
      <c r="D87" s="1" t="s">
        <v>734</v>
      </c>
      <c r="E87" s="1" t="s">
        <v>540</v>
      </c>
      <c r="F87" s="1" t="s">
        <v>599</v>
      </c>
      <c r="G87" s="1" t="s">
        <v>735</v>
      </c>
      <c r="H87" s="1" t="s">
        <v>736</v>
      </c>
      <c r="I87" s="1" t="s">
        <v>120</v>
      </c>
      <c r="K87" s="1" t="s">
        <v>90</v>
      </c>
      <c r="L87" s="1" t="s">
        <v>737</v>
      </c>
      <c r="M87" s="1" t="s">
        <v>139</v>
      </c>
      <c r="N87" s="1" t="s">
        <v>140</v>
      </c>
      <c r="P87" s="1" t="s">
        <v>738</v>
      </c>
      <c r="Q87" s="1" t="s">
        <v>739</v>
      </c>
      <c r="R87" s="1" t="s">
        <v>128</v>
      </c>
      <c r="S87" s="1" t="s">
        <v>78</v>
      </c>
      <c r="T87" s="1">
        <v>88888</v>
      </c>
      <c r="U87" s="1" t="s">
        <v>79</v>
      </c>
      <c r="V87" s="1" t="s">
        <v>406</v>
      </c>
      <c r="W87" s="1" t="s">
        <v>740</v>
      </c>
    </row>
    <row r="88" spans="1:23" ht="15.75" customHeight="1" x14ac:dyDescent="0.35">
      <c r="A88" s="1" t="s">
        <v>112</v>
      </c>
      <c r="B88" s="1" t="s">
        <v>741</v>
      </c>
      <c r="C88" s="1" t="s">
        <v>742</v>
      </c>
      <c r="D88" s="1" t="s">
        <v>134</v>
      </c>
      <c r="E88" s="1" t="s">
        <v>116</v>
      </c>
      <c r="F88" s="1" t="s">
        <v>707</v>
      </c>
      <c r="G88" s="1" t="s">
        <v>118</v>
      </c>
      <c r="H88" s="1" t="s">
        <v>743</v>
      </c>
      <c r="I88" s="1" t="s">
        <v>120</v>
      </c>
      <c r="K88" s="1" t="s">
        <v>90</v>
      </c>
      <c r="L88" s="1" t="s">
        <v>193</v>
      </c>
      <c r="M88" s="1" t="s">
        <v>139</v>
      </c>
      <c r="N88" s="1" t="s">
        <v>124</v>
      </c>
      <c r="P88" s="1" t="s">
        <v>690</v>
      </c>
      <c r="Q88" s="1" t="s">
        <v>127</v>
      </c>
      <c r="R88" s="1" t="s">
        <v>128</v>
      </c>
      <c r="S88" s="1" t="s">
        <v>78</v>
      </c>
      <c r="T88" s="1">
        <v>40999</v>
      </c>
      <c r="V88" s="1" t="s">
        <v>744</v>
      </c>
      <c r="W88" s="1" t="s">
        <v>745</v>
      </c>
    </row>
    <row r="89" spans="1:23" ht="15.75" customHeight="1" x14ac:dyDescent="0.35">
      <c r="A89" s="1" t="s">
        <v>151</v>
      </c>
      <c r="B89" s="1" t="s">
        <v>568</v>
      </c>
      <c r="C89" s="1" t="s">
        <v>746</v>
      </c>
      <c r="D89" s="1" t="s">
        <v>747</v>
      </c>
      <c r="E89" s="1" t="s">
        <v>70</v>
      </c>
      <c r="F89" s="1" t="s">
        <v>155</v>
      </c>
      <c r="G89" s="1" t="s">
        <v>156</v>
      </c>
      <c r="H89" s="1" t="s">
        <v>393</v>
      </c>
      <c r="I89" s="1" t="s">
        <v>120</v>
      </c>
      <c r="J89" s="1" t="s">
        <v>75</v>
      </c>
      <c r="K89" s="1" t="s">
        <v>101</v>
      </c>
      <c r="L89" s="1" t="s">
        <v>158</v>
      </c>
      <c r="M89" s="1" t="s">
        <v>617</v>
      </c>
      <c r="N89" s="1" t="s">
        <v>571</v>
      </c>
      <c r="O89" s="1" t="s">
        <v>396</v>
      </c>
      <c r="P89" s="1" t="s">
        <v>397</v>
      </c>
      <c r="Q89" s="1" t="s">
        <v>398</v>
      </c>
      <c r="R89" s="1" t="s">
        <v>164</v>
      </c>
      <c r="S89" s="1" t="s">
        <v>165</v>
      </c>
      <c r="T89" s="1">
        <v>43999</v>
      </c>
      <c r="U89" s="1" t="s">
        <v>79</v>
      </c>
      <c r="V89" s="1" t="s">
        <v>705</v>
      </c>
      <c r="W89" s="1" t="s">
        <v>748</v>
      </c>
    </row>
    <row r="90" spans="1:23" ht="15.75" customHeight="1" x14ac:dyDescent="0.35">
      <c r="A90" s="1" t="s">
        <v>112</v>
      </c>
      <c r="B90" s="1" t="s">
        <v>749</v>
      </c>
      <c r="C90" s="1" t="s">
        <v>750</v>
      </c>
      <c r="D90" s="1" t="s">
        <v>751</v>
      </c>
      <c r="E90" s="1" t="s">
        <v>116</v>
      </c>
      <c r="F90" s="1" t="s">
        <v>665</v>
      </c>
      <c r="G90" s="1" t="s">
        <v>118</v>
      </c>
      <c r="H90" s="1" t="s">
        <v>364</v>
      </c>
      <c r="I90" s="1" t="s">
        <v>120</v>
      </c>
      <c r="J90" s="1" t="s">
        <v>75</v>
      </c>
      <c r="K90" s="1" t="s">
        <v>101</v>
      </c>
      <c r="L90" s="1" t="s">
        <v>186</v>
      </c>
      <c r="M90" s="1" t="s">
        <v>139</v>
      </c>
      <c r="N90" s="1" t="s">
        <v>124</v>
      </c>
      <c r="O90" s="1" t="s">
        <v>187</v>
      </c>
      <c r="P90" s="1" t="s">
        <v>126</v>
      </c>
      <c r="Q90" s="1" t="s">
        <v>127</v>
      </c>
      <c r="R90" s="1" t="s">
        <v>180</v>
      </c>
      <c r="S90" s="1" t="s">
        <v>78</v>
      </c>
      <c r="T90" s="1">
        <v>40099</v>
      </c>
      <c r="U90" s="1" t="s">
        <v>79</v>
      </c>
      <c r="V90" s="1" t="s">
        <v>365</v>
      </c>
      <c r="W90" s="1" t="s">
        <v>752</v>
      </c>
    </row>
    <row r="91" spans="1:23" ht="15.75" customHeight="1" x14ac:dyDescent="0.35">
      <c r="A91" s="1" t="s">
        <v>112</v>
      </c>
      <c r="B91" s="1" t="s">
        <v>753</v>
      </c>
      <c r="C91" s="1" t="s">
        <v>754</v>
      </c>
      <c r="D91" s="1" t="s">
        <v>134</v>
      </c>
      <c r="E91" s="1" t="s">
        <v>755</v>
      </c>
      <c r="F91" s="1" t="s">
        <v>665</v>
      </c>
      <c r="G91" s="1" t="s">
        <v>118</v>
      </c>
      <c r="H91" s="1" t="s">
        <v>756</v>
      </c>
      <c r="I91" s="1" t="s">
        <v>120</v>
      </c>
      <c r="J91" s="1" t="s">
        <v>75</v>
      </c>
      <c r="K91" s="1" t="s">
        <v>101</v>
      </c>
      <c r="L91" s="1" t="s">
        <v>193</v>
      </c>
      <c r="M91" s="1" t="s">
        <v>139</v>
      </c>
      <c r="N91" s="1" t="s">
        <v>124</v>
      </c>
      <c r="O91" s="1" t="s">
        <v>187</v>
      </c>
      <c r="P91" s="1" t="s">
        <v>126</v>
      </c>
      <c r="Q91" s="1" t="s">
        <v>127</v>
      </c>
      <c r="R91" s="1" t="s">
        <v>757</v>
      </c>
      <c r="S91" s="1" t="s">
        <v>78</v>
      </c>
      <c r="T91" s="1">
        <v>38666</v>
      </c>
      <c r="U91" s="1" t="s">
        <v>79</v>
      </c>
      <c r="V91" s="1" t="s">
        <v>365</v>
      </c>
      <c r="W91" s="1" t="s">
        <v>758</v>
      </c>
    </row>
    <row r="92" spans="1:23" ht="15.75" customHeight="1" x14ac:dyDescent="0.35">
      <c r="A92" s="1" t="s">
        <v>112</v>
      </c>
      <c r="B92" s="1" t="s">
        <v>759</v>
      </c>
      <c r="C92" s="1" t="s">
        <v>693</v>
      </c>
      <c r="D92" s="1" t="s">
        <v>409</v>
      </c>
      <c r="E92" s="1" t="s">
        <v>410</v>
      </c>
      <c r="F92" s="1" t="s">
        <v>760</v>
      </c>
      <c r="G92" s="1" t="s">
        <v>542</v>
      </c>
      <c r="H92" s="1" t="s">
        <v>761</v>
      </c>
      <c r="I92" s="1" t="s">
        <v>89</v>
      </c>
      <c r="J92" s="1" t="s">
        <v>39</v>
      </c>
      <c r="K92" s="1" t="s">
        <v>90</v>
      </c>
      <c r="L92" s="1" t="s">
        <v>762</v>
      </c>
      <c r="M92" s="1" t="s">
        <v>213</v>
      </c>
      <c r="N92" s="1" t="s">
        <v>763</v>
      </c>
      <c r="O92" s="1" t="s">
        <v>764</v>
      </c>
      <c r="P92" s="1" t="s">
        <v>765</v>
      </c>
      <c r="Q92" s="1" t="s">
        <v>766</v>
      </c>
      <c r="R92" s="1" t="s">
        <v>767</v>
      </c>
      <c r="S92" s="1" t="s">
        <v>78</v>
      </c>
      <c r="T92" s="1">
        <v>71000</v>
      </c>
      <c r="U92" s="1" t="s">
        <v>79</v>
      </c>
      <c r="V92" s="1" t="s">
        <v>406</v>
      </c>
      <c r="W92" s="1" t="s">
        <v>768</v>
      </c>
    </row>
    <row r="93" spans="1:23" ht="15.75" customHeight="1" x14ac:dyDescent="0.35">
      <c r="A93" s="1" t="s">
        <v>112</v>
      </c>
      <c r="B93" s="1" t="s">
        <v>769</v>
      </c>
      <c r="C93" s="1" t="s">
        <v>693</v>
      </c>
      <c r="D93" s="1" t="s">
        <v>747</v>
      </c>
      <c r="E93" s="1" t="s">
        <v>70</v>
      </c>
      <c r="F93" s="1" t="s">
        <v>363</v>
      </c>
      <c r="G93" s="1" t="s">
        <v>118</v>
      </c>
      <c r="H93" s="1" t="s">
        <v>770</v>
      </c>
      <c r="I93" s="1" t="s">
        <v>120</v>
      </c>
      <c r="J93" s="1" t="s">
        <v>75</v>
      </c>
      <c r="K93" s="1" t="s">
        <v>101</v>
      </c>
      <c r="L93" s="1" t="s">
        <v>186</v>
      </c>
      <c r="M93" s="1" t="s">
        <v>139</v>
      </c>
      <c r="N93" s="1" t="s">
        <v>124</v>
      </c>
      <c r="O93" s="1" t="s">
        <v>187</v>
      </c>
      <c r="P93" s="1" t="s">
        <v>126</v>
      </c>
      <c r="Q93" s="1" t="s">
        <v>127</v>
      </c>
      <c r="R93" s="1" t="s">
        <v>180</v>
      </c>
      <c r="S93" s="1" t="s">
        <v>78</v>
      </c>
      <c r="T93" s="1">
        <v>40999</v>
      </c>
      <c r="U93" s="1" t="s">
        <v>79</v>
      </c>
      <c r="V93" s="1" t="s">
        <v>406</v>
      </c>
      <c r="W93" s="1" t="s">
        <v>771</v>
      </c>
    </row>
    <row r="94" spans="1:23" ht="15.75" customHeight="1" x14ac:dyDescent="0.35">
      <c r="A94" s="1" t="s">
        <v>112</v>
      </c>
      <c r="B94" s="1" t="s">
        <v>741</v>
      </c>
      <c r="C94" s="1" t="s">
        <v>742</v>
      </c>
      <c r="D94" s="1" t="s">
        <v>312</v>
      </c>
      <c r="E94" s="1" t="s">
        <v>772</v>
      </c>
      <c r="F94" s="1" t="s">
        <v>773</v>
      </c>
      <c r="G94" s="1" t="s">
        <v>118</v>
      </c>
      <c r="H94" s="1" t="s">
        <v>688</v>
      </c>
      <c r="I94" s="1" t="s">
        <v>120</v>
      </c>
      <c r="K94" s="1" t="s">
        <v>90</v>
      </c>
      <c r="L94" s="1" t="s">
        <v>193</v>
      </c>
      <c r="M94" s="1" t="s">
        <v>139</v>
      </c>
      <c r="N94" s="1" t="s">
        <v>124</v>
      </c>
      <c r="O94" s="1" t="s">
        <v>774</v>
      </c>
      <c r="P94" s="1" t="s">
        <v>690</v>
      </c>
      <c r="Q94" s="1" t="s">
        <v>127</v>
      </c>
      <c r="R94" s="1" t="s">
        <v>128</v>
      </c>
      <c r="S94" s="1" t="s">
        <v>78</v>
      </c>
      <c r="T94" s="1">
        <v>37777</v>
      </c>
      <c r="V94" s="1" t="s">
        <v>744</v>
      </c>
      <c r="W94" s="1" t="s">
        <v>745</v>
      </c>
    </row>
    <row r="95" spans="1:23" ht="15.75" customHeight="1" x14ac:dyDescent="0.35">
      <c r="A95" s="1" t="s">
        <v>30</v>
      </c>
      <c r="B95" s="1" t="s">
        <v>775</v>
      </c>
      <c r="C95" s="1" t="s">
        <v>655</v>
      </c>
      <c r="D95" s="1" t="s">
        <v>640</v>
      </c>
      <c r="E95" s="1" t="s">
        <v>410</v>
      </c>
      <c r="F95" s="1" t="s">
        <v>776</v>
      </c>
      <c r="G95" s="1" t="s">
        <v>777</v>
      </c>
      <c r="H95" s="1" t="s">
        <v>778</v>
      </c>
      <c r="I95" s="1" t="s">
        <v>120</v>
      </c>
      <c r="J95" s="1" t="s">
        <v>75</v>
      </c>
      <c r="K95" s="1" t="s">
        <v>101</v>
      </c>
      <c r="L95" s="1" t="s">
        <v>645</v>
      </c>
      <c r="M95" s="1" t="s">
        <v>649</v>
      </c>
      <c r="N95" s="1" t="s">
        <v>373</v>
      </c>
      <c r="O95" s="1" t="s">
        <v>779</v>
      </c>
      <c r="P95" s="1" t="s">
        <v>780</v>
      </c>
      <c r="Q95" s="1" t="s">
        <v>781</v>
      </c>
      <c r="R95" s="1" t="s">
        <v>782</v>
      </c>
      <c r="S95" s="1" t="s">
        <v>165</v>
      </c>
      <c r="T95" s="1">
        <v>47499</v>
      </c>
      <c r="U95" s="1" t="s">
        <v>79</v>
      </c>
      <c r="V95" s="1" t="s">
        <v>783</v>
      </c>
    </row>
    <row r="96" spans="1:23" ht="15.75" customHeight="1" x14ac:dyDescent="0.35">
      <c r="A96" s="1" t="s">
        <v>112</v>
      </c>
      <c r="B96" s="1" t="s">
        <v>784</v>
      </c>
      <c r="C96" s="1" t="s">
        <v>114</v>
      </c>
      <c r="D96" s="1" t="s">
        <v>669</v>
      </c>
      <c r="F96" s="1" t="s">
        <v>785</v>
      </c>
      <c r="G96" s="1" t="s">
        <v>735</v>
      </c>
      <c r="H96" s="1" t="s">
        <v>786</v>
      </c>
      <c r="I96" s="1" t="s">
        <v>120</v>
      </c>
      <c r="J96" s="1" t="s">
        <v>57</v>
      </c>
      <c r="K96" s="1" t="s">
        <v>201</v>
      </c>
      <c r="L96" s="1" t="s">
        <v>787</v>
      </c>
      <c r="M96" s="1" t="s">
        <v>213</v>
      </c>
      <c r="N96" s="1" t="s">
        <v>140</v>
      </c>
      <c r="O96" s="1" t="s">
        <v>141</v>
      </c>
      <c r="P96" s="1" t="s">
        <v>788</v>
      </c>
      <c r="Q96" s="1" t="s">
        <v>789</v>
      </c>
      <c r="R96" s="1" t="s">
        <v>206</v>
      </c>
      <c r="S96" s="1" t="s">
        <v>78</v>
      </c>
      <c r="T96" s="1">
        <v>57777</v>
      </c>
      <c r="U96" s="1" t="s">
        <v>79</v>
      </c>
      <c r="V96" s="1" t="s">
        <v>790</v>
      </c>
      <c r="W96" s="1" t="s">
        <v>791</v>
      </c>
    </row>
    <row r="97" spans="1:26" ht="15.75" customHeight="1" x14ac:dyDescent="0.35">
      <c r="A97" s="1" t="s">
        <v>81</v>
      </c>
      <c r="B97" s="1" t="s">
        <v>414</v>
      </c>
      <c r="C97" s="1" t="s">
        <v>711</v>
      </c>
      <c r="D97" s="1" t="s">
        <v>69</v>
      </c>
      <c r="E97" s="1" t="s">
        <v>70</v>
      </c>
      <c r="F97" s="1" t="s">
        <v>792</v>
      </c>
      <c r="G97" s="1" t="s">
        <v>417</v>
      </c>
      <c r="H97" s="1" t="s">
        <v>793</v>
      </c>
      <c r="I97" s="1" t="s">
        <v>120</v>
      </c>
      <c r="J97" s="1" t="s">
        <v>57</v>
      </c>
      <c r="K97" s="1" t="s">
        <v>101</v>
      </c>
      <c r="L97" s="1" t="s">
        <v>419</v>
      </c>
      <c r="M97" s="1" t="s">
        <v>715</v>
      </c>
      <c r="O97" s="1" t="s">
        <v>421</v>
      </c>
      <c r="P97" s="1" t="s">
        <v>422</v>
      </c>
      <c r="Q97" s="1" t="s">
        <v>423</v>
      </c>
      <c r="R97" s="1" t="s">
        <v>64</v>
      </c>
      <c r="S97" s="1" t="s">
        <v>78</v>
      </c>
      <c r="T97" s="1">
        <v>56666</v>
      </c>
      <c r="U97" s="1" t="s">
        <v>79</v>
      </c>
      <c r="V97" s="1" t="s">
        <v>716</v>
      </c>
    </row>
    <row r="98" spans="1:26" ht="15.75" customHeight="1" x14ac:dyDescent="0.35">
      <c r="A98" s="1" t="s">
        <v>151</v>
      </c>
      <c r="B98" s="1" t="s">
        <v>794</v>
      </c>
      <c r="C98" s="1" t="s">
        <v>402</v>
      </c>
      <c r="D98" s="1" t="s">
        <v>640</v>
      </c>
      <c r="E98" s="1" t="s">
        <v>410</v>
      </c>
      <c r="F98" s="1" t="s">
        <v>795</v>
      </c>
      <c r="G98" s="1" t="s">
        <v>796</v>
      </c>
      <c r="H98" s="1" t="s">
        <v>797</v>
      </c>
      <c r="I98" s="1" t="s">
        <v>224</v>
      </c>
      <c r="J98" s="1" t="s">
        <v>57</v>
      </c>
      <c r="K98" s="1" t="s">
        <v>101</v>
      </c>
      <c r="L98" s="1" t="s">
        <v>798</v>
      </c>
      <c r="M98" s="1" t="s">
        <v>799</v>
      </c>
      <c r="N98" s="1" t="s">
        <v>571</v>
      </c>
      <c r="O98" s="1" t="s">
        <v>800</v>
      </c>
      <c r="P98" s="1" t="s">
        <v>801</v>
      </c>
      <c r="Q98" s="1" t="s">
        <v>63</v>
      </c>
      <c r="R98" s="1" t="s">
        <v>802</v>
      </c>
      <c r="S98" s="1" t="s">
        <v>78</v>
      </c>
      <c r="T98" s="1">
        <v>65199</v>
      </c>
      <c r="U98" s="1" t="s">
        <v>79</v>
      </c>
      <c r="V98" s="1" t="s">
        <v>803</v>
      </c>
      <c r="W98" s="1" t="s">
        <v>804</v>
      </c>
    </row>
    <row r="99" spans="1:26" ht="15.75" customHeight="1" x14ac:dyDescent="0.35">
      <c r="A99" s="1" t="s">
        <v>234</v>
      </c>
      <c r="B99" s="1" t="s">
        <v>805</v>
      </c>
      <c r="C99" s="1" t="s">
        <v>806</v>
      </c>
      <c r="D99" s="1" t="s">
        <v>409</v>
      </c>
      <c r="E99" s="1" t="s">
        <v>410</v>
      </c>
      <c r="F99" s="1" t="s">
        <v>807</v>
      </c>
      <c r="G99" s="1" t="s">
        <v>808</v>
      </c>
      <c r="H99" s="1" t="s">
        <v>809</v>
      </c>
      <c r="I99" s="1" t="s">
        <v>275</v>
      </c>
      <c r="J99" s="1" t="s">
        <v>57</v>
      </c>
      <c r="K99" s="1" t="s">
        <v>90</v>
      </c>
      <c r="L99" s="1" t="s">
        <v>810</v>
      </c>
      <c r="M99" s="1" t="s">
        <v>241</v>
      </c>
      <c r="N99" s="1" t="s">
        <v>811</v>
      </c>
      <c r="O99" s="1" t="s">
        <v>812</v>
      </c>
      <c r="P99" s="1" t="s">
        <v>813</v>
      </c>
      <c r="Q99" s="1" t="s">
        <v>814</v>
      </c>
      <c r="R99" s="1" t="s">
        <v>281</v>
      </c>
      <c r="S99" s="1" t="s">
        <v>78</v>
      </c>
      <c r="T99" s="1">
        <v>99999</v>
      </c>
      <c r="U99" s="1" t="s">
        <v>79</v>
      </c>
      <c r="V99" s="1" t="s">
        <v>815</v>
      </c>
      <c r="W99" s="1" t="s">
        <v>816</v>
      </c>
    </row>
    <row r="100" spans="1:26" ht="15.75" customHeight="1" x14ac:dyDescent="0.35">
      <c r="A100" s="1" t="s">
        <v>112</v>
      </c>
      <c r="B100" s="1" t="s">
        <v>817</v>
      </c>
      <c r="C100" s="1" t="s">
        <v>818</v>
      </c>
      <c r="D100" s="1" t="s">
        <v>312</v>
      </c>
      <c r="E100" s="1" t="s">
        <v>116</v>
      </c>
      <c r="F100" s="1" t="s">
        <v>819</v>
      </c>
      <c r="G100" s="1" t="s">
        <v>735</v>
      </c>
      <c r="H100" s="1" t="s">
        <v>404</v>
      </c>
      <c r="I100" s="1" t="s">
        <v>616</v>
      </c>
      <c r="J100" s="1" t="s">
        <v>75</v>
      </c>
      <c r="K100" s="1" t="s">
        <v>101</v>
      </c>
      <c r="L100" s="1" t="s">
        <v>179</v>
      </c>
      <c r="M100" s="1" t="s">
        <v>139</v>
      </c>
      <c r="N100" s="1" t="s">
        <v>140</v>
      </c>
      <c r="O100" s="1" t="s">
        <v>141</v>
      </c>
      <c r="P100" s="1" t="s">
        <v>820</v>
      </c>
      <c r="Q100" s="1" t="s">
        <v>267</v>
      </c>
      <c r="R100" s="1" t="s">
        <v>180</v>
      </c>
      <c r="S100" s="1" t="s">
        <v>78</v>
      </c>
      <c r="T100" s="1">
        <v>48888</v>
      </c>
      <c r="U100" s="1" t="s">
        <v>79</v>
      </c>
      <c r="V100" s="1" t="s">
        <v>406</v>
      </c>
      <c r="W100" s="1" t="s">
        <v>821</v>
      </c>
      <c r="X100" s="1" t="s">
        <v>822</v>
      </c>
    </row>
    <row r="101" spans="1:26" ht="15.75" customHeight="1" x14ac:dyDescent="0.35">
      <c r="A101" s="1" t="s">
        <v>112</v>
      </c>
      <c r="B101" s="1" t="s">
        <v>823</v>
      </c>
      <c r="C101" s="1" t="s">
        <v>818</v>
      </c>
      <c r="D101" s="1" t="s">
        <v>312</v>
      </c>
      <c r="E101" s="1" t="s">
        <v>70</v>
      </c>
      <c r="F101" s="1" t="s">
        <v>819</v>
      </c>
      <c r="G101" s="1" t="s">
        <v>698</v>
      </c>
      <c r="H101" s="1" t="s">
        <v>404</v>
      </c>
      <c r="I101" s="1" t="s">
        <v>120</v>
      </c>
      <c r="J101" s="1" t="s">
        <v>75</v>
      </c>
      <c r="K101" s="1" t="s">
        <v>101</v>
      </c>
      <c r="L101" s="1" t="s">
        <v>138</v>
      </c>
      <c r="M101" s="1" t="s">
        <v>139</v>
      </c>
      <c r="N101" s="1" t="s">
        <v>140</v>
      </c>
      <c r="O101" s="1" t="s">
        <v>141</v>
      </c>
      <c r="P101" s="1" t="s">
        <v>824</v>
      </c>
      <c r="Q101" s="1" t="s">
        <v>267</v>
      </c>
      <c r="R101" s="1" t="s">
        <v>128</v>
      </c>
      <c r="S101" s="1" t="s">
        <v>78</v>
      </c>
      <c r="T101" s="1">
        <v>48888</v>
      </c>
      <c r="U101" s="1" t="s">
        <v>79</v>
      </c>
      <c r="V101" s="1" t="s">
        <v>406</v>
      </c>
      <c r="W101" s="1" t="s">
        <v>825</v>
      </c>
    </row>
    <row r="102" spans="1:26" ht="15.75" customHeight="1" x14ac:dyDescent="0.35">
      <c r="A102" s="1" t="s">
        <v>151</v>
      </c>
      <c r="B102" s="1" t="s">
        <v>826</v>
      </c>
      <c r="C102" s="1" t="s">
        <v>827</v>
      </c>
      <c r="D102" s="1" t="s">
        <v>828</v>
      </c>
      <c r="E102" s="1" t="s">
        <v>507</v>
      </c>
      <c r="F102" s="1" t="s">
        <v>491</v>
      </c>
      <c r="G102" s="1" t="s">
        <v>829</v>
      </c>
      <c r="H102" s="1" t="s">
        <v>830</v>
      </c>
      <c r="I102" s="1" t="s">
        <v>120</v>
      </c>
      <c r="J102" s="1" t="s">
        <v>39</v>
      </c>
      <c r="K102" s="1" t="s">
        <v>121</v>
      </c>
      <c r="L102" s="1" t="s">
        <v>158</v>
      </c>
      <c r="M102" s="1" t="s">
        <v>831</v>
      </c>
      <c r="N102" s="1" t="s">
        <v>832</v>
      </c>
      <c r="O102" s="1" t="s">
        <v>833</v>
      </c>
      <c r="P102" s="1" t="s">
        <v>834</v>
      </c>
      <c r="Q102" s="1" t="s">
        <v>652</v>
      </c>
      <c r="R102" s="1" t="s">
        <v>217</v>
      </c>
      <c r="S102" s="1" t="s">
        <v>129</v>
      </c>
      <c r="T102" s="1">
        <v>43999</v>
      </c>
      <c r="V102" s="1" t="s">
        <v>835</v>
      </c>
      <c r="W102" s="1" t="s">
        <v>836</v>
      </c>
      <c r="Z102" s="1" t="s">
        <v>837</v>
      </c>
    </row>
    <row r="103" spans="1:26" ht="15.75" customHeight="1" x14ac:dyDescent="0.35">
      <c r="A103" s="1" t="s">
        <v>112</v>
      </c>
      <c r="B103" s="1" t="s">
        <v>838</v>
      </c>
      <c r="C103" s="1" t="s">
        <v>839</v>
      </c>
      <c r="D103" s="1" t="s">
        <v>438</v>
      </c>
      <c r="E103" s="1" t="s">
        <v>439</v>
      </c>
      <c r="F103" s="1" t="s">
        <v>541</v>
      </c>
      <c r="G103" s="1" t="s">
        <v>118</v>
      </c>
      <c r="H103" s="1" t="s">
        <v>840</v>
      </c>
      <c r="I103" s="1" t="s">
        <v>120</v>
      </c>
      <c r="J103" s="1" t="s">
        <v>75</v>
      </c>
      <c r="K103" s="1" t="s">
        <v>90</v>
      </c>
      <c r="L103" s="1" t="s">
        <v>122</v>
      </c>
      <c r="M103" s="1" t="s">
        <v>123</v>
      </c>
      <c r="N103" s="1" t="s">
        <v>124</v>
      </c>
      <c r="O103" s="1" t="s">
        <v>148</v>
      </c>
      <c r="P103" s="1" t="s">
        <v>126</v>
      </c>
      <c r="Q103" s="1" t="s">
        <v>127</v>
      </c>
      <c r="R103" s="1" t="s">
        <v>128</v>
      </c>
      <c r="S103" s="1" t="s">
        <v>78</v>
      </c>
      <c r="T103" s="1">
        <v>30999</v>
      </c>
      <c r="V103" s="1" t="s">
        <v>841</v>
      </c>
      <c r="W103" s="1" t="s">
        <v>842</v>
      </c>
    </row>
    <row r="104" spans="1:26" ht="15.75" customHeight="1" x14ac:dyDescent="0.35">
      <c r="A104" s="1" t="s">
        <v>112</v>
      </c>
      <c r="B104" s="1" t="s">
        <v>843</v>
      </c>
      <c r="C104" s="1" t="s">
        <v>133</v>
      </c>
      <c r="D104" s="1" t="s">
        <v>669</v>
      </c>
      <c r="E104" s="1" t="s">
        <v>540</v>
      </c>
      <c r="F104" s="1" t="s">
        <v>135</v>
      </c>
      <c r="G104" s="1" t="s">
        <v>171</v>
      </c>
      <c r="H104" s="1" t="s">
        <v>172</v>
      </c>
      <c r="I104" s="1" t="s">
        <v>120</v>
      </c>
      <c r="J104" s="1" t="s">
        <v>75</v>
      </c>
      <c r="K104" s="1" t="s">
        <v>101</v>
      </c>
      <c r="L104" s="1" t="s">
        <v>179</v>
      </c>
      <c r="M104" s="1" t="s">
        <v>139</v>
      </c>
      <c r="N104" s="1" t="s">
        <v>140</v>
      </c>
      <c r="O104" s="1" t="s">
        <v>141</v>
      </c>
      <c r="P104" s="1" t="s">
        <v>173</v>
      </c>
      <c r="Q104" s="1" t="s">
        <v>142</v>
      </c>
      <c r="R104" s="1" t="s">
        <v>180</v>
      </c>
      <c r="S104" s="1" t="s">
        <v>78</v>
      </c>
      <c r="T104" s="1">
        <v>59999</v>
      </c>
      <c r="U104" s="1" t="s">
        <v>65</v>
      </c>
      <c r="V104" s="1" t="s">
        <v>143</v>
      </c>
      <c r="W104" s="1" t="s">
        <v>844</v>
      </c>
    </row>
    <row r="105" spans="1:26" ht="15.75" customHeight="1" x14ac:dyDescent="0.35">
      <c r="A105" s="1" t="s">
        <v>112</v>
      </c>
      <c r="B105" s="1" t="s">
        <v>845</v>
      </c>
      <c r="C105" s="1" t="s">
        <v>133</v>
      </c>
      <c r="D105" s="1" t="s">
        <v>134</v>
      </c>
      <c r="E105" s="1" t="s">
        <v>116</v>
      </c>
      <c r="F105" s="1" t="s">
        <v>135</v>
      </c>
      <c r="G105" s="1" t="s">
        <v>171</v>
      </c>
      <c r="H105" s="1" t="s">
        <v>172</v>
      </c>
      <c r="I105" s="1" t="s">
        <v>120</v>
      </c>
      <c r="K105" s="1" t="s">
        <v>101</v>
      </c>
      <c r="L105" s="1" t="s">
        <v>138</v>
      </c>
      <c r="M105" s="1" t="s">
        <v>139</v>
      </c>
      <c r="N105" s="1" t="s">
        <v>140</v>
      </c>
      <c r="O105" s="1" t="s">
        <v>141</v>
      </c>
      <c r="P105" s="1" t="s">
        <v>173</v>
      </c>
      <c r="Q105" s="1" t="s">
        <v>142</v>
      </c>
      <c r="R105" s="1" t="s">
        <v>128</v>
      </c>
      <c r="S105" s="1" t="s">
        <v>78</v>
      </c>
      <c r="T105" s="1">
        <v>51999</v>
      </c>
      <c r="U105" s="1" t="s">
        <v>65</v>
      </c>
      <c r="V105" s="1" t="s">
        <v>143</v>
      </c>
      <c r="W105" s="1" t="s">
        <v>846</v>
      </c>
    </row>
    <row r="106" spans="1:26" ht="15.75" customHeight="1" x14ac:dyDescent="0.35">
      <c r="A106" s="1" t="s">
        <v>151</v>
      </c>
      <c r="B106" s="1" t="s">
        <v>847</v>
      </c>
      <c r="C106" s="1" t="s">
        <v>848</v>
      </c>
      <c r="D106" s="1" t="s">
        <v>385</v>
      </c>
      <c r="E106" s="1" t="s">
        <v>52</v>
      </c>
      <c r="F106" s="1" t="s">
        <v>570</v>
      </c>
      <c r="G106" s="1" t="s">
        <v>156</v>
      </c>
      <c r="H106" s="1" t="s">
        <v>393</v>
      </c>
      <c r="I106" s="1" t="s">
        <v>74</v>
      </c>
      <c r="J106" s="1" t="s">
        <v>75</v>
      </c>
      <c r="K106" s="1" t="s">
        <v>90</v>
      </c>
      <c r="L106" s="1" t="s">
        <v>158</v>
      </c>
      <c r="M106" s="1" t="s">
        <v>394</v>
      </c>
      <c r="N106" s="1" t="s">
        <v>227</v>
      </c>
      <c r="O106" s="1" t="s">
        <v>849</v>
      </c>
      <c r="P106" s="1" t="s">
        <v>397</v>
      </c>
      <c r="Q106" s="1" t="s">
        <v>63</v>
      </c>
      <c r="R106" s="1" t="s">
        <v>164</v>
      </c>
      <c r="S106" s="1" t="s">
        <v>165</v>
      </c>
      <c r="T106" s="1">
        <v>57777</v>
      </c>
      <c r="U106" s="1" t="s">
        <v>79</v>
      </c>
      <c r="V106" s="1" t="s">
        <v>850</v>
      </c>
      <c r="W106" s="1" t="s">
        <v>851</v>
      </c>
    </row>
    <row r="107" spans="1:26" ht="15.75" customHeight="1" x14ac:dyDescent="0.35">
      <c r="A107" s="1" t="s">
        <v>151</v>
      </c>
      <c r="B107" s="1" t="s">
        <v>847</v>
      </c>
      <c r="C107" s="1" t="s">
        <v>852</v>
      </c>
      <c r="D107" s="1" t="s">
        <v>385</v>
      </c>
      <c r="E107" s="1" t="s">
        <v>52</v>
      </c>
      <c r="F107" s="1" t="s">
        <v>570</v>
      </c>
      <c r="G107" s="1" t="s">
        <v>156</v>
      </c>
      <c r="H107" s="1" t="s">
        <v>393</v>
      </c>
      <c r="I107" s="1" t="s">
        <v>74</v>
      </c>
      <c r="J107" s="1" t="s">
        <v>75</v>
      </c>
      <c r="K107" s="1" t="s">
        <v>90</v>
      </c>
      <c r="L107" s="1" t="s">
        <v>158</v>
      </c>
      <c r="M107" s="1" t="s">
        <v>394</v>
      </c>
      <c r="N107" s="1" t="s">
        <v>227</v>
      </c>
      <c r="O107" s="1" t="s">
        <v>849</v>
      </c>
      <c r="P107" s="1" t="s">
        <v>397</v>
      </c>
      <c r="Q107" s="1" t="s">
        <v>63</v>
      </c>
      <c r="R107" s="1" t="s">
        <v>164</v>
      </c>
      <c r="S107" s="1" t="s">
        <v>165</v>
      </c>
      <c r="T107" s="1">
        <v>60999</v>
      </c>
      <c r="U107" s="1" t="s">
        <v>65</v>
      </c>
      <c r="V107" s="1" t="s">
        <v>619</v>
      </c>
      <c r="W107" s="1" t="s">
        <v>853</v>
      </c>
    </row>
    <row r="108" spans="1:26" ht="15.75" customHeight="1" x14ac:dyDescent="0.35">
      <c r="A108" s="1" t="s">
        <v>151</v>
      </c>
      <c r="B108" s="1" t="s">
        <v>152</v>
      </c>
      <c r="C108" s="1" t="s">
        <v>854</v>
      </c>
      <c r="D108" s="1" t="s">
        <v>115</v>
      </c>
      <c r="E108" s="1" t="s">
        <v>70</v>
      </c>
      <c r="F108" s="1" t="s">
        <v>155</v>
      </c>
      <c r="G108" s="1" t="s">
        <v>156</v>
      </c>
      <c r="H108" s="1" t="s">
        <v>855</v>
      </c>
      <c r="I108" s="1" t="s">
        <v>74</v>
      </c>
      <c r="J108" s="1" t="s">
        <v>75</v>
      </c>
      <c r="K108" s="1" t="s">
        <v>101</v>
      </c>
      <c r="L108" s="1" t="s">
        <v>158</v>
      </c>
      <c r="M108" s="1" t="s">
        <v>856</v>
      </c>
      <c r="N108" s="1" t="s">
        <v>160</v>
      </c>
      <c r="O108" s="1" t="s">
        <v>161</v>
      </c>
      <c r="P108" s="1" t="s">
        <v>162</v>
      </c>
      <c r="Q108" s="1" t="s">
        <v>163</v>
      </c>
      <c r="R108" s="1" t="s">
        <v>164</v>
      </c>
      <c r="S108" s="1" t="s">
        <v>78</v>
      </c>
      <c r="T108" s="1">
        <v>29999</v>
      </c>
      <c r="V108" s="1" t="s">
        <v>167</v>
      </c>
      <c r="W108" s="1" t="s">
        <v>857</v>
      </c>
    </row>
    <row r="109" spans="1:26" ht="15.75" customHeight="1" x14ac:dyDescent="0.35">
      <c r="A109" s="1" t="s">
        <v>81</v>
      </c>
      <c r="B109" s="1" t="s">
        <v>858</v>
      </c>
      <c r="C109" s="1" t="s">
        <v>859</v>
      </c>
      <c r="D109" s="1" t="s">
        <v>108</v>
      </c>
      <c r="E109" s="1" t="s">
        <v>85</v>
      </c>
      <c r="F109" s="1" t="s">
        <v>109</v>
      </c>
      <c r="G109" s="1" t="s">
        <v>99</v>
      </c>
      <c r="H109" s="1" t="s">
        <v>860</v>
      </c>
      <c r="I109" s="1" t="s">
        <v>89</v>
      </c>
      <c r="J109" s="1" t="s">
        <v>256</v>
      </c>
      <c r="K109" s="1" t="s">
        <v>201</v>
      </c>
      <c r="L109" s="1" t="s">
        <v>861</v>
      </c>
      <c r="M109" s="1" t="s">
        <v>862</v>
      </c>
      <c r="R109" s="1" t="s">
        <v>863</v>
      </c>
      <c r="S109" s="1" t="s">
        <v>425</v>
      </c>
      <c r="T109" s="1">
        <v>93333</v>
      </c>
      <c r="V109" s="1" t="s">
        <v>864</v>
      </c>
    </row>
    <row r="110" spans="1:26" ht="15.75" customHeight="1" x14ac:dyDescent="0.35">
      <c r="A110" s="1" t="s">
        <v>81</v>
      </c>
      <c r="B110" s="1" t="s">
        <v>858</v>
      </c>
      <c r="C110" s="1" t="s">
        <v>320</v>
      </c>
      <c r="D110" s="1" t="s">
        <v>865</v>
      </c>
      <c r="E110" s="1" t="s">
        <v>52</v>
      </c>
      <c r="F110" s="1" t="s">
        <v>109</v>
      </c>
      <c r="G110" s="1" t="s">
        <v>99</v>
      </c>
      <c r="H110" s="1" t="s">
        <v>866</v>
      </c>
      <c r="I110" s="1" t="s">
        <v>89</v>
      </c>
      <c r="J110" s="1" t="s">
        <v>256</v>
      </c>
      <c r="K110" s="1" t="s">
        <v>90</v>
      </c>
      <c r="M110" s="1" t="s">
        <v>867</v>
      </c>
      <c r="Q110" s="1" t="s">
        <v>262</v>
      </c>
      <c r="R110" s="1" t="s">
        <v>868</v>
      </c>
      <c r="S110" s="1" t="s">
        <v>425</v>
      </c>
      <c r="T110" s="1">
        <v>112000</v>
      </c>
      <c r="V110" s="1" t="s">
        <v>869</v>
      </c>
    </row>
    <row r="111" spans="1:26" ht="15.75" customHeight="1" x14ac:dyDescent="0.35">
      <c r="A111" s="1" t="s">
        <v>81</v>
      </c>
      <c r="B111" s="1" t="s">
        <v>858</v>
      </c>
      <c r="C111" s="1" t="s">
        <v>320</v>
      </c>
      <c r="D111" s="1" t="s">
        <v>870</v>
      </c>
      <c r="E111" s="1" t="s">
        <v>52</v>
      </c>
      <c r="F111" s="1" t="s">
        <v>553</v>
      </c>
      <c r="G111" s="1" t="s">
        <v>871</v>
      </c>
      <c r="H111" s="1" t="s">
        <v>872</v>
      </c>
      <c r="J111" s="1" t="s">
        <v>256</v>
      </c>
      <c r="K111" s="1" t="s">
        <v>40</v>
      </c>
      <c r="N111" s="1" t="s">
        <v>873</v>
      </c>
      <c r="O111" s="1" t="s">
        <v>874</v>
      </c>
      <c r="Q111" s="1" t="s">
        <v>262</v>
      </c>
      <c r="R111" s="1" t="s">
        <v>868</v>
      </c>
      <c r="S111" s="1" t="s">
        <v>425</v>
      </c>
      <c r="T111" s="1">
        <v>91999</v>
      </c>
      <c r="V111" s="1" t="s">
        <v>869</v>
      </c>
    </row>
    <row r="112" spans="1:26" ht="15.75" customHeight="1" x14ac:dyDescent="0.35">
      <c r="A112" s="1" t="s">
        <v>151</v>
      </c>
      <c r="B112" s="1" t="s">
        <v>875</v>
      </c>
      <c r="C112" s="1" t="s">
        <v>250</v>
      </c>
      <c r="D112" s="1" t="s">
        <v>198</v>
      </c>
      <c r="E112" s="1" t="s">
        <v>52</v>
      </c>
      <c r="F112" s="1" t="s">
        <v>876</v>
      </c>
      <c r="G112" s="1" t="s">
        <v>222</v>
      </c>
      <c r="H112" s="1" t="s">
        <v>223</v>
      </c>
      <c r="I112" s="1" t="s">
        <v>224</v>
      </c>
      <c r="J112" s="1" t="s">
        <v>57</v>
      </c>
      <c r="K112" s="1" t="s">
        <v>101</v>
      </c>
      <c r="L112" s="1" t="s">
        <v>432</v>
      </c>
      <c r="M112" s="1" t="s">
        <v>226</v>
      </c>
      <c r="N112" s="1" t="s">
        <v>227</v>
      </c>
      <c r="O112" s="1" t="s">
        <v>877</v>
      </c>
      <c r="P112" s="1" t="s">
        <v>229</v>
      </c>
      <c r="Q112" s="1" t="s">
        <v>230</v>
      </c>
      <c r="R112" s="1" t="s">
        <v>231</v>
      </c>
      <c r="S112" s="1" t="s">
        <v>165</v>
      </c>
      <c r="T112" s="1">
        <v>93333</v>
      </c>
      <c r="V112" s="1" t="s">
        <v>263</v>
      </c>
      <c r="W112" s="1" t="s">
        <v>878</v>
      </c>
    </row>
    <row r="113" spans="1:24" ht="15.75" customHeight="1" x14ac:dyDescent="0.35">
      <c r="A113" s="1" t="s">
        <v>151</v>
      </c>
      <c r="B113" s="1" t="s">
        <v>219</v>
      </c>
      <c r="C113" s="1" t="s">
        <v>852</v>
      </c>
      <c r="D113" s="1" t="s">
        <v>385</v>
      </c>
      <c r="E113" s="1" t="s">
        <v>52</v>
      </c>
      <c r="F113" s="1" t="s">
        <v>876</v>
      </c>
      <c r="G113" s="1" t="s">
        <v>222</v>
      </c>
      <c r="H113" s="1" t="s">
        <v>223</v>
      </c>
      <c r="I113" s="1" t="s">
        <v>224</v>
      </c>
      <c r="J113" s="1" t="s">
        <v>57</v>
      </c>
      <c r="K113" s="1" t="s">
        <v>101</v>
      </c>
      <c r="L113" s="1" t="s">
        <v>432</v>
      </c>
      <c r="M113" s="1" t="s">
        <v>226</v>
      </c>
      <c r="N113" s="1" t="s">
        <v>227</v>
      </c>
      <c r="O113" s="1" t="s">
        <v>228</v>
      </c>
      <c r="P113" s="1" t="s">
        <v>229</v>
      </c>
      <c r="Q113" s="1" t="s">
        <v>230</v>
      </c>
      <c r="R113" s="1" t="s">
        <v>231</v>
      </c>
      <c r="S113" s="1" t="s">
        <v>165</v>
      </c>
      <c r="T113" s="1">
        <v>79999</v>
      </c>
      <c r="U113" s="1" t="s">
        <v>65</v>
      </c>
      <c r="V113" s="1" t="s">
        <v>619</v>
      </c>
      <c r="W113" s="1" t="s">
        <v>879</v>
      </c>
    </row>
    <row r="114" spans="1:24" ht="15.75" customHeight="1" x14ac:dyDescent="0.35">
      <c r="A114" s="1" t="s">
        <v>234</v>
      </c>
      <c r="B114" s="1" t="s">
        <v>880</v>
      </c>
      <c r="C114" s="1" t="s">
        <v>270</v>
      </c>
      <c r="D114" s="1" t="s">
        <v>271</v>
      </c>
      <c r="E114" s="1" t="s">
        <v>272</v>
      </c>
      <c r="F114" s="1" t="s">
        <v>881</v>
      </c>
      <c r="G114" s="1" t="s">
        <v>239</v>
      </c>
      <c r="H114" s="1" t="s">
        <v>484</v>
      </c>
      <c r="I114" s="1" t="s">
        <v>275</v>
      </c>
      <c r="J114" s="1" t="s">
        <v>57</v>
      </c>
      <c r="K114" s="1" t="s">
        <v>90</v>
      </c>
      <c r="L114" s="1" t="s">
        <v>288</v>
      </c>
      <c r="M114" s="1" t="s">
        <v>241</v>
      </c>
      <c r="N114" s="1" t="s">
        <v>277</v>
      </c>
      <c r="O114" s="1" t="s">
        <v>278</v>
      </c>
      <c r="P114" s="1" t="s">
        <v>279</v>
      </c>
      <c r="Q114" s="1" t="s">
        <v>280</v>
      </c>
      <c r="R114" s="1" t="s">
        <v>281</v>
      </c>
      <c r="S114" s="1" t="s">
        <v>78</v>
      </c>
      <c r="T114" s="1">
        <v>114000</v>
      </c>
      <c r="V114" s="1" t="s">
        <v>283</v>
      </c>
    </row>
    <row r="115" spans="1:24" ht="15.75" customHeight="1" x14ac:dyDescent="0.35">
      <c r="A115" s="1" t="s">
        <v>234</v>
      </c>
      <c r="B115" s="1" t="s">
        <v>882</v>
      </c>
      <c r="C115" s="1" t="s">
        <v>311</v>
      </c>
      <c r="D115" s="1" t="s">
        <v>640</v>
      </c>
      <c r="E115" s="1" t="s">
        <v>410</v>
      </c>
      <c r="F115" s="1" t="s">
        <v>883</v>
      </c>
      <c r="G115" s="1" t="s">
        <v>295</v>
      </c>
      <c r="H115" s="1" t="s">
        <v>314</v>
      </c>
      <c r="I115" s="1" t="s">
        <v>89</v>
      </c>
      <c r="J115" s="1" t="s">
        <v>57</v>
      </c>
      <c r="K115" s="1" t="s">
        <v>40</v>
      </c>
      <c r="L115" s="1" t="s">
        <v>315</v>
      </c>
      <c r="M115" s="1" t="s">
        <v>306</v>
      </c>
      <c r="N115" s="1" t="s">
        <v>242</v>
      </c>
      <c r="O115" s="1" t="s">
        <v>316</v>
      </c>
      <c r="P115" s="1" t="s">
        <v>317</v>
      </c>
      <c r="Q115" s="1" t="s">
        <v>309</v>
      </c>
      <c r="R115" s="1" t="s">
        <v>246</v>
      </c>
      <c r="S115" s="1" t="s">
        <v>78</v>
      </c>
      <c r="T115" s="1">
        <v>57399</v>
      </c>
      <c r="V115" s="1" t="s">
        <v>318</v>
      </c>
    </row>
    <row r="116" spans="1:24" ht="15.75" customHeight="1" x14ac:dyDescent="0.35">
      <c r="A116" s="1" t="s">
        <v>81</v>
      </c>
      <c r="B116" s="1" t="s">
        <v>884</v>
      </c>
      <c r="C116" s="1" t="s">
        <v>83</v>
      </c>
      <c r="D116" s="1" t="s">
        <v>430</v>
      </c>
      <c r="E116" s="1" t="s">
        <v>52</v>
      </c>
      <c r="F116" s="1" t="s">
        <v>98</v>
      </c>
      <c r="G116" s="1" t="s">
        <v>87</v>
      </c>
      <c r="H116" s="1" t="s">
        <v>100</v>
      </c>
      <c r="I116" s="1" t="s">
        <v>89</v>
      </c>
      <c r="J116" s="1" t="s">
        <v>39</v>
      </c>
      <c r="K116" s="1" t="s">
        <v>40</v>
      </c>
      <c r="L116" s="1" t="s">
        <v>885</v>
      </c>
      <c r="M116" s="1" t="s">
        <v>103</v>
      </c>
      <c r="N116" s="1" t="s">
        <v>104</v>
      </c>
      <c r="O116" s="1" t="s">
        <v>92</v>
      </c>
      <c r="Q116" s="1" t="s">
        <v>94</v>
      </c>
      <c r="S116" s="1" t="s">
        <v>78</v>
      </c>
      <c r="T116" s="1">
        <v>60699</v>
      </c>
      <c r="V116" s="1" t="s">
        <v>886</v>
      </c>
    </row>
    <row r="117" spans="1:24" ht="15.75" customHeight="1" x14ac:dyDescent="0.35">
      <c r="A117" s="1" t="s">
        <v>81</v>
      </c>
      <c r="B117" s="1" t="s">
        <v>884</v>
      </c>
      <c r="C117" s="1" t="s">
        <v>83</v>
      </c>
      <c r="D117" s="1" t="s">
        <v>97</v>
      </c>
      <c r="E117" s="1" t="s">
        <v>52</v>
      </c>
      <c r="F117" s="1" t="s">
        <v>98</v>
      </c>
      <c r="G117" s="1" t="s">
        <v>87</v>
      </c>
      <c r="H117" s="1" t="s">
        <v>100</v>
      </c>
      <c r="I117" s="1" t="s">
        <v>89</v>
      </c>
      <c r="J117" s="1" t="s">
        <v>39</v>
      </c>
      <c r="K117" s="1" t="s">
        <v>40</v>
      </c>
      <c r="L117" s="1" t="s">
        <v>885</v>
      </c>
      <c r="M117" s="1" t="s">
        <v>103</v>
      </c>
      <c r="N117" s="1" t="s">
        <v>104</v>
      </c>
      <c r="O117" s="1" t="s">
        <v>92</v>
      </c>
      <c r="Q117" s="1" t="s">
        <v>94</v>
      </c>
      <c r="S117" s="1" t="s">
        <v>78</v>
      </c>
      <c r="T117" s="1">
        <v>67999</v>
      </c>
      <c r="V117" s="1" t="s">
        <v>886</v>
      </c>
    </row>
    <row r="118" spans="1:24" ht="15.75" customHeight="1" x14ac:dyDescent="0.35">
      <c r="A118" s="1" t="s">
        <v>151</v>
      </c>
      <c r="B118" s="1" t="s">
        <v>568</v>
      </c>
      <c r="C118" s="1" t="s">
        <v>887</v>
      </c>
      <c r="D118" s="1" t="s">
        <v>751</v>
      </c>
      <c r="E118" s="1" t="s">
        <v>70</v>
      </c>
      <c r="F118" s="1" t="s">
        <v>888</v>
      </c>
      <c r="G118" s="1" t="s">
        <v>156</v>
      </c>
      <c r="H118" s="1" t="s">
        <v>393</v>
      </c>
      <c r="I118" s="1" t="s">
        <v>74</v>
      </c>
      <c r="J118" s="1" t="s">
        <v>75</v>
      </c>
      <c r="K118" s="1" t="s">
        <v>101</v>
      </c>
      <c r="L118" s="1" t="s">
        <v>889</v>
      </c>
      <c r="M118" s="1" t="s">
        <v>394</v>
      </c>
      <c r="N118" s="1" t="s">
        <v>571</v>
      </c>
      <c r="O118" s="1" t="s">
        <v>396</v>
      </c>
      <c r="P118" s="1" t="s">
        <v>397</v>
      </c>
      <c r="Q118" s="1" t="s">
        <v>398</v>
      </c>
      <c r="R118" s="1" t="s">
        <v>164</v>
      </c>
      <c r="S118" s="1" t="s">
        <v>78</v>
      </c>
      <c r="T118" s="1">
        <v>39499</v>
      </c>
      <c r="U118" s="1" t="s">
        <v>79</v>
      </c>
      <c r="V118" s="1" t="s">
        <v>572</v>
      </c>
      <c r="W118" s="1" t="s">
        <v>890</v>
      </c>
    </row>
    <row r="119" spans="1:24" ht="15.75" customHeight="1" x14ac:dyDescent="0.35">
      <c r="A119" s="1" t="s">
        <v>30</v>
      </c>
      <c r="B119" s="1" t="s">
        <v>891</v>
      </c>
      <c r="C119" s="1" t="s">
        <v>892</v>
      </c>
      <c r="D119" s="1" t="s">
        <v>893</v>
      </c>
      <c r="E119" s="1" t="s">
        <v>507</v>
      </c>
      <c r="F119" s="1" t="s">
        <v>512</v>
      </c>
      <c r="G119" s="1" t="s">
        <v>894</v>
      </c>
      <c r="H119" s="1" t="s">
        <v>895</v>
      </c>
      <c r="I119" s="1" t="s">
        <v>896</v>
      </c>
      <c r="J119" s="1" t="s">
        <v>75</v>
      </c>
      <c r="K119" s="1" t="s">
        <v>101</v>
      </c>
      <c r="L119" s="1" t="s">
        <v>645</v>
      </c>
      <c r="M119" s="1" t="s">
        <v>897</v>
      </c>
      <c r="N119" s="1" t="s">
        <v>373</v>
      </c>
      <c r="O119" s="1" t="s">
        <v>374</v>
      </c>
      <c r="P119" s="1" t="s">
        <v>375</v>
      </c>
      <c r="Q119" s="1" t="s">
        <v>376</v>
      </c>
      <c r="R119" s="1" t="s">
        <v>376</v>
      </c>
      <c r="S119" s="1" t="s">
        <v>165</v>
      </c>
      <c r="T119" s="1">
        <v>27549</v>
      </c>
      <c r="U119" s="1" t="s">
        <v>79</v>
      </c>
      <c r="W119" s="1" t="s">
        <v>898</v>
      </c>
    </row>
    <row r="120" spans="1:24" ht="15.75" customHeight="1" x14ac:dyDescent="0.35">
      <c r="A120" s="1" t="s">
        <v>30</v>
      </c>
      <c r="B120" s="1" t="s">
        <v>341</v>
      </c>
      <c r="C120" s="1" t="s">
        <v>598</v>
      </c>
      <c r="D120" s="1" t="s">
        <v>899</v>
      </c>
      <c r="E120" s="1" t="s">
        <v>900</v>
      </c>
      <c r="F120" s="1" t="s">
        <v>901</v>
      </c>
      <c r="G120" s="1" t="s">
        <v>343</v>
      </c>
      <c r="H120" s="1" t="s">
        <v>902</v>
      </c>
      <c r="I120" s="1" t="s">
        <v>38</v>
      </c>
      <c r="J120" s="1" t="s">
        <v>39</v>
      </c>
      <c r="K120" s="1" t="s">
        <v>90</v>
      </c>
      <c r="L120" s="1" t="s">
        <v>903</v>
      </c>
      <c r="M120" s="1" t="s">
        <v>904</v>
      </c>
      <c r="O120" s="1" t="s">
        <v>44</v>
      </c>
      <c r="P120" s="1" t="s">
        <v>45</v>
      </c>
      <c r="Q120" s="1" t="s">
        <v>46</v>
      </c>
      <c r="R120" s="1" t="s">
        <v>64</v>
      </c>
      <c r="S120" s="1" t="s">
        <v>165</v>
      </c>
      <c r="T120" s="1">
        <v>229999</v>
      </c>
    </row>
    <row r="121" spans="1:24" ht="15.75" customHeight="1" x14ac:dyDescent="0.35">
      <c r="A121" s="1" t="s">
        <v>112</v>
      </c>
      <c r="B121" s="1" t="s">
        <v>905</v>
      </c>
      <c r="C121" s="1" t="s">
        <v>402</v>
      </c>
      <c r="D121" s="1" t="s">
        <v>115</v>
      </c>
      <c r="E121" s="1" t="s">
        <v>116</v>
      </c>
      <c r="F121" s="1" t="s">
        <v>665</v>
      </c>
      <c r="G121" s="1" t="s">
        <v>906</v>
      </c>
      <c r="H121" s="1" t="s">
        <v>907</v>
      </c>
      <c r="I121" s="1" t="s">
        <v>120</v>
      </c>
      <c r="K121" s="1" t="s">
        <v>101</v>
      </c>
      <c r="L121" s="1" t="s">
        <v>193</v>
      </c>
      <c r="M121" s="1" t="s">
        <v>908</v>
      </c>
      <c r="N121" s="1" t="s">
        <v>124</v>
      </c>
      <c r="O121" s="1" t="s">
        <v>909</v>
      </c>
      <c r="P121" s="1" t="s">
        <v>188</v>
      </c>
      <c r="Q121" s="1" t="s">
        <v>127</v>
      </c>
      <c r="R121" s="1" t="s">
        <v>128</v>
      </c>
      <c r="S121" s="1" t="s">
        <v>78</v>
      </c>
      <c r="T121" s="1">
        <v>44444</v>
      </c>
      <c r="U121" s="1" t="s">
        <v>79</v>
      </c>
      <c r="V121" s="1" t="s">
        <v>406</v>
      </c>
      <c r="W121" s="1" t="s">
        <v>910</v>
      </c>
    </row>
    <row r="122" spans="1:24" ht="15.75" customHeight="1" x14ac:dyDescent="0.35">
      <c r="A122" s="1" t="s">
        <v>112</v>
      </c>
      <c r="B122" s="1" t="s">
        <v>911</v>
      </c>
      <c r="C122" s="1" t="s">
        <v>687</v>
      </c>
      <c r="D122" s="1" t="s">
        <v>115</v>
      </c>
      <c r="E122" s="1" t="s">
        <v>116</v>
      </c>
      <c r="F122" s="1" t="s">
        <v>184</v>
      </c>
      <c r="G122" s="1" t="s">
        <v>118</v>
      </c>
      <c r="H122" s="1" t="s">
        <v>688</v>
      </c>
      <c r="K122" s="1" t="s">
        <v>90</v>
      </c>
      <c r="L122" s="1" t="s">
        <v>122</v>
      </c>
      <c r="M122" s="1" t="s">
        <v>123</v>
      </c>
      <c r="N122" s="1" t="s">
        <v>124</v>
      </c>
      <c r="O122" s="1" t="s">
        <v>148</v>
      </c>
      <c r="P122" s="1" t="s">
        <v>912</v>
      </c>
      <c r="Q122" s="1" t="s">
        <v>913</v>
      </c>
      <c r="R122" s="1" t="s">
        <v>128</v>
      </c>
      <c r="S122" s="1" t="s">
        <v>78</v>
      </c>
      <c r="T122" s="1">
        <v>33699</v>
      </c>
      <c r="U122" s="1" t="s">
        <v>79</v>
      </c>
      <c r="V122" s="1" t="s">
        <v>189</v>
      </c>
      <c r="W122" s="1" t="s">
        <v>914</v>
      </c>
    </row>
    <row r="123" spans="1:24" ht="15.75" customHeight="1" x14ac:dyDescent="0.35">
      <c r="A123" s="1" t="s">
        <v>234</v>
      </c>
      <c r="B123" s="1" t="s">
        <v>915</v>
      </c>
      <c r="C123" s="1" t="s">
        <v>83</v>
      </c>
      <c r="D123" s="1" t="s">
        <v>154</v>
      </c>
      <c r="E123" s="1" t="s">
        <v>70</v>
      </c>
      <c r="F123" s="1" t="s">
        <v>916</v>
      </c>
      <c r="G123" s="1" t="s">
        <v>629</v>
      </c>
      <c r="H123" s="1" t="s">
        <v>917</v>
      </c>
      <c r="I123" s="1" t="s">
        <v>275</v>
      </c>
      <c r="J123" s="1" t="s">
        <v>75</v>
      </c>
      <c r="K123" s="1" t="s">
        <v>40</v>
      </c>
      <c r="L123" s="1" t="s">
        <v>918</v>
      </c>
      <c r="M123" s="1" t="s">
        <v>919</v>
      </c>
      <c r="N123" s="1" t="s">
        <v>920</v>
      </c>
      <c r="O123" s="1" t="s">
        <v>921</v>
      </c>
      <c r="P123" s="1" t="s">
        <v>922</v>
      </c>
      <c r="Q123" s="1" t="s">
        <v>923</v>
      </c>
      <c r="R123" s="1" t="s">
        <v>64</v>
      </c>
      <c r="S123" s="1" t="s">
        <v>129</v>
      </c>
      <c r="T123" s="1">
        <v>39999</v>
      </c>
      <c r="V123" s="1" t="s">
        <v>924</v>
      </c>
    </row>
    <row r="124" spans="1:24" ht="15.75" customHeight="1" x14ac:dyDescent="0.35">
      <c r="A124" s="1" t="s">
        <v>151</v>
      </c>
      <c r="B124" s="1" t="s">
        <v>505</v>
      </c>
      <c r="C124" s="1" t="s">
        <v>854</v>
      </c>
      <c r="D124" s="1" t="s">
        <v>134</v>
      </c>
      <c r="E124" s="1" t="s">
        <v>70</v>
      </c>
      <c r="F124" s="1" t="s">
        <v>888</v>
      </c>
      <c r="G124" s="1" t="s">
        <v>156</v>
      </c>
      <c r="H124" s="1" t="s">
        <v>393</v>
      </c>
      <c r="I124" s="1" t="s">
        <v>74</v>
      </c>
      <c r="J124" s="1" t="s">
        <v>75</v>
      </c>
      <c r="K124" s="1" t="s">
        <v>121</v>
      </c>
      <c r="L124" s="1" t="s">
        <v>889</v>
      </c>
      <c r="M124" s="1" t="s">
        <v>394</v>
      </c>
      <c r="N124" s="1" t="s">
        <v>395</v>
      </c>
      <c r="O124" s="1" t="s">
        <v>396</v>
      </c>
      <c r="P124" s="1" t="s">
        <v>397</v>
      </c>
      <c r="Q124" s="1" t="s">
        <v>398</v>
      </c>
      <c r="R124" s="1" t="s">
        <v>164</v>
      </c>
      <c r="S124" s="1" t="s">
        <v>129</v>
      </c>
      <c r="T124" s="1">
        <v>38888</v>
      </c>
      <c r="U124" s="1" t="s">
        <v>166</v>
      </c>
      <c r="V124" s="1" t="s">
        <v>167</v>
      </c>
      <c r="W124" s="1" t="s">
        <v>925</v>
      </c>
    </row>
    <row r="125" spans="1:24" ht="15.75" customHeight="1" x14ac:dyDescent="0.35">
      <c r="A125" s="1" t="s">
        <v>151</v>
      </c>
      <c r="B125" s="1" t="s">
        <v>505</v>
      </c>
      <c r="C125" s="1" t="s">
        <v>153</v>
      </c>
      <c r="D125" s="1" t="s">
        <v>115</v>
      </c>
      <c r="E125" s="1" t="s">
        <v>70</v>
      </c>
      <c r="F125" s="1" t="s">
        <v>411</v>
      </c>
      <c r="G125" s="1" t="s">
        <v>156</v>
      </c>
      <c r="H125" s="1" t="s">
        <v>393</v>
      </c>
      <c r="I125" s="1" t="s">
        <v>74</v>
      </c>
      <c r="J125" s="1" t="s">
        <v>75</v>
      </c>
      <c r="K125" s="1" t="s">
        <v>90</v>
      </c>
      <c r="L125" s="1" t="s">
        <v>889</v>
      </c>
      <c r="M125" s="1" t="s">
        <v>617</v>
      </c>
      <c r="N125" s="1" t="s">
        <v>395</v>
      </c>
      <c r="O125" s="1" t="s">
        <v>396</v>
      </c>
      <c r="P125" s="1" t="s">
        <v>397</v>
      </c>
      <c r="Q125" s="1" t="s">
        <v>398</v>
      </c>
      <c r="R125" s="1" t="s">
        <v>164</v>
      </c>
      <c r="S125" s="1" t="s">
        <v>78</v>
      </c>
      <c r="T125" s="1">
        <v>30999</v>
      </c>
      <c r="U125" s="1" t="s">
        <v>166</v>
      </c>
      <c r="V125" s="1" t="s">
        <v>167</v>
      </c>
      <c r="W125" s="1" t="s">
        <v>926</v>
      </c>
    </row>
    <row r="126" spans="1:24" ht="15.75" customHeight="1" x14ac:dyDescent="0.35">
      <c r="A126" s="1" t="s">
        <v>112</v>
      </c>
      <c r="B126" s="1" t="s">
        <v>927</v>
      </c>
      <c r="C126" s="1" t="s">
        <v>693</v>
      </c>
      <c r="D126" s="1" t="s">
        <v>154</v>
      </c>
      <c r="E126" s="1" t="s">
        <v>116</v>
      </c>
      <c r="F126" s="1" t="s">
        <v>363</v>
      </c>
      <c r="G126" s="1" t="s">
        <v>118</v>
      </c>
      <c r="H126" s="1" t="s">
        <v>674</v>
      </c>
      <c r="I126" s="1" t="s">
        <v>120</v>
      </c>
      <c r="J126" s="1" t="s">
        <v>75</v>
      </c>
      <c r="K126" s="1" t="s">
        <v>121</v>
      </c>
      <c r="L126" s="1" t="s">
        <v>193</v>
      </c>
      <c r="M126" s="1" t="s">
        <v>139</v>
      </c>
      <c r="N126" s="1" t="s">
        <v>124</v>
      </c>
      <c r="O126" s="1" t="s">
        <v>187</v>
      </c>
      <c r="P126" s="1" t="s">
        <v>928</v>
      </c>
      <c r="Q126" s="1" t="s">
        <v>127</v>
      </c>
      <c r="R126" s="1" t="s">
        <v>128</v>
      </c>
      <c r="S126" s="1" t="s">
        <v>78</v>
      </c>
      <c r="T126" s="1">
        <v>43199</v>
      </c>
      <c r="U126" s="1" t="s">
        <v>79</v>
      </c>
      <c r="V126" s="1" t="s">
        <v>406</v>
      </c>
      <c r="W126" s="1" t="s">
        <v>929</v>
      </c>
    </row>
    <row r="127" spans="1:24" ht="15.75" customHeight="1" x14ac:dyDescent="0.35">
      <c r="A127" s="1" t="s">
        <v>151</v>
      </c>
      <c r="B127" s="1" t="s">
        <v>847</v>
      </c>
      <c r="C127" s="1" t="s">
        <v>852</v>
      </c>
      <c r="D127" s="1" t="s">
        <v>430</v>
      </c>
      <c r="E127" s="1" t="s">
        <v>52</v>
      </c>
      <c r="F127" s="1" t="s">
        <v>888</v>
      </c>
      <c r="G127" s="1" t="s">
        <v>156</v>
      </c>
      <c r="H127" s="1" t="s">
        <v>615</v>
      </c>
      <c r="I127" s="1" t="s">
        <v>120</v>
      </c>
      <c r="J127" s="1" t="s">
        <v>75</v>
      </c>
      <c r="K127" s="1" t="s">
        <v>101</v>
      </c>
      <c r="L127" s="1" t="s">
        <v>158</v>
      </c>
      <c r="M127" s="1" t="s">
        <v>394</v>
      </c>
      <c r="N127" s="1" t="s">
        <v>227</v>
      </c>
      <c r="O127" s="1" t="s">
        <v>849</v>
      </c>
      <c r="P127" s="1" t="s">
        <v>397</v>
      </c>
      <c r="Q127" s="1" t="s">
        <v>63</v>
      </c>
      <c r="R127" s="1" t="s">
        <v>164</v>
      </c>
      <c r="S127" s="1" t="s">
        <v>339</v>
      </c>
      <c r="T127" s="1">
        <v>52999</v>
      </c>
      <c r="U127" s="1" t="s">
        <v>65</v>
      </c>
      <c r="V127" s="1" t="s">
        <v>619</v>
      </c>
      <c r="W127" s="1" t="s">
        <v>930</v>
      </c>
    </row>
    <row r="128" spans="1:24" ht="15.75" customHeight="1" x14ac:dyDescent="0.35">
      <c r="A128" s="1" t="s">
        <v>151</v>
      </c>
      <c r="B128" s="1" t="s">
        <v>931</v>
      </c>
      <c r="C128" s="1" t="s">
        <v>320</v>
      </c>
      <c r="D128" s="1" t="s">
        <v>932</v>
      </c>
      <c r="E128" s="1" t="s">
        <v>272</v>
      </c>
      <c r="F128" s="1" t="s">
        <v>447</v>
      </c>
      <c r="G128" s="1" t="s">
        <v>933</v>
      </c>
      <c r="H128" s="1" t="s">
        <v>934</v>
      </c>
      <c r="I128" s="1" t="s">
        <v>224</v>
      </c>
      <c r="J128" s="1" t="s">
        <v>57</v>
      </c>
      <c r="K128" s="1" t="s">
        <v>90</v>
      </c>
      <c r="L128" s="1" t="s">
        <v>225</v>
      </c>
      <c r="M128" s="1" t="s">
        <v>226</v>
      </c>
      <c r="N128" s="1" t="s">
        <v>227</v>
      </c>
      <c r="O128" s="1" t="s">
        <v>935</v>
      </c>
      <c r="P128" s="1" t="s">
        <v>434</v>
      </c>
      <c r="Q128" s="1" t="s">
        <v>205</v>
      </c>
      <c r="R128" s="1" t="s">
        <v>231</v>
      </c>
      <c r="S128" s="1" t="s">
        <v>936</v>
      </c>
      <c r="T128" s="1">
        <v>160000</v>
      </c>
      <c r="V128" s="1" t="s">
        <v>263</v>
      </c>
      <c r="W128" s="1" t="s">
        <v>937</v>
      </c>
      <c r="X128" s="1" t="s">
        <v>938</v>
      </c>
    </row>
    <row r="129" spans="1:23" ht="15.75" customHeight="1" x14ac:dyDescent="0.35">
      <c r="A129" s="1" t="s">
        <v>151</v>
      </c>
      <c r="B129" s="1" t="s">
        <v>939</v>
      </c>
      <c r="C129" s="1" t="s">
        <v>50</v>
      </c>
      <c r="D129" s="1" t="s">
        <v>522</v>
      </c>
      <c r="E129" s="1" t="s">
        <v>410</v>
      </c>
      <c r="F129" s="1" t="s">
        <v>447</v>
      </c>
      <c r="G129" s="1" t="s">
        <v>796</v>
      </c>
      <c r="H129" s="1" t="s">
        <v>431</v>
      </c>
      <c r="I129" s="1" t="s">
        <v>89</v>
      </c>
      <c r="J129" s="1" t="s">
        <v>256</v>
      </c>
      <c r="K129" s="1" t="s">
        <v>40</v>
      </c>
      <c r="L129" s="1" t="s">
        <v>940</v>
      </c>
      <c r="M129" s="1" t="s">
        <v>226</v>
      </c>
      <c r="N129" s="1" t="s">
        <v>941</v>
      </c>
      <c r="O129" s="1" t="s">
        <v>942</v>
      </c>
      <c r="P129" s="1" t="s">
        <v>943</v>
      </c>
      <c r="Q129" s="1" t="s">
        <v>944</v>
      </c>
      <c r="R129" s="1" t="s">
        <v>945</v>
      </c>
      <c r="S129" s="1" t="s">
        <v>129</v>
      </c>
      <c r="T129" s="1">
        <v>103499</v>
      </c>
      <c r="U129" s="1" t="s">
        <v>65</v>
      </c>
      <c r="V129" s="1" t="s">
        <v>232</v>
      </c>
      <c r="W129" s="1" t="s">
        <v>946</v>
      </c>
    </row>
    <row r="130" spans="1:23" ht="15.75" customHeight="1" x14ac:dyDescent="0.35">
      <c r="A130" s="1" t="s">
        <v>30</v>
      </c>
      <c r="B130" s="1" t="s">
        <v>947</v>
      </c>
      <c r="C130" s="1" t="s">
        <v>859</v>
      </c>
      <c r="D130" s="1" t="s">
        <v>108</v>
      </c>
      <c r="E130" s="1" t="s">
        <v>52</v>
      </c>
      <c r="F130" s="1" t="s">
        <v>53</v>
      </c>
      <c r="G130" s="1" t="s">
        <v>54</v>
      </c>
      <c r="H130" s="1" t="s">
        <v>948</v>
      </c>
      <c r="I130" s="1" t="s">
        <v>89</v>
      </c>
      <c r="J130" s="1" t="s">
        <v>256</v>
      </c>
      <c r="K130" s="1" t="s">
        <v>40</v>
      </c>
      <c r="L130" s="1" t="s">
        <v>324</v>
      </c>
      <c r="M130" s="1" t="s">
        <v>949</v>
      </c>
      <c r="N130" s="1" t="s">
        <v>326</v>
      </c>
      <c r="O130" s="1" t="s">
        <v>327</v>
      </c>
      <c r="P130" s="1" t="s">
        <v>950</v>
      </c>
      <c r="Q130" s="1" t="s">
        <v>944</v>
      </c>
      <c r="R130" s="1" t="s">
        <v>338</v>
      </c>
      <c r="S130" s="1" t="s">
        <v>165</v>
      </c>
      <c r="T130" s="1">
        <v>76850</v>
      </c>
    </row>
    <row r="131" spans="1:23" ht="15.75" customHeight="1" x14ac:dyDescent="0.35">
      <c r="A131" s="1" t="s">
        <v>30</v>
      </c>
      <c r="B131" s="1" t="s">
        <v>951</v>
      </c>
      <c r="C131" s="1" t="s">
        <v>859</v>
      </c>
      <c r="D131" s="1" t="s">
        <v>51</v>
      </c>
      <c r="E131" s="1" t="s">
        <v>52</v>
      </c>
      <c r="F131" s="1" t="s">
        <v>53</v>
      </c>
      <c r="G131" s="1" t="s">
        <v>54</v>
      </c>
      <c r="H131" s="1" t="s">
        <v>948</v>
      </c>
      <c r="I131" s="1" t="s">
        <v>89</v>
      </c>
      <c r="J131" s="1" t="s">
        <v>256</v>
      </c>
      <c r="K131" s="1" t="s">
        <v>40</v>
      </c>
      <c r="L131" s="1" t="s">
        <v>324</v>
      </c>
      <c r="M131" s="1" t="s">
        <v>949</v>
      </c>
      <c r="N131" s="1" t="s">
        <v>326</v>
      </c>
      <c r="O131" s="1" t="s">
        <v>327</v>
      </c>
      <c r="P131" s="1" t="s">
        <v>950</v>
      </c>
      <c r="Q131" s="1" t="s">
        <v>944</v>
      </c>
      <c r="R131" s="1" t="s">
        <v>338</v>
      </c>
      <c r="S131" s="1" t="s">
        <v>165</v>
      </c>
      <c r="T131" s="1">
        <v>85450</v>
      </c>
    </row>
    <row r="132" spans="1:23" ht="15.75" customHeight="1" x14ac:dyDescent="0.35">
      <c r="A132" s="1" t="s">
        <v>30</v>
      </c>
      <c r="B132" s="1" t="s">
        <v>557</v>
      </c>
      <c r="C132" s="1" t="s">
        <v>859</v>
      </c>
      <c r="D132" s="1" t="s">
        <v>482</v>
      </c>
      <c r="E132" s="1" t="s">
        <v>272</v>
      </c>
      <c r="F132" s="1" t="s">
        <v>53</v>
      </c>
      <c r="G132" s="1" t="s">
        <v>54</v>
      </c>
      <c r="H132" s="1" t="s">
        <v>948</v>
      </c>
      <c r="I132" s="1" t="s">
        <v>89</v>
      </c>
      <c r="J132" s="1" t="s">
        <v>256</v>
      </c>
      <c r="K132" s="1" t="s">
        <v>40</v>
      </c>
      <c r="L132" s="1" t="s">
        <v>324</v>
      </c>
      <c r="M132" s="1" t="s">
        <v>325</v>
      </c>
      <c r="N132" s="1" t="s">
        <v>43</v>
      </c>
      <c r="O132" s="1" t="s">
        <v>335</v>
      </c>
      <c r="P132" s="1" t="s">
        <v>536</v>
      </c>
      <c r="Q132" s="1" t="s">
        <v>537</v>
      </c>
      <c r="R132" s="1" t="s">
        <v>338</v>
      </c>
      <c r="S132" s="1" t="s">
        <v>165</v>
      </c>
      <c r="T132" s="1">
        <v>158409</v>
      </c>
    </row>
    <row r="133" spans="1:23" ht="15.75" customHeight="1" x14ac:dyDescent="0.35">
      <c r="A133" s="1" t="s">
        <v>234</v>
      </c>
      <c r="B133" s="1" t="s">
        <v>952</v>
      </c>
      <c r="C133" s="1" t="s">
        <v>285</v>
      </c>
      <c r="D133" s="1" t="s">
        <v>482</v>
      </c>
      <c r="E133" s="1" t="s">
        <v>272</v>
      </c>
      <c r="F133" s="1" t="s">
        <v>953</v>
      </c>
      <c r="G133" s="1" t="s">
        <v>239</v>
      </c>
      <c r="H133" s="1" t="s">
        <v>954</v>
      </c>
      <c r="I133" s="1" t="s">
        <v>89</v>
      </c>
      <c r="J133" s="1" t="s">
        <v>256</v>
      </c>
      <c r="K133" s="1" t="s">
        <v>40</v>
      </c>
      <c r="L133" s="1" t="s">
        <v>955</v>
      </c>
      <c r="M133" s="1" t="s">
        <v>241</v>
      </c>
      <c r="N133" s="1" t="s">
        <v>277</v>
      </c>
      <c r="O133" s="1" t="s">
        <v>456</v>
      </c>
      <c r="P133" s="1" t="s">
        <v>290</v>
      </c>
      <c r="Q133" s="1" t="s">
        <v>280</v>
      </c>
      <c r="R133" s="1" t="s">
        <v>956</v>
      </c>
      <c r="S133" s="1" t="s">
        <v>129</v>
      </c>
      <c r="T133" s="1">
        <v>128888</v>
      </c>
      <c r="V133" s="1" t="s">
        <v>457</v>
      </c>
      <c r="W133" s="1" t="s">
        <v>957</v>
      </c>
    </row>
    <row r="134" spans="1:23" ht="15.75" customHeight="1" x14ac:dyDescent="0.35">
      <c r="A134" s="1" t="s">
        <v>151</v>
      </c>
      <c r="B134" s="1" t="s">
        <v>152</v>
      </c>
      <c r="C134" s="1" t="s">
        <v>958</v>
      </c>
      <c r="D134" s="1" t="s">
        <v>69</v>
      </c>
      <c r="E134" s="1" t="s">
        <v>70</v>
      </c>
      <c r="F134" s="1" t="s">
        <v>155</v>
      </c>
      <c r="G134" s="1" t="s">
        <v>156</v>
      </c>
      <c r="H134" s="1" t="s">
        <v>157</v>
      </c>
      <c r="I134" s="1" t="s">
        <v>120</v>
      </c>
      <c r="J134" s="1" t="s">
        <v>75</v>
      </c>
      <c r="K134" s="1" t="s">
        <v>40</v>
      </c>
      <c r="L134" s="1" t="s">
        <v>158</v>
      </c>
      <c r="M134" s="1" t="s">
        <v>856</v>
      </c>
      <c r="N134" s="1" t="s">
        <v>160</v>
      </c>
      <c r="O134" s="1" t="s">
        <v>161</v>
      </c>
      <c r="P134" s="1" t="s">
        <v>162</v>
      </c>
      <c r="Q134" s="1" t="s">
        <v>163</v>
      </c>
      <c r="R134" s="1" t="s">
        <v>164</v>
      </c>
      <c r="S134" s="1" t="s">
        <v>129</v>
      </c>
      <c r="T134" s="1">
        <v>40999</v>
      </c>
      <c r="U134" s="1" t="s">
        <v>166</v>
      </c>
      <c r="V134" s="1" t="s">
        <v>959</v>
      </c>
      <c r="W134" s="1" t="s">
        <v>960</v>
      </c>
    </row>
    <row r="135" spans="1:23" ht="15.75" customHeight="1" x14ac:dyDescent="0.35">
      <c r="A135" s="1" t="s">
        <v>234</v>
      </c>
      <c r="B135" s="1" t="s">
        <v>961</v>
      </c>
      <c r="C135" s="1" t="s">
        <v>655</v>
      </c>
      <c r="D135" s="1" t="s">
        <v>69</v>
      </c>
      <c r="E135" s="1" t="s">
        <v>70</v>
      </c>
      <c r="F135" s="1" t="s">
        <v>286</v>
      </c>
      <c r="G135" s="1" t="s">
        <v>295</v>
      </c>
      <c r="H135" s="1" t="s">
        <v>623</v>
      </c>
      <c r="I135" s="1" t="s">
        <v>275</v>
      </c>
      <c r="J135" s="1" t="s">
        <v>75</v>
      </c>
      <c r="K135" s="1" t="s">
        <v>40</v>
      </c>
      <c r="L135" s="1" t="s">
        <v>515</v>
      </c>
      <c r="M135" s="1" t="s">
        <v>464</v>
      </c>
      <c r="N135" s="1" t="s">
        <v>465</v>
      </c>
      <c r="O135" s="1" t="s">
        <v>624</v>
      </c>
      <c r="P135" s="1" t="s">
        <v>466</v>
      </c>
      <c r="Q135" s="1" t="s">
        <v>300</v>
      </c>
      <c r="R135" s="1" t="s">
        <v>467</v>
      </c>
      <c r="S135" s="1" t="s">
        <v>129</v>
      </c>
      <c r="T135" s="1">
        <v>49999</v>
      </c>
      <c r="U135" s="1" t="s">
        <v>79</v>
      </c>
      <c r="V135" s="1" t="s">
        <v>962</v>
      </c>
      <c r="W135" s="1" t="s">
        <v>963</v>
      </c>
    </row>
    <row r="136" spans="1:23" ht="15.75" customHeight="1" x14ac:dyDescent="0.35">
      <c r="A136" s="1" t="s">
        <v>234</v>
      </c>
      <c r="B136" s="1" t="s">
        <v>964</v>
      </c>
      <c r="C136" s="1" t="s">
        <v>460</v>
      </c>
      <c r="D136" s="1" t="s">
        <v>461</v>
      </c>
      <c r="F136" s="1" t="s">
        <v>965</v>
      </c>
      <c r="G136" s="1" t="s">
        <v>295</v>
      </c>
      <c r="H136" s="1" t="s">
        <v>463</v>
      </c>
      <c r="I136" s="1" t="s">
        <v>275</v>
      </c>
      <c r="J136" s="1" t="s">
        <v>75</v>
      </c>
      <c r="K136" s="1" t="s">
        <v>40</v>
      </c>
      <c r="M136" s="1" t="s">
        <v>464</v>
      </c>
      <c r="N136" s="1" t="s">
        <v>465</v>
      </c>
      <c r="P136" s="1" t="s">
        <v>466</v>
      </c>
      <c r="Q136" s="1" t="s">
        <v>300</v>
      </c>
      <c r="R136" s="1" t="s">
        <v>467</v>
      </c>
      <c r="S136" s="1" t="s">
        <v>129</v>
      </c>
      <c r="T136" s="1">
        <v>42199</v>
      </c>
      <c r="V136" s="1" t="s">
        <v>468</v>
      </c>
      <c r="W136" s="1" t="s">
        <v>966</v>
      </c>
    </row>
    <row r="137" spans="1:23" ht="15.75" customHeight="1" x14ac:dyDescent="0.35">
      <c r="A137" s="1" t="s">
        <v>234</v>
      </c>
      <c r="B137" s="1" t="s">
        <v>967</v>
      </c>
      <c r="C137" s="1" t="s">
        <v>668</v>
      </c>
      <c r="D137" s="1" t="s">
        <v>51</v>
      </c>
      <c r="E137" s="1" t="s">
        <v>52</v>
      </c>
      <c r="F137" s="1" t="s">
        <v>968</v>
      </c>
      <c r="G137" s="1" t="s">
        <v>969</v>
      </c>
      <c r="H137" s="1" t="s">
        <v>970</v>
      </c>
      <c r="I137" s="1" t="s">
        <v>345</v>
      </c>
      <c r="J137" s="1" t="s">
        <v>971</v>
      </c>
      <c r="K137" s="1" t="s">
        <v>40</v>
      </c>
      <c r="L137" s="1" t="s">
        <v>972</v>
      </c>
      <c r="M137" s="1" t="s">
        <v>241</v>
      </c>
      <c r="N137" s="1" t="s">
        <v>973</v>
      </c>
      <c r="O137" s="1" t="s">
        <v>974</v>
      </c>
      <c r="P137" s="1" t="s">
        <v>975</v>
      </c>
      <c r="Q137" s="1" t="s">
        <v>976</v>
      </c>
      <c r="R137" s="1" t="s">
        <v>977</v>
      </c>
      <c r="S137" s="1" t="s">
        <v>129</v>
      </c>
      <c r="T137" s="1">
        <v>152000</v>
      </c>
      <c r="V137" s="1" t="s">
        <v>978</v>
      </c>
      <c r="W137" s="1" t="s">
        <v>979</v>
      </c>
    </row>
    <row r="138" spans="1:23" ht="15.75" customHeight="1" x14ac:dyDescent="0.35">
      <c r="A138" s="1" t="s">
        <v>151</v>
      </c>
      <c r="B138" s="1" t="s">
        <v>152</v>
      </c>
      <c r="C138" s="1" t="s">
        <v>854</v>
      </c>
      <c r="D138" s="1" t="s">
        <v>69</v>
      </c>
      <c r="E138" s="1" t="s">
        <v>70</v>
      </c>
      <c r="F138" s="1" t="s">
        <v>155</v>
      </c>
      <c r="G138" s="1" t="s">
        <v>156</v>
      </c>
      <c r="H138" s="1" t="s">
        <v>855</v>
      </c>
      <c r="I138" s="1" t="s">
        <v>120</v>
      </c>
      <c r="J138" s="1" t="s">
        <v>75</v>
      </c>
      <c r="K138" s="1" t="s">
        <v>101</v>
      </c>
      <c r="L138" s="1" t="s">
        <v>158</v>
      </c>
      <c r="M138" s="1" t="s">
        <v>856</v>
      </c>
      <c r="N138" s="1" t="s">
        <v>160</v>
      </c>
      <c r="O138" s="1" t="s">
        <v>161</v>
      </c>
      <c r="P138" s="1" t="s">
        <v>162</v>
      </c>
      <c r="Q138" s="1" t="s">
        <v>163</v>
      </c>
      <c r="R138" s="1" t="s">
        <v>164</v>
      </c>
      <c r="S138" s="1" t="s">
        <v>129</v>
      </c>
      <c r="T138" s="1">
        <v>34999</v>
      </c>
      <c r="U138" s="1" t="s">
        <v>166</v>
      </c>
      <c r="V138" s="1" t="s">
        <v>167</v>
      </c>
      <c r="W138" s="1" t="s">
        <v>980</v>
      </c>
    </row>
    <row r="139" spans="1:23" ht="15.75" customHeight="1" x14ac:dyDescent="0.35">
      <c r="A139" s="1" t="s">
        <v>234</v>
      </c>
      <c r="B139" s="1" t="s">
        <v>981</v>
      </c>
      <c r="C139" s="1" t="s">
        <v>687</v>
      </c>
      <c r="D139" s="1" t="s">
        <v>982</v>
      </c>
      <c r="E139" s="1" t="s">
        <v>507</v>
      </c>
      <c r="F139" s="1" t="s">
        <v>983</v>
      </c>
      <c r="G139" s="1" t="s">
        <v>629</v>
      </c>
      <c r="H139" s="1" t="s">
        <v>630</v>
      </c>
      <c r="I139" s="1" t="s">
        <v>275</v>
      </c>
      <c r="J139" s="1" t="s">
        <v>75</v>
      </c>
      <c r="K139" s="1" t="s">
        <v>40</v>
      </c>
      <c r="L139" s="1" t="s">
        <v>984</v>
      </c>
      <c r="M139" s="1" t="s">
        <v>632</v>
      </c>
      <c r="N139" s="1" t="s">
        <v>633</v>
      </c>
      <c r="O139" s="1" t="s">
        <v>634</v>
      </c>
      <c r="P139" s="1" t="s">
        <v>635</v>
      </c>
      <c r="Q139" s="1" t="s">
        <v>636</v>
      </c>
      <c r="R139" s="1" t="s">
        <v>985</v>
      </c>
      <c r="S139" s="1" t="s">
        <v>129</v>
      </c>
      <c r="T139" s="1">
        <v>36666</v>
      </c>
      <c r="U139" s="1" t="s">
        <v>79</v>
      </c>
      <c r="V139" s="1" t="s">
        <v>986</v>
      </c>
      <c r="W139" s="1" t="s">
        <v>987</v>
      </c>
    </row>
    <row r="140" spans="1:23" ht="15.75" customHeight="1" x14ac:dyDescent="0.35">
      <c r="A140" s="1" t="s">
        <v>112</v>
      </c>
      <c r="B140" s="1" t="s">
        <v>988</v>
      </c>
      <c r="C140" s="1" t="s">
        <v>687</v>
      </c>
      <c r="D140" s="1" t="s">
        <v>350</v>
      </c>
      <c r="E140" s="1" t="s">
        <v>439</v>
      </c>
      <c r="F140" s="1" t="s">
        <v>363</v>
      </c>
      <c r="G140" s="1" t="s">
        <v>906</v>
      </c>
      <c r="H140" s="1" t="s">
        <v>989</v>
      </c>
      <c r="I140" s="1" t="s">
        <v>120</v>
      </c>
      <c r="K140" s="1" t="s">
        <v>40</v>
      </c>
      <c r="L140" s="1" t="s">
        <v>990</v>
      </c>
      <c r="M140" s="1" t="s">
        <v>123</v>
      </c>
      <c r="N140" s="1" t="s">
        <v>124</v>
      </c>
      <c r="O140" s="1" t="s">
        <v>187</v>
      </c>
      <c r="P140" s="1" t="s">
        <v>126</v>
      </c>
      <c r="R140" s="1" t="s">
        <v>991</v>
      </c>
      <c r="S140" s="1" t="s">
        <v>129</v>
      </c>
      <c r="T140" s="1">
        <v>29999</v>
      </c>
      <c r="U140" s="1" t="s">
        <v>79</v>
      </c>
      <c r="V140" s="1" t="s">
        <v>189</v>
      </c>
      <c r="W140" s="1" t="s">
        <v>992</v>
      </c>
    </row>
    <row r="141" spans="1:23" ht="15.75" customHeight="1" x14ac:dyDescent="0.35">
      <c r="A141" s="1" t="s">
        <v>151</v>
      </c>
      <c r="B141" s="1" t="s">
        <v>847</v>
      </c>
      <c r="C141" s="1" t="s">
        <v>539</v>
      </c>
      <c r="D141" s="1" t="s">
        <v>97</v>
      </c>
      <c r="E141" s="1" t="s">
        <v>52</v>
      </c>
      <c r="F141" s="1" t="s">
        <v>888</v>
      </c>
      <c r="G141" s="1" t="s">
        <v>156</v>
      </c>
      <c r="H141" s="1" t="s">
        <v>393</v>
      </c>
      <c r="I141" s="1" t="s">
        <v>120</v>
      </c>
      <c r="J141" s="1" t="s">
        <v>75</v>
      </c>
      <c r="K141" s="1" t="s">
        <v>101</v>
      </c>
      <c r="L141" s="1" t="s">
        <v>158</v>
      </c>
      <c r="M141" s="1" t="s">
        <v>394</v>
      </c>
      <c r="N141" s="1" t="s">
        <v>227</v>
      </c>
      <c r="O141" s="1" t="s">
        <v>849</v>
      </c>
      <c r="P141" s="1" t="s">
        <v>397</v>
      </c>
      <c r="Q141" s="1" t="s">
        <v>63</v>
      </c>
      <c r="R141" s="1" t="s">
        <v>164</v>
      </c>
      <c r="S141" s="1" t="s">
        <v>165</v>
      </c>
      <c r="T141" s="1">
        <v>58499</v>
      </c>
      <c r="U141" s="1" t="s">
        <v>65</v>
      </c>
      <c r="V141" s="1" t="s">
        <v>619</v>
      </c>
      <c r="W141" s="1" t="s">
        <v>993</v>
      </c>
    </row>
    <row r="142" spans="1:23" ht="15.75" customHeight="1" x14ac:dyDescent="0.35">
      <c r="A142" s="1" t="s">
        <v>151</v>
      </c>
      <c r="B142" s="1" t="s">
        <v>847</v>
      </c>
      <c r="C142" s="1" t="s">
        <v>539</v>
      </c>
      <c r="D142" s="1" t="s">
        <v>430</v>
      </c>
      <c r="E142" s="1" t="s">
        <v>52</v>
      </c>
      <c r="F142" s="1" t="s">
        <v>888</v>
      </c>
      <c r="G142" s="1" t="s">
        <v>156</v>
      </c>
      <c r="H142" s="1" t="s">
        <v>393</v>
      </c>
      <c r="I142" s="1" t="s">
        <v>120</v>
      </c>
      <c r="J142" s="1" t="s">
        <v>75</v>
      </c>
      <c r="K142" s="1" t="s">
        <v>40</v>
      </c>
      <c r="L142" s="1" t="s">
        <v>158</v>
      </c>
      <c r="M142" s="1" t="s">
        <v>394</v>
      </c>
      <c r="N142" s="1" t="s">
        <v>227</v>
      </c>
      <c r="O142" s="1" t="s">
        <v>849</v>
      </c>
      <c r="P142" s="1" t="s">
        <v>397</v>
      </c>
      <c r="Q142" s="1" t="s">
        <v>63</v>
      </c>
      <c r="R142" s="1" t="s">
        <v>164</v>
      </c>
      <c r="S142" s="1" t="s">
        <v>165</v>
      </c>
      <c r="T142" s="1">
        <v>58888</v>
      </c>
      <c r="U142" s="1" t="s">
        <v>65</v>
      </c>
      <c r="V142" s="1" t="s">
        <v>619</v>
      </c>
      <c r="W142" s="1" t="s">
        <v>994</v>
      </c>
    </row>
    <row r="143" spans="1:23" ht="15.75" customHeight="1" x14ac:dyDescent="0.35">
      <c r="A143" s="1" t="s">
        <v>112</v>
      </c>
      <c r="B143" s="1" t="s">
        <v>995</v>
      </c>
      <c r="C143" s="1" t="s">
        <v>693</v>
      </c>
      <c r="D143" s="1" t="s">
        <v>69</v>
      </c>
      <c r="E143" s="1" t="s">
        <v>362</v>
      </c>
      <c r="F143" s="1" t="s">
        <v>996</v>
      </c>
      <c r="G143" s="1" t="s">
        <v>118</v>
      </c>
      <c r="H143" s="1" t="s">
        <v>674</v>
      </c>
      <c r="I143" s="1" t="s">
        <v>120</v>
      </c>
      <c r="J143" s="1" t="s">
        <v>75</v>
      </c>
      <c r="K143" s="1" t="s">
        <v>101</v>
      </c>
      <c r="L143" s="1" t="s">
        <v>193</v>
      </c>
      <c r="M143" s="1" t="s">
        <v>139</v>
      </c>
      <c r="N143" s="1" t="s">
        <v>124</v>
      </c>
      <c r="O143" s="1" t="s">
        <v>187</v>
      </c>
      <c r="P143" s="1" t="s">
        <v>126</v>
      </c>
      <c r="Q143" s="1" t="s">
        <v>127</v>
      </c>
      <c r="R143" s="1" t="s">
        <v>128</v>
      </c>
      <c r="S143" s="1" t="s">
        <v>129</v>
      </c>
      <c r="T143" s="1">
        <v>46444</v>
      </c>
      <c r="U143" s="1" t="s">
        <v>79</v>
      </c>
      <c r="V143" s="1" t="s">
        <v>406</v>
      </c>
      <c r="W143" s="1" t="s">
        <v>997</v>
      </c>
    </row>
    <row r="144" spans="1:23" ht="15.75" customHeight="1" x14ac:dyDescent="0.35">
      <c r="A144" s="1" t="s">
        <v>112</v>
      </c>
      <c r="B144" s="1" t="s">
        <v>998</v>
      </c>
      <c r="C144" s="1" t="s">
        <v>693</v>
      </c>
      <c r="D144" s="1" t="s">
        <v>69</v>
      </c>
      <c r="E144" s="1" t="s">
        <v>772</v>
      </c>
      <c r="F144" s="1" t="s">
        <v>609</v>
      </c>
      <c r="G144" s="1" t="s">
        <v>171</v>
      </c>
      <c r="H144" s="1" t="s">
        <v>999</v>
      </c>
      <c r="I144" s="1" t="s">
        <v>120</v>
      </c>
      <c r="J144" s="1" t="s">
        <v>75</v>
      </c>
      <c r="K144" s="1" t="s">
        <v>101</v>
      </c>
      <c r="L144" s="1" t="s">
        <v>179</v>
      </c>
      <c r="M144" s="1" t="s">
        <v>139</v>
      </c>
      <c r="N144" s="1" t="s">
        <v>140</v>
      </c>
      <c r="O144" s="1" t="s">
        <v>141</v>
      </c>
      <c r="P144" s="1" t="s">
        <v>1000</v>
      </c>
      <c r="Q144" s="1" t="s">
        <v>267</v>
      </c>
      <c r="R144" s="1" t="s">
        <v>1001</v>
      </c>
      <c r="S144" s="1" t="s">
        <v>129</v>
      </c>
      <c r="T144" s="1">
        <v>48888</v>
      </c>
      <c r="U144" s="1" t="s">
        <v>79</v>
      </c>
      <c r="V144" s="1" t="s">
        <v>406</v>
      </c>
      <c r="W144" s="1" t="s">
        <v>1002</v>
      </c>
    </row>
    <row r="145" spans="1:23" ht="15.75" customHeight="1" x14ac:dyDescent="0.35">
      <c r="A145" s="1" t="s">
        <v>30</v>
      </c>
      <c r="B145" s="1" t="s">
        <v>497</v>
      </c>
      <c r="C145" s="1" t="s">
        <v>429</v>
      </c>
      <c r="D145" s="1" t="s">
        <v>669</v>
      </c>
      <c r="E145" s="1" t="s">
        <v>410</v>
      </c>
      <c r="F145" s="1" t="s">
        <v>1003</v>
      </c>
      <c r="G145" s="1" t="s">
        <v>382</v>
      </c>
      <c r="H145" s="1" t="s">
        <v>1004</v>
      </c>
      <c r="I145" s="1" t="s">
        <v>275</v>
      </c>
      <c r="J145" s="1" t="s">
        <v>75</v>
      </c>
      <c r="K145" s="1" t="s">
        <v>201</v>
      </c>
      <c r="L145" s="1" t="s">
        <v>324</v>
      </c>
      <c r="M145" s="1" t="s">
        <v>500</v>
      </c>
      <c r="N145" s="1" t="s">
        <v>326</v>
      </c>
      <c r="O145" s="1" t="s">
        <v>501</v>
      </c>
      <c r="P145" s="1" t="s">
        <v>502</v>
      </c>
      <c r="Q145" s="1" t="s">
        <v>503</v>
      </c>
      <c r="R145" s="1" t="s">
        <v>246</v>
      </c>
      <c r="S145" s="1" t="s">
        <v>165</v>
      </c>
      <c r="T145" s="1">
        <v>62999</v>
      </c>
      <c r="U145" s="1" t="s">
        <v>65</v>
      </c>
    </row>
    <row r="146" spans="1:23" ht="15.75" customHeight="1" x14ac:dyDescent="0.35">
      <c r="A146" s="1" t="s">
        <v>112</v>
      </c>
      <c r="B146" s="1" t="s">
        <v>1005</v>
      </c>
      <c r="C146" s="1" t="s">
        <v>693</v>
      </c>
      <c r="D146" s="1" t="s">
        <v>154</v>
      </c>
      <c r="E146" s="1" t="s">
        <v>772</v>
      </c>
      <c r="F146" s="1" t="s">
        <v>665</v>
      </c>
      <c r="G146" s="1" t="s">
        <v>118</v>
      </c>
      <c r="H146" s="1" t="s">
        <v>674</v>
      </c>
      <c r="I146" s="1" t="s">
        <v>120</v>
      </c>
      <c r="J146" s="1" t="s">
        <v>75</v>
      </c>
      <c r="K146" s="1" t="s">
        <v>90</v>
      </c>
      <c r="L146" s="1" t="s">
        <v>193</v>
      </c>
      <c r="M146" s="1" t="s">
        <v>139</v>
      </c>
      <c r="N146" s="1" t="s">
        <v>124</v>
      </c>
      <c r="O146" s="1" t="s">
        <v>187</v>
      </c>
      <c r="P146" s="1" t="s">
        <v>126</v>
      </c>
      <c r="Q146" s="1" t="s">
        <v>127</v>
      </c>
      <c r="R146" s="1" t="s">
        <v>128</v>
      </c>
      <c r="S146" s="1" t="s">
        <v>129</v>
      </c>
      <c r="T146" s="1">
        <v>44444</v>
      </c>
      <c r="U146" s="1" t="s">
        <v>79</v>
      </c>
      <c r="V146" s="1" t="s">
        <v>406</v>
      </c>
      <c r="W146" s="1" t="s">
        <v>1006</v>
      </c>
    </row>
    <row r="147" spans="1:23" ht="15.75" customHeight="1" x14ac:dyDescent="0.35">
      <c r="A147" s="1" t="s">
        <v>112</v>
      </c>
      <c r="B147" s="1" t="s">
        <v>1007</v>
      </c>
      <c r="C147" s="1" t="s">
        <v>170</v>
      </c>
      <c r="D147" s="1" t="s">
        <v>1008</v>
      </c>
      <c r="E147" s="1" t="s">
        <v>116</v>
      </c>
      <c r="F147" s="1" t="s">
        <v>135</v>
      </c>
      <c r="G147" s="1" t="s">
        <v>171</v>
      </c>
      <c r="K147" s="1" t="s">
        <v>101</v>
      </c>
      <c r="L147" s="1" t="s">
        <v>179</v>
      </c>
      <c r="M147" s="1" t="s">
        <v>139</v>
      </c>
      <c r="N147" s="1" t="s">
        <v>140</v>
      </c>
      <c r="O147" s="1" t="s">
        <v>141</v>
      </c>
      <c r="Q147" s="1" t="s">
        <v>142</v>
      </c>
      <c r="R147" s="1" t="s">
        <v>180</v>
      </c>
      <c r="S147" s="1" t="s">
        <v>78</v>
      </c>
      <c r="T147" s="1">
        <v>38999</v>
      </c>
      <c r="U147" s="1" t="s">
        <v>65</v>
      </c>
      <c r="V147" s="1" t="s">
        <v>174</v>
      </c>
      <c r="W147" s="1" t="s">
        <v>1009</v>
      </c>
    </row>
    <row r="148" spans="1:23" ht="15.75" customHeight="1" x14ac:dyDescent="0.35">
      <c r="A148" s="1" t="s">
        <v>151</v>
      </c>
      <c r="B148" s="1" t="s">
        <v>389</v>
      </c>
      <c r="C148" s="1" t="s">
        <v>1010</v>
      </c>
      <c r="D148" s="1" t="s">
        <v>115</v>
      </c>
      <c r="E148" s="1" t="s">
        <v>70</v>
      </c>
      <c r="F148" s="1" t="s">
        <v>392</v>
      </c>
      <c r="G148" s="1" t="s">
        <v>156</v>
      </c>
      <c r="H148" s="1" t="s">
        <v>393</v>
      </c>
      <c r="I148" s="1" t="s">
        <v>120</v>
      </c>
      <c r="J148" s="1" t="s">
        <v>75</v>
      </c>
      <c r="K148" s="1" t="s">
        <v>201</v>
      </c>
      <c r="L148" s="1" t="s">
        <v>508</v>
      </c>
      <c r="M148" s="1" t="s">
        <v>394</v>
      </c>
      <c r="N148" s="1" t="s">
        <v>395</v>
      </c>
      <c r="O148" s="1" t="s">
        <v>396</v>
      </c>
      <c r="P148" s="1" t="s">
        <v>397</v>
      </c>
      <c r="Q148" s="1" t="s">
        <v>398</v>
      </c>
      <c r="R148" s="1" t="s">
        <v>164</v>
      </c>
      <c r="S148" s="1" t="s">
        <v>78</v>
      </c>
      <c r="T148" s="1">
        <v>31999</v>
      </c>
      <c r="V148" s="1" t="s">
        <v>1011</v>
      </c>
      <c r="W148" s="1" t="s">
        <v>1012</v>
      </c>
    </row>
    <row r="149" spans="1:23" ht="15.75" customHeight="1" x14ac:dyDescent="0.35">
      <c r="A149" s="1" t="s">
        <v>151</v>
      </c>
      <c r="B149" s="1" t="s">
        <v>568</v>
      </c>
      <c r="C149" s="1" t="s">
        <v>704</v>
      </c>
      <c r="D149" s="1" t="s">
        <v>115</v>
      </c>
      <c r="E149" s="1" t="s">
        <v>70</v>
      </c>
      <c r="F149" s="1" t="s">
        <v>888</v>
      </c>
      <c r="G149" s="1" t="s">
        <v>156</v>
      </c>
      <c r="H149" s="1" t="s">
        <v>393</v>
      </c>
      <c r="I149" s="1" t="s">
        <v>120</v>
      </c>
      <c r="J149" s="1" t="s">
        <v>75</v>
      </c>
      <c r="K149" s="1" t="s">
        <v>101</v>
      </c>
      <c r="L149" s="1" t="s">
        <v>158</v>
      </c>
      <c r="M149" s="1" t="s">
        <v>617</v>
      </c>
      <c r="N149" s="1" t="s">
        <v>571</v>
      </c>
      <c r="O149" s="1" t="s">
        <v>396</v>
      </c>
      <c r="P149" s="1" t="s">
        <v>397</v>
      </c>
      <c r="Q149" s="1" t="s">
        <v>398</v>
      </c>
      <c r="R149" s="1" t="s">
        <v>164</v>
      </c>
      <c r="S149" s="1" t="s">
        <v>78</v>
      </c>
      <c r="T149" s="1">
        <v>42999</v>
      </c>
      <c r="U149" s="1" t="s">
        <v>79</v>
      </c>
      <c r="V149" s="1" t="s">
        <v>705</v>
      </c>
      <c r="W149" s="1" t="s">
        <v>1013</v>
      </c>
    </row>
    <row r="150" spans="1:23" ht="15.75" customHeight="1" x14ac:dyDescent="0.35">
      <c r="A150" s="1" t="s">
        <v>234</v>
      </c>
      <c r="B150" s="1" t="s">
        <v>1014</v>
      </c>
      <c r="C150" s="1" t="s">
        <v>320</v>
      </c>
      <c r="D150" s="1" t="s">
        <v>482</v>
      </c>
      <c r="E150" s="1" t="s">
        <v>272</v>
      </c>
      <c r="F150" s="1" t="s">
        <v>483</v>
      </c>
      <c r="G150" s="1" t="s">
        <v>239</v>
      </c>
      <c r="H150" s="1" t="s">
        <v>484</v>
      </c>
      <c r="I150" s="1" t="s">
        <v>1015</v>
      </c>
      <c r="J150" s="1" t="s">
        <v>57</v>
      </c>
      <c r="K150" s="1" t="s">
        <v>90</v>
      </c>
      <c r="L150" s="1" t="s">
        <v>288</v>
      </c>
      <c r="M150" s="1" t="s">
        <v>241</v>
      </c>
      <c r="N150" s="1" t="s">
        <v>242</v>
      </c>
      <c r="O150" s="1" t="s">
        <v>475</v>
      </c>
      <c r="P150" s="1" t="s">
        <v>486</v>
      </c>
      <c r="Q150" s="1" t="s">
        <v>487</v>
      </c>
      <c r="S150" s="1" t="s">
        <v>78</v>
      </c>
      <c r="T150" s="1">
        <v>134999</v>
      </c>
      <c r="V150" s="1" t="s">
        <v>479</v>
      </c>
      <c r="W150" s="1" t="s">
        <v>1016</v>
      </c>
    </row>
    <row r="151" spans="1:23" ht="15.75" customHeight="1" x14ac:dyDescent="0.35">
      <c r="A151" s="1" t="s">
        <v>234</v>
      </c>
      <c r="B151" s="1" t="s">
        <v>1017</v>
      </c>
      <c r="C151" s="1" t="s">
        <v>1018</v>
      </c>
      <c r="D151" s="1" t="s">
        <v>1019</v>
      </c>
      <c r="E151" s="1" t="s">
        <v>272</v>
      </c>
      <c r="F151" s="1" t="s">
        <v>321</v>
      </c>
      <c r="G151" s="1" t="s">
        <v>239</v>
      </c>
      <c r="H151" s="1" t="s">
        <v>1020</v>
      </c>
      <c r="I151" s="1" t="s">
        <v>1021</v>
      </c>
      <c r="J151" s="1" t="s">
        <v>39</v>
      </c>
      <c r="K151" s="1" t="s">
        <v>201</v>
      </c>
      <c r="L151" s="1" t="s">
        <v>1022</v>
      </c>
      <c r="M151" s="1" t="s">
        <v>306</v>
      </c>
      <c r="N151" s="1" t="s">
        <v>242</v>
      </c>
      <c r="O151" s="1" t="s">
        <v>1023</v>
      </c>
      <c r="P151" s="1" t="s">
        <v>1024</v>
      </c>
      <c r="Q151" s="1" t="s">
        <v>1025</v>
      </c>
      <c r="R151" s="1" t="s">
        <v>1026</v>
      </c>
      <c r="S151" s="1" t="s">
        <v>78</v>
      </c>
      <c r="T151" s="1">
        <v>129500</v>
      </c>
      <c r="V151" s="1" t="s">
        <v>671</v>
      </c>
      <c r="W151" s="1" t="s">
        <v>1027</v>
      </c>
    </row>
    <row r="152" spans="1:23" ht="15.75" customHeight="1" x14ac:dyDescent="0.35">
      <c r="A152" s="1" t="s">
        <v>234</v>
      </c>
      <c r="B152" s="1" t="s">
        <v>1028</v>
      </c>
      <c r="C152" s="1" t="s">
        <v>320</v>
      </c>
      <c r="D152" s="1" t="s">
        <v>533</v>
      </c>
      <c r="E152" s="1" t="s">
        <v>252</v>
      </c>
      <c r="F152" s="1" t="s">
        <v>1029</v>
      </c>
      <c r="G152" s="1" t="s">
        <v>576</v>
      </c>
      <c r="H152" s="1" t="s">
        <v>1030</v>
      </c>
      <c r="I152" s="1" t="s">
        <v>89</v>
      </c>
      <c r="J152" s="1" t="s">
        <v>256</v>
      </c>
      <c r="K152" s="1" t="s">
        <v>40</v>
      </c>
      <c r="L152" s="1" t="s">
        <v>1031</v>
      </c>
      <c r="M152" s="1" t="s">
        <v>1032</v>
      </c>
      <c r="N152" s="1" t="s">
        <v>242</v>
      </c>
      <c r="O152" s="1" t="s">
        <v>475</v>
      </c>
      <c r="P152" s="1" t="s">
        <v>1033</v>
      </c>
      <c r="Q152" s="1" t="s">
        <v>477</v>
      </c>
      <c r="R152" s="1" t="s">
        <v>1034</v>
      </c>
      <c r="S152" s="1" t="s">
        <v>129</v>
      </c>
      <c r="T152" s="1">
        <v>204999</v>
      </c>
      <c r="V152" s="1" t="s">
        <v>479</v>
      </c>
      <c r="W152" s="1" t="s">
        <v>1016</v>
      </c>
    </row>
    <row r="153" spans="1:23" ht="15.75" customHeight="1" x14ac:dyDescent="0.35">
      <c r="A153" s="1" t="s">
        <v>234</v>
      </c>
      <c r="B153" s="1" t="s">
        <v>1035</v>
      </c>
      <c r="C153" s="1" t="s">
        <v>1018</v>
      </c>
      <c r="D153" s="1" t="s">
        <v>1019</v>
      </c>
      <c r="E153" s="1" t="s">
        <v>272</v>
      </c>
      <c r="F153" s="1" t="s">
        <v>321</v>
      </c>
      <c r="G153" s="1" t="s">
        <v>239</v>
      </c>
      <c r="H153" s="1" t="s">
        <v>1020</v>
      </c>
      <c r="I153" s="1" t="s">
        <v>1021</v>
      </c>
      <c r="J153" s="1" t="s">
        <v>39</v>
      </c>
      <c r="K153" s="1" t="s">
        <v>201</v>
      </c>
      <c r="L153" s="1" t="s">
        <v>1022</v>
      </c>
      <c r="M153" s="1" t="s">
        <v>306</v>
      </c>
      <c r="N153" s="1" t="s">
        <v>242</v>
      </c>
      <c r="O153" s="1" t="s">
        <v>1023</v>
      </c>
      <c r="P153" s="1" t="s">
        <v>1024</v>
      </c>
      <c r="Q153" s="1" t="s">
        <v>1025</v>
      </c>
      <c r="R153" s="1" t="s">
        <v>246</v>
      </c>
      <c r="S153" s="1" t="s">
        <v>78</v>
      </c>
      <c r="T153" s="1">
        <v>129500</v>
      </c>
      <c r="V153" s="1" t="s">
        <v>671</v>
      </c>
      <c r="W153" s="1" t="s">
        <v>1036</v>
      </c>
    </row>
    <row r="154" spans="1:23" ht="15.75" customHeight="1" x14ac:dyDescent="0.35">
      <c r="A154" s="1" t="s">
        <v>234</v>
      </c>
      <c r="B154" s="1" t="s">
        <v>1037</v>
      </c>
      <c r="C154" s="1" t="s">
        <v>586</v>
      </c>
      <c r="D154" s="1" t="s">
        <v>533</v>
      </c>
      <c r="E154" s="1" t="s">
        <v>252</v>
      </c>
      <c r="F154" s="1" t="s">
        <v>968</v>
      </c>
      <c r="G154" s="1" t="s">
        <v>589</v>
      </c>
      <c r="H154" s="1" t="s">
        <v>1038</v>
      </c>
      <c r="I154" s="1" t="s">
        <v>89</v>
      </c>
      <c r="J154" s="1" t="s">
        <v>256</v>
      </c>
      <c r="K154" s="1" t="s">
        <v>90</v>
      </c>
      <c r="L154" s="1" t="s">
        <v>1022</v>
      </c>
      <c r="M154" s="1" t="s">
        <v>241</v>
      </c>
      <c r="N154" s="1" t="s">
        <v>242</v>
      </c>
      <c r="O154" s="1" t="s">
        <v>1039</v>
      </c>
      <c r="P154" s="1" t="s">
        <v>1040</v>
      </c>
      <c r="Q154" s="1" t="s">
        <v>518</v>
      </c>
      <c r="R154" s="1" t="s">
        <v>1026</v>
      </c>
      <c r="S154" s="1" t="s">
        <v>78</v>
      </c>
      <c r="T154" s="1">
        <v>189999</v>
      </c>
      <c r="V154" s="1" t="s">
        <v>595</v>
      </c>
      <c r="W154" s="1" t="s">
        <v>1041</v>
      </c>
    </row>
    <row r="155" spans="1:23" ht="15.75" customHeight="1" x14ac:dyDescent="0.35">
      <c r="A155" s="1" t="s">
        <v>151</v>
      </c>
      <c r="B155" s="1" t="s">
        <v>505</v>
      </c>
      <c r="C155" s="1" t="s">
        <v>1042</v>
      </c>
      <c r="D155" s="1" t="s">
        <v>461</v>
      </c>
      <c r="E155" s="1" t="s">
        <v>70</v>
      </c>
      <c r="F155" s="1" t="s">
        <v>392</v>
      </c>
      <c r="G155" s="1" t="s">
        <v>156</v>
      </c>
      <c r="H155" s="1" t="s">
        <v>393</v>
      </c>
      <c r="I155" s="1" t="s">
        <v>74</v>
      </c>
      <c r="J155" s="1" t="s">
        <v>75</v>
      </c>
      <c r="K155" s="1" t="s">
        <v>101</v>
      </c>
      <c r="L155" s="1" t="s">
        <v>158</v>
      </c>
      <c r="M155" s="1" t="s">
        <v>394</v>
      </c>
      <c r="N155" s="1" t="s">
        <v>395</v>
      </c>
      <c r="O155" s="1" t="s">
        <v>396</v>
      </c>
      <c r="P155" s="1" t="s">
        <v>397</v>
      </c>
      <c r="Q155" s="1" t="s">
        <v>398</v>
      </c>
      <c r="R155" s="1" t="s">
        <v>164</v>
      </c>
      <c r="S155" s="1" t="s">
        <v>165</v>
      </c>
      <c r="T155" s="1">
        <v>35555</v>
      </c>
      <c r="U155" s="1" t="s">
        <v>166</v>
      </c>
      <c r="V155" s="1" t="s">
        <v>1043</v>
      </c>
      <c r="W155" s="1" t="s">
        <v>1044</v>
      </c>
    </row>
    <row r="156" spans="1:23" ht="15.75" customHeight="1" x14ac:dyDescent="0.35">
      <c r="A156" s="1" t="s">
        <v>30</v>
      </c>
      <c r="B156" s="1" t="s">
        <v>1045</v>
      </c>
      <c r="C156" s="1" t="s">
        <v>1046</v>
      </c>
      <c r="D156" s="1" t="s">
        <v>1047</v>
      </c>
      <c r="E156" s="1" t="s">
        <v>1048</v>
      </c>
      <c r="F156" s="1" t="s">
        <v>491</v>
      </c>
      <c r="G156" s="1" t="s">
        <v>322</v>
      </c>
      <c r="H156" s="1" t="s">
        <v>1049</v>
      </c>
      <c r="I156" s="1" t="s">
        <v>275</v>
      </c>
      <c r="J156" s="1" t="s">
        <v>75</v>
      </c>
      <c r="K156" s="1" t="s">
        <v>555</v>
      </c>
      <c r="L156" s="1" t="s">
        <v>903</v>
      </c>
      <c r="M156" s="1" t="s">
        <v>325</v>
      </c>
      <c r="N156" s="1" t="s">
        <v>326</v>
      </c>
      <c r="O156" s="1" t="s">
        <v>1050</v>
      </c>
      <c r="P156" s="1" t="s">
        <v>536</v>
      </c>
      <c r="Q156" s="1" t="s">
        <v>537</v>
      </c>
      <c r="R156" s="1" t="s">
        <v>338</v>
      </c>
      <c r="S156" s="1" t="s">
        <v>129</v>
      </c>
      <c r="T156" s="1">
        <v>122222</v>
      </c>
      <c r="U156" s="1" t="s">
        <v>79</v>
      </c>
      <c r="V156" s="1" t="s">
        <v>1051</v>
      </c>
    </row>
    <row r="157" spans="1:23" ht="15.75" customHeight="1" x14ac:dyDescent="0.35">
      <c r="A157" s="1" t="s">
        <v>112</v>
      </c>
      <c r="B157" s="1" t="s">
        <v>1052</v>
      </c>
      <c r="C157" s="1" t="s">
        <v>1053</v>
      </c>
      <c r="D157" s="1" t="s">
        <v>640</v>
      </c>
      <c r="E157" s="1" t="s">
        <v>410</v>
      </c>
      <c r="F157" s="1" t="s">
        <v>1054</v>
      </c>
      <c r="G157" s="1" t="s">
        <v>118</v>
      </c>
      <c r="H157" s="1" t="s">
        <v>1055</v>
      </c>
      <c r="I157" s="1" t="s">
        <v>120</v>
      </c>
      <c r="J157" s="1" t="s">
        <v>75</v>
      </c>
      <c r="K157" s="1" t="s">
        <v>101</v>
      </c>
      <c r="L157" s="1" t="s">
        <v>138</v>
      </c>
      <c r="M157" s="1" t="s">
        <v>139</v>
      </c>
      <c r="N157" s="1" t="s">
        <v>140</v>
      </c>
      <c r="O157" s="1" t="s">
        <v>141</v>
      </c>
      <c r="Q157" s="1" t="s">
        <v>142</v>
      </c>
      <c r="R157" s="1" t="s">
        <v>757</v>
      </c>
      <c r="S157" s="1" t="s">
        <v>129</v>
      </c>
      <c r="T157" s="1">
        <v>52499</v>
      </c>
      <c r="U157" s="1" t="s">
        <v>79</v>
      </c>
      <c r="V157" s="1" t="s">
        <v>1056</v>
      </c>
      <c r="W157" s="1" t="s">
        <v>1057</v>
      </c>
    </row>
    <row r="158" spans="1:23" ht="15.75" customHeight="1" x14ac:dyDescent="0.35">
      <c r="A158" s="1" t="s">
        <v>81</v>
      </c>
      <c r="B158" s="1" t="s">
        <v>414</v>
      </c>
      <c r="C158" s="1" t="s">
        <v>1058</v>
      </c>
      <c r="D158" s="1" t="s">
        <v>409</v>
      </c>
      <c r="E158" s="1" t="s">
        <v>410</v>
      </c>
      <c r="F158" s="1" t="s">
        <v>1059</v>
      </c>
      <c r="G158" s="1" t="s">
        <v>1060</v>
      </c>
      <c r="H158" s="1" t="s">
        <v>1061</v>
      </c>
      <c r="I158" s="1" t="s">
        <v>120</v>
      </c>
      <c r="J158" s="1" t="s">
        <v>57</v>
      </c>
      <c r="K158" s="1" t="s">
        <v>40</v>
      </c>
      <c r="L158" s="1" t="s">
        <v>1062</v>
      </c>
      <c r="M158" s="1" t="s">
        <v>715</v>
      </c>
      <c r="O158" s="1" t="s">
        <v>421</v>
      </c>
      <c r="P158" s="1" t="s">
        <v>422</v>
      </c>
      <c r="Q158" s="1" t="s">
        <v>423</v>
      </c>
      <c r="R158" s="1" t="s">
        <v>1063</v>
      </c>
      <c r="S158" s="1" t="s">
        <v>129</v>
      </c>
      <c r="T158" s="1">
        <v>83999</v>
      </c>
      <c r="U158" s="1" t="s">
        <v>79</v>
      </c>
      <c r="V158" s="1" t="s">
        <v>1064</v>
      </c>
    </row>
    <row r="159" spans="1:23" ht="15.75" customHeight="1" x14ac:dyDescent="0.35">
      <c r="A159" s="1" t="s">
        <v>112</v>
      </c>
      <c r="B159" s="1" t="s">
        <v>1065</v>
      </c>
      <c r="C159" s="1" t="s">
        <v>693</v>
      </c>
      <c r="D159" s="1" t="s">
        <v>69</v>
      </c>
      <c r="E159" s="1" t="s">
        <v>362</v>
      </c>
      <c r="F159" s="1" t="s">
        <v>609</v>
      </c>
      <c r="G159" s="1" t="s">
        <v>171</v>
      </c>
      <c r="H159" s="1" t="s">
        <v>1055</v>
      </c>
      <c r="I159" s="1" t="s">
        <v>120</v>
      </c>
      <c r="J159" s="1" t="s">
        <v>75</v>
      </c>
      <c r="K159" s="1" t="s">
        <v>101</v>
      </c>
      <c r="L159" s="1" t="s">
        <v>138</v>
      </c>
      <c r="M159" s="1" t="s">
        <v>139</v>
      </c>
      <c r="N159" s="1" t="s">
        <v>140</v>
      </c>
      <c r="O159" s="1" t="s">
        <v>141</v>
      </c>
      <c r="P159" s="1" t="s">
        <v>173</v>
      </c>
      <c r="Q159" s="1" t="s">
        <v>267</v>
      </c>
      <c r="R159" s="1" t="s">
        <v>612</v>
      </c>
      <c r="S159" s="1" t="s">
        <v>129</v>
      </c>
      <c r="T159" s="1">
        <v>47999</v>
      </c>
      <c r="U159" s="1" t="s">
        <v>79</v>
      </c>
      <c r="V159" s="1" t="s">
        <v>406</v>
      </c>
      <c r="W159" s="1" t="s">
        <v>1066</v>
      </c>
    </row>
    <row r="160" spans="1:23" ht="15.75" customHeight="1" x14ac:dyDescent="0.35">
      <c r="A160" s="1" t="s">
        <v>81</v>
      </c>
      <c r="B160" s="1" t="s">
        <v>414</v>
      </c>
      <c r="C160" s="1" t="s">
        <v>711</v>
      </c>
      <c r="D160" s="1" t="s">
        <v>669</v>
      </c>
      <c r="E160" s="1" t="s">
        <v>410</v>
      </c>
      <c r="F160" s="1" t="s">
        <v>792</v>
      </c>
      <c r="G160" s="1" t="s">
        <v>1060</v>
      </c>
      <c r="H160" s="1" t="s">
        <v>793</v>
      </c>
      <c r="I160" s="1" t="s">
        <v>120</v>
      </c>
      <c r="J160" s="1" t="s">
        <v>57</v>
      </c>
      <c r="K160" s="1" t="s">
        <v>101</v>
      </c>
      <c r="L160" s="1" t="s">
        <v>419</v>
      </c>
      <c r="M160" s="1" t="s">
        <v>715</v>
      </c>
      <c r="O160" s="1" t="s">
        <v>421</v>
      </c>
      <c r="P160" s="1" t="s">
        <v>422</v>
      </c>
      <c r="Q160" s="1" t="s">
        <v>423</v>
      </c>
      <c r="R160" s="1" t="s">
        <v>301</v>
      </c>
      <c r="S160" s="1" t="s">
        <v>425</v>
      </c>
      <c r="T160" s="1">
        <v>63599</v>
      </c>
      <c r="U160" s="1" t="s">
        <v>79</v>
      </c>
      <c r="V160" s="1" t="s">
        <v>716</v>
      </c>
    </row>
    <row r="161" spans="1:23" ht="15.75" customHeight="1" x14ac:dyDescent="0.35">
      <c r="A161" s="1" t="s">
        <v>112</v>
      </c>
      <c r="B161" s="1" t="s">
        <v>1067</v>
      </c>
      <c r="C161" s="1" t="s">
        <v>361</v>
      </c>
      <c r="D161" s="1" t="s">
        <v>69</v>
      </c>
      <c r="E161" s="1" t="s">
        <v>362</v>
      </c>
      <c r="F161" s="1" t="s">
        <v>1068</v>
      </c>
      <c r="G161" s="1" t="s">
        <v>118</v>
      </c>
      <c r="H161" s="1" t="s">
        <v>1069</v>
      </c>
      <c r="I161" s="1" t="s">
        <v>120</v>
      </c>
      <c r="J161" s="1" t="s">
        <v>75</v>
      </c>
      <c r="K161" s="1" t="s">
        <v>101</v>
      </c>
      <c r="L161" s="1" t="s">
        <v>138</v>
      </c>
      <c r="M161" s="1" t="s">
        <v>1070</v>
      </c>
      <c r="N161" s="1" t="s">
        <v>140</v>
      </c>
      <c r="O161" s="1" t="s">
        <v>141</v>
      </c>
      <c r="P161" s="1" t="s">
        <v>173</v>
      </c>
      <c r="R161" s="1" t="s">
        <v>612</v>
      </c>
      <c r="S161" s="1" t="s">
        <v>78</v>
      </c>
      <c r="T161" s="1">
        <v>41199</v>
      </c>
      <c r="U161" s="1" t="s">
        <v>79</v>
      </c>
      <c r="V161" s="1" t="s">
        <v>365</v>
      </c>
      <c r="W161" s="1" t="s">
        <v>1071</v>
      </c>
    </row>
    <row r="162" spans="1:23" ht="15.75" customHeight="1" x14ac:dyDescent="0.35">
      <c r="A162" s="1" t="s">
        <v>112</v>
      </c>
      <c r="B162" s="1" t="s">
        <v>1072</v>
      </c>
      <c r="C162" s="1" t="s">
        <v>693</v>
      </c>
      <c r="D162" s="1" t="s">
        <v>154</v>
      </c>
      <c r="E162" s="1" t="s">
        <v>70</v>
      </c>
      <c r="F162" s="1" t="s">
        <v>665</v>
      </c>
      <c r="G162" s="1" t="s">
        <v>118</v>
      </c>
      <c r="H162" s="1" t="s">
        <v>674</v>
      </c>
      <c r="I162" s="1" t="s">
        <v>120</v>
      </c>
      <c r="J162" s="1" t="s">
        <v>75</v>
      </c>
      <c r="K162" s="1" t="s">
        <v>90</v>
      </c>
      <c r="L162" s="1" t="s">
        <v>186</v>
      </c>
      <c r="M162" s="1" t="s">
        <v>139</v>
      </c>
      <c r="N162" s="1" t="s">
        <v>124</v>
      </c>
      <c r="O162" s="1" t="s">
        <v>187</v>
      </c>
      <c r="P162" s="1" t="s">
        <v>126</v>
      </c>
      <c r="Q162" s="1" t="s">
        <v>127</v>
      </c>
      <c r="R162" s="1" t="s">
        <v>1001</v>
      </c>
      <c r="S162" s="1" t="s">
        <v>78</v>
      </c>
      <c r="T162" s="1">
        <v>44444</v>
      </c>
      <c r="U162" s="1" t="s">
        <v>79</v>
      </c>
      <c r="V162" s="1" t="s">
        <v>406</v>
      </c>
      <c r="W162" s="1" t="s">
        <v>1073</v>
      </c>
    </row>
    <row r="163" spans="1:23" ht="15.75" customHeight="1" x14ac:dyDescent="0.35">
      <c r="A163" s="1" t="s">
        <v>151</v>
      </c>
      <c r="B163" s="1" t="s">
        <v>1074</v>
      </c>
      <c r="C163" s="1" t="s">
        <v>1075</v>
      </c>
      <c r="D163" s="1" t="s">
        <v>1076</v>
      </c>
      <c r="E163" s="1" t="s">
        <v>410</v>
      </c>
      <c r="F163" s="1" t="s">
        <v>1077</v>
      </c>
      <c r="G163" s="1" t="s">
        <v>796</v>
      </c>
      <c r="H163" s="1" t="s">
        <v>1078</v>
      </c>
      <c r="I163" s="1" t="s">
        <v>120</v>
      </c>
      <c r="J163" s="1" t="s">
        <v>57</v>
      </c>
      <c r="K163" s="1" t="s">
        <v>90</v>
      </c>
      <c r="L163" s="1" t="s">
        <v>798</v>
      </c>
      <c r="M163" s="1" t="s">
        <v>799</v>
      </c>
      <c r="N163" s="1" t="s">
        <v>395</v>
      </c>
      <c r="O163" s="1" t="s">
        <v>1079</v>
      </c>
      <c r="P163" s="1" t="s">
        <v>1080</v>
      </c>
      <c r="Q163" s="1" t="s">
        <v>63</v>
      </c>
      <c r="R163" s="1" t="s">
        <v>1081</v>
      </c>
      <c r="S163" s="1" t="s">
        <v>78</v>
      </c>
      <c r="T163" s="1">
        <v>57777</v>
      </c>
      <c r="U163" s="1" t="s">
        <v>1082</v>
      </c>
      <c r="V163" s="1" t="s">
        <v>1083</v>
      </c>
      <c r="W163" s="1" t="s">
        <v>1084</v>
      </c>
    </row>
    <row r="164" spans="1:23" ht="15.75" customHeight="1" x14ac:dyDescent="0.35">
      <c r="A164" s="1" t="s">
        <v>151</v>
      </c>
      <c r="B164" s="1" t="s">
        <v>1085</v>
      </c>
      <c r="C164" s="1" t="s">
        <v>1086</v>
      </c>
      <c r="D164" s="1" t="s">
        <v>69</v>
      </c>
      <c r="E164" s="1" t="s">
        <v>70</v>
      </c>
      <c r="F164" s="1" t="s">
        <v>614</v>
      </c>
      <c r="G164" s="1" t="s">
        <v>1087</v>
      </c>
      <c r="H164" s="1" t="s">
        <v>1088</v>
      </c>
      <c r="I164" s="1" t="s">
        <v>89</v>
      </c>
      <c r="J164" s="1" t="s">
        <v>57</v>
      </c>
      <c r="K164" s="1" t="s">
        <v>101</v>
      </c>
      <c r="L164" s="1" t="s">
        <v>798</v>
      </c>
      <c r="M164" s="1" t="s">
        <v>226</v>
      </c>
      <c r="N164" s="1" t="s">
        <v>571</v>
      </c>
      <c r="O164" s="1" t="s">
        <v>1089</v>
      </c>
      <c r="P164" s="1" t="s">
        <v>1090</v>
      </c>
      <c r="Q164" s="1" t="s">
        <v>1091</v>
      </c>
      <c r="R164" s="1" t="s">
        <v>945</v>
      </c>
      <c r="S164" s="1" t="s">
        <v>78</v>
      </c>
      <c r="T164" s="1">
        <v>72999</v>
      </c>
      <c r="U164" s="1" t="s">
        <v>79</v>
      </c>
      <c r="V164" s="1" t="s">
        <v>1092</v>
      </c>
      <c r="W164" s="1" t="s">
        <v>1093</v>
      </c>
    </row>
    <row r="165" spans="1:23" ht="15.75" customHeight="1" x14ac:dyDescent="0.35">
      <c r="A165" s="1" t="s">
        <v>151</v>
      </c>
      <c r="B165" s="1" t="s">
        <v>1094</v>
      </c>
      <c r="C165" s="1" t="s">
        <v>1095</v>
      </c>
      <c r="D165" s="1" t="s">
        <v>154</v>
      </c>
      <c r="E165" s="1" t="s">
        <v>70</v>
      </c>
      <c r="F165" s="1" t="s">
        <v>1096</v>
      </c>
      <c r="G165" s="1" t="s">
        <v>156</v>
      </c>
      <c r="H165" s="1" t="s">
        <v>1097</v>
      </c>
      <c r="I165" s="1" t="s">
        <v>1098</v>
      </c>
      <c r="J165" s="1" t="s">
        <v>39</v>
      </c>
      <c r="K165" s="1" t="s">
        <v>90</v>
      </c>
      <c r="L165" s="1" t="s">
        <v>1099</v>
      </c>
      <c r="M165" s="1" t="s">
        <v>1100</v>
      </c>
      <c r="N165" s="1" t="s">
        <v>1101</v>
      </c>
      <c r="O165" s="1" t="s">
        <v>1102</v>
      </c>
      <c r="P165" s="1" t="s">
        <v>1103</v>
      </c>
      <c r="Q165" s="1" t="s">
        <v>1104</v>
      </c>
      <c r="R165" s="1" t="s">
        <v>1105</v>
      </c>
      <c r="S165" s="1" t="s">
        <v>78</v>
      </c>
      <c r="T165" s="1">
        <v>66666</v>
      </c>
      <c r="V165" s="1" t="s">
        <v>1106</v>
      </c>
      <c r="W165" s="1" t="s">
        <v>1107</v>
      </c>
    </row>
    <row r="166" spans="1:23" ht="15.75" customHeight="1" x14ac:dyDescent="0.35">
      <c r="A166" s="1" t="s">
        <v>151</v>
      </c>
      <c r="B166" s="1" t="s">
        <v>1108</v>
      </c>
      <c r="C166" s="1" t="s">
        <v>827</v>
      </c>
      <c r="D166" s="1" t="s">
        <v>1109</v>
      </c>
      <c r="E166" s="1" t="s">
        <v>410</v>
      </c>
      <c r="F166" s="1" t="s">
        <v>1077</v>
      </c>
      <c r="G166" s="1" t="s">
        <v>1110</v>
      </c>
      <c r="H166" s="1" t="s">
        <v>1111</v>
      </c>
      <c r="I166" s="1" t="s">
        <v>120</v>
      </c>
      <c r="J166" s="1" t="s">
        <v>57</v>
      </c>
      <c r="K166" s="1" t="s">
        <v>101</v>
      </c>
      <c r="L166" s="1" t="s">
        <v>1112</v>
      </c>
      <c r="M166" s="1" t="s">
        <v>799</v>
      </c>
      <c r="N166" s="1" t="s">
        <v>395</v>
      </c>
      <c r="O166" s="1" t="s">
        <v>1113</v>
      </c>
      <c r="P166" s="1" t="s">
        <v>1080</v>
      </c>
      <c r="Q166" s="1" t="s">
        <v>63</v>
      </c>
      <c r="R166" s="1" t="s">
        <v>1114</v>
      </c>
      <c r="S166" s="1" t="s">
        <v>78</v>
      </c>
      <c r="T166" s="1">
        <v>45499</v>
      </c>
      <c r="V166" s="1" t="s">
        <v>835</v>
      </c>
      <c r="W166" s="1" t="s">
        <v>1115</v>
      </c>
    </row>
    <row r="167" spans="1:23" ht="15.75" customHeight="1" x14ac:dyDescent="0.35">
      <c r="A167" s="1" t="s">
        <v>234</v>
      </c>
      <c r="B167" s="1" t="s">
        <v>1116</v>
      </c>
      <c r="C167" s="1" t="s">
        <v>460</v>
      </c>
      <c r="D167" s="1" t="s">
        <v>69</v>
      </c>
      <c r="E167" s="1" t="s">
        <v>70</v>
      </c>
      <c r="F167" s="1" t="s">
        <v>491</v>
      </c>
      <c r="G167" s="1" t="s">
        <v>295</v>
      </c>
      <c r="H167" s="1" t="s">
        <v>623</v>
      </c>
      <c r="I167" s="1" t="s">
        <v>275</v>
      </c>
      <c r="J167" s="1" t="s">
        <v>75</v>
      </c>
      <c r="K167" s="1" t="s">
        <v>90</v>
      </c>
      <c r="M167" s="1" t="s">
        <v>464</v>
      </c>
      <c r="N167" s="1" t="s">
        <v>465</v>
      </c>
      <c r="O167" s="1" t="s">
        <v>624</v>
      </c>
      <c r="P167" s="1" t="s">
        <v>466</v>
      </c>
      <c r="Q167" s="1" t="s">
        <v>300</v>
      </c>
      <c r="R167" s="1" t="s">
        <v>467</v>
      </c>
      <c r="S167" s="1" t="s">
        <v>78</v>
      </c>
      <c r="T167" s="1">
        <v>41999</v>
      </c>
      <c r="V167" s="1" t="s">
        <v>625</v>
      </c>
    </row>
    <row r="168" spans="1:23" ht="15.75" customHeight="1" x14ac:dyDescent="0.35">
      <c r="A168" s="1" t="s">
        <v>234</v>
      </c>
      <c r="B168" s="1" t="s">
        <v>1117</v>
      </c>
      <c r="C168" s="1" t="s">
        <v>1118</v>
      </c>
      <c r="D168" s="1" t="s">
        <v>522</v>
      </c>
      <c r="E168" s="1" t="s">
        <v>410</v>
      </c>
      <c r="F168" s="1" t="s">
        <v>1119</v>
      </c>
      <c r="G168" s="1" t="s">
        <v>1120</v>
      </c>
      <c r="H168" s="1" t="s">
        <v>1121</v>
      </c>
      <c r="I168" s="1" t="s">
        <v>120</v>
      </c>
      <c r="J168" s="1" t="s">
        <v>75</v>
      </c>
      <c r="K168" s="1" t="s">
        <v>90</v>
      </c>
      <c r="R168" s="1" t="s">
        <v>246</v>
      </c>
      <c r="S168" s="1" t="s">
        <v>78</v>
      </c>
      <c r="T168" s="1">
        <v>58999</v>
      </c>
      <c r="U168" s="1" t="s">
        <v>166</v>
      </c>
      <c r="V168" s="1" t="s">
        <v>1122</v>
      </c>
    </row>
    <row r="169" spans="1:23" ht="15.75" customHeight="1" x14ac:dyDescent="0.35">
      <c r="A169" s="1" t="s">
        <v>151</v>
      </c>
      <c r="B169" s="1" t="s">
        <v>1123</v>
      </c>
      <c r="C169" s="1" t="s">
        <v>490</v>
      </c>
      <c r="D169" s="1" t="s">
        <v>409</v>
      </c>
      <c r="E169" s="1" t="s">
        <v>410</v>
      </c>
      <c r="F169" s="1" t="s">
        <v>447</v>
      </c>
      <c r="G169" s="1" t="s">
        <v>796</v>
      </c>
      <c r="H169" s="1" t="s">
        <v>1124</v>
      </c>
      <c r="I169" s="1" t="s">
        <v>89</v>
      </c>
      <c r="J169" s="1" t="s">
        <v>57</v>
      </c>
      <c r="K169" s="1" t="s">
        <v>90</v>
      </c>
      <c r="L169" s="1" t="s">
        <v>940</v>
      </c>
      <c r="M169" s="1" t="s">
        <v>226</v>
      </c>
      <c r="N169" s="1" t="s">
        <v>571</v>
      </c>
      <c r="O169" s="1" t="s">
        <v>1125</v>
      </c>
      <c r="P169" s="1" t="s">
        <v>1126</v>
      </c>
      <c r="Q169" s="1" t="s">
        <v>1127</v>
      </c>
      <c r="R169" s="1" t="s">
        <v>164</v>
      </c>
      <c r="S169" s="1" t="s">
        <v>78</v>
      </c>
      <c r="T169" s="1">
        <v>82499</v>
      </c>
      <c r="U169" s="1" t="s">
        <v>65</v>
      </c>
      <c r="V169" s="1" t="s">
        <v>232</v>
      </c>
      <c r="W169" s="1" t="s">
        <v>1128</v>
      </c>
    </row>
    <row r="170" spans="1:23" ht="15.75" customHeight="1" x14ac:dyDescent="0.35">
      <c r="A170" s="1" t="s">
        <v>30</v>
      </c>
      <c r="B170" s="1" t="s">
        <v>1129</v>
      </c>
      <c r="C170" s="1" t="s">
        <v>643</v>
      </c>
      <c r="D170" s="1" t="s">
        <v>1130</v>
      </c>
      <c r="E170" s="1" t="s">
        <v>507</v>
      </c>
      <c r="F170" s="1" t="s">
        <v>53</v>
      </c>
      <c r="G170" s="1" t="s">
        <v>644</v>
      </c>
      <c r="H170" s="1" t="s">
        <v>370</v>
      </c>
      <c r="I170" s="1" t="s">
        <v>120</v>
      </c>
      <c r="J170" s="1" t="s">
        <v>75</v>
      </c>
      <c r="K170" s="1" t="s">
        <v>101</v>
      </c>
      <c r="L170" s="1" t="s">
        <v>645</v>
      </c>
      <c r="M170" s="1" t="s">
        <v>372</v>
      </c>
      <c r="N170" s="1" t="s">
        <v>373</v>
      </c>
      <c r="O170" s="1" t="s">
        <v>646</v>
      </c>
      <c r="P170" s="1" t="s">
        <v>375</v>
      </c>
      <c r="Q170" s="1" t="s">
        <v>376</v>
      </c>
      <c r="R170" s="1" t="s">
        <v>338</v>
      </c>
      <c r="S170" s="1" t="s">
        <v>165</v>
      </c>
      <c r="T170" s="1">
        <v>36899</v>
      </c>
    </row>
    <row r="171" spans="1:23" ht="15.75" customHeight="1" x14ac:dyDescent="0.35">
      <c r="A171" s="1" t="s">
        <v>30</v>
      </c>
      <c r="B171" s="1" t="s">
        <v>1131</v>
      </c>
      <c r="C171" s="1" t="s">
        <v>643</v>
      </c>
      <c r="D171" s="1" t="s">
        <v>69</v>
      </c>
      <c r="E171" s="1" t="s">
        <v>70</v>
      </c>
      <c r="F171" s="1" t="s">
        <v>53</v>
      </c>
      <c r="G171" s="1" t="s">
        <v>644</v>
      </c>
      <c r="H171" s="1" t="s">
        <v>370</v>
      </c>
      <c r="I171" s="1" t="s">
        <v>120</v>
      </c>
      <c r="J171" s="1" t="s">
        <v>75</v>
      </c>
      <c r="K171" s="1" t="s">
        <v>101</v>
      </c>
      <c r="L171" s="1" t="s">
        <v>645</v>
      </c>
      <c r="M171" s="1" t="s">
        <v>372</v>
      </c>
      <c r="N171" s="1" t="s">
        <v>373</v>
      </c>
      <c r="O171" s="1" t="s">
        <v>646</v>
      </c>
      <c r="P171" s="1" t="s">
        <v>375</v>
      </c>
      <c r="Q171" s="1" t="s">
        <v>376</v>
      </c>
      <c r="R171" s="1" t="s">
        <v>338</v>
      </c>
      <c r="S171" s="1" t="s">
        <v>165</v>
      </c>
      <c r="T171" s="1">
        <v>38339</v>
      </c>
    </row>
    <row r="172" spans="1:23" ht="15.75" customHeight="1" x14ac:dyDescent="0.35">
      <c r="A172" s="1" t="s">
        <v>30</v>
      </c>
      <c r="B172" s="1" t="s">
        <v>1132</v>
      </c>
      <c r="C172" s="1" t="s">
        <v>1133</v>
      </c>
      <c r="D172" s="1" t="s">
        <v>438</v>
      </c>
      <c r="E172" s="1" t="s">
        <v>507</v>
      </c>
      <c r="F172" s="1" t="s">
        <v>1134</v>
      </c>
      <c r="G172" s="1" t="s">
        <v>1135</v>
      </c>
      <c r="H172" s="1" t="s">
        <v>1136</v>
      </c>
      <c r="I172" s="1" t="s">
        <v>74</v>
      </c>
      <c r="J172" s="1" t="s">
        <v>75</v>
      </c>
      <c r="K172" s="1" t="s">
        <v>101</v>
      </c>
      <c r="L172" s="1" t="s">
        <v>645</v>
      </c>
      <c r="M172" s="1" t="s">
        <v>372</v>
      </c>
      <c r="N172" s="1" t="s">
        <v>373</v>
      </c>
      <c r="O172" s="1" t="s">
        <v>658</v>
      </c>
      <c r="P172" s="1" t="s">
        <v>375</v>
      </c>
      <c r="Q172" s="1" t="s">
        <v>376</v>
      </c>
      <c r="R172" s="1" t="s">
        <v>659</v>
      </c>
      <c r="S172" s="1" t="s">
        <v>165</v>
      </c>
      <c r="T172" s="1">
        <v>28449</v>
      </c>
      <c r="U172" s="1" t="s">
        <v>166</v>
      </c>
    </row>
    <row r="173" spans="1:23" ht="15.75" customHeight="1" x14ac:dyDescent="0.35">
      <c r="A173" s="1" t="s">
        <v>30</v>
      </c>
      <c r="B173" s="1" t="s">
        <v>1137</v>
      </c>
      <c r="C173" s="1" t="s">
        <v>114</v>
      </c>
      <c r="D173" s="1" t="s">
        <v>134</v>
      </c>
      <c r="E173" s="1" t="s">
        <v>70</v>
      </c>
      <c r="F173" s="1" t="s">
        <v>1138</v>
      </c>
      <c r="G173" s="1" t="s">
        <v>657</v>
      </c>
      <c r="H173" s="1" t="s">
        <v>1139</v>
      </c>
      <c r="I173" s="1" t="s">
        <v>74</v>
      </c>
      <c r="J173" s="1" t="s">
        <v>75</v>
      </c>
      <c r="K173" s="1" t="s">
        <v>101</v>
      </c>
      <c r="L173" s="1" t="s">
        <v>645</v>
      </c>
      <c r="M173" s="1" t="s">
        <v>372</v>
      </c>
      <c r="N173" s="1" t="s">
        <v>373</v>
      </c>
      <c r="O173" s="1" t="s">
        <v>658</v>
      </c>
      <c r="P173" s="1" t="s">
        <v>375</v>
      </c>
      <c r="Q173" s="1" t="s">
        <v>376</v>
      </c>
      <c r="R173" s="1" t="s">
        <v>659</v>
      </c>
      <c r="S173" s="1" t="s">
        <v>165</v>
      </c>
      <c r="T173" s="1">
        <v>42999</v>
      </c>
      <c r="U173" s="1" t="s">
        <v>79</v>
      </c>
    </row>
    <row r="174" spans="1:23" ht="15.75" customHeight="1" x14ac:dyDescent="0.35">
      <c r="A174" s="1" t="s">
        <v>112</v>
      </c>
      <c r="B174" s="1" t="s">
        <v>1140</v>
      </c>
      <c r="C174" s="1" t="s">
        <v>402</v>
      </c>
      <c r="D174" s="1" t="s">
        <v>669</v>
      </c>
      <c r="E174" s="1" t="s">
        <v>540</v>
      </c>
      <c r="F174" s="1" t="s">
        <v>1141</v>
      </c>
      <c r="G174" s="1" t="s">
        <v>171</v>
      </c>
      <c r="H174" s="1" t="s">
        <v>999</v>
      </c>
      <c r="I174" s="1" t="s">
        <v>120</v>
      </c>
      <c r="J174" s="1" t="s">
        <v>75</v>
      </c>
      <c r="K174" s="1" t="s">
        <v>101</v>
      </c>
      <c r="L174" s="1" t="s">
        <v>138</v>
      </c>
      <c r="M174" s="1" t="s">
        <v>139</v>
      </c>
      <c r="N174" s="1" t="s">
        <v>140</v>
      </c>
      <c r="O174" s="1" t="s">
        <v>141</v>
      </c>
      <c r="P174" s="1" t="s">
        <v>173</v>
      </c>
      <c r="Q174" s="1" t="s">
        <v>267</v>
      </c>
      <c r="R174" s="1" t="s">
        <v>128</v>
      </c>
      <c r="S174" s="1" t="s">
        <v>78</v>
      </c>
      <c r="T174" s="1">
        <v>51999</v>
      </c>
      <c r="U174" s="1" t="s">
        <v>79</v>
      </c>
      <c r="V174" s="1" t="s">
        <v>406</v>
      </c>
      <c r="W174" s="1" t="s">
        <v>1142</v>
      </c>
    </row>
    <row r="175" spans="1:23" ht="15.75" customHeight="1" x14ac:dyDescent="0.35">
      <c r="A175" s="1" t="s">
        <v>112</v>
      </c>
      <c r="B175" s="1" t="s">
        <v>1143</v>
      </c>
      <c r="C175" s="1" t="s">
        <v>1144</v>
      </c>
      <c r="D175" s="1" t="s">
        <v>409</v>
      </c>
      <c r="E175" s="1" t="s">
        <v>410</v>
      </c>
      <c r="F175" s="1" t="s">
        <v>1145</v>
      </c>
      <c r="G175" s="1" t="s">
        <v>542</v>
      </c>
      <c r="H175" s="1" t="s">
        <v>1146</v>
      </c>
      <c r="I175" s="1" t="s">
        <v>120</v>
      </c>
      <c r="J175" s="1" t="s">
        <v>75</v>
      </c>
      <c r="K175" s="1" t="s">
        <v>90</v>
      </c>
      <c r="L175" s="1" t="s">
        <v>544</v>
      </c>
      <c r="M175" s="1" t="s">
        <v>139</v>
      </c>
      <c r="N175" s="1" t="s">
        <v>140</v>
      </c>
      <c r="O175" s="1" t="s">
        <v>545</v>
      </c>
      <c r="Q175" s="1" t="s">
        <v>547</v>
      </c>
      <c r="R175" s="1" t="s">
        <v>985</v>
      </c>
      <c r="S175" s="1" t="s">
        <v>78</v>
      </c>
      <c r="T175" s="1">
        <v>74999</v>
      </c>
      <c r="U175" s="1" t="s">
        <v>65</v>
      </c>
      <c r="W175" s="1" t="s">
        <v>1147</v>
      </c>
    </row>
    <row r="176" spans="1:23" ht="15.75" customHeight="1" x14ac:dyDescent="0.35">
      <c r="A176" s="1" t="s">
        <v>234</v>
      </c>
      <c r="B176" s="1" t="s">
        <v>1148</v>
      </c>
      <c r="C176" s="1" t="s">
        <v>668</v>
      </c>
      <c r="D176" s="1" t="s">
        <v>1149</v>
      </c>
      <c r="E176" s="1" t="s">
        <v>410</v>
      </c>
      <c r="F176" s="1" t="s">
        <v>1150</v>
      </c>
      <c r="G176" s="1" t="s">
        <v>239</v>
      </c>
      <c r="H176" s="1" t="s">
        <v>1151</v>
      </c>
      <c r="I176" s="1" t="s">
        <v>89</v>
      </c>
      <c r="J176" s="1" t="s">
        <v>256</v>
      </c>
      <c r="K176" s="1" t="s">
        <v>90</v>
      </c>
      <c r="L176" s="1" t="s">
        <v>515</v>
      </c>
      <c r="M176" s="1" t="s">
        <v>241</v>
      </c>
      <c r="N176" s="1" t="s">
        <v>242</v>
      </c>
      <c r="O176" s="1" t="s">
        <v>1152</v>
      </c>
      <c r="P176" s="1" t="s">
        <v>1153</v>
      </c>
      <c r="Q176" s="1" t="s">
        <v>245</v>
      </c>
      <c r="R176" s="1" t="s">
        <v>301</v>
      </c>
      <c r="S176" s="1" t="s">
        <v>78</v>
      </c>
      <c r="T176" s="1">
        <v>134999</v>
      </c>
      <c r="V176" s="1" t="s">
        <v>671</v>
      </c>
      <c r="W176" s="1" t="s">
        <v>1154</v>
      </c>
    </row>
    <row r="177" spans="1:23" ht="15.75" customHeight="1" x14ac:dyDescent="0.35">
      <c r="A177" s="1" t="s">
        <v>234</v>
      </c>
      <c r="B177" s="1" t="s">
        <v>1155</v>
      </c>
      <c r="C177" s="1" t="s">
        <v>668</v>
      </c>
      <c r="D177" s="1" t="s">
        <v>734</v>
      </c>
      <c r="E177" s="1" t="s">
        <v>410</v>
      </c>
      <c r="F177" s="1" t="s">
        <v>968</v>
      </c>
      <c r="G177" s="1" t="s">
        <v>1156</v>
      </c>
      <c r="H177" s="1" t="s">
        <v>1157</v>
      </c>
      <c r="I177" s="1" t="s">
        <v>345</v>
      </c>
      <c r="J177" s="1" t="s">
        <v>971</v>
      </c>
      <c r="K177" s="1" t="s">
        <v>201</v>
      </c>
      <c r="L177" s="1" t="s">
        <v>1158</v>
      </c>
      <c r="M177" s="1" t="s">
        <v>241</v>
      </c>
      <c r="N177" s="1" t="s">
        <v>973</v>
      </c>
      <c r="O177" s="1" t="s">
        <v>1159</v>
      </c>
      <c r="P177" s="1" t="s">
        <v>1160</v>
      </c>
      <c r="Q177" s="1" t="s">
        <v>976</v>
      </c>
      <c r="R177" s="1" t="s">
        <v>977</v>
      </c>
      <c r="S177" s="1" t="s">
        <v>78</v>
      </c>
      <c r="T177" s="1">
        <v>150000</v>
      </c>
      <c r="V177" s="1" t="s">
        <v>671</v>
      </c>
      <c r="W177" s="1" t="s">
        <v>1161</v>
      </c>
    </row>
    <row r="178" spans="1:23" ht="15.75" customHeight="1" x14ac:dyDescent="0.35">
      <c r="A178" s="1" t="s">
        <v>234</v>
      </c>
      <c r="B178" s="1" t="s">
        <v>1162</v>
      </c>
      <c r="C178" s="1" t="s">
        <v>668</v>
      </c>
      <c r="D178" s="1" t="s">
        <v>69</v>
      </c>
      <c r="E178" s="1" t="s">
        <v>70</v>
      </c>
      <c r="F178" s="1" t="s">
        <v>313</v>
      </c>
      <c r="G178" s="1" t="s">
        <v>239</v>
      </c>
      <c r="H178" s="1" t="s">
        <v>314</v>
      </c>
      <c r="I178" s="1" t="s">
        <v>89</v>
      </c>
      <c r="J178" s="1" t="s">
        <v>57</v>
      </c>
      <c r="K178" s="1" t="s">
        <v>90</v>
      </c>
      <c r="L178" s="1" t="s">
        <v>315</v>
      </c>
      <c r="M178" s="1" t="s">
        <v>306</v>
      </c>
      <c r="N178" s="1" t="s">
        <v>242</v>
      </c>
      <c r="O178" s="1" t="s">
        <v>316</v>
      </c>
      <c r="P178" s="1" t="s">
        <v>317</v>
      </c>
      <c r="Q178" s="1" t="s">
        <v>309</v>
      </c>
      <c r="R178" s="1" t="s">
        <v>246</v>
      </c>
      <c r="S178" s="1" t="s">
        <v>78</v>
      </c>
      <c r="T178" s="1">
        <v>69999</v>
      </c>
      <c r="V178" s="1" t="s">
        <v>671</v>
      </c>
      <c r="W178" s="1" t="s">
        <v>1163</v>
      </c>
    </row>
    <row r="179" spans="1:23" ht="15.75" customHeight="1" x14ac:dyDescent="0.35">
      <c r="A179" s="1" t="s">
        <v>151</v>
      </c>
      <c r="B179" s="1" t="s">
        <v>1123</v>
      </c>
      <c r="C179" s="1" t="s">
        <v>1144</v>
      </c>
      <c r="D179" s="1" t="s">
        <v>409</v>
      </c>
      <c r="E179" s="1" t="s">
        <v>410</v>
      </c>
      <c r="F179" s="1" t="s">
        <v>614</v>
      </c>
      <c r="G179" s="1" t="s">
        <v>796</v>
      </c>
      <c r="H179" s="1" t="s">
        <v>1124</v>
      </c>
      <c r="I179" s="1" t="s">
        <v>224</v>
      </c>
      <c r="J179" s="1" t="s">
        <v>57</v>
      </c>
      <c r="K179" s="1" t="s">
        <v>90</v>
      </c>
      <c r="L179" s="1" t="s">
        <v>1164</v>
      </c>
      <c r="M179" s="1" t="s">
        <v>799</v>
      </c>
      <c r="N179" s="1" t="s">
        <v>571</v>
      </c>
      <c r="O179" s="1" t="s">
        <v>1125</v>
      </c>
      <c r="P179" s="1" t="s">
        <v>1126</v>
      </c>
      <c r="Q179" s="1" t="s">
        <v>1127</v>
      </c>
      <c r="R179" s="1" t="s">
        <v>164</v>
      </c>
      <c r="S179" s="1" t="s">
        <v>78</v>
      </c>
      <c r="T179" s="1">
        <v>67999</v>
      </c>
      <c r="U179" s="1" t="s">
        <v>65</v>
      </c>
      <c r="V179" s="1" t="s">
        <v>435</v>
      </c>
      <c r="W179" s="1" t="s">
        <v>1165</v>
      </c>
    </row>
    <row r="180" spans="1:23" ht="15.75" customHeight="1" x14ac:dyDescent="0.35">
      <c r="A180" s="1" t="s">
        <v>151</v>
      </c>
      <c r="B180" s="1" t="s">
        <v>568</v>
      </c>
      <c r="C180" s="1" t="s">
        <v>711</v>
      </c>
      <c r="D180" s="1" t="s">
        <v>409</v>
      </c>
      <c r="E180" s="1" t="s">
        <v>410</v>
      </c>
      <c r="F180" s="1" t="s">
        <v>888</v>
      </c>
      <c r="G180" s="1" t="s">
        <v>156</v>
      </c>
      <c r="H180" s="1" t="s">
        <v>393</v>
      </c>
      <c r="I180" s="1" t="s">
        <v>120</v>
      </c>
      <c r="J180" s="1" t="s">
        <v>75</v>
      </c>
      <c r="K180" s="1" t="s">
        <v>101</v>
      </c>
      <c r="L180" s="1" t="s">
        <v>158</v>
      </c>
      <c r="M180" s="1" t="s">
        <v>617</v>
      </c>
      <c r="N180" s="1" t="s">
        <v>571</v>
      </c>
      <c r="O180" s="1" t="s">
        <v>396</v>
      </c>
      <c r="P180" s="1" t="s">
        <v>397</v>
      </c>
      <c r="Q180" s="1" t="s">
        <v>398</v>
      </c>
      <c r="R180" s="1" t="s">
        <v>164</v>
      </c>
      <c r="S180" s="1" t="s">
        <v>78</v>
      </c>
      <c r="T180" s="1">
        <v>51999</v>
      </c>
      <c r="U180" s="1" t="s">
        <v>79</v>
      </c>
      <c r="V180" s="1" t="s">
        <v>705</v>
      </c>
      <c r="W180" s="1" t="s">
        <v>1166</v>
      </c>
    </row>
    <row r="181" spans="1:23" ht="15.75" customHeight="1" x14ac:dyDescent="0.35">
      <c r="A181" s="1" t="s">
        <v>151</v>
      </c>
      <c r="B181" s="1" t="s">
        <v>939</v>
      </c>
      <c r="C181" s="1" t="s">
        <v>133</v>
      </c>
      <c r="D181" s="1" t="s">
        <v>1167</v>
      </c>
      <c r="E181" s="1" t="s">
        <v>410</v>
      </c>
      <c r="F181" s="1" t="s">
        <v>221</v>
      </c>
      <c r="G181" s="1" t="s">
        <v>796</v>
      </c>
      <c r="H181" s="1" t="s">
        <v>1168</v>
      </c>
      <c r="I181" s="1" t="s">
        <v>89</v>
      </c>
      <c r="J181" s="1" t="s">
        <v>57</v>
      </c>
      <c r="K181" s="1" t="s">
        <v>90</v>
      </c>
      <c r="L181" s="1" t="s">
        <v>940</v>
      </c>
      <c r="M181" s="1" t="s">
        <v>799</v>
      </c>
      <c r="N181" s="1" t="s">
        <v>941</v>
      </c>
      <c r="O181" s="1" t="s">
        <v>942</v>
      </c>
      <c r="P181" s="1" t="s">
        <v>943</v>
      </c>
      <c r="Q181" s="1" t="s">
        <v>944</v>
      </c>
      <c r="R181" s="1" t="s">
        <v>945</v>
      </c>
      <c r="S181" s="1" t="s">
        <v>129</v>
      </c>
      <c r="T181" s="1">
        <v>89999</v>
      </c>
      <c r="U181" s="1" t="s">
        <v>65</v>
      </c>
      <c r="V181" s="1" t="s">
        <v>619</v>
      </c>
      <c r="W181" s="1" t="s">
        <v>1169</v>
      </c>
    </row>
    <row r="182" spans="1:23" ht="15.75" customHeight="1" x14ac:dyDescent="0.35">
      <c r="A182" s="1" t="s">
        <v>151</v>
      </c>
      <c r="B182" s="1" t="s">
        <v>1170</v>
      </c>
      <c r="C182" s="1" t="s">
        <v>153</v>
      </c>
      <c r="D182" s="1" t="s">
        <v>461</v>
      </c>
      <c r="E182" s="1" t="s">
        <v>70</v>
      </c>
      <c r="F182" s="1" t="s">
        <v>1171</v>
      </c>
      <c r="G182" s="1" t="s">
        <v>156</v>
      </c>
      <c r="H182" s="1" t="s">
        <v>855</v>
      </c>
      <c r="I182" s="1" t="s">
        <v>74</v>
      </c>
      <c r="J182" s="1" t="s">
        <v>75</v>
      </c>
      <c r="K182" s="1" t="s">
        <v>101</v>
      </c>
      <c r="L182" s="1" t="s">
        <v>158</v>
      </c>
      <c r="M182" s="1" t="s">
        <v>159</v>
      </c>
      <c r="N182" s="1" t="s">
        <v>160</v>
      </c>
      <c r="O182" s="1" t="s">
        <v>161</v>
      </c>
      <c r="P182" s="1" t="s">
        <v>162</v>
      </c>
      <c r="Q182" s="1" t="s">
        <v>163</v>
      </c>
      <c r="R182" s="1" t="s">
        <v>164</v>
      </c>
      <c r="S182" s="1" t="s">
        <v>48</v>
      </c>
      <c r="T182" s="1">
        <v>31999</v>
      </c>
      <c r="U182" s="1" t="s">
        <v>166</v>
      </c>
      <c r="V182" s="1" t="s">
        <v>167</v>
      </c>
      <c r="W182" s="1" t="s">
        <v>1170</v>
      </c>
    </row>
    <row r="183" spans="1:23" ht="15.75" customHeight="1" x14ac:dyDescent="0.35">
      <c r="A183" s="1" t="s">
        <v>151</v>
      </c>
      <c r="B183" s="1" t="s">
        <v>1094</v>
      </c>
      <c r="C183" s="1" t="s">
        <v>510</v>
      </c>
      <c r="D183" s="1" t="s">
        <v>134</v>
      </c>
      <c r="E183" s="1" t="s">
        <v>70</v>
      </c>
      <c r="F183" s="1" t="s">
        <v>1172</v>
      </c>
      <c r="G183" s="1" t="s">
        <v>222</v>
      </c>
      <c r="H183" s="1" t="s">
        <v>1173</v>
      </c>
      <c r="I183" s="1" t="s">
        <v>1174</v>
      </c>
      <c r="J183" s="1" t="s">
        <v>39</v>
      </c>
      <c r="K183" s="1" t="s">
        <v>201</v>
      </c>
      <c r="L183" s="1" t="s">
        <v>1175</v>
      </c>
      <c r="M183" s="1" t="s">
        <v>1176</v>
      </c>
      <c r="N183" s="1" t="s">
        <v>1101</v>
      </c>
      <c r="O183" s="1" t="s">
        <v>1102</v>
      </c>
      <c r="P183" s="1" t="s">
        <v>1103</v>
      </c>
      <c r="Q183" s="1" t="s">
        <v>1104</v>
      </c>
      <c r="R183" s="1" t="s">
        <v>1105</v>
      </c>
      <c r="S183" s="1" t="s">
        <v>78</v>
      </c>
      <c r="T183" s="1">
        <v>70499</v>
      </c>
      <c r="V183" s="1" t="s">
        <v>1177</v>
      </c>
      <c r="W183" s="1" t="s">
        <v>1178</v>
      </c>
    </row>
    <row r="184" spans="1:23" ht="15.75" customHeight="1" x14ac:dyDescent="0.35">
      <c r="A184" s="1" t="s">
        <v>151</v>
      </c>
      <c r="B184" s="1" t="s">
        <v>1123</v>
      </c>
      <c r="C184" s="1" t="s">
        <v>704</v>
      </c>
      <c r="D184" s="1" t="s">
        <v>712</v>
      </c>
      <c r="E184" s="1" t="s">
        <v>410</v>
      </c>
      <c r="F184" s="1" t="s">
        <v>1179</v>
      </c>
      <c r="G184" s="1" t="s">
        <v>222</v>
      </c>
      <c r="H184" s="1" t="s">
        <v>1124</v>
      </c>
      <c r="I184" s="1" t="s">
        <v>224</v>
      </c>
      <c r="J184" s="1" t="s">
        <v>57</v>
      </c>
      <c r="K184" s="1" t="s">
        <v>90</v>
      </c>
      <c r="L184" s="1" t="s">
        <v>940</v>
      </c>
      <c r="M184" s="1" t="s">
        <v>799</v>
      </c>
      <c r="N184" s="1" t="s">
        <v>571</v>
      </c>
      <c r="O184" s="1" t="s">
        <v>1125</v>
      </c>
      <c r="P184" s="1" t="s">
        <v>1126</v>
      </c>
      <c r="Q184" s="1" t="s">
        <v>1127</v>
      </c>
      <c r="R184" s="1" t="s">
        <v>164</v>
      </c>
      <c r="S184" s="1" t="s">
        <v>129</v>
      </c>
      <c r="T184" s="1">
        <v>64999</v>
      </c>
      <c r="U184" s="1" t="s">
        <v>79</v>
      </c>
      <c r="V184" s="1" t="s">
        <v>705</v>
      </c>
      <c r="W184" s="1" t="s">
        <v>1180</v>
      </c>
    </row>
    <row r="185" spans="1:23" ht="15.75" customHeight="1" x14ac:dyDescent="0.35">
      <c r="A185" s="1" t="s">
        <v>112</v>
      </c>
      <c r="B185" s="1" t="s">
        <v>678</v>
      </c>
      <c r="C185" s="1" t="s">
        <v>539</v>
      </c>
      <c r="D185" s="1" t="s">
        <v>679</v>
      </c>
      <c r="E185" s="1" t="s">
        <v>410</v>
      </c>
      <c r="F185" s="1" t="s">
        <v>680</v>
      </c>
      <c r="G185" s="1" t="s">
        <v>1120</v>
      </c>
      <c r="H185" s="1" t="s">
        <v>681</v>
      </c>
      <c r="I185" s="1" t="s">
        <v>616</v>
      </c>
      <c r="J185" s="1" t="s">
        <v>57</v>
      </c>
      <c r="K185" s="1" t="s">
        <v>555</v>
      </c>
      <c r="O185" s="1" t="s">
        <v>682</v>
      </c>
      <c r="P185" s="1" t="s">
        <v>683</v>
      </c>
      <c r="Q185" s="1" t="s">
        <v>684</v>
      </c>
      <c r="R185" s="1" t="s">
        <v>217</v>
      </c>
      <c r="S185" s="1" t="s">
        <v>129</v>
      </c>
      <c r="T185" s="1">
        <v>86666</v>
      </c>
      <c r="U185" s="1" t="s">
        <v>65</v>
      </c>
      <c r="V185" s="1" t="s">
        <v>685</v>
      </c>
      <c r="W185" s="1" t="s">
        <v>1181</v>
      </c>
    </row>
    <row r="186" spans="1:23" ht="15.75" customHeight="1" x14ac:dyDescent="0.35">
      <c r="A186" s="1" t="s">
        <v>151</v>
      </c>
      <c r="B186" s="1" t="s">
        <v>939</v>
      </c>
      <c r="C186" s="1" t="s">
        <v>50</v>
      </c>
      <c r="D186" s="1" t="s">
        <v>1149</v>
      </c>
      <c r="E186" s="1" t="s">
        <v>410</v>
      </c>
      <c r="F186" s="1" t="s">
        <v>447</v>
      </c>
      <c r="G186" s="1" t="s">
        <v>796</v>
      </c>
      <c r="H186" s="1" t="s">
        <v>431</v>
      </c>
      <c r="I186" s="1" t="s">
        <v>89</v>
      </c>
      <c r="J186" s="1" t="s">
        <v>256</v>
      </c>
      <c r="K186" s="1" t="s">
        <v>101</v>
      </c>
      <c r="L186" s="1" t="s">
        <v>798</v>
      </c>
      <c r="M186" s="1" t="s">
        <v>799</v>
      </c>
      <c r="N186" s="1" t="s">
        <v>941</v>
      </c>
      <c r="O186" s="1" t="s">
        <v>942</v>
      </c>
      <c r="P186" s="1" t="s">
        <v>943</v>
      </c>
      <c r="Q186" s="1" t="s">
        <v>944</v>
      </c>
      <c r="R186" s="1" t="s">
        <v>945</v>
      </c>
      <c r="S186" s="1" t="s">
        <v>129</v>
      </c>
      <c r="T186" s="1">
        <v>109999</v>
      </c>
      <c r="U186" s="1" t="s">
        <v>65</v>
      </c>
      <c r="V186" s="1" t="s">
        <v>232</v>
      </c>
      <c r="W186" s="1" t="s">
        <v>1182</v>
      </c>
    </row>
    <row r="187" spans="1:23" ht="15.75" customHeight="1" x14ac:dyDescent="0.35">
      <c r="A187" s="1" t="s">
        <v>112</v>
      </c>
      <c r="B187" s="1" t="s">
        <v>1183</v>
      </c>
      <c r="C187" s="1" t="s">
        <v>693</v>
      </c>
      <c r="D187" s="1" t="s">
        <v>312</v>
      </c>
      <c r="E187" s="1" t="s">
        <v>70</v>
      </c>
      <c r="F187" s="1" t="s">
        <v>665</v>
      </c>
      <c r="G187" s="1" t="s">
        <v>906</v>
      </c>
      <c r="H187" s="1" t="s">
        <v>364</v>
      </c>
      <c r="I187" s="1" t="s">
        <v>120</v>
      </c>
      <c r="J187" s="1" t="s">
        <v>75</v>
      </c>
      <c r="K187" s="1" t="s">
        <v>90</v>
      </c>
      <c r="L187" s="1" t="s">
        <v>990</v>
      </c>
      <c r="M187" s="1" t="s">
        <v>139</v>
      </c>
      <c r="N187" s="1" t="s">
        <v>124</v>
      </c>
      <c r="O187" s="1" t="s">
        <v>187</v>
      </c>
      <c r="P187" s="1" t="s">
        <v>126</v>
      </c>
      <c r="Q187" s="1" t="s">
        <v>127</v>
      </c>
      <c r="R187" s="1" t="s">
        <v>991</v>
      </c>
      <c r="S187" s="1" t="s">
        <v>78</v>
      </c>
      <c r="T187" s="1">
        <v>50999</v>
      </c>
      <c r="U187" s="1" t="s">
        <v>79</v>
      </c>
      <c r="V187" s="1" t="s">
        <v>406</v>
      </c>
      <c r="W187" s="1" t="s">
        <v>1184</v>
      </c>
    </row>
    <row r="188" spans="1:23" ht="15.75" customHeight="1" x14ac:dyDescent="0.35">
      <c r="A188" s="1" t="s">
        <v>112</v>
      </c>
      <c r="B188" s="1" t="s">
        <v>1185</v>
      </c>
      <c r="C188" s="1" t="s">
        <v>361</v>
      </c>
      <c r="D188" s="1" t="s">
        <v>115</v>
      </c>
      <c r="E188" s="1" t="s">
        <v>116</v>
      </c>
      <c r="F188" s="1" t="s">
        <v>491</v>
      </c>
      <c r="G188" s="1" t="s">
        <v>118</v>
      </c>
      <c r="H188" s="1" t="s">
        <v>1186</v>
      </c>
      <c r="I188" s="1" t="s">
        <v>120</v>
      </c>
      <c r="J188" s="1" t="s">
        <v>75</v>
      </c>
      <c r="K188" s="1" t="s">
        <v>101</v>
      </c>
      <c r="L188" s="1" t="s">
        <v>186</v>
      </c>
      <c r="M188" s="1" t="s">
        <v>139</v>
      </c>
      <c r="N188" s="1" t="s">
        <v>124</v>
      </c>
      <c r="O188" s="1" t="s">
        <v>187</v>
      </c>
      <c r="P188" s="1" t="s">
        <v>126</v>
      </c>
      <c r="Q188" s="1" t="s">
        <v>127</v>
      </c>
      <c r="R188" s="1" t="s">
        <v>180</v>
      </c>
      <c r="S188" s="1" t="s">
        <v>78</v>
      </c>
      <c r="T188" s="1">
        <v>35499</v>
      </c>
      <c r="U188" s="1" t="s">
        <v>79</v>
      </c>
      <c r="V188" s="1" t="s">
        <v>365</v>
      </c>
    </row>
    <row r="189" spans="1:23" ht="15.75" customHeight="1" x14ac:dyDescent="0.35">
      <c r="A189" s="1" t="s">
        <v>151</v>
      </c>
      <c r="B189" s="1" t="s">
        <v>939</v>
      </c>
      <c r="C189" s="1" t="s">
        <v>429</v>
      </c>
      <c r="D189" s="1" t="s">
        <v>640</v>
      </c>
      <c r="E189" s="1" t="s">
        <v>410</v>
      </c>
      <c r="F189" s="1" t="s">
        <v>221</v>
      </c>
      <c r="G189" s="1" t="s">
        <v>796</v>
      </c>
      <c r="H189" s="1" t="s">
        <v>431</v>
      </c>
      <c r="I189" s="1" t="s">
        <v>89</v>
      </c>
      <c r="J189" s="1" t="s">
        <v>256</v>
      </c>
      <c r="K189" s="1" t="s">
        <v>101</v>
      </c>
      <c r="L189" s="1" t="s">
        <v>798</v>
      </c>
      <c r="M189" s="1" t="s">
        <v>799</v>
      </c>
      <c r="N189" s="1" t="s">
        <v>941</v>
      </c>
      <c r="O189" s="1" t="s">
        <v>942</v>
      </c>
      <c r="P189" s="1" t="s">
        <v>943</v>
      </c>
      <c r="Q189" s="1" t="s">
        <v>944</v>
      </c>
      <c r="R189" s="1" t="s">
        <v>945</v>
      </c>
      <c r="S189" s="1" t="s">
        <v>78</v>
      </c>
      <c r="T189" s="1">
        <v>69999</v>
      </c>
      <c r="U189" s="1" t="s">
        <v>65</v>
      </c>
      <c r="V189" s="1" t="s">
        <v>435</v>
      </c>
      <c r="W189" s="1" t="s">
        <v>1187</v>
      </c>
    </row>
    <row r="190" spans="1:23" ht="15.75" customHeight="1" x14ac:dyDescent="0.35">
      <c r="A190" s="1" t="s">
        <v>112</v>
      </c>
      <c r="B190" s="1" t="s">
        <v>692</v>
      </c>
      <c r="C190" s="1" t="s">
        <v>693</v>
      </c>
      <c r="D190" s="1" t="s">
        <v>694</v>
      </c>
      <c r="E190" s="1" t="s">
        <v>70</v>
      </c>
      <c r="F190" s="1" t="s">
        <v>491</v>
      </c>
      <c r="G190" s="1" t="s">
        <v>118</v>
      </c>
      <c r="H190" s="1" t="s">
        <v>364</v>
      </c>
      <c r="I190" s="1" t="s">
        <v>120</v>
      </c>
      <c r="J190" s="1" t="s">
        <v>75</v>
      </c>
      <c r="K190" s="1" t="s">
        <v>101</v>
      </c>
      <c r="L190" s="1" t="s">
        <v>193</v>
      </c>
      <c r="M190" s="1" t="s">
        <v>139</v>
      </c>
      <c r="N190" s="1" t="s">
        <v>124</v>
      </c>
      <c r="O190" s="1" t="s">
        <v>187</v>
      </c>
      <c r="P190" s="1" t="s">
        <v>126</v>
      </c>
      <c r="Q190" s="1" t="s">
        <v>127</v>
      </c>
      <c r="R190" s="1" t="s">
        <v>612</v>
      </c>
      <c r="S190" s="1" t="s">
        <v>78</v>
      </c>
      <c r="T190" s="1">
        <v>46999</v>
      </c>
      <c r="U190" s="1" t="s">
        <v>79</v>
      </c>
      <c r="V190" s="1" t="s">
        <v>406</v>
      </c>
      <c r="W190" s="1" t="s">
        <v>695</v>
      </c>
    </row>
    <row r="191" spans="1:23" ht="15.75" customHeight="1" x14ac:dyDescent="0.35">
      <c r="A191" s="1" t="s">
        <v>151</v>
      </c>
      <c r="B191" s="1" t="s">
        <v>389</v>
      </c>
      <c r="C191" s="1" t="s">
        <v>408</v>
      </c>
      <c r="D191" s="1" t="s">
        <v>1149</v>
      </c>
      <c r="E191" s="1" t="s">
        <v>410</v>
      </c>
      <c r="F191" s="1" t="s">
        <v>1188</v>
      </c>
      <c r="G191" s="1" t="s">
        <v>156</v>
      </c>
      <c r="H191" s="1" t="s">
        <v>393</v>
      </c>
      <c r="I191" s="1" t="s">
        <v>120</v>
      </c>
      <c r="J191" s="1" t="s">
        <v>75</v>
      </c>
      <c r="K191" s="1" t="s">
        <v>90</v>
      </c>
      <c r="L191" s="1" t="s">
        <v>508</v>
      </c>
      <c r="M191" s="1" t="s">
        <v>617</v>
      </c>
      <c r="N191" s="1" t="s">
        <v>395</v>
      </c>
      <c r="O191" s="1" t="s">
        <v>396</v>
      </c>
      <c r="P191" s="1" t="s">
        <v>397</v>
      </c>
      <c r="Q191" s="1" t="s">
        <v>398</v>
      </c>
      <c r="R191" s="1" t="s">
        <v>164</v>
      </c>
      <c r="S191" s="1" t="s">
        <v>78</v>
      </c>
      <c r="T191" s="1">
        <v>60650</v>
      </c>
      <c r="V191" s="1" t="s">
        <v>399</v>
      </c>
      <c r="W191" s="1" t="s">
        <v>1189</v>
      </c>
    </row>
    <row r="192" spans="1:23" ht="15.75" customHeight="1" x14ac:dyDescent="0.35">
      <c r="A192" s="1" t="s">
        <v>151</v>
      </c>
      <c r="B192" s="1" t="s">
        <v>568</v>
      </c>
      <c r="C192" s="1" t="s">
        <v>746</v>
      </c>
      <c r="D192" s="1" t="s">
        <v>640</v>
      </c>
      <c r="E192" s="1" t="s">
        <v>410</v>
      </c>
      <c r="F192" s="1" t="s">
        <v>155</v>
      </c>
      <c r="G192" s="1" t="s">
        <v>156</v>
      </c>
      <c r="H192" s="1" t="s">
        <v>393</v>
      </c>
      <c r="I192" s="1" t="s">
        <v>120</v>
      </c>
      <c r="J192" s="1" t="s">
        <v>75</v>
      </c>
      <c r="K192" s="1" t="s">
        <v>90</v>
      </c>
      <c r="L192" s="1" t="s">
        <v>508</v>
      </c>
      <c r="M192" s="1" t="s">
        <v>617</v>
      </c>
      <c r="N192" s="1" t="s">
        <v>395</v>
      </c>
      <c r="O192" s="1" t="s">
        <v>396</v>
      </c>
      <c r="P192" s="1" t="s">
        <v>397</v>
      </c>
      <c r="Q192" s="1" t="s">
        <v>398</v>
      </c>
      <c r="R192" s="1" t="s">
        <v>164</v>
      </c>
      <c r="S192" s="1" t="s">
        <v>78</v>
      </c>
      <c r="T192" s="1">
        <v>53499</v>
      </c>
      <c r="U192" s="1" t="s">
        <v>79</v>
      </c>
      <c r="V192" s="1" t="s">
        <v>705</v>
      </c>
      <c r="W192" s="1" t="s">
        <v>1190</v>
      </c>
    </row>
    <row r="193" spans="1:26" ht="15.75" customHeight="1" x14ac:dyDescent="0.35">
      <c r="A193" s="1" t="s">
        <v>30</v>
      </c>
      <c r="B193" s="1" t="s">
        <v>1191</v>
      </c>
      <c r="C193" s="1" t="s">
        <v>1144</v>
      </c>
      <c r="D193" s="1" t="s">
        <v>522</v>
      </c>
      <c r="E193" s="1" t="s">
        <v>410</v>
      </c>
      <c r="F193" s="1" t="s">
        <v>53</v>
      </c>
      <c r="G193" s="1" t="s">
        <v>54</v>
      </c>
      <c r="H193" s="1" t="s">
        <v>1192</v>
      </c>
      <c r="I193" s="1" t="s">
        <v>89</v>
      </c>
      <c r="J193" s="1" t="s">
        <v>256</v>
      </c>
      <c r="K193" s="1" t="s">
        <v>90</v>
      </c>
      <c r="L193" s="1" t="s">
        <v>1193</v>
      </c>
      <c r="M193" s="1" t="s">
        <v>1194</v>
      </c>
      <c r="N193" s="1" t="s">
        <v>326</v>
      </c>
      <c r="O193" s="1" t="s">
        <v>646</v>
      </c>
      <c r="P193" s="1" t="s">
        <v>1195</v>
      </c>
      <c r="Q193" s="1" t="s">
        <v>1196</v>
      </c>
      <c r="R193" s="1" t="s">
        <v>338</v>
      </c>
      <c r="S193" s="1" t="s">
        <v>165</v>
      </c>
      <c r="T193" s="1">
        <v>88888</v>
      </c>
      <c r="U193" s="1" t="s">
        <v>65</v>
      </c>
      <c r="V193" s="1" t="s">
        <v>1197</v>
      </c>
      <c r="W193" s="1" t="s">
        <v>1198</v>
      </c>
    </row>
    <row r="194" spans="1:26" ht="15.75" customHeight="1" x14ac:dyDescent="0.35">
      <c r="A194" s="1" t="s">
        <v>30</v>
      </c>
      <c r="B194" s="1" t="s">
        <v>1199</v>
      </c>
      <c r="C194" s="1" t="s">
        <v>1200</v>
      </c>
      <c r="D194" s="1" t="s">
        <v>409</v>
      </c>
      <c r="E194" s="1" t="s">
        <v>410</v>
      </c>
      <c r="F194" s="1" t="s">
        <v>1201</v>
      </c>
      <c r="G194" s="1" t="s">
        <v>54</v>
      </c>
      <c r="H194" s="1" t="s">
        <v>55</v>
      </c>
      <c r="I194" s="1" t="s">
        <v>56</v>
      </c>
      <c r="J194" s="1" t="s">
        <v>57</v>
      </c>
      <c r="K194" s="1" t="s">
        <v>101</v>
      </c>
      <c r="L194" s="1" t="s">
        <v>324</v>
      </c>
      <c r="M194" s="1" t="s">
        <v>500</v>
      </c>
      <c r="O194" s="1" t="s">
        <v>650</v>
      </c>
      <c r="P194" s="1" t="s">
        <v>1195</v>
      </c>
      <c r="Q194" s="1" t="s">
        <v>1196</v>
      </c>
      <c r="R194" s="1" t="s">
        <v>64</v>
      </c>
      <c r="S194" s="1" t="s">
        <v>165</v>
      </c>
      <c r="T194" s="1">
        <v>68422</v>
      </c>
      <c r="U194" s="1" t="s">
        <v>79</v>
      </c>
      <c r="V194" s="1" t="s">
        <v>815</v>
      </c>
      <c r="W194" s="1" t="s">
        <v>1202</v>
      </c>
    </row>
    <row r="195" spans="1:26" ht="15.75" customHeight="1" x14ac:dyDescent="0.35">
      <c r="A195" s="1" t="s">
        <v>30</v>
      </c>
      <c r="B195" s="1" t="s">
        <v>1203</v>
      </c>
      <c r="C195" s="1" t="s">
        <v>1204</v>
      </c>
      <c r="D195" s="1" t="s">
        <v>115</v>
      </c>
      <c r="E195" s="1" t="s">
        <v>70</v>
      </c>
      <c r="F195" s="1" t="s">
        <v>1205</v>
      </c>
      <c r="G195" s="1" t="s">
        <v>1206</v>
      </c>
      <c r="H195" s="1" t="s">
        <v>370</v>
      </c>
      <c r="I195" s="1" t="s">
        <v>74</v>
      </c>
      <c r="J195" s="1" t="s">
        <v>75</v>
      </c>
      <c r="K195" s="1" t="s">
        <v>101</v>
      </c>
      <c r="M195" s="1" t="s">
        <v>1207</v>
      </c>
      <c r="N195" s="1" t="s">
        <v>373</v>
      </c>
      <c r="O195" s="1" t="s">
        <v>1208</v>
      </c>
      <c r="P195" s="1" t="s">
        <v>1209</v>
      </c>
      <c r="Q195" s="1" t="s">
        <v>781</v>
      </c>
      <c r="R195" s="1" t="s">
        <v>64</v>
      </c>
      <c r="S195" s="1" t="s">
        <v>78</v>
      </c>
      <c r="T195" s="1">
        <v>36499</v>
      </c>
      <c r="U195" s="1" t="s">
        <v>79</v>
      </c>
      <c r="V195" s="1" t="s">
        <v>1210</v>
      </c>
    </row>
    <row r="196" spans="1:26" ht="15.75" customHeight="1" x14ac:dyDescent="0.35">
      <c r="A196" s="1" t="s">
        <v>30</v>
      </c>
      <c r="B196" s="1" t="s">
        <v>1211</v>
      </c>
      <c r="C196" s="1" t="s">
        <v>1212</v>
      </c>
      <c r="D196" s="1" t="s">
        <v>1213</v>
      </c>
      <c r="E196" s="1" t="s">
        <v>1214</v>
      </c>
      <c r="F196" s="1" t="s">
        <v>1215</v>
      </c>
      <c r="G196" s="1" t="s">
        <v>382</v>
      </c>
      <c r="H196" s="1" t="s">
        <v>1004</v>
      </c>
      <c r="I196" s="1" t="s">
        <v>275</v>
      </c>
      <c r="J196" s="1" t="s">
        <v>75</v>
      </c>
      <c r="K196" s="1" t="s">
        <v>90</v>
      </c>
      <c r="L196" s="1" t="s">
        <v>324</v>
      </c>
      <c r="M196" s="1" t="s">
        <v>1194</v>
      </c>
      <c r="N196" s="1" t="s">
        <v>373</v>
      </c>
      <c r="O196" s="1" t="s">
        <v>646</v>
      </c>
      <c r="P196" s="1" t="s">
        <v>502</v>
      </c>
      <c r="Q196" s="1" t="s">
        <v>503</v>
      </c>
      <c r="R196" s="1" t="s">
        <v>338</v>
      </c>
      <c r="S196" s="1" t="s">
        <v>48</v>
      </c>
      <c r="T196" s="1">
        <v>57877</v>
      </c>
      <c r="U196" s="1" t="s">
        <v>79</v>
      </c>
      <c r="V196" s="1" t="s">
        <v>1216</v>
      </c>
    </row>
    <row r="197" spans="1:26" ht="15.75" customHeight="1" x14ac:dyDescent="0.35">
      <c r="A197" s="1" t="s">
        <v>30</v>
      </c>
      <c r="B197" s="1" t="s">
        <v>1217</v>
      </c>
      <c r="C197" s="1" t="s">
        <v>384</v>
      </c>
      <c r="D197" s="1" t="s">
        <v>1218</v>
      </c>
      <c r="E197" s="1" t="s">
        <v>1048</v>
      </c>
      <c r="F197" s="1" t="s">
        <v>321</v>
      </c>
      <c r="G197" s="1" t="s">
        <v>1219</v>
      </c>
      <c r="H197" s="1" t="s">
        <v>1220</v>
      </c>
      <c r="I197" s="1" t="s">
        <v>89</v>
      </c>
      <c r="J197" s="1" t="s">
        <v>256</v>
      </c>
      <c r="K197" s="1" t="s">
        <v>90</v>
      </c>
      <c r="L197" s="1" t="s">
        <v>903</v>
      </c>
      <c r="M197" s="1" t="s">
        <v>325</v>
      </c>
      <c r="N197" s="1" t="s">
        <v>326</v>
      </c>
      <c r="O197" s="1" t="s">
        <v>1050</v>
      </c>
      <c r="P197" s="1" t="s">
        <v>536</v>
      </c>
      <c r="Q197" s="1" t="s">
        <v>537</v>
      </c>
      <c r="R197" s="1" t="s">
        <v>338</v>
      </c>
      <c r="S197" s="1" t="s">
        <v>339</v>
      </c>
      <c r="T197" s="1">
        <v>129999</v>
      </c>
      <c r="U197" s="1" t="s">
        <v>65</v>
      </c>
    </row>
    <row r="198" spans="1:26" ht="15.75" customHeight="1" x14ac:dyDescent="0.35">
      <c r="A198" s="1" t="s">
        <v>30</v>
      </c>
      <c r="B198" s="1" t="s">
        <v>891</v>
      </c>
      <c r="C198" s="1" t="s">
        <v>655</v>
      </c>
      <c r="D198" s="1" t="s">
        <v>893</v>
      </c>
      <c r="E198" s="1" t="s">
        <v>507</v>
      </c>
      <c r="F198" s="1" t="s">
        <v>656</v>
      </c>
      <c r="G198" s="1" t="s">
        <v>894</v>
      </c>
      <c r="H198" s="1" t="s">
        <v>895</v>
      </c>
      <c r="I198" s="1" t="s">
        <v>896</v>
      </c>
      <c r="J198" s="1" t="s">
        <v>75</v>
      </c>
      <c r="K198" s="1" t="s">
        <v>101</v>
      </c>
      <c r="L198" s="1" t="s">
        <v>645</v>
      </c>
      <c r="M198" s="1" t="s">
        <v>897</v>
      </c>
      <c r="N198" s="1" t="s">
        <v>373</v>
      </c>
      <c r="O198" s="1" t="s">
        <v>658</v>
      </c>
      <c r="P198" s="1" t="s">
        <v>375</v>
      </c>
      <c r="Q198" s="1" t="s">
        <v>376</v>
      </c>
      <c r="R198" s="1" t="s">
        <v>338</v>
      </c>
      <c r="S198" s="1" t="s">
        <v>48</v>
      </c>
      <c r="T198" s="1">
        <v>33399</v>
      </c>
      <c r="U198" s="1" t="s">
        <v>79</v>
      </c>
    </row>
    <row r="199" spans="1:26" ht="15.75" customHeight="1" x14ac:dyDescent="0.35">
      <c r="A199" s="1" t="s">
        <v>30</v>
      </c>
      <c r="B199" s="1" t="s">
        <v>1221</v>
      </c>
      <c r="C199" s="1" t="s">
        <v>1222</v>
      </c>
      <c r="D199" s="1" t="s">
        <v>1223</v>
      </c>
      <c r="E199" s="1" t="s">
        <v>1224</v>
      </c>
      <c r="F199" s="1" t="s">
        <v>1225</v>
      </c>
      <c r="G199" s="1" t="s">
        <v>54</v>
      </c>
      <c r="H199" s="1" t="s">
        <v>334</v>
      </c>
      <c r="I199" s="1" t="s">
        <v>224</v>
      </c>
      <c r="J199" s="1" t="s">
        <v>256</v>
      </c>
      <c r="K199" s="1" t="s">
        <v>90</v>
      </c>
      <c r="L199" s="1" t="s">
        <v>324</v>
      </c>
      <c r="M199" s="1" t="s">
        <v>325</v>
      </c>
      <c r="N199" s="1" t="s">
        <v>326</v>
      </c>
      <c r="O199" s="1" t="s">
        <v>646</v>
      </c>
      <c r="P199" s="1" t="s">
        <v>1226</v>
      </c>
      <c r="Q199" s="1" t="s">
        <v>1227</v>
      </c>
      <c r="R199" s="1" t="s">
        <v>64</v>
      </c>
      <c r="S199" s="1" t="s">
        <v>48</v>
      </c>
      <c r="T199" s="1">
        <v>102000</v>
      </c>
    </row>
    <row r="200" spans="1:26" ht="15.75" customHeight="1" x14ac:dyDescent="0.35">
      <c r="A200" s="1" t="s">
        <v>30</v>
      </c>
      <c r="B200" s="1" t="s">
        <v>1228</v>
      </c>
      <c r="C200" s="1" t="s">
        <v>50</v>
      </c>
      <c r="D200" s="1" t="s">
        <v>1229</v>
      </c>
      <c r="E200" s="1" t="s">
        <v>552</v>
      </c>
      <c r="F200" s="1" t="s">
        <v>1230</v>
      </c>
      <c r="G200" s="1" t="s">
        <v>1231</v>
      </c>
      <c r="H200" s="1" t="s">
        <v>1232</v>
      </c>
      <c r="I200" s="1" t="s">
        <v>224</v>
      </c>
      <c r="J200" s="1" t="s">
        <v>256</v>
      </c>
      <c r="K200" s="1" t="s">
        <v>90</v>
      </c>
      <c r="L200" s="1" t="s">
        <v>346</v>
      </c>
      <c r="M200" s="1" t="s">
        <v>526</v>
      </c>
      <c r="N200" s="1" t="s">
        <v>43</v>
      </c>
      <c r="O200" s="1" t="s">
        <v>1233</v>
      </c>
      <c r="P200" s="1" t="s">
        <v>45</v>
      </c>
      <c r="Q200" s="1" t="s">
        <v>46</v>
      </c>
      <c r="R200" s="1" t="s">
        <v>47</v>
      </c>
      <c r="S200" s="1" t="s">
        <v>339</v>
      </c>
      <c r="T200" s="1">
        <v>176499</v>
      </c>
      <c r="U200" s="1" t="s">
        <v>65</v>
      </c>
      <c r="Z200" s="1" t="s">
        <v>1234</v>
      </c>
    </row>
    <row r="201" spans="1:26" ht="15.75" customHeight="1" x14ac:dyDescent="0.35">
      <c r="A201" s="1" t="s">
        <v>112</v>
      </c>
      <c r="B201" s="1" t="s">
        <v>1235</v>
      </c>
      <c r="C201" s="1" t="s">
        <v>402</v>
      </c>
      <c r="D201" s="1" t="s">
        <v>115</v>
      </c>
      <c r="E201" s="1" t="s">
        <v>116</v>
      </c>
      <c r="F201" s="1" t="s">
        <v>491</v>
      </c>
      <c r="G201" s="1" t="s">
        <v>118</v>
      </c>
      <c r="H201" s="1" t="s">
        <v>441</v>
      </c>
      <c r="I201" s="1" t="s">
        <v>120</v>
      </c>
      <c r="J201" s="1" t="s">
        <v>75</v>
      </c>
      <c r="K201" s="1" t="s">
        <v>101</v>
      </c>
      <c r="L201" s="1" t="s">
        <v>186</v>
      </c>
      <c r="M201" s="1" t="s">
        <v>139</v>
      </c>
      <c r="N201" s="1" t="s">
        <v>124</v>
      </c>
      <c r="O201" s="1" t="s">
        <v>909</v>
      </c>
      <c r="P201" s="1" t="s">
        <v>1236</v>
      </c>
      <c r="Q201" s="1" t="s">
        <v>127</v>
      </c>
      <c r="R201" s="1" t="s">
        <v>1001</v>
      </c>
      <c r="S201" s="1" t="s">
        <v>78</v>
      </c>
      <c r="T201" s="1">
        <v>43999</v>
      </c>
      <c r="U201" s="1" t="s">
        <v>79</v>
      </c>
      <c r="V201" s="1" t="s">
        <v>406</v>
      </c>
      <c r="W201" s="1" t="s">
        <v>771</v>
      </c>
    </row>
    <row r="202" spans="1:26" ht="15.75" customHeight="1" x14ac:dyDescent="0.35">
      <c r="A202" s="1" t="s">
        <v>112</v>
      </c>
      <c r="B202" s="1" t="s">
        <v>1237</v>
      </c>
      <c r="C202" s="1" t="s">
        <v>1238</v>
      </c>
      <c r="D202" s="1" t="s">
        <v>438</v>
      </c>
      <c r="E202" s="1" t="s">
        <v>507</v>
      </c>
      <c r="F202" s="1" t="s">
        <v>1239</v>
      </c>
      <c r="G202" s="1" t="s">
        <v>610</v>
      </c>
      <c r="H202" s="1" t="s">
        <v>1240</v>
      </c>
      <c r="I202" s="1" t="s">
        <v>120</v>
      </c>
      <c r="J202" s="1" t="s">
        <v>75</v>
      </c>
      <c r="K202" s="1" t="s">
        <v>90</v>
      </c>
      <c r="L202" s="1" t="s">
        <v>193</v>
      </c>
      <c r="M202" s="1" t="s">
        <v>123</v>
      </c>
      <c r="N202" s="1" t="s">
        <v>124</v>
      </c>
      <c r="O202" s="1" t="s">
        <v>774</v>
      </c>
      <c r="P202" s="1" t="s">
        <v>1236</v>
      </c>
      <c r="Q202" s="1" t="s">
        <v>127</v>
      </c>
      <c r="R202" s="1" t="s">
        <v>128</v>
      </c>
      <c r="S202" s="1" t="s">
        <v>78</v>
      </c>
      <c r="T202" s="1">
        <v>29999</v>
      </c>
      <c r="V202" s="1" t="s">
        <v>1241</v>
      </c>
      <c r="W202" s="1" t="s">
        <v>1242</v>
      </c>
      <c r="X202" s="1" t="s">
        <v>1243</v>
      </c>
    </row>
    <row r="203" spans="1:26" ht="15.75" customHeight="1" x14ac:dyDescent="0.35">
      <c r="A203" s="1" t="s">
        <v>81</v>
      </c>
      <c r="B203" s="1" t="s">
        <v>1244</v>
      </c>
      <c r="C203" s="1" t="s">
        <v>114</v>
      </c>
      <c r="D203" s="1" t="s">
        <v>134</v>
      </c>
      <c r="E203" s="1" t="s">
        <v>116</v>
      </c>
      <c r="F203" s="1" t="s">
        <v>1245</v>
      </c>
      <c r="G203" s="1" t="s">
        <v>1246</v>
      </c>
      <c r="H203" s="1" t="s">
        <v>1247</v>
      </c>
      <c r="I203" s="1" t="s">
        <v>224</v>
      </c>
      <c r="J203" s="1" t="s">
        <v>111</v>
      </c>
      <c r="K203" s="1" t="s">
        <v>555</v>
      </c>
      <c r="M203" s="1" t="s">
        <v>1248</v>
      </c>
      <c r="O203" s="1" t="s">
        <v>1249</v>
      </c>
      <c r="P203" s="1" t="s">
        <v>1250</v>
      </c>
      <c r="Q203" s="1" t="s">
        <v>1251</v>
      </c>
      <c r="R203" s="1" t="s">
        <v>1252</v>
      </c>
      <c r="S203" s="1" t="s">
        <v>78</v>
      </c>
      <c r="T203" s="1">
        <v>52499</v>
      </c>
      <c r="U203" s="1" t="s">
        <v>79</v>
      </c>
      <c r="V203" s="1" t="s">
        <v>1253</v>
      </c>
    </row>
    <row r="204" spans="1:26" ht="15.75" customHeight="1" x14ac:dyDescent="0.35">
      <c r="A204" s="1" t="s">
        <v>234</v>
      </c>
      <c r="B204" s="1" t="s">
        <v>1254</v>
      </c>
      <c r="C204" s="1" t="s">
        <v>402</v>
      </c>
      <c r="D204" s="1" t="s">
        <v>669</v>
      </c>
      <c r="E204" s="1" t="s">
        <v>410</v>
      </c>
      <c r="F204" s="1" t="s">
        <v>1255</v>
      </c>
      <c r="G204" s="1" t="s">
        <v>1120</v>
      </c>
      <c r="H204" s="1" t="s">
        <v>1256</v>
      </c>
      <c r="I204" s="1" t="s">
        <v>275</v>
      </c>
      <c r="J204" s="1" t="s">
        <v>39</v>
      </c>
      <c r="K204" s="1" t="s">
        <v>90</v>
      </c>
      <c r="L204" s="1" t="s">
        <v>1257</v>
      </c>
      <c r="M204" s="1" t="s">
        <v>1258</v>
      </c>
      <c r="N204" s="1" t="s">
        <v>633</v>
      </c>
      <c r="O204" s="1" t="s">
        <v>1259</v>
      </c>
      <c r="P204" s="1" t="s">
        <v>635</v>
      </c>
      <c r="Q204" s="1" t="s">
        <v>636</v>
      </c>
      <c r="R204" s="1" t="s">
        <v>64</v>
      </c>
      <c r="S204" s="1" t="s">
        <v>78</v>
      </c>
      <c r="T204" s="1">
        <v>49999</v>
      </c>
      <c r="U204" s="1" t="s">
        <v>79</v>
      </c>
      <c r="V204" s="1" t="s">
        <v>1260</v>
      </c>
      <c r="W204" s="1" t="s">
        <v>1261</v>
      </c>
    </row>
    <row r="205" spans="1:26" ht="15.75" customHeight="1" x14ac:dyDescent="0.35">
      <c r="A205" s="1" t="s">
        <v>234</v>
      </c>
      <c r="B205" s="1" t="s">
        <v>1262</v>
      </c>
      <c r="C205" s="1" t="s">
        <v>1263</v>
      </c>
      <c r="D205" s="1" t="s">
        <v>409</v>
      </c>
      <c r="E205" s="1" t="s">
        <v>410</v>
      </c>
      <c r="F205" s="1" t="s">
        <v>1264</v>
      </c>
      <c r="G205" s="1" t="s">
        <v>295</v>
      </c>
      <c r="H205" s="1" t="s">
        <v>1265</v>
      </c>
      <c r="I205" s="1" t="s">
        <v>120</v>
      </c>
      <c r="J205" s="1" t="s">
        <v>75</v>
      </c>
      <c r="K205" s="1" t="s">
        <v>90</v>
      </c>
      <c r="L205" s="1" t="s">
        <v>1022</v>
      </c>
      <c r="M205" s="1" t="s">
        <v>241</v>
      </c>
      <c r="N205" s="1" t="s">
        <v>465</v>
      </c>
      <c r="O205" s="1" t="s">
        <v>1266</v>
      </c>
      <c r="P205" s="1" t="s">
        <v>1267</v>
      </c>
      <c r="Q205" s="1" t="s">
        <v>300</v>
      </c>
      <c r="R205" s="1" t="s">
        <v>301</v>
      </c>
      <c r="S205" s="1" t="s">
        <v>78</v>
      </c>
      <c r="T205" s="1">
        <v>47299</v>
      </c>
      <c r="V205" s="1" t="s">
        <v>1268</v>
      </c>
      <c r="W205" s="1" t="s">
        <v>1269</v>
      </c>
    </row>
    <row r="206" spans="1:26" ht="15.75" customHeight="1" x14ac:dyDescent="0.35">
      <c r="A206" s="1" t="s">
        <v>234</v>
      </c>
      <c r="B206" s="1" t="s">
        <v>1270</v>
      </c>
      <c r="C206" s="1" t="s">
        <v>806</v>
      </c>
      <c r="D206" s="1" t="s">
        <v>69</v>
      </c>
      <c r="E206" s="1" t="s">
        <v>70</v>
      </c>
      <c r="F206" s="1" t="s">
        <v>1271</v>
      </c>
      <c r="G206" s="1" t="s">
        <v>295</v>
      </c>
      <c r="H206" s="1" t="s">
        <v>1272</v>
      </c>
      <c r="I206" s="1" t="s">
        <v>120</v>
      </c>
      <c r="J206" s="1" t="s">
        <v>75</v>
      </c>
      <c r="K206" s="1" t="s">
        <v>90</v>
      </c>
      <c r="L206" s="1" t="s">
        <v>1022</v>
      </c>
      <c r="M206" s="1" t="s">
        <v>241</v>
      </c>
      <c r="N206" s="1" t="s">
        <v>465</v>
      </c>
      <c r="O206" s="1" t="s">
        <v>1273</v>
      </c>
      <c r="P206" s="1" t="s">
        <v>1267</v>
      </c>
      <c r="Q206" s="1" t="s">
        <v>300</v>
      </c>
      <c r="R206" s="1" t="s">
        <v>301</v>
      </c>
      <c r="S206" s="1" t="s">
        <v>78</v>
      </c>
      <c r="T206" s="1">
        <v>47777</v>
      </c>
      <c r="U206" s="1" t="s">
        <v>79</v>
      </c>
      <c r="V206" s="1" t="s">
        <v>1274</v>
      </c>
      <c r="W206" s="1" t="s">
        <v>1275</v>
      </c>
    </row>
    <row r="207" spans="1:26" ht="15.75" customHeight="1" x14ac:dyDescent="0.35">
      <c r="A207" s="1" t="s">
        <v>234</v>
      </c>
      <c r="B207" s="1" t="s">
        <v>1276</v>
      </c>
      <c r="C207" s="1" t="s">
        <v>806</v>
      </c>
      <c r="D207" s="1" t="s">
        <v>409</v>
      </c>
      <c r="E207" s="1" t="s">
        <v>410</v>
      </c>
      <c r="F207" s="1" t="s">
        <v>1277</v>
      </c>
      <c r="G207" s="1" t="s">
        <v>239</v>
      </c>
      <c r="H207" s="1" t="s">
        <v>1278</v>
      </c>
      <c r="I207" s="1" t="s">
        <v>120</v>
      </c>
      <c r="J207" s="1" t="s">
        <v>75</v>
      </c>
      <c r="K207" s="1" t="s">
        <v>90</v>
      </c>
      <c r="L207" s="1" t="s">
        <v>1022</v>
      </c>
      <c r="M207" s="1" t="s">
        <v>241</v>
      </c>
      <c r="N207" s="1" t="s">
        <v>465</v>
      </c>
      <c r="O207" s="1" t="s">
        <v>1279</v>
      </c>
      <c r="P207" s="1" t="s">
        <v>1267</v>
      </c>
      <c r="Q207" s="1" t="s">
        <v>300</v>
      </c>
      <c r="R207" s="1" t="s">
        <v>301</v>
      </c>
      <c r="S207" s="1" t="s">
        <v>78</v>
      </c>
      <c r="T207" s="1">
        <v>52999</v>
      </c>
      <c r="U207" s="1" t="s">
        <v>79</v>
      </c>
      <c r="V207" s="1" t="s">
        <v>962</v>
      </c>
      <c r="W207" s="1" t="s">
        <v>1280</v>
      </c>
    </row>
    <row r="208" spans="1:26" ht="15.75" customHeight="1" x14ac:dyDescent="0.35">
      <c r="A208" s="1" t="s">
        <v>112</v>
      </c>
      <c r="B208" s="1" t="s">
        <v>1281</v>
      </c>
      <c r="C208" s="1" t="s">
        <v>1282</v>
      </c>
      <c r="D208" s="1" t="s">
        <v>669</v>
      </c>
      <c r="E208" s="1" t="s">
        <v>540</v>
      </c>
      <c r="F208" s="1" t="s">
        <v>707</v>
      </c>
      <c r="G208" s="1" t="s">
        <v>735</v>
      </c>
      <c r="H208" s="1" t="s">
        <v>1283</v>
      </c>
      <c r="I208" s="1" t="s">
        <v>120</v>
      </c>
      <c r="J208" s="1" t="s">
        <v>57</v>
      </c>
      <c r="K208" s="1" t="s">
        <v>201</v>
      </c>
      <c r="L208" s="1" t="s">
        <v>787</v>
      </c>
      <c r="M208" s="1" t="s">
        <v>213</v>
      </c>
      <c r="N208" s="1" t="s">
        <v>140</v>
      </c>
      <c r="O208" s="1" t="s">
        <v>682</v>
      </c>
      <c r="P208" s="1" t="s">
        <v>1284</v>
      </c>
      <c r="Q208" s="1" t="s">
        <v>1285</v>
      </c>
      <c r="R208" s="1" t="s">
        <v>206</v>
      </c>
      <c r="S208" s="1" t="s">
        <v>78</v>
      </c>
      <c r="T208" s="1">
        <v>72999</v>
      </c>
      <c r="U208" s="1" t="s">
        <v>79</v>
      </c>
      <c r="V208" s="1" t="s">
        <v>1286</v>
      </c>
      <c r="W208" s="1" t="s">
        <v>1287</v>
      </c>
    </row>
    <row r="209" spans="1:23" ht="15.75" customHeight="1" x14ac:dyDescent="0.35">
      <c r="A209" s="1" t="s">
        <v>234</v>
      </c>
      <c r="B209" s="1" t="s">
        <v>1288</v>
      </c>
      <c r="C209" s="1" t="s">
        <v>806</v>
      </c>
      <c r="D209" s="1" t="s">
        <v>409</v>
      </c>
      <c r="E209" s="1" t="s">
        <v>410</v>
      </c>
      <c r="F209" s="1" t="s">
        <v>1289</v>
      </c>
      <c r="G209" s="1" t="s">
        <v>1120</v>
      </c>
      <c r="H209" s="1" t="s">
        <v>1272</v>
      </c>
      <c r="I209" s="1" t="s">
        <v>120</v>
      </c>
      <c r="J209" s="1" t="s">
        <v>75</v>
      </c>
      <c r="K209" s="1" t="s">
        <v>101</v>
      </c>
      <c r="L209" s="1" t="s">
        <v>1022</v>
      </c>
      <c r="M209" s="1" t="s">
        <v>241</v>
      </c>
      <c r="N209" s="1" t="s">
        <v>465</v>
      </c>
      <c r="O209" s="1" t="s">
        <v>624</v>
      </c>
      <c r="P209" s="1" t="s">
        <v>1267</v>
      </c>
      <c r="Q209" s="1" t="s">
        <v>300</v>
      </c>
      <c r="R209" s="1" t="s">
        <v>467</v>
      </c>
      <c r="S209" s="1" t="s">
        <v>78</v>
      </c>
      <c r="T209" s="1">
        <v>52999</v>
      </c>
      <c r="U209" s="1" t="s">
        <v>79</v>
      </c>
      <c r="V209" s="1" t="s">
        <v>962</v>
      </c>
    </row>
    <row r="210" spans="1:23" ht="15.75" customHeight="1" x14ac:dyDescent="0.35">
      <c r="A210" s="1" t="s">
        <v>30</v>
      </c>
      <c r="B210" s="1" t="s">
        <v>1290</v>
      </c>
      <c r="C210" s="1" t="s">
        <v>114</v>
      </c>
      <c r="D210" s="1" t="s">
        <v>1291</v>
      </c>
      <c r="E210" s="1" t="s">
        <v>1292</v>
      </c>
      <c r="F210" s="1" t="s">
        <v>656</v>
      </c>
      <c r="G210" s="1" t="s">
        <v>1293</v>
      </c>
      <c r="H210" s="1" t="s">
        <v>1294</v>
      </c>
      <c r="I210" s="1" t="s">
        <v>74</v>
      </c>
      <c r="J210" s="1" t="s">
        <v>75</v>
      </c>
      <c r="K210" s="1" t="s">
        <v>201</v>
      </c>
      <c r="L210" s="1" t="s">
        <v>1295</v>
      </c>
      <c r="M210" s="1" t="s">
        <v>1296</v>
      </c>
      <c r="N210" s="1" t="s">
        <v>728</v>
      </c>
      <c r="O210" s="1" t="s">
        <v>1297</v>
      </c>
      <c r="P210" s="1" t="s">
        <v>1298</v>
      </c>
      <c r="Q210" s="1" t="s">
        <v>1299</v>
      </c>
      <c r="R210" s="1" t="s">
        <v>64</v>
      </c>
      <c r="S210" s="1" t="s">
        <v>78</v>
      </c>
      <c r="T210" s="1">
        <v>68999</v>
      </c>
      <c r="U210" s="1" t="s">
        <v>79</v>
      </c>
    </row>
    <row r="211" spans="1:23" ht="15.75" customHeight="1" x14ac:dyDescent="0.35">
      <c r="A211" s="1" t="s">
        <v>30</v>
      </c>
      <c r="B211" s="1" t="s">
        <v>1300</v>
      </c>
      <c r="C211" s="1" t="s">
        <v>114</v>
      </c>
      <c r="D211" s="1" t="s">
        <v>1301</v>
      </c>
      <c r="E211" s="1" t="s">
        <v>1292</v>
      </c>
      <c r="F211" s="1" t="s">
        <v>656</v>
      </c>
      <c r="G211" s="1" t="s">
        <v>1293</v>
      </c>
      <c r="H211" s="1" t="s">
        <v>1294</v>
      </c>
      <c r="I211" s="1" t="s">
        <v>74</v>
      </c>
      <c r="J211" s="1" t="s">
        <v>75</v>
      </c>
      <c r="K211" s="1" t="s">
        <v>201</v>
      </c>
      <c r="L211" s="1" t="s">
        <v>1295</v>
      </c>
      <c r="M211" s="1" t="s">
        <v>1302</v>
      </c>
      <c r="N211" s="1" t="s">
        <v>728</v>
      </c>
      <c r="O211" s="1" t="s">
        <v>1303</v>
      </c>
      <c r="P211" s="1" t="s">
        <v>1304</v>
      </c>
      <c r="Q211" s="1" t="s">
        <v>1299</v>
      </c>
      <c r="R211" s="1" t="s">
        <v>64</v>
      </c>
      <c r="S211" s="1" t="s">
        <v>78</v>
      </c>
      <c r="T211" s="1">
        <v>58888</v>
      </c>
      <c r="U211" s="1" t="s">
        <v>79</v>
      </c>
    </row>
    <row r="212" spans="1:23" ht="15.75" customHeight="1" x14ac:dyDescent="0.35">
      <c r="A212" s="1" t="s">
        <v>151</v>
      </c>
      <c r="B212" s="1" t="s">
        <v>1123</v>
      </c>
      <c r="C212" s="1" t="s">
        <v>429</v>
      </c>
      <c r="D212" s="1" t="s">
        <v>640</v>
      </c>
      <c r="E212" s="1" t="s">
        <v>410</v>
      </c>
      <c r="F212" s="1" t="s">
        <v>221</v>
      </c>
      <c r="G212" s="1" t="s">
        <v>156</v>
      </c>
      <c r="H212" s="1" t="s">
        <v>1305</v>
      </c>
      <c r="I212" s="1" t="s">
        <v>89</v>
      </c>
      <c r="J212" s="1" t="s">
        <v>57</v>
      </c>
      <c r="K212" s="1" t="s">
        <v>90</v>
      </c>
      <c r="L212" s="1" t="s">
        <v>940</v>
      </c>
      <c r="M212" s="1" t="s">
        <v>799</v>
      </c>
      <c r="N212" s="1" t="s">
        <v>571</v>
      </c>
      <c r="O212" s="1" t="s">
        <v>1125</v>
      </c>
      <c r="P212" s="1" t="s">
        <v>1126</v>
      </c>
      <c r="Q212" s="1" t="s">
        <v>1127</v>
      </c>
      <c r="R212" s="1" t="s">
        <v>164</v>
      </c>
      <c r="S212" s="1" t="s">
        <v>78</v>
      </c>
      <c r="T212" s="1">
        <v>66899</v>
      </c>
      <c r="U212" s="1" t="s">
        <v>65</v>
      </c>
      <c r="V212" s="1" t="s">
        <v>435</v>
      </c>
      <c r="W212" s="1" t="s">
        <v>1306</v>
      </c>
    </row>
    <row r="213" spans="1:23" ht="15.75" customHeight="1" x14ac:dyDescent="0.35">
      <c r="A213" s="1" t="s">
        <v>30</v>
      </c>
      <c r="B213" s="1" t="s">
        <v>1307</v>
      </c>
      <c r="C213" s="1" t="s">
        <v>384</v>
      </c>
      <c r="D213" s="1" t="s">
        <v>1291</v>
      </c>
      <c r="E213" s="1" t="s">
        <v>1292</v>
      </c>
      <c r="F213" s="1" t="s">
        <v>321</v>
      </c>
      <c r="G213" s="1" t="s">
        <v>1293</v>
      </c>
      <c r="H213" s="1" t="s">
        <v>1308</v>
      </c>
      <c r="I213" s="1" t="s">
        <v>1015</v>
      </c>
      <c r="K213" s="1" t="s">
        <v>201</v>
      </c>
      <c r="L213" s="1" t="s">
        <v>1309</v>
      </c>
      <c r="M213" s="1" t="s">
        <v>1310</v>
      </c>
      <c r="N213" s="1" t="s">
        <v>1311</v>
      </c>
      <c r="O213" s="1" t="s">
        <v>1050</v>
      </c>
      <c r="P213" s="1" t="s">
        <v>1312</v>
      </c>
      <c r="Q213" s="1" t="s">
        <v>1313</v>
      </c>
      <c r="R213" s="1" t="s">
        <v>64</v>
      </c>
      <c r="S213" s="1" t="s">
        <v>78</v>
      </c>
      <c r="T213" s="1">
        <v>105000</v>
      </c>
      <c r="U213" s="1" t="s">
        <v>65</v>
      </c>
    </row>
    <row r="214" spans="1:23" ht="15.75" customHeight="1" x14ac:dyDescent="0.35">
      <c r="A214" s="1" t="s">
        <v>81</v>
      </c>
      <c r="B214" s="1" t="s">
        <v>1314</v>
      </c>
      <c r="C214" s="1" t="s">
        <v>510</v>
      </c>
      <c r="D214" s="1" t="s">
        <v>734</v>
      </c>
      <c r="E214" s="1" t="s">
        <v>410</v>
      </c>
      <c r="F214" s="1" t="s">
        <v>1315</v>
      </c>
      <c r="G214" s="1" t="s">
        <v>871</v>
      </c>
      <c r="H214" s="1" t="s">
        <v>1316</v>
      </c>
      <c r="I214" s="1" t="s">
        <v>224</v>
      </c>
      <c r="J214" s="1" t="s">
        <v>256</v>
      </c>
      <c r="K214" s="1" t="s">
        <v>90</v>
      </c>
      <c r="L214" s="1" t="s">
        <v>1317</v>
      </c>
      <c r="M214" s="1" t="s">
        <v>1318</v>
      </c>
      <c r="O214" s="1" t="s">
        <v>1319</v>
      </c>
      <c r="P214" s="1" t="s">
        <v>1320</v>
      </c>
      <c r="Q214" s="1" t="s">
        <v>1321</v>
      </c>
      <c r="R214" s="1" t="s">
        <v>64</v>
      </c>
      <c r="S214" s="1" t="s">
        <v>78</v>
      </c>
      <c r="T214" s="1">
        <v>125000</v>
      </c>
      <c r="V214" s="1" t="s">
        <v>1322</v>
      </c>
    </row>
    <row r="215" spans="1:23" ht="15.75" customHeight="1" x14ac:dyDescent="0.35">
      <c r="A215" s="1" t="s">
        <v>234</v>
      </c>
      <c r="B215" s="1" t="s">
        <v>1323</v>
      </c>
      <c r="C215" s="1" t="s">
        <v>806</v>
      </c>
      <c r="D215" s="1" t="s">
        <v>522</v>
      </c>
      <c r="E215" s="1" t="s">
        <v>410</v>
      </c>
      <c r="F215" s="1" t="s">
        <v>1324</v>
      </c>
      <c r="G215" s="1" t="s">
        <v>1325</v>
      </c>
      <c r="H215" s="1" t="s">
        <v>1326</v>
      </c>
      <c r="I215" s="1" t="s">
        <v>120</v>
      </c>
      <c r="J215" s="1" t="s">
        <v>75</v>
      </c>
      <c r="K215" s="1" t="s">
        <v>90</v>
      </c>
      <c r="L215" s="1" t="s">
        <v>1022</v>
      </c>
      <c r="M215" s="1" t="s">
        <v>241</v>
      </c>
      <c r="N215" s="1" t="s">
        <v>465</v>
      </c>
      <c r="O215" s="1" t="s">
        <v>1327</v>
      </c>
      <c r="P215" s="1" t="s">
        <v>1267</v>
      </c>
      <c r="Q215" s="1" t="s">
        <v>300</v>
      </c>
      <c r="R215" s="1" t="s">
        <v>301</v>
      </c>
      <c r="S215" s="1" t="s">
        <v>78</v>
      </c>
      <c r="T215" s="1">
        <v>64888</v>
      </c>
      <c r="U215" s="1" t="s">
        <v>79</v>
      </c>
      <c r="V215" s="1" t="s">
        <v>1274</v>
      </c>
      <c r="W215" s="1" t="s">
        <v>1328</v>
      </c>
    </row>
    <row r="216" spans="1:23" ht="15.75" customHeight="1" x14ac:dyDescent="0.35">
      <c r="A216" s="1" t="s">
        <v>151</v>
      </c>
      <c r="B216" s="1" t="s">
        <v>1085</v>
      </c>
      <c r="C216" s="1" t="s">
        <v>1053</v>
      </c>
      <c r="D216" s="1" t="s">
        <v>522</v>
      </c>
      <c r="E216" s="1" t="s">
        <v>410</v>
      </c>
      <c r="F216" s="1" t="s">
        <v>1188</v>
      </c>
      <c r="G216" s="1" t="s">
        <v>796</v>
      </c>
      <c r="H216" s="1" t="s">
        <v>1329</v>
      </c>
      <c r="I216" s="1" t="s">
        <v>89</v>
      </c>
      <c r="J216" s="1" t="s">
        <v>57</v>
      </c>
      <c r="K216" s="1" t="s">
        <v>90</v>
      </c>
      <c r="L216" s="1" t="s">
        <v>940</v>
      </c>
      <c r="M216" s="1" t="s">
        <v>799</v>
      </c>
      <c r="N216" s="1" t="s">
        <v>571</v>
      </c>
      <c r="O216" s="1" t="s">
        <v>1330</v>
      </c>
      <c r="P216" s="1" t="s">
        <v>1090</v>
      </c>
      <c r="Q216" s="1" t="s">
        <v>1091</v>
      </c>
      <c r="R216" s="1" t="s">
        <v>945</v>
      </c>
      <c r="S216" s="1" t="s">
        <v>78</v>
      </c>
      <c r="T216" s="1">
        <v>91999</v>
      </c>
      <c r="U216" s="1" t="s">
        <v>79</v>
      </c>
      <c r="V216" s="1" t="s">
        <v>1331</v>
      </c>
      <c r="W216" s="1" t="s">
        <v>1332</v>
      </c>
    </row>
    <row r="217" spans="1:23" ht="15.75" customHeight="1" x14ac:dyDescent="0.35">
      <c r="A217" s="1" t="s">
        <v>112</v>
      </c>
      <c r="B217" s="1" t="s">
        <v>1333</v>
      </c>
      <c r="C217" s="1" t="s">
        <v>402</v>
      </c>
      <c r="D217" s="1" t="s">
        <v>134</v>
      </c>
      <c r="E217" s="1" t="s">
        <v>116</v>
      </c>
      <c r="F217" s="1" t="s">
        <v>1334</v>
      </c>
      <c r="G217" s="1" t="s">
        <v>118</v>
      </c>
      <c r="H217" s="1" t="s">
        <v>1335</v>
      </c>
      <c r="I217" s="1" t="s">
        <v>120</v>
      </c>
      <c r="J217" s="1" t="s">
        <v>75</v>
      </c>
      <c r="K217" s="1" t="s">
        <v>101</v>
      </c>
      <c r="L217" s="1" t="s">
        <v>186</v>
      </c>
      <c r="M217" s="1" t="s">
        <v>139</v>
      </c>
      <c r="N217" s="1" t="s">
        <v>124</v>
      </c>
      <c r="O217" s="1" t="s">
        <v>909</v>
      </c>
      <c r="P217" s="1" t="s">
        <v>188</v>
      </c>
      <c r="Q217" s="1" t="s">
        <v>127</v>
      </c>
      <c r="R217" s="1" t="s">
        <v>180</v>
      </c>
      <c r="S217" s="1" t="s">
        <v>78</v>
      </c>
      <c r="T217" s="1">
        <v>45999</v>
      </c>
      <c r="U217" s="1" t="s">
        <v>79</v>
      </c>
      <c r="V217" s="1" t="s">
        <v>406</v>
      </c>
      <c r="W217" s="1" t="s">
        <v>1336</v>
      </c>
    </row>
    <row r="218" spans="1:23" ht="15.75" customHeight="1" x14ac:dyDescent="0.35">
      <c r="A218" s="1" t="s">
        <v>112</v>
      </c>
      <c r="B218" s="1" t="s">
        <v>1185</v>
      </c>
      <c r="C218" s="1" t="s">
        <v>754</v>
      </c>
      <c r="D218" s="1" t="s">
        <v>115</v>
      </c>
      <c r="E218" s="1" t="s">
        <v>116</v>
      </c>
      <c r="F218" s="1" t="s">
        <v>440</v>
      </c>
      <c r="G218" s="1" t="s">
        <v>118</v>
      </c>
      <c r="H218" s="1" t="s">
        <v>1186</v>
      </c>
      <c r="I218" s="1" t="s">
        <v>120</v>
      </c>
      <c r="J218" s="1" t="s">
        <v>75</v>
      </c>
      <c r="K218" s="1" t="s">
        <v>101</v>
      </c>
      <c r="L218" s="1" t="s">
        <v>186</v>
      </c>
      <c r="M218" s="1" t="s">
        <v>139</v>
      </c>
      <c r="N218" s="1" t="s">
        <v>124</v>
      </c>
      <c r="O218" s="1" t="s">
        <v>187</v>
      </c>
      <c r="P218" s="1" t="s">
        <v>126</v>
      </c>
      <c r="Q218" s="1" t="s">
        <v>127</v>
      </c>
      <c r="R218" s="1" t="s">
        <v>180</v>
      </c>
      <c r="S218" s="1" t="s">
        <v>78</v>
      </c>
      <c r="T218" s="1">
        <v>35000</v>
      </c>
      <c r="U218" s="1" t="s">
        <v>79</v>
      </c>
      <c r="V218" s="1" t="s">
        <v>365</v>
      </c>
      <c r="W218" s="1" t="s">
        <v>1337</v>
      </c>
    </row>
    <row r="219" spans="1:23" ht="15.75" customHeight="1" x14ac:dyDescent="0.35">
      <c r="A219" s="1" t="s">
        <v>151</v>
      </c>
      <c r="B219" s="1" t="s">
        <v>826</v>
      </c>
      <c r="C219" s="1" t="s">
        <v>1338</v>
      </c>
      <c r="D219" s="1" t="s">
        <v>438</v>
      </c>
      <c r="E219" s="1" t="s">
        <v>507</v>
      </c>
      <c r="F219" s="1" t="s">
        <v>1339</v>
      </c>
      <c r="G219" s="1" t="s">
        <v>156</v>
      </c>
      <c r="H219" s="1" t="s">
        <v>1340</v>
      </c>
      <c r="I219" s="1" t="s">
        <v>74</v>
      </c>
      <c r="J219" s="1" t="s">
        <v>75</v>
      </c>
      <c r="K219" s="1" t="s">
        <v>101</v>
      </c>
      <c r="L219" s="1" t="s">
        <v>158</v>
      </c>
      <c r="M219" s="1" t="s">
        <v>831</v>
      </c>
      <c r="N219" s="1" t="s">
        <v>160</v>
      </c>
      <c r="O219" s="1" t="s">
        <v>1341</v>
      </c>
      <c r="P219" s="1" t="s">
        <v>834</v>
      </c>
      <c r="Q219" s="1" t="s">
        <v>652</v>
      </c>
      <c r="R219" s="1" t="s">
        <v>217</v>
      </c>
      <c r="S219" s="1" t="s">
        <v>78</v>
      </c>
      <c r="T219" s="1">
        <v>31399</v>
      </c>
      <c r="V219" s="1" t="s">
        <v>1342</v>
      </c>
      <c r="W219" s="1" t="s">
        <v>1343</v>
      </c>
    </row>
    <row r="220" spans="1:23" ht="15.75" customHeight="1" x14ac:dyDescent="0.35">
      <c r="A220" s="1" t="s">
        <v>151</v>
      </c>
      <c r="B220" s="1" t="s">
        <v>568</v>
      </c>
      <c r="C220" s="1" t="s">
        <v>746</v>
      </c>
      <c r="D220" s="1" t="s">
        <v>669</v>
      </c>
      <c r="E220" s="1" t="s">
        <v>410</v>
      </c>
      <c r="F220" s="1" t="s">
        <v>155</v>
      </c>
      <c r="G220" s="1" t="s">
        <v>156</v>
      </c>
      <c r="H220" s="1" t="s">
        <v>393</v>
      </c>
      <c r="I220" s="1" t="s">
        <v>120</v>
      </c>
      <c r="J220" s="1" t="s">
        <v>75</v>
      </c>
      <c r="K220" s="1" t="s">
        <v>101</v>
      </c>
      <c r="L220" s="1" t="s">
        <v>158</v>
      </c>
      <c r="M220" s="1" t="s">
        <v>617</v>
      </c>
      <c r="N220" s="1" t="s">
        <v>571</v>
      </c>
      <c r="O220" s="1" t="s">
        <v>396</v>
      </c>
      <c r="P220" s="1" t="s">
        <v>397</v>
      </c>
      <c r="Q220" s="1" t="s">
        <v>398</v>
      </c>
      <c r="R220" s="1" t="s">
        <v>164</v>
      </c>
      <c r="S220" s="1" t="s">
        <v>78</v>
      </c>
      <c r="T220" s="1">
        <v>52499</v>
      </c>
      <c r="U220" s="1" t="s">
        <v>79</v>
      </c>
      <c r="V220" s="1" t="s">
        <v>705</v>
      </c>
      <c r="W220" s="1" t="s">
        <v>1344</v>
      </c>
    </row>
    <row r="221" spans="1:23" ht="15.75" customHeight="1" x14ac:dyDescent="0.35">
      <c r="A221" s="1" t="s">
        <v>151</v>
      </c>
      <c r="B221" s="1" t="s">
        <v>1345</v>
      </c>
      <c r="C221" s="1" t="s">
        <v>569</v>
      </c>
      <c r="D221" s="1" t="s">
        <v>1346</v>
      </c>
      <c r="E221" s="1" t="s">
        <v>70</v>
      </c>
      <c r="F221" s="1" t="s">
        <v>1171</v>
      </c>
      <c r="G221" s="1" t="s">
        <v>156</v>
      </c>
      <c r="H221" s="1" t="s">
        <v>393</v>
      </c>
      <c r="I221" s="1" t="s">
        <v>74</v>
      </c>
      <c r="J221" s="1" t="s">
        <v>75</v>
      </c>
      <c r="K221" s="1" t="s">
        <v>101</v>
      </c>
      <c r="L221" s="1" t="s">
        <v>158</v>
      </c>
      <c r="M221" s="1" t="s">
        <v>617</v>
      </c>
      <c r="N221" s="1" t="s">
        <v>571</v>
      </c>
      <c r="O221" s="1" t="s">
        <v>396</v>
      </c>
      <c r="P221" s="1" t="s">
        <v>397</v>
      </c>
      <c r="Q221" s="1" t="s">
        <v>398</v>
      </c>
      <c r="R221" s="1" t="s">
        <v>164</v>
      </c>
      <c r="S221" s="1" t="s">
        <v>78</v>
      </c>
      <c r="T221" s="1">
        <v>38888</v>
      </c>
      <c r="U221" s="1" t="s">
        <v>79</v>
      </c>
      <c r="V221" s="1" t="s">
        <v>572</v>
      </c>
      <c r="W221" s="1" t="s">
        <v>1347</v>
      </c>
    </row>
    <row r="222" spans="1:23" ht="15.75" customHeight="1" x14ac:dyDescent="0.35">
      <c r="A222" s="1" t="s">
        <v>151</v>
      </c>
      <c r="B222" s="1" t="s">
        <v>1348</v>
      </c>
      <c r="C222" s="1" t="s">
        <v>384</v>
      </c>
      <c r="D222" s="1" t="s">
        <v>734</v>
      </c>
      <c r="E222" s="1" t="s">
        <v>410</v>
      </c>
      <c r="F222" s="1" t="s">
        <v>1349</v>
      </c>
      <c r="G222" s="1" t="s">
        <v>796</v>
      </c>
      <c r="H222" s="1" t="s">
        <v>1350</v>
      </c>
      <c r="I222" s="1" t="s">
        <v>224</v>
      </c>
      <c r="J222" s="1" t="s">
        <v>256</v>
      </c>
      <c r="K222" s="1" t="s">
        <v>201</v>
      </c>
      <c r="L222" s="1" t="s">
        <v>1351</v>
      </c>
      <c r="M222" s="1" t="s">
        <v>1352</v>
      </c>
      <c r="N222" s="1" t="s">
        <v>571</v>
      </c>
      <c r="O222" s="1" t="s">
        <v>1353</v>
      </c>
      <c r="P222" s="1" t="s">
        <v>1354</v>
      </c>
      <c r="Q222" s="1" t="s">
        <v>1299</v>
      </c>
      <c r="R222" s="1" t="s">
        <v>231</v>
      </c>
      <c r="S222" s="1" t="s">
        <v>78</v>
      </c>
      <c r="T222" s="1">
        <v>105000</v>
      </c>
      <c r="U222" s="1" t="s">
        <v>65</v>
      </c>
      <c r="V222" s="1" t="s">
        <v>232</v>
      </c>
      <c r="W222" s="1" t="s">
        <v>1355</v>
      </c>
    </row>
    <row r="223" spans="1:23" ht="15.75" customHeight="1" x14ac:dyDescent="0.35">
      <c r="A223" s="1" t="s">
        <v>81</v>
      </c>
      <c r="B223" s="1" t="s">
        <v>1314</v>
      </c>
      <c r="C223" s="1" t="s">
        <v>1356</v>
      </c>
      <c r="D223" s="1" t="s">
        <v>734</v>
      </c>
      <c r="E223" s="1" t="s">
        <v>540</v>
      </c>
      <c r="F223" s="1" t="s">
        <v>1357</v>
      </c>
      <c r="G223" s="1" t="s">
        <v>322</v>
      </c>
      <c r="H223" s="1" t="s">
        <v>1358</v>
      </c>
      <c r="I223" s="1" t="s">
        <v>224</v>
      </c>
      <c r="J223" s="1" t="s">
        <v>256</v>
      </c>
      <c r="K223" s="1" t="s">
        <v>201</v>
      </c>
      <c r="L223" s="1" t="s">
        <v>1317</v>
      </c>
      <c r="M223" s="1" t="s">
        <v>1318</v>
      </c>
      <c r="N223" s="1" t="s">
        <v>1359</v>
      </c>
      <c r="O223" s="1" t="s">
        <v>1319</v>
      </c>
      <c r="P223" s="1" t="s">
        <v>1320</v>
      </c>
      <c r="Q223" s="1" t="s">
        <v>1321</v>
      </c>
      <c r="R223" s="1" t="s">
        <v>64</v>
      </c>
      <c r="S223" s="1" t="s">
        <v>78</v>
      </c>
      <c r="T223" s="1">
        <v>99999</v>
      </c>
    </row>
    <row r="224" spans="1:23" ht="15.75" customHeight="1" x14ac:dyDescent="0.35">
      <c r="A224" s="1" t="s">
        <v>151</v>
      </c>
      <c r="B224" s="1" t="s">
        <v>1123</v>
      </c>
      <c r="C224" s="1" t="s">
        <v>384</v>
      </c>
      <c r="D224" s="1" t="s">
        <v>734</v>
      </c>
      <c r="E224" s="1" t="s">
        <v>410</v>
      </c>
      <c r="F224" s="1" t="s">
        <v>1349</v>
      </c>
      <c r="G224" s="1" t="s">
        <v>796</v>
      </c>
      <c r="H224" s="1" t="s">
        <v>1360</v>
      </c>
      <c r="I224" s="1" t="s">
        <v>224</v>
      </c>
      <c r="J224" s="1" t="s">
        <v>57</v>
      </c>
      <c r="K224" s="1" t="s">
        <v>201</v>
      </c>
      <c r="L224" s="1" t="s">
        <v>940</v>
      </c>
      <c r="M224" s="1" t="s">
        <v>799</v>
      </c>
      <c r="N224" s="1" t="s">
        <v>571</v>
      </c>
      <c r="O224" s="1" t="s">
        <v>1125</v>
      </c>
      <c r="P224" s="1" t="s">
        <v>1126</v>
      </c>
      <c r="Q224" s="1" t="s">
        <v>1127</v>
      </c>
      <c r="R224" s="1" t="s">
        <v>164</v>
      </c>
      <c r="S224" s="1" t="s">
        <v>78</v>
      </c>
      <c r="T224" s="1">
        <v>95999</v>
      </c>
      <c r="U224" s="1" t="s">
        <v>65</v>
      </c>
      <c r="V224" s="1" t="s">
        <v>232</v>
      </c>
      <c r="W224" s="1" t="s">
        <v>1361</v>
      </c>
    </row>
    <row r="225" spans="1:24" ht="15.75" customHeight="1" x14ac:dyDescent="0.35">
      <c r="A225" s="1" t="s">
        <v>30</v>
      </c>
      <c r="B225" s="1" t="s">
        <v>1362</v>
      </c>
      <c r="C225" s="1" t="s">
        <v>1133</v>
      </c>
      <c r="D225" s="1" t="s">
        <v>134</v>
      </c>
      <c r="E225" s="1" t="s">
        <v>70</v>
      </c>
      <c r="F225" s="1" t="s">
        <v>1363</v>
      </c>
      <c r="G225" s="1" t="s">
        <v>1120</v>
      </c>
      <c r="H225" s="1" t="s">
        <v>370</v>
      </c>
      <c r="I225" s="1" t="s">
        <v>74</v>
      </c>
      <c r="J225" s="1" t="s">
        <v>75</v>
      </c>
      <c r="K225" s="1" t="s">
        <v>201</v>
      </c>
      <c r="L225" s="1" t="s">
        <v>645</v>
      </c>
      <c r="M225" s="1" t="s">
        <v>372</v>
      </c>
      <c r="N225" s="1" t="s">
        <v>1364</v>
      </c>
      <c r="O225" s="1" t="s">
        <v>658</v>
      </c>
      <c r="P225" s="1" t="s">
        <v>375</v>
      </c>
      <c r="Q225" s="1" t="s">
        <v>376</v>
      </c>
      <c r="R225" s="1" t="s">
        <v>246</v>
      </c>
      <c r="S225" s="1" t="s">
        <v>339</v>
      </c>
      <c r="T225" s="1">
        <v>39999</v>
      </c>
      <c r="U225" s="1" t="s">
        <v>166</v>
      </c>
    </row>
    <row r="226" spans="1:24" ht="15.75" customHeight="1" x14ac:dyDescent="0.35">
      <c r="A226" s="1" t="s">
        <v>151</v>
      </c>
      <c r="B226" s="1" t="s">
        <v>1123</v>
      </c>
      <c r="C226" s="1" t="s">
        <v>429</v>
      </c>
      <c r="D226" s="1" t="s">
        <v>669</v>
      </c>
      <c r="E226" s="1" t="s">
        <v>410</v>
      </c>
      <c r="F226" s="1" t="s">
        <v>1349</v>
      </c>
      <c r="G226" s="1" t="s">
        <v>796</v>
      </c>
      <c r="H226" s="1" t="s">
        <v>1365</v>
      </c>
      <c r="I226" s="1" t="s">
        <v>224</v>
      </c>
      <c r="J226" s="1" t="s">
        <v>256</v>
      </c>
      <c r="K226" s="1" t="s">
        <v>90</v>
      </c>
      <c r="L226" s="1" t="s">
        <v>798</v>
      </c>
      <c r="M226" s="1" t="s">
        <v>799</v>
      </c>
      <c r="N226" s="1" t="s">
        <v>571</v>
      </c>
      <c r="O226" s="1" t="s">
        <v>1125</v>
      </c>
      <c r="P226" s="1" t="s">
        <v>1126</v>
      </c>
      <c r="Q226" s="1" t="s">
        <v>1127</v>
      </c>
      <c r="R226" s="1" t="s">
        <v>164</v>
      </c>
      <c r="S226" s="1" t="s">
        <v>78</v>
      </c>
      <c r="T226" s="1">
        <v>69888</v>
      </c>
      <c r="U226" s="1" t="s">
        <v>65</v>
      </c>
      <c r="V226" s="1" t="s">
        <v>435</v>
      </c>
      <c r="W226" s="1" t="s">
        <v>1366</v>
      </c>
    </row>
    <row r="227" spans="1:24" ht="15.75" customHeight="1" x14ac:dyDescent="0.35">
      <c r="A227" s="1" t="s">
        <v>151</v>
      </c>
      <c r="B227" s="1" t="s">
        <v>1367</v>
      </c>
      <c r="C227" s="1" t="s">
        <v>1368</v>
      </c>
      <c r="D227" s="1" t="s">
        <v>669</v>
      </c>
      <c r="E227" s="1" t="s">
        <v>410</v>
      </c>
      <c r="F227" s="1" t="s">
        <v>1369</v>
      </c>
      <c r="G227" s="1" t="s">
        <v>222</v>
      </c>
      <c r="H227" s="1" t="s">
        <v>1370</v>
      </c>
      <c r="I227" s="1" t="s">
        <v>1371</v>
      </c>
      <c r="J227" s="1" t="s">
        <v>57</v>
      </c>
      <c r="K227" s="1" t="s">
        <v>201</v>
      </c>
      <c r="L227" s="1" t="s">
        <v>508</v>
      </c>
      <c r="M227" s="1" t="s">
        <v>617</v>
      </c>
      <c r="N227" s="1" t="s">
        <v>395</v>
      </c>
      <c r="O227" s="1" t="s">
        <v>1372</v>
      </c>
      <c r="P227" s="1" t="s">
        <v>1373</v>
      </c>
      <c r="Q227" s="1" t="s">
        <v>63</v>
      </c>
      <c r="R227" s="1" t="s">
        <v>802</v>
      </c>
      <c r="S227" s="1" t="s">
        <v>78</v>
      </c>
      <c r="T227" s="1">
        <v>63333</v>
      </c>
      <c r="V227" s="1" t="s">
        <v>1374</v>
      </c>
      <c r="W227" s="1" t="s">
        <v>1375</v>
      </c>
    </row>
    <row r="228" spans="1:24" ht="15.75" customHeight="1" x14ac:dyDescent="0.35">
      <c r="A228" s="1" t="s">
        <v>81</v>
      </c>
      <c r="B228" s="1" t="s">
        <v>414</v>
      </c>
      <c r="C228" s="1" t="s">
        <v>746</v>
      </c>
      <c r="D228" s="1" t="s">
        <v>694</v>
      </c>
      <c r="E228" s="1" t="s">
        <v>70</v>
      </c>
      <c r="F228" s="1" t="s">
        <v>792</v>
      </c>
      <c r="G228" s="1" t="s">
        <v>417</v>
      </c>
      <c r="H228" s="1" t="s">
        <v>1376</v>
      </c>
      <c r="I228" s="1" t="s">
        <v>120</v>
      </c>
      <c r="J228" s="1" t="s">
        <v>39</v>
      </c>
      <c r="K228" s="1" t="s">
        <v>101</v>
      </c>
      <c r="L228" s="1" t="s">
        <v>419</v>
      </c>
      <c r="M228" s="1" t="s">
        <v>1377</v>
      </c>
      <c r="O228" s="1" t="s">
        <v>421</v>
      </c>
      <c r="P228" s="1" t="s">
        <v>422</v>
      </c>
      <c r="Q228" s="1" t="s">
        <v>423</v>
      </c>
      <c r="R228" s="1" t="s">
        <v>424</v>
      </c>
      <c r="S228" s="1" t="s">
        <v>78</v>
      </c>
      <c r="T228" s="1">
        <v>52999</v>
      </c>
      <c r="U228" s="1" t="s">
        <v>79</v>
      </c>
      <c r="V228" s="1" t="s">
        <v>716</v>
      </c>
    </row>
    <row r="229" spans="1:24" ht="15.75" customHeight="1" x14ac:dyDescent="0.35">
      <c r="A229" s="1" t="s">
        <v>151</v>
      </c>
      <c r="B229" s="1" t="s">
        <v>1378</v>
      </c>
      <c r="C229" s="1" t="s">
        <v>50</v>
      </c>
      <c r="D229" s="1" t="s">
        <v>1379</v>
      </c>
      <c r="E229" s="1" t="s">
        <v>552</v>
      </c>
      <c r="F229" s="1" t="s">
        <v>447</v>
      </c>
      <c r="G229" s="1" t="s">
        <v>796</v>
      </c>
      <c r="H229" s="1" t="s">
        <v>431</v>
      </c>
      <c r="I229" s="1" t="s">
        <v>224</v>
      </c>
      <c r="J229" s="1" t="s">
        <v>256</v>
      </c>
      <c r="K229" s="1" t="s">
        <v>101</v>
      </c>
      <c r="L229" s="1" t="s">
        <v>1380</v>
      </c>
      <c r="M229" s="1" t="s">
        <v>1352</v>
      </c>
      <c r="N229" s="1" t="s">
        <v>571</v>
      </c>
      <c r="O229" s="1" t="s">
        <v>1381</v>
      </c>
      <c r="P229" s="1" t="s">
        <v>1382</v>
      </c>
      <c r="Q229" s="1" t="s">
        <v>1383</v>
      </c>
      <c r="R229" s="1" t="s">
        <v>231</v>
      </c>
      <c r="S229" s="1" t="s">
        <v>78</v>
      </c>
      <c r="T229" s="1">
        <v>235000</v>
      </c>
      <c r="U229" s="1" t="s">
        <v>65</v>
      </c>
      <c r="V229" s="1" t="s">
        <v>232</v>
      </c>
      <c r="W229" s="1" t="s">
        <v>1384</v>
      </c>
    </row>
    <row r="230" spans="1:24" ht="15.75" customHeight="1" x14ac:dyDescent="0.35">
      <c r="A230" s="1" t="s">
        <v>112</v>
      </c>
      <c r="B230" s="1" t="s">
        <v>1385</v>
      </c>
      <c r="C230" s="1" t="s">
        <v>539</v>
      </c>
      <c r="D230" s="1" t="s">
        <v>1149</v>
      </c>
      <c r="E230" s="1" t="s">
        <v>410</v>
      </c>
      <c r="F230" s="1" t="s">
        <v>541</v>
      </c>
      <c r="G230" s="1" t="s">
        <v>171</v>
      </c>
      <c r="H230" s="1" t="s">
        <v>1386</v>
      </c>
      <c r="I230" s="1" t="s">
        <v>120</v>
      </c>
      <c r="J230" s="1" t="s">
        <v>75</v>
      </c>
      <c r="K230" s="1" t="s">
        <v>101</v>
      </c>
      <c r="L230" s="1" t="s">
        <v>179</v>
      </c>
      <c r="M230" s="1" t="s">
        <v>139</v>
      </c>
      <c r="N230" s="1" t="s">
        <v>140</v>
      </c>
      <c r="O230" s="1" t="s">
        <v>141</v>
      </c>
      <c r="P230" s="1" t="s">
        <v>173</v>
      </c>
      <c r="Q230" s="1" t="s">
        <v>267</v>
      </c>
      <c r="R230" s="1" t="s">
        <v>180</v>
      </c>
      <c r="S230" s="1" t="s">
        <v>78</v>
      </c>
      <c r="T230" s="1">
        <v>67999</v>
      </c>
      <c r="U230" s="1" t="s">
        <v>65</v>
      </c>
      <c r="V230" s="1" t="s">
        <v>143</v>
      </c>
      <c r="W230" s="1" t="s">
        <v>1387</v>
      </c>
      <c r="X230" s="1" t="s">
        <v>822</v>
      </c>
    </row>
    <row r="231" spans="1:24" ht="15.75" customHeight="1" x14ac:dyDescent="0.35">
      <c r="A231" s="1" t="s">
        <v>112</v>
      </c>
      <c r="B231" s="1" t="s">
        <v>1388</v>
      </c>
      <c r="C231" s="1" t="s">
        <v>693</v>
      </c>
      <c r="D231" s="1" t="s">
        <v>640</v>
      </c>
      <c r="E231" s="1" t="s">
        <v>410</v>
      </c>
      <c r="F231" s="1" t="s">
        <v>609</v>
      </c>
      <c r="G231" s="1" t="s">
        <v>171</v>
      </c>
      <c r="H231" s="1" t="s">
        <v>1055</v>
      </c>
      <c r="I231" s="1" t="s">
        <v>120</v>
      </c>
      <c r="J231" s="1" t="s">
        <v>75</v>
      </c>
      <c r="K231" s="1" t="s">
        <v>101</v>
      </c>
      <c r="L231" s="1" t="s">
        <v>179</v>
      </c>
      <c r="M231" s="1" t="s">
        <v>139</v>
      </c>
      <c r="N231" s="1" t="s">
        <v>140</v>
      </c>
      <c r="O231" s="1" t="s">
        <v>141</v>
      </c>
      <c r="P231" s="1" t="s">
        <v>173</v>
      </c>
      <c r="Q231" s="1" t="s">
        <v>267</v>
      </c>
      <c r="R231" s="1" t="s">
        <v>180</v>
      </c>
      <c r="S231" s="1" t="s">
        <v>78</v>
      </c>
      <c r="T231" s="1">
        <v>53999</v>
      </c>
      <c r="U231" s="1" t="s">
        <v>79</v>
      </c>
      <c r="V231" s="1" t="s">
        <v>406</v>
      </c>
      <c r="W231" s="1" t="s">
        <v>1389</v>
      </c>
    </row>
    <row r="232" spans="1:24" ht="15.75" customHeight="1" x14ac:dyDescent="0.35">
      <c r="A232" s="1" t="s">
        <v>234</v>
      </c>
      <c r="B232" s="1" t="s">
        <v>1390</v>
      </c>
      <c r="C232" s="1" t="s">
        <v>746</v>
      </c>
      <c r="D232" s="1" t="s">
        <v>409</v>
      </c>
      <c r="E232" s="1" t="s">
        <v>410</v>
      </c>
      <c r="F232" s="1" t="s">
        <v>1264</v>
      </c>
      <c r="G232" s="1" t="s">
        <v>239</v>
      </c>
      <c r="H232" s="1" t="s">
        <v>1391</v>
      </c>
      <c r="I232" s="1" t="s">
        <v>275</v>
      </c>
      <c r="J232" s="1" t="s">
        <v>57</v>
      </c>
      <c r="K232" s="1" t="s">
        <v>90</v>
      </c>
      <c r="L232" s="1" t="s">
        <v>276</v>
      </c>
      <c r="M232" s="1" t="s">
        <v>241</v>
      </c>
      <c r="N232" s="1" t="s">
        <v>465</v>
      </c>
      <c r="O232" s="1" t="s">
        <v>1392</v>
      </c>
      <c r="P232" s="1" t="s">
        <v>290</v>
      </c>
      <c r="Q232" s="1" t="s">
        <v>280</v>
      </c>
      <c r="R232" s="1" t="s">
        <v>281</v>
      </c>
      <c r="S232" s="1" t="s">
        <v>78</v>
      </c>
      <c r="T232" s="1">
        <v>62999</v>
      </c>
      <c r="U232" s="1" t="s">
        <v>79</v>
      </c>
      <c r="V232" s="1" t="s">
        <v>1393</v>
      </c>
    </row>
    <row r="233" spans="1:24" ht="15.75" customHeight="1" x14ac:dyDescent="0.35">
      <c r="A233" s="1" t="s">
        <v>234</v>
      </c>
      <c r="B233" s="1" t="s">
        <v>1394</v>
      </c>
      <c r="C233" s="1" t="s">
        <v>408</v>
      </c>
      <c r="D233" s="1" t="s">
        <v>982</v>
      </c>
      <c r="E233" s="1" t="s">
        <v>507</v>
      </c>
      <c r="F233" s="1" t="s">
        <v>622</v>
      </c>
      <c r="G233" s="1" t="s">
        <v>1395</v>
      </c>
      <c r="H233" s="1" t="s">
        <v>1396</v>
      </c>
      <c r="I233" s="1" t="s">
        <v>120</v>
      </c>
      <c r="J233" s="1" t="s">
        <v>75</v>
      </c>
      <c r="K233" s="1" t="s">
        <v>90</v>
      </c>
      <c r="L233" s="1" t="s">
        <v>1022</v>
      </c>
      <c r="M233" s="1" t="s">
        <v>1397</v>
      </c>
      <c r="N233" s="1" t="s">
        <v>465</v>
      </c>
      <c r="O233" s="1" t="s">
        <v>1398</v>
      </c>
      <c r="P233" s="1" t="s">
        <v>1399</v>
      </c>
      <c r="Q233" s="1" t="s">
        <v>1400</v>
      </c>
      <c r="S233" s="1" t="s">
        <v>78</v>
      </c>
      <c r="T233" s="1">
        <v>32666</v>
      </c>
      <c r="V233" s="1" t="s">
        <v>1401</v>
      </c>
    </row>
    <row r="234" spans="1:24" ht="15.75" customHeight="1" x14ac:dyDescent="0.35">
      <c r="A234" s="1" t="s">
        <v>234</v>
      </c>
      <c r="B234" s="1" t="s">
        <v>1402</v>
      </c>
      <c r="C234" s="1" t="s">
        <v>408</v>
      </c>
      <c r="D234" s="1" t="s">
        <v>350</v>
      </c>
      <c r="E234" s="1" t="s">
        <v>507</v>
      </c>
      <c r="F234" s="1" t="s">
        <v>1403</v>
      </c>
      <c r="G234" s="1" t="s">
        <v>295</v>
      </c>
      <c r="H234" s="1" t="s">
        <v>1404</v>
      </c>
      <c r="I234" s="1" t="s">
        <v>120</v>
      </c>
      <c r="J234" s="1" t="s">
        <v>75</v>
      </c>
      <c r="K234" s="1" t="s">
        <v>90</v>
      </c>
      <c r="L234" s="1" t="s">
        <v>1405</v>
      </c>
      <c r="M234" s="1" t="s">
        <v>1406</v>
      </c>
      <c r="N234" s="1" t="s">
        <v>465</v>
      </c>
      <c r="O234" s="1" t="s">
        <v>1407</v>
      </c>
      <c r="P234" s="1" t="s">
        <v>1408</v>
      </c>
      <c r="Q234" s="1" t="s">
        <v>1400</v>
      </c>
      <c r="R234" s="1" t="s">
        <v>1409</v>
      </c>
      <c r="S234" s="1" t="s">
        <v>78</v>
      </c>
      <c r="T234" s="1">
        <v>32499</v>
      </c>
      <c r="V234" s="1" t="s">
        <v>1401</v>
      </c>
    </row>
    <row r="235" spans="1:24" ht="15.75" customHeight="1" x14ac:dyDescent="0.35">
      <c r="A235" s="1" t="s">
        <v>151</v>
      </c>
      <c r="B235" s="1" t="s">
        <v>1123</v>
      </c>
      <c r="C235" s="1" t="s">
        <v>429</v>
      </c>
      <c r="D235" s="1" t="s">
        <v>640</v>
      </c>
      <c r="E235" s="1" t="s">
        <v>1410</v>
      </c>
      <c r="F235" s="1" t="s">
        <v>221</v>
      </c>
      <c r="G235" s="1" t="s">
        <v>796</v>
      </c>
      <c r="H235" s="1" t="s">
        <v>1411</v>
      </c>
      <c r="I235" s="1" t="s">
        <v>89</v>
      </c>
      <c r="J235" s="1" t="s">
        <v>256</v>
      </c>
      <c r="K235" s="1" t="s">
        <v>101</v>
      </c>
      <c r="L235" s="1" t="s">
        <v>798</v>
      </c>
      <c r="M235" s="1" t="s">
        <v>799</v>
      </c>
      <c r="N235" s="1" t="s">
        <v>571</v>
      </c>
      <c r="O235" s="1" t="s">
        <v>1125</v>
      </c>
      <c r="P235" s="1" t="s">
        <v>1126</v>
      </c>
      <c r="Q235" s="1" t="s">
        <v>1127</v>
      </c>
      <c r="R235" s="1" t="s">
        <v>164</v>
      </c>
      <c r="S235" s="1" t="s">
        <v>78</v>
      </c>
      <c r="T235" s="1">
        <v>78888</v>
      </c>
      <c r="U235" s="1" t="s">
        <v>65</v>
      </c>
      <c r="V235" s="1" t="s">
        <v>435</v>
      </c>
      <c r="W235" s="1" t="s">
        <v>1412</v>
      </c>
    </row>
    <row r="236" spans="1:24" ht="15.75" customHeight="1" x14ac:dyDescent="0.35">
      <c r="A236" s="1" t="s">
        <v>112</v>
      </c>
      <c r="B236" s="1" t="s">
        <v>1413</v>
      </c>
      <c r="C236" s="1" t="s">
        <v>1133</v>
      </c>
      <c r="D236" s="1" t="s">
        <v>982</v>
      </c>
      <c r="E236" s="1" t="s">
        <v>439</v>
      </c>
      <c r="F236" s="1" t="s">
        <v>363</v>
      </c>
      <c r="G236" s="1" t="s">
        <v>118</v>
      </c>
      <c r="H236" s="1" t="s">
        <v>1414</v>
      </c>
      <c r="I236" s="1" t="s">
        <v>120</v>
      </c>
      <c r="J236" s="1" t="s">
        <v>75</v>
      </c>
      <c r="K236" s="1" t="s">
        <v>90</v>
      </c>
      <c r="L236" s="1" t="s">
        <v>186</v>
      </c>
      <c r="M236" s="1" t="s">
        <v>139</v>
      </c>
      <c r="N236" s="1" t="s">
        <v>124</v>
      </c>
      <c r="O236" s="1" t="s">
        <v>774</v>
      </c>
      <c r="P236" s="1" t="s">
        <v>1415</v>
      </c>
      <c r="Q236" s="1" t="s">
        <v>127</v>
      </c>
      <c r="R236" s="1" t="s">
        <v>180</v>
      </c>
      <c r="S236" s="1" t="s">
        <v>78</v>
      </c>
      <c r="T236" s="1">
        <v>30999</v>
      </c>
      <c r="U236" s="1" t="s">
        <v>166</v>
      </c>
      <c r="V236" s="1" t="s">
        <v>1416</v>
      </c>
      <c r="W236" s="1" t="s">
        <v>1417</v>
      </c>
    </row>
    <row r="237" spans="1:24" ht="15.75" customHeight="1" x14ac:dyDescent="0.35">
      <c r="A237" s="1" t="s">
        <v>151</v>
      </c>
      <c r="B237" s="1" t="s">
        <v>568</v>
      </c>
      <c r="C237" s="1" t="s">
        <v>746</v>
      </c>
      <c r="D237" s="1" t="s">
        <v>312</v>
      </c>
      <c r="E237" s="1" t="s">
        <v>70</v>
      </c>
      <c r="F237" s="1" t="s">
        <v>155</v>
      </c>
      <c r="G237" s="1" t="s">
        <v>222</v>
      </c>
      <c r="H237" s="1" t="s">
        <v>393</v>
      </c>
      <c r="I237" s="1" t="s">
        <v>120</v>
      </c>
      <c r="J237" s="1" t="s">
        <v>75</v>
      </c>
      <c r="K237" s="1" t="s">
        <v>40</v>
      </c>
      <c r="L237" s="1" t="s">
        <v>1418</v>
      </c>
      <c r="M237" s="1" t="s">
        <v>617</v>
      </c>
      <c r="N237" s="1" t="s">
        <v>395</v>
      </c>
      <c r="O237" s="1" t="s">
        <v>396</v>
      </c>
      <c r="P237" s="1" t="s">
        <v>397</v>
      </c>
      <c r="Q237" s="1" t="s">
        <v>398</v>
      </c>
      <c r="R237" s="1" t="s">
        <v>164</v>
      </c>
      <c r="S237" s="1" t="s">
        <v>78</v>
      </c>
      <c r="T237" s="1">
        <v>48888</v>
      </c>
      <c r="U237" s="1" t="s">
        <v>79</v>
      </c>
      <c r="V237" s="1" t="s">
        <v>705</v>
      </c>
      <c r="W237" s="1" t="s">
        <v>1419</v>
      </c>
    </row>
    <row r="238" spans="1:24" ht="15.75" customHeight="1" x14ac:dyDescent="0.35">
      <c r="A238" s="1" t="s">
        <v>151</v>
      </c>
      <c r="B238" s="1" t="s">
        <v>505</v>
      </c>
      <c r="C238" s="1" t="s">
        <v>153</v>
      </c>
      <c r="D238" s="1" t="s">
        <v>115</v>
      </c>
      <c r="E238" s="1" t="s">
        <v>70</v>
      </c>
      <c r="F238" s="1" t="s">
        <v>411</v>
      </c>
      <c r="G238" s="1" t="s">
        <v>156</v>
      </c>
      <c r="H238" s="1" t="s">
        <v>393</v>
      </c>
      <c r="I238" s="1" t="s">
        <v>74</v>
      </c>
      <c r="J238" s="1" t="s">
        <v>75</v>
      </c>
      <c r="K238" s="1" t="s">
        <v>101</v>
      </c>
      <c r="L238" s="1" t="s">
        <v>889</v>
      </c>
      <c r="M238" s="1" t="s">
        <v>617</v>
      </c>
      <c r="N238" s="1" t="s">
        <v>395</v>
      </c>
      <c r="O238" s="1" t="s">
        <v>396</v>
      </c>
      <c r="P238" s="1" t="s">
        <v>397</v>
      </c>
      <c r="Q238" s="1" t="s">
        <v>398</v>
      </c>
      <c r="R238" s="1" t="s">
        <v>164</v>
      </c>
      <c r="S238" s="1" t="s">
        <v>78</v>
      </c>
      <c r="T238" s="1">
        <v>36999</v>
      </c>
      <c r="U238" s="1" t="s">
        <v>166</v>
      </c>
      <c r="V238" s="1" t="s">
        <v>167</v>
      </c>
      <c r="W238" s="1" t="s">
        <v>1420</v>
      </c>
    </row>
    <row r="239" spans="1:24" ht="15.75" customHeight="1" x14ac:dyDescent="0.35">
      <c r="A239" s="1" t="s">
        <v>151</v>
      </c>
      <c r="B239" s="1" t="s">
        <v>1085</v>
      </c>
      <c r="C239" s="1" t="s">
        <v>1053</v>
      </c>
      <c r="D239" s="1" t="s">
        <v>640</v>
      </c>
      <c r="E239" s="1" t="s">
        <v>410</v>
      </c>
      <c r="F239" s="1" t="s">
        <v>1188</v>
      </c>
      <c r="G239" s="1" t="s">
        <v>796</v>
      </c>
      <c r="H239" s="1" t="s">
        <v>1421</v>
      </c>
      <c r="I239" s="1" t="s">
        <v>89</v>
      </c>
      <c r="J239" s="1" t="s">
        <v>256</v>
      </c>
      <c r="K239" s="1" t="s">
        <v>90</v>
      </c>
      <c r="L239" s="1" t="s">
        <v>798</v>
      </c>
      <c r="M239" s="1" t="s">
        <v>799</v>
      </c>
      <c r="N239" s="1" t="s">
        <v>571</v>
      </c>
      <c r="O239" s="1" t="s">
        <v>1089</v>
      </c>
      <c r="P239" s="1" t="s">
        <v>1090</v>
      </c>
      <c r="Q239" s="1" t="s">
        <v>1091</v>
      </c>
      <c r="R239" s="1" t="s">
        <v>945</v>
      </c>
      <c r="S239" s="1" t="s">
        <v>78</v>
      </c>
      <c r="T239" s="1">
        <v>72999</v>
      </c>
      <c r="U239" s="1" t="s">
        <v>79</v>
      </c>
      <c r="V239" s="1" t="s">
        <v>1331</v>
      </c>
      <c r="W239" s="1" t="s">
        <v>1422</v>
      </c>
    </row>
    <row r="240" spans="1:24" ht="15.75" customHeight="1" x14ac:dyDescent="0.35">
      <c r="A240" s="1" t="s">
        <v>151</v>
      </c>
      <c r="B240" s="1" t="s">
        <v>568</v>
      </c>
      <c r="C240" s="1" t="s">
        <v>704</v>
      </c>
      <c r="D240" s="1" t="s">
        <v>747</v>
      </c>
      <c r="E240" s="1" t="s">
        <v>70</v>
      </c>
      <c r="F240" s="1" t="s">
        <v>155</v>
      </c>
      <c r="G240" s="1" t="s">
        <v>222</v>
      </c>
      <c r="H240" s="1" t="s">
        <v>615</v>
      </c>
      <c r="I240" s="1" t="s">
        <v>120</v>
      </c>
      <c r="J240" s="1" t="s">
        <v>75</v>
      </c>
      <c r="K240" s="1" t="s">
        <v>40</v>
      </c>
      <c r="L240" s="1" t="s">
        <v>1418</v>
      </c>
      <c r="M240" s="1" t="s">
        <v>617</v>
      </c>
      <c r="N240" s="1" t="s">
        <v>395</v>
      </c>
      <c r="O240" s="1" t="s">
        <v>396</v>
      </c>
      <c r="P240" s="1" t="s">
        <v>397</v>
      </c>
      <c r="Q240" s="1" t="s">
        <v>398</v>
      </c>
      <c r="R240" s="1" t="s">
        <v>164</v>
      </c>
      <c r="S240" s="1" t="s">
        <v>78</v>
      </c>
      <c r="T240" s="1">
        <v>45499</v>
      </c>
      <c r="U240" s="1" t="s">
        <v>79</v>
      </c>
      <c r="V240" s="1" t="s">
        <v>705</v>
      </c>
      <c r="W240" s="1" t="s">
        <v>1423</v>
      </c>
    </row>
    <row r="241" spans="1:24" ht="15.75" customHeight="1" x14ac:dyDescent="0.35">
      <c r="A241" s="1" t="s">
        <v>112</v>
      </c>
      <c r="B241" s="1" t="s">
        <v>1424</v>
      </c>
      <c r="C241" s="1" t="s">
        <v>361</v>
      </c>
      <c r="D241" s="1" t="s">
        <v>1425</v>
      </c>
      <c r="E241" s="1" t="s">
        <v>70</v>
      </c>
      <c r="F241" s="1" t="s">
        <v>1426</v>
      </c>
      <c r="G241" s="1" t="s">
        <v>118</v>
      </c>
      <c r="H241" s="1" t="s">
        <v>674</v>
      </c>
      <c r="I241" s="1" t="s">
        <v>120</v>
      </c>
      <c r="J241" s="1" t="s">
        <v>75</v>
      </c>
      <c r="K241" s="1" t="s">
        <v>101</v>
      </c>
      <c r="L241" s="1" t="s">
        <v>193</v>
      </c>
      <c r="M241" s="1" t="s">
        <v>139</v>
      </c>
      <c r="N241" s="1" t="s">
        <v>124</v>
      </c>
      <c r="O241" s="1" t="s">
        <v>187</v>
      </c>
      <c r="P241" s="1" t="s">
        <v>126</v>
      </c>
      <c r="Q241" s="1" t="s">
        <v>127</v>
      </c>
      <c r="R241" s="1" t="s">
        <v>128</v>
      </c>
      <c r="S241" s="1" t="s">
        <v>78</v>
      </c>
      <c r="T241" s="1">
        <v>34477</v>
      </c>
      <c r="U241" s="1" t="s">
        <v>79</v>
      </c>
      <c r="V241" s="1" t="s">
        <v>365</v>
      </c>
      <c r="W241" s="1" t="s">
        <v>1427</v>
      </c>
    </row>
    <row r="242" spans="1:24" ht="15.75" customHeight="1" x14ac:dyDescent="0.35">
      <c r="A242" s="1" t="s">
        <v>112</v>
      </c>
      <c r="B242" s="1" t="s">
        <v>1428</v>
      </c>
      <c r="C242" s="1" t="s">
        <v>627</v>
      </c>
      <c r="D242" s="1" t="s">
        <v>1130</v>
      </c>
      <c r="E242" s="1" t="s">
        <v>507</v>
      </c>
      <c r="F242" s="1" t="s">
        <v>1429</v>
      </c>
      <c r="G242" s="1" t="s">
        <v>136</v>
      </c>
      <c r="H242" s="1" t="s">
        <v>688</v>
      </c>
      <c r="I242" s="1" t="s">
        <v>120</v>
      </c>
      <c r="K242" s="1" t="s">
        <v>90</v>
      </c>
      <c r="L242" s="1" t="s">
        <v>193</v>
      </c>
      <c r="M242" s="1" t="s">
        <v>139</v>
      </c>
      <c r="N242" s="1" t="s">
        <v>124</v>
      </c>
      <c r="O242" s="1" t="s">
        <v>774</v>
      </c>
      <c r="P242" s="1" t="s">
        <v>1430</v>
      </c>
      <c r="Q242" s="1" t="s">
        <v>127</v>
      </c>
      <c r="R242" s="1" t="s">
        <v>128</v>
      </c>
      <c r="S242" s="1" t="s">
        <v>78</v>
      </c>
      <c r="T242" s="1">
        <v>36249</v>
      </c>
      <c r="U242" s="1" t="s">
        <v>166</v>
      </c>
      <c r="V242" s="1" t="s">
        <v>1431</v>
      </c>
      <c r="W242" s="1" t="s">
        <v>1432</v>
      </c>
    </row>
    <row r="243" spans="1:24" ht="15.75" customHeight="1" x14ac:dyDescent="0.35">
      <c r="A243" s="1" t="s">
        <v>151</v>
      </c>
      <c r="B243" s="1" t="s">
        <v>505</v>
      </c>
      <c r="C243" s="1" t="s">
        <v>676</v>
      </c>
      <c r="D243" s="1" t="s">
        <v>694</v>
      </c>
      <c r="E243" s="1" t="s">
        <v>70</v>
      </c>
      <c r="F243" s="1" t="s">
        <v>1433</v>
      </c>
      <c r="G243" s="1" t="s">
        <v>156</v>
      </c>
      <c r="H243" s="1" t="s">
        <v>393</v>
      </c>
      <c r="I243" s="1" t="s">
        <v>120</v>
      </c>
      <c r="J243" s="1" t="s">
        <v>75</v>
      </c>
      <c r="K243" s="1" t="s">
        <v>101</v>
      </c>
      <c r="L243" s="1" t="s">
        <v>158</v>
      </c>
      <c r="M243" s="1" t="s">
        <v>617</v>
      </c>
      <c r="N243" s="1" t="s">
        <v>395</v>
      </c>
      <c r="O243" s="1" t="s">
        <v>396</v>
      </c>
      <c r="P243" s="1" t="s">
        <v>397</v>
      </c>
      <c r="Q243" s="1" t="s">
        <v>398</v>
      </c>
      <c r="R243" s="1" t="s">
        <v>164</v>
      </c>
      <c r="S243" s="1" t="s">
        <v>165</v>
      </c>
      <c r="T243" s="1">
        <v>34333</v>
      </c>
      <c r="U243" s="1" t="s">
        <v>166</v>
      </c>
      <c r="V243" s="1" t="s">
        <v>167</v>
      </c>
      <c r="W243" s="1" t="s">
        <v>1434</v>
      </c>
    </row>
    <row r="244" spans="1:24" ht="15.75" customHeight="1" x14ac:dyDescent="0.35">
      <c r="A244" s="1" t="s">
        <v>30</v>
      </c>
      <c r="B244" s="1" t="s">
        <v>1435</v>
      </c>
      <c r="C244" s="1" t="s">
        <v>806</v>
      </c>
      <c r="D244" s="1" t="s">
        <v>522</v>
      </c>
      <c r="E244" s="1" t="s">
        <v>410</v>
      </c>
      <c r="F244" s="1" t="s">
        <v>1436</v>
      </c>
      <c r="G244" s="1" t="s">
        <v>1437</v>
      </c>
      <c r="H244" s="1" t="s">
        <v>370</v>
      </c>
      <c r="I244" s="1" t="s">
        <v>120</v>
      </c>
      <c r="J244" s="1" t="s">
        <v>75</v>
      </c>
      <c r="K244" s="1" t="s">
        <v>90</v>
      </c>
      <c r="L244" s="1" t="s">
        <v>58</v>
      </c>
      <c r="M244" s="1" t="s">
        <v>649</v>
      </c>
      <c r="N244" s="1" t="s">
        <v>373</v>
      </c>
      <c r="O244" s="1" t="s">
        <v>650</v>
      </c>
      <c r="P244" s="1" t="s">
        <v>651</v>
      </c>
      <c r="Q244" s="1" t="s">
        <v>652</v>
      </c>
      <c r="R244" s="1" t="s">
        <v>64</v>
      </c>
      <c r="S244" s="1" t="s">
        <v>165</v>
      </c>
      <c r="T244" s="1">
        <v>71930</v>
      </c>
      <c r="U244" s="1" t="s">
        <v>79</v>
      </c>
      <c r="V244" s="1" t="s">
        <v>783</v>
      </c>
    </row>
    <row r="245" spans="1:24" ht="15.75" customHeight="1" x14ac:dyDescent="0.35">
      <c r="A245" s="1" t="s">
        <v>30</v>
      </c>
      <c r="B245" s="1" t="s">
        <v>1438</v>
      </c>
      <c r="C245" s="1" t="s">
        <v>1439</v>
      </c>
      <c r="D245" s="1" t="s">
        <v>1440</v>
      </c>
      <c r="E245" s="1" t="s">
        <v>507</v>
      </c>
      <c r="F245" s="1" t="s">
        <v>1138</v>
      </c>
      <c r="G245" s="1" t="s">
        <v>1437</v>
      </c>
      <c r="H245" s="1" t="s">
        <v>370</v>
      </c>
      <c r="I245" s="1" t="s">
        <v>120</v>
      </c>
      <c r="J245" s="1" t="s">
        <v>75</v>
      </c>
      <c r="K245" s="1" t="s">
        <v>101</v>
      </c>
      <c r="L245" s="1" t="s">
        <v>1441</v>
      </c>
      <c r="M245" s="1" t="s">
        <v>372</v>
      </c>
      <c r="N245" s="1" t="s">
        <v>1364</v>
      </c>
      <c r="O245" s="1" t="s">
        <v>658</v>
      </c>
      <c r="P245" s="1" t="s">
        <v>375</v>
      </c>
      <c r="Q245" s="1" t="s">
        <v>376</v>
      </c>
      <c r="R245" s="1" t="s">
        <v>64</v>
      </c>
      <c r="S245" s="1" t="s">
        <v>165</v>
      </c>
      <c r="T245" s="1">
        <v>38999</v>
      </c>
      <c r="U245" s="1" t="s">
        <v>166</v>
      </c>
    </row>
    <row r="246" spans="1:24" ht="15.75" customHeight="1" x14ac:dyDescent="0.35">
      <c r="A246" s="1" t="s">
        <v>30</v>
      </c>
      <c r="B246" s="1" t="s">
        <v>1442</v>
      </c>
      <c r="C246" s="1" t="s">
        <v>1443</v>
      </c>
      <c r="D246" s="1" t="s">
        <v>438</v>
      </c>
      <c r="E246" s="1" t="s">
        <v>507</v>
      </c>
      <c r="F246" s="1" t="s">
        <v>1134</v>
      </c>
      <c r="G246" s="1" t="s">
        <v>1437</v>
      </c>
      <c r="H246" s="1" t="s">
        <v>370</v>
      </c>
      <c r="I246" s="1" t="s">
        <v>120</v>
      </c>
      <c r="J246" s="1" t="s">
        <v>75</v>
      </c>
      <c r="K246" s="1" t="s">
        <v>121</v>
      </c>
      <c r="L246" s="1" t="s">
        <v>1441</v>
      </c>
      <c r="M246" s="1" t="s">
        <v>372</v>
      </c>
      <c r="N246" s="1" t="s">
        <v>373</v>
      </c>
      <c r="O246" s="1" t="s">
        <v>658</v>
      </c>
      <c r="P246" s="1" t="s">
        <v>375</v>
      </c>
      <c r="Q246" s="1" t="s">
        <v>376</v>
      </c>
      <c r="R246" s="1" t="s">
        <v>64</v>
      </c>
      <c r="S246" s="1" t="s">
        <v>165</v>
      </c>
      <c r="T246" s="1">
        <v>28899</v>
      </c>
      <c r="U246" s="1" t="s">
        <v>166</v>
      </c>
    </row>
    <row r="247" spans="1:24" ht="15.75" customHeight="1" x14ac:dyDescent="0.35">
      <c r="A247" s="1" t="s">
        <v>30</v>
      </c>
      <c r="B247" s="1" t="s">
        <v>775</v>
      </c>
      <c r="C247" s="1" t="s">
        <v>655</v>
      </c>
      <c r="D247" s="1" t="s">
        <v>312</v>
      </c>
      <c r="E247" s="1" t="s">
        <v>70</v>
      </c>
      <c r="F247" s="1" t="s">
        <v>776</v>
      </c>
      <c r="G247" s="1" t="s">
        <v>777</v>
      </c>
      <c r="H247" s="1" t="s">
        <v>778</v>
      </c>
      <c r="I247" s="1" t="s">
        <v>74</v>
      </c>
      <c r="J247" s="1" t="s">
        <v>75</v>
      </c>
      <c r="K247" s="1" t="s">
        <v>101</v>
      </c>
      <c r="L247" s="1" t="s">
        <v>645</v>
      </c>
      <c r="M247" s="1" t="s">
        <v>649</v>
      </c>
      <c r="N247" s="1" t="s">
        <v>373</v>
      </c>
      <c r="O247" s="1" t="s">
        <v>1444</v>
      </c>
      <c r="P247" s="1" t="s">
        <v>780</v>
      </c>
      <c r="Q247" s="1" t="s">
        <v>781</v>
      </c>
      <c r="R247" s="1" t="s">
        <v>782</v>
      </c>
      <c r="S247" s="1" t="s">
        <v>339</v>
      </c>
      <c r="T247" s="1">
        <v>49999</v>
      </c>
      <c r="U247" s="1" t="s">
        <v>79</v>
      </c>
    </row>
    <row r="248" spans="1:24" ht="15.75" customHeight="1" x14ac:dyDescent="0.35">
      <c r="A248" s="1" t="s">
        <v>151</v>
      </c>
      <c r="B248" s="1" t="s">
        <v>505</v>
      </c>
      <c r="C248" s="1" t="s">
        <v>676</v>
      </c>
      <c r="D248" s="1" t="s">
        <v>1445</v>
      </c>
      <c r="E248" s="1" t="s">
        <v>507</v>
      </c>
      <c r="F248" s="1" t="s">
        <v>1188</v>
      </c>
      <c r="G248" s="1" t="s">
        <v>156</v>
      </c>
      <c r="H248" s="1" t="s">
        <v>393</v>
      </c>
      <c r="I248" s="1" t="s">
        <v>120</v>
      </c>
      <c r="J248" s="1" t="s">
        <v>75</v>
      </c>
      <c r="K248" s="1" t="s">
        <v>101</v>
      </c>
      <c r="L248" s="1" t="s">
        <v>158</v>
      </c>
      <c r="M248" s="1" t="s">
        <v>617</v>
      </c>
      <c r="N248" s="1" t="s">
        <v>395</v>
      </c>
      <c r="O248" s="1" t="s">
        <v>396</v>
      </c>
      <c r="P248" s="1" t="s">
        <v>397</v>
      </c>
      <c r="Q248" s="1" t="s">
        <v>398</v>
      </c>
      <c r="R248" s="1" t="s">
        <v>164</v>
      </c>
      <c r="S248" s="1" t="s">
        <v>165</v>
      </c>
      <c r="T248" s="1">
        <v>31999</v>
      </c>
      <c r="U248" s="1" t="s">
        <v>166</v>
      </c>
      <c r="V248" s="1" t="s">
        <v>167</v>
      </c>
      <c r="W248" s="1" t="s">
        <v>1446</v>
      </c>
    </row>
    <row r="249" spans="1:24" ht="15.75" customHeight="1" x14ac:dyDescent="0.35">
      <c r="A249" s="1" t="s">
        <v>151</v>
      </c>
      <c r="B249" s="1" t="s">
        <v>826</v>
      </c>
      <c r="C249" s="1" t="s">
        <v>1447</v>
      </c>
      <c r="D249" s="1" t="s">
        <v>1445</v>
      </c>
      <c r="E249" s="1" t="s">
        <v>507</v>
      </c>
      <c r="F249" s="1" t="s">
        <v>1448</v>
      </c>
      <c r="G249" s="1" t="s">
        <v>156</v>
      </c>
      <c r="H249" s="1" t="s">
        <v>1449</v>
      </c>
      <c r="I249" s="1" t="s">
        <v>120</v>
      </c>
      <c r="J249" s="1" t="s">
        <v>75</v>
      </c>
      <c r="K249" s="1" t="s">
        <v>90</v>
      </c>
      <c r="L249" s="1" t="s">
        <v>158</v>
      </c>
      <c r="M249" s="1" t="s">
        <v>831</v>
      </c>
      <c r="N249" s="1" t="s">
        <v>160</v>
      </c>
      <c r="O249" s="1" t="s">
        <v>1341</v>
      </c>
      <c r="P249" s="1" t="s">
        <v>834</v>
      </c>
      <c r="Q249" s="1" t="s">
        <v>652</v>
      </c>
      <c r="R249" s="1" t="s">
        <v>217</v>
      </c>
      <c r="S249" s="1" t="s">
        <v>78</v>
      </c>
      <c r="T249" s="1">
        <v>26999</v>
      </c>
      <c r="V249" s="1" t="s">
        <v>1342</v>
      </c>
      <c r="W249" s="1" t="s">
        <v>1450</v>
      </c>
    </row>
    <row r="250" spans="1:24" ht="15.75" customHeight="1" x14ac:dyDescent="0.35">
      <c r="A250" s="1" t="s">
        <v>112</v>
      </c>
      <c r="B250" s="1" t="s">
        <v>1451</v>
      </c>
      <c r="C250" s="1" t="s">
        <v>1452</v>
      </c>
      <c r="D250" s="1" t="s">
        <v>1453</v>
      </c>
      <c r="E250" s="1" t="s">
        <v>70</v>
      </c>
      <c r="F250" s="1" t="s">
        <v>1454</v>
      </c>
      <c r="G250" s="1" t="s">
        <v>136</v>
      </c>
      <c r="H250" s="1" t="s">
        <v>1455</v>
      </c>
      <c r="I250" s="1" t="s">
        <v>120</v>
      </c>
      <c r="J250" s="1" t="s">
        <v>75</v>
      </c>
      <c r="K250" s="1" t="s">
        <v>90</v>
      </c>
      <c r="L250" s="1" t="s">
        <v>193</v>
      </c>
      <c r="M250" s="1" t="s">
        <v>139</v>
      </c>
      <c r="N250" s="1" t="s">
        <v>124</v>
      </c>
      <c r="O250" s="1" t="s">
        <v>1456</v>
      </c>
      <c r="R250" s="1" t="s">
        <v>128</v>
      </c>
      <c r="S250" s="1" t="s">
        <v>78</v>
      </c>
      <c r="T250" s="1">
        <v>52599</v>
      </c>
      <c r="U250" s="1" t="s">
        <v>166</v>
      </c>
      <c r="V250" s="1" t="s">
        <v>1457</v>
      </c>
      <c r="W250" s="1" t="s">
        <v>1458</v>
      </c>
      <c r="X250" s="1" t="s">
        <v>1459</v>
      </c>
    </row>
    <row r="251" spans="1:24" ht="15.75" customHeight="1" x14ac:dyDescent="0.35">
      <c r="A251" s="1" t="s">
        <v>112</v>
      </c>
      <c r="B251" s="1" t="s">
        <v>1460</v>
      </c>
      <c r="C251" s="1" t="s">
        <v>693</v>
      </c>
      <c r="D251" s="1" t="s">
        <v>1461</v>
      </c>
      <c r="E251" s="1" t="s">
        <v>70</v>
      </c>
      <c r="F251" s="1" t="s">
        <v>1462</v>
      </c>
      <c r="G251" s="1" t="s">
        <v>1463</v>
      </c>
      <c r="H251" s="1" t="s">
        <v>770</v>
      </c>
      <c r="I251" s="1" t="s">
        <v>120</v>
      </c>
      <c r="J251" s="1" t="s">
        <v>75</v>
      </c>
      <c r="K251" s="1" t="s">
        <v>101</v>
      </c>
      <c r="L251" s="1" t="s">
        <v>186</v>
      </c>
      <c r="M251" s="1" t="s">
        <v>139</v>
      </c>
      <c r="N251" s="1" t="s">
        <v>124</v>
      </c>
      <c r="O251" s="1" t="s">
        <v>187</v>
      </c>
      <c r="P251" s="1" t="s">
        <v>126</v>
      </c>
      <c r="Q251" s="1" t="s">
        <v>127</v>
      </c>
      <c r="R251" s="1" t="s">
        <v>180</v>
      </c>
      <c r="S251" s="1" t="s">
        <v>78</v>
      </c>
      <c r="T251" s="1">
        <v>54499</v>
      </c>
      <c r="U251" s="1" t="s">
        <v>79</v>
      </c>
      <c r="V251" s="1" t="s">
        <v>406</v>
      </c>
      <c r="W251" s="1" t="s">
        <v>1464</v>
      </c>
    </row>
    <row r="252" spans="1:24" ht="15.75" customHeight="1" x14ac:dyDescent="0.35">
      <c r="A252" s="1" t="s">
        <v>151</v>
      </c>
      <c r="B252" s="1" t="s">
        <v>505</v>
      </c>
      <c r="C252" s="1" t="s">
        <v>676</v>
      </c>
      <c r="D252" s="1" t="s">
        <v>115</v>
      </c>
      <c r="E252" s="1" t="s">
        <v>70</v>
      </c>
      <c r="F252" s="1" t="s">
        <v>1264</v>
      </c>
      <c r="G252" s="1" t="s">
        <v>156</v>
      </c>
      <c r="H252" s="1" t="s">
        <v>393</v>
      </c>
      <c r="I252" s="1" t="s">
        <v>120</v>
      </c>
      <c r="J252" s="1" t="s">
        <v>75</v>
      </c>
      <c r="K252" s="1" t="s">
        <v>121</v>
      </c>
      <c r="L252" s="1" t="s">
        <v>158</v>
      </c>
      <c r="M252" s="1" t="s">
        <v>617</v>
      </c>
      <c r="N252" s="1" t="s">
        <v>395</v>
      </c>
      <c r="O252" s="1" t="s">
        <v>396</v>
      </c>
      <c r="P252" s="1" t="s">
        <v>397</v>
      </c>
      <c r="Q252" s="1" t="s">
        <v>398</v>
      </c>
      <c r="R252" s="1" t="s">
        <v>164</v>
      </c>
      <c r="S252" s="1" t="s">
        <v>78</v>
      </c>
      <c r="T252" s="1">
        <v>38888</v>
      </c>
      <c r="U252" s="1" t="s">
        <v>166</v>
      </c>
      <c r="V252" s="1" t="s">
        <v>167</v>
      </c>
      <c r="W252" s="1" t="s">
        <v>1434</v>
      </c>
    </row>
    <row r="253" spans="1:24" ht="15.75" customHeight="1" x14ac:dyDescent="0.35">
      <c r="A253" s="1" t="s">
        <v>151</v>
      </c>
      <c r="B253" s="1" t="s">
        <v>505</v>
      </c>
      <c r="C253" s="1" t="s">
        <v>153</v>
      </c>
      <c r="D253" s="1" t="s">
        <v>1445</v>
      </c>
      <c r="E253" s="1" t="s">
        <v>507</v>
      </c>
      <c r="F253" s="1" t="s">
        <v>411</v>
      </c>
      <c r="G253" s="1" t="s">
        <v>156</v>
      </c>
      <c r="H253" s="1" t="s">
        <v>393</v>
      </c>
      <c r="I253" s="1" t="s">
        <v>120</v>
      </c>
      <c r="J253" s="1" t="s">
        <v>75</v>
      </c>
      <c r="K253" s="1" t="s">
        <v>101</v>
      </c>
      <c r="L253" s="1" t="s">
        <v>889</v>
      </c>
      <c r="M253" s="1" t="s">
        <v>617</v>
      </c>
      <c r="N253" s="1" t="s">
        <v>395</v>
      </c>
      <c r="O253" s="1" t="s">
        <v>396</v>
      </c>
      <c r="P253" s="1" t="s">
        <v>397</v>
      </c>
      <c r="Q253" s="1" t="s">
        <v>398</v>
      </c>
      <c r="R253" s="1" t="s">
        <v>164</v>
      </c>
      <c r="S253" s="1" t="s">
        <v>78</v>
      </c>
      <c r="T253" s="1">
        <v>30999</v>
      </c>
      <c r="U253" s="1" t="s">
        <v>166</v>
      </c>
      <c r="V253" s="1" t="s">
        <v>167</v>
      </c>
      <c r="W253" s="1" t="s">
        <v>1465</v>
      </c>
    </row>
    <row r="254" spans="1:24" ht="15.75" customHeight="1" x14ac:dyDescent="0.35">
      <c r="A254" s="1" t="s">
        <v>234</v>
      </c>
      <c r="B254" s="1" t="s">
        <v>1466</v>
      </c>
      <c r="C254" s="1" t="s">
        <v>1467</v>
      </c>
      <c r="D254" s="1" t="s">
        <v>438</v>
      </c>
      <c r="E254" s="1" t="s">
        <v>507</v>
      </c>
      <c r="F254" s="1" t="s">
        <v>622</v>
      </c>
      <c r="G254" s="1" t="s">
        <v>295</v>
      </c>
      <c r="H254" s="1" t="s">
        <v>1468</v>
      </c>
      <c r="I254" s="1" t="s">
        <v>120</v>
      </c>
      <c r="J254" s="1" t="s">
        <v>75</v>
      </c>
      <c r="K254" s="1" t="s">
        <v>90</v>
      </c>
      <c r="L254" s="1" t="s">
        <v>1022</v>
      </c>
      <c r="M254" s="1" t="s">
        <v>1397</v>
      </c>
      <c r="N254" s="1" t="s">
        <v>465</v>
      </c>
      <c r="O254" s="1" t="s">
        <v>1469</v>
      </c>
      <c r="P254" s="1" t="s">
        <v>1470</v>
      </c>
      <c r="Q254" s="1" t="s">
        <v>1400</v>
      </c>
      <c r="R254" s="1" t="s">
        <v>1409</v>
      </c>
      <c r="S254" s="1" t="s">
        <v>1471</v>
      </c>
      <c r="T254" s="1">
        <v>29199</v>
      </c>
      <c r="V254" s="1" t="s">
        <v>1472</v>
      </c>
      <c r="W254" s="1" t="s">
        <v>1473</v>
      </c>
    </row>
    <row r="255" spans="1:24" ht="15.75" customHeight="1" x14ac:dyDescent="0.35">
      <c r="A255" s="1" t="s">
        <v>234</v>
      </c>
      <c r="B255" s="1" t="s">
        <v>1474</v>
      </c>
      <c r="C255" s="1" t="s">
        <v>1467</v>
      </c>
      <c r="D255" s="1" t="s">
        <v>115</v>
      </c>
      <c r="E255" s="1" t="s">
        <v>507</v>
      </c>
      <c r="F255" s="1" t="s">
        <v>622</v>
      </c>
      <c r="G255" s="1" t="s">
        <v>295</v>
      </c>
      <c r="H255" s="1" t="s">
        <v>1468</v>
      </c>
      <c r="I255" s="1" t="s">
        <v>120</v>
      </c>
      <c r="J255" s="1" t="s">
        <v>75</v>
      </c>
      <c r="K255" s="1" t="s">
        <v>90</v>
      </c>
      <c r="L255" s="1" t="s">
        <v>1022</v>
      </c>
      <c r="M255" s="1" t="s">
        <v>1397</v>
      </c>
      <c r="N255" s="1" t="s">
        <v>465</v>
      </c>
      <c r="O255" s="1" t="s">
        <v>1469</v>
      </c>
      <c r="P255" s="1" t="s">
        <v>1470</v>
      </c>
      <c r="Q255" s="1" t="s">
        <v>1400</v>
      </c>
      <c r="R255" s="1" t="s">
        <v>1409</v>
      </c>
      <c r="S255" s="1" t="s">
        <v>1471</v>
      </c>
      <c r="T255" s="1">
        <v>36000</v>
      </c>
      <c r="V255" s="1" t="s">
        <v>1472</v>
      </c>
      <c r="W255" s="1" t="s">
        <v>1475</v>
      </c>
    </row>
    <row r="256" spans="1:24" ht="15.75" customHeight="1" x14ac:dyDescent="0.35">
      <c r="A256" s="1" t="s">
        <v>234</v>
      </c>
      <c r="B256" s="1" t="s">
        <v>1476</v>
      </c>
      <c r="C256" s="1" t="s">
        <v>1467</v>
      </c>
      <c r="D256" s="1" t="s">
        <v>134</v>
      </c>
      <c r="E256" s="1" t="s">
        <v>70</v>
      </c>
      <c r="F256" s="1" t="s">
        <v>1403</v>
      </c>
      <c r="G256" s="1" t="s">
        <v>295</v>
      </c>
      <c r="H256" s="1" t="s">
        <v>1477</v>
      </c>
      <c r="I256" s="1" t="s">
        <v>120</v>
      </c>
      <c r="J256" s="1" t="s">
        <v>75</v>
      </c>
      <c r="K256" s="1" t="s">
        <v>90</v>
      </c>
      <c r="L256" s="1" t="s">
        <v>1022</v>
      </c>
      <c r="M256" s="1" t="s">
        <v>241</v>
      </c>
      <c r="N256" s="1" t="s">
        <v>465</v>
      </c>
      <c r="O256" s="1" t="s">
        <v>1478</v>
      </c>
      <c r="P256" s="1" t="s">
        <v>1267</v>
      </c>
      <c r="Q256" s="1" t="s">
        <v>300</v>
      </c>
      <c r="R256" s="1" t="s">
        <v>1479</v>
      </c>
      <c r="S256" s="1" t="s">
        <v>1471</v>
      </c>
      <c r="T256" s="1">
        <v>39888</v>
      </c>
      <c r="V256" s="1" t="s">
        <v>1472</v>
      </c>
      <c r="W256" s="1" t="s">
        <v>1480</v>
      </c>
    </row>
    <row r="257" spans="1:23" ht="15.75" customHeight="1" x14ac:dyDescent="0.35">
      <c r="A257" s="1" t="s">
        <v>151</v>
      </c>
      <c r="B257" s="1" t="s">
        <v>505</v>
      </c>
      <c r="C257" s="1" t="s">
        <v>676</v>
      </c>
      <c r="D257" s="1" t="s">
        <v>438</v>
      </c>
      <c r="E257" s="1" t="s">
        <v>507</v>
      </c>
      <c r="F257" s="1" t="s">
        <v>1433</v>
      </c>
      <c r="G257" s="1" t="s">
        <v>156</v>
      </c>
      <c r="H257" s="1" t="s">
        <v>393</v>
      </c>
      <c r="I257" s="1" t="s">
        <v>120</v>
      </c>
      <c r="J257" s="1" t="s">
        <v>75</v>
      </c>
      <c r="K257" s="1" t="s">
        <v>101</v>
      </c>
      <c r="L257" s="1" t="s">
        <v>158</v>
      </c>
      <c r="M257" s="1" t="s">
        <v>617</v>
      </c>
      <c r="N257" s="1" t="s">
        <v>395</v>
      </c>
      <c r="O257" s="1" t="s">
        <v>396</v>
      </c>
      <c r="P257" s="1" t="s">
        <v>397</v>
      </c>
      <c r="Q257" s="1" t="s">
        <v>398</v>
      </c>
      <c r="R257" s="1" t="s">
        <v>164</v>
      </c>
      <c r="S257" s="1" t="s">
        <v>339</v>
      </c>
      <c r="T257" s="1">
        <v>31499</v>
      </c>
      <c r="U257" s="1" t="s">
        <v>166</v>
      </c>
      <c r="V257" s="1" t="s">
        <v>167</v>
      </c>
      <c r="W257" s="1" t="s">
        <v>1481</v>
      </c>
    </row>
    <row r="258" spans="1:23" ht="15.75" customHeight="1" x14ac:dyDescent="0.35">
      <c r="A258" s="1" t="s">
        <v>112</v>
      </c>
      <c r="B258" s="1" t="s">
        <v>1482</v>
      </c>
      <c r="C258" s="1" t="s">
        <v>133</v>
      </c>
      <c r="D258" s="1" t="s">
        <v>734</v>
      </c>
      <c r="E258" s="1" t="s">
        <v>540</v>
      </c>
      <c r="F258" s="1" t="s">
        <v>1483</v>
      </c>
      <c r="G258" s="1" t="s">
        <v>1484</v>
      </c>
      <c r="H258" s="1" t="s">
        <v>1485</v>
      </c>
      <c r="I258" s="1" t="s">
        <v>89</v>
      </c>
      <c r="J258" s="1" t="s">
        <v>256</v>
      </c>
      <c r="K258" s="1" t="s">
        <v>201</v>
      </c>
      <c r="L258" s="1" t="s">
        <v>787</v>
      </c>
      <c r="M258" s="1" t="s">
        <v>1486</v>
      </c>
      <c r="N258" s="1" t="s">
        <v>602</v>
      </c>
      <c r="O258" s="1" t="s">
        <v>682</v>
      </c>
      <c r="P258" s="1" t="s">
        <v>1487</v>
      </c>
      <c r="Q258" s="1" t="s">
        <v>1488</v>
      </c>
      <c r="R258" s="1" t="s">
        <v>217</v>
      </c>
      <c r="S258" s="1" t="s">
        <v>78</v>
      </c>
      <c r="T258" s="1">
        <v>119999</v>
      </c>
      <c r="U258" s="1" t="s">
        <v>65</v>
      </c>
      <c r="V258" s="1" t="s">
        <v>685</v>
      </c>
      <c r="W258" s="1" t="s">
        <v>1489</v>
      </c>
    </row>
    <row r="259" spans="1:23" ht="15.75" customHeight="1" x14ac:dyDescent="0.35">
      <c r="A259" s="1" t="s">
        <v>112</v>
      </c>
      <c r="B259" s="1" t="s">
        <v>1490</v>
      </c>
      <c r="C259" s="1" t="s">
        <v>1053</v>
      </c>
      <c r="D259" s="1" t="s">
        <v>1149</v>
      </c>
      <c r="E259" s="1" t="s">
        <v>410</v>
      </c>
      <c r="F259" s="1" t="s">
        <v>1491</v>
      </c>
      <c r="G259" s="1" t="s">
        <v>136</v>
      </c>
      <c r="H259" s="1" t="s">
        <v>1492</v>
      </c>
      <c r="I259" s="1" t="s">
        <v>1493</v>
      </c>
      <c r="J259" s="1" t="s">
        <v>57</v>
      </c>
      <c r="K259" s="1" t="s">
        <v>90</v>
      </c>
      <c r="L259" s="1" t="s">
        <v>1494</v>
      </c>
      <c r="M259" s="1" t="s">
        <v>213</v>
      </c>
      <c r="N259" s="1" t="s">
        <v>124</v>
      </c>
      <c r="O259" s="1" t="s">
        <v>1495</v>
      </c>
      <c r="P259" s="1" t="s">
        <v>1496</v>
      </c>
      <c r="Q259" s="1" t="s">
        <v>1497</v>
      </c>
      <c r="R259" s="1" t="s">
        <v>206</v>
      </c>
      <c r="S259" s="1" t="s">
        <v>78</v>
      </c>
      <c r="T259" s="1">
        <v>89999</v>
      </c>
      <c r="U259" s="1" t="s">
        <v>79</v>
      </c>
      <c r="V259" s="1" t="s">
        <v>1056</v>
      </c>
      <c r="W259" s="1" t="s">
        <v>1498</v>
      </c>
    </row>
    <row r="260" spans="1:23" ht="15.75" customHeight="1" x14ac:dyDescent="0.35">
      <c r="A260" s="1" t="s">
        <v>151</v>
      </c>
      <c r="B260" s="1" t="s">
        <v>568</v>
      </c>
      <c r="C260" s="1" t="s">
        <v>746</v>
      </c>
      <c r="D260" s="1" t="s">
        <v>134</v>
      </c>
      <c r="E260" s="1" t="s">
        <v>70</v>
      </c>
      <c r="F260" s="1" t="s">
        <v>155</v>
      </c>
      <c r="G260" s="1" t="s">
        <v>156</v>
      </c>
      <c r="H260" s="1" t="s">
        <v>393</v>
      </c>
      <c r="I260" s="1" t="s">
        <v>120</v>
      </c>
      <c r="J260" s="1" t="s">
        <v>75</v>
      </c>
      <c r="K260" s="1" t="s">
        <v>121</v>
      </c>
      <c r="L260" s="1" t="s">
        <v>158</v>
      </c>
      <c r="M260" s="1" t="s">
        <v>617</v>
      </c>
      <c r="N260" s="1" t="s">
        <v>571</v>
      </c>
      <c r="O260" s="1" t="s">
        <v>396</v>
      </c>
      <c r="P260" s="1" t="s">
        <v>397</v>
      </c>
      <c r="Q260" s="1" t="s">
        <v>398</v>
      </c>
      <c r="R260" s="1" t="s">
        <v>164</v>
      </c>
      <c r="S260" s="1" t="s">
        <v>78</v>
      </c>
      <c r="T260" s="1">
        <v>42999</v>
      </c>
      <c r="U260" s="1" t="s">
        <v>79</v>
      </c>
      <c r="V260" s="1" t="s">
        <v>705</v>
      </c>
    </row>
    <row r="261" spans="1:23" ht="15.75" customHeight="1" x14ac:dyDescent="0.35">
      <c r="A261" s="1" t="s">
        <v>151</v>
      </c>
      <c r="B261" s="1" t="s">
        <v>1499</v>
      </c>
      <c r="C261" s="1" t="s">
        <v>1500</v>
      </c>
      <c r="D261" s="1" t="s">
        <v>1501</v>
      </c>
      <c r="E261" s="1" t="s">
        <v>70</v>
      </c>
      <c r="F261" s="1" t="s">
        <v>1077</v>
      </c>
      <c r="G261" s="1" t="s">
        <v>1110</v>
      </c>
      <c r="H261" s="1" t="s">
        <v>1502</v>
      </c>
      <c r="I261" s="1" t="s">
        <v>120</v>
      </c>
      <c r="J261" s="1" t="s">
        <v>57</v>
      </c>
      <c r="K261" s="1" t="s">
        <v>101</v>
      </c>
      <c r="L261" s="1" t="s">
        <v>798</v>
      </c>
      <c r="M261" s="1" t="s">
        <v>799</v>
      </c>
      <c r="N261" s="1" t="s">
        <v>395</v>
      </c>
      <c r="O261" s="1" t="s">
        <v>1113</v>
      </c>
      <c r="P261" s="1" t="s">
        <v>1080</v>
      </c>
      <c r="Q261" s="1" t="s">
        <v>63</v>
      </c>
      <c r="R261" s="1" t="s">
        <v>1081</v>
      </c>
      <c r="S261" s="1" t="s">
        <v>78</v>
      </c>
      <c r="T261" s="1">
        <v>55999</v>
      </c>
      <c r="V261" s="1" t="s">
        <v>1503</v>
      </c>
      <c r="W261" s="1" t="s">
        <v>1504</v>
      </c>
    </row>
    <row r="262" spans="1:23" ht="15.75" customHeight="1" x14ac:dyDescent="0.35">
      <c r="A262" s="1" t="s">
        <v>151</v>
      </c>
      <c r="B262" s="1" t="s">
        <v>1499</v>
      </c>
      <c r="C262" s="1" t="s">
        <v>1500</v>
      </c>
      <c r="D262" s="1" t="s">
        <v>1505</v>
      </c>
      <c r="E262" s="1" t="s">
        <v>507</v>
      </c>
      <c r="F262" s="1" t="s">
        <v>1448</v>
      </c>
      <c r="G262" s="1" t="s">
        <v>1506</v>
      </c>
      <c r="H262" s="1" t="s">
        <v>1507</v>
      </c>
      <c r="I262" s="1" t="s">
        <v>120</v>
      </c>
      <c r="J262" s="1" t="s">
        <v>39</v>
      </c>
      <c r="K262" s="1" t="s">
        <v>40</v>
      </c>
      <c r="L262" s="1" t="s">
        <v>508</v>
      </c>
      <c r="M262" s="1" t="s">
        <v>617</v>
      </c>
      <c r="N262" s="1" t="s">
        <v>395</v>
      </c>
      <c r="O262" s="1" t="s">
        <v>1113</v>
      </c>
      <c r="P262" s="1" t="s">
        <v>1080</v>
      </c>
      <c r="Q262" s="1" t="s">
        <v>63</v>
      </c>
      <c r="R262" s="1" t="s">
        <v>1081</v>
      </c>
      <c r="S262" s="1" t="s">
        <v>78</v>
      </c>
      <c r="T262" s="1">
        <v>39499</v>
      </c>
      <c r="V262" s="1" t="s">
        <v>1503</v>
      </c>
      <c r="W262" s="1" t="s">
        <v>1508</v>
      </c>
    </row>
    <row r="263" spans="1:23" ht="15.75" customHeight="1" x14ac:dyDescent="0.35">
      <c r="A263" s="1" t="s">
        <v>151</v>
      </c>
      <c r="B263" s="1" t="s">
        <v>1509</v>
      </c>
      <c r="C263" s="1" t="s">
        <v>1510</v>
      </c>
      <c r="D263" s="1" t="s">
        <v>134</v>
      </c>
      <c r="E263" s="1" t="s">
        <v>70</v>
      </c>
      <c r="F263" s="1" t="s">
        <v>1349</v>
      </c>
      <c r="G263" s="1" t="s">
        <v>156</v>
      </c>
      <c r="H263" s="1" t="s">
        <v>1511</v>
      </c>
      <c r="I263" s="1" t="s">
        <v>74</v>
      </c>
      <c r="J263" s="1" t="s">
        <v>75</v>
      </c>
      <c r="K263" s="1" t="s">
        <v>201</v>
      </c>
      <c r="L263" s="1" t="s">
        <v>508</v>
      </c>
      <c r="M263" s="1" t="s">
        <v>617</v>
      </c>
      <c r="N263" s="1" t="s">
        <v>571</v>
      </c>
      <c r="O263" s="1" t="s">
        <v>1512</v>
      </c>
      <c r="P263" s="1" t="s">
        <v>1513</v>
      </c>
      <c r="Q263" s="1" t="s">
        <v>63</v>
      </c>
      <c r="R263" s="1" t="s">
        <v>802</v>
      </c>
      <c r="S263" s="1" t="s">
        <v>78</v>
      </c>
      <c r="T263" s="1">
        <v>48000</v>
      </c>
      <c r="V263" s="1" t="s">
        <v>1514</v>
      </c>
      <c r="W263" s="1" t="s">
        <v>1515</v>
      </c>
    </row>
    <row r="264" spans="1:23" ht="15.75" customHeight="1" x14ac:dyDescent="0.35">
      <c r="A264" s="1" t="s">
        <v>81</v>
      </c>
      <c r="B264" s="1" t="s">
        <v>414</v>
      </c>
      <c r="C264" s="1" t="s">
        <v>711</v>
      </c>
      <c r="D264" s="1" t="s">
        <v>669</v>
      </c>
      <c r="E264" s="1" t="s">
        <v>410</v>
      </c>
      <c r="F264" s="1" t="s">
        <v>1516</v>
      </c>
      <c r="G264" s="1" t="s">
        <v>322</v>
      </c>
      <c r="H264" s="1" t="s">
        <v>1517</v>
      </c>
      <c r="I264" s="1" t="s">
        <v>120</v>
      </c>
      <c r="J264" s="1" t="s">
        <v>1518</v>
      </c>
      <c r="K264" s="1" t="s">
        <v>90</v>
      </c>
      <c r="L264" s="1" t="s">
        <v>419</v>
      </c>
      <c r="M264" s="1" t="s">
        <v>715</v>
      </c>
      <c r="O264" s="1" t="s">
        <v>421</v>
      </c>
      <c r="P264" s="1" t="s">
        <v>422</v>
      </c>
      <c r="Q264" s="1" t="s">
        <v>423</v>
      </c>
      <c r="S264" s="1" t="s">
        <v>78</v>
      </c>
      <c r="T264" s="1">
        <v>63999</v>
      </c>
      <c r="U264" s="1" t="s">
        <v>79</v>
      </c>
      <c r="V264" s="1" t="s">
        <v>716</v>
      </c>
    </row>
    <row r="265" spans="1:23" ht="15.75" customHeight="1" x14ac:dyDescent="0.35">
      <c r="A265" s="1" t="s">
        <v>151</v>
      </c>
      <c r="B265" s="1" t="s">
        <v>826</v>
      </c>
      <c r="C265" s="1" t="s">
        <v>827</v>
      </c>
      <c r="D265" s="1" t="s">
        <v>1519</v>
      </c>
      <c r="E265" s="1" t="s">
        <v>70</v>
      </c>
      <c r="F265" s="1" t="s">
        <v>1448</v>
      </c>
      <c r="G265" s="1" t="s">
        <v>1520</v>
      </c>
      <c r="H265" s="1" t="s">
        <v>1521</v>
      </c>
      <c r="I265" s="1" t="s">
        <v>74</v>
      </c>
      <c r="J265" s="1" t="s">
        <v>39</v>
      </c>
      <c r="K265" s="1" t="s">
        <v>101</v>
      </c>
      <c r="L265" s="1" t="s">
        <v>798</v>
      </c>
      <c r="M265" s="1" t="s">
        <v>617</v>
      </c>
      <c r="N265" s="1" t="s">
        <v>160</v>
      </c>
      <c r="O265" s="1" t="s">
        <v>1522</v>
      </c>
      <c r="P265" s="1" t="s">
        <v>834</v>
      </c>
      <c r="Q265" s="1" t="s">
        <v>652</v>
      </c>
      <c r="R265" s="1" t="s">
        <v>217</v>
      </c>
      <c r="S265" s="1" t="s">
        <v>78</v>
      </c>
      <c r="T265" s="1">
        <v>45999</v>
      </c>
      <c r="V265" s="1" t="s">
        <v>835</v>
      </c>
      <c r="W265" s="1" t="s">
        <v>1523</v>
      </c>
    </row>
    <row r="266" spans="1:23" ht="15.75" customHeight="1" x14ac:dyDescent="0.35">
      <c r="A266" s="1" t="s">
        <v>112</v>
      </c>
      <c r="B266" s="1" t="s">
        <v>1524</v>
      </c>
      <c r="C266" s="1" t="s">
        <v>687</v>
      </c>
      <c r="D266" s="1" t="s">
        <v>115</v>
      </c>
      <c r="E266" s="1" t="s">
        <v>116</v>
      </c>
      <c r="F266" s="1" t="s">
        <v>1525</v>
      </c>
      <c r="G266" s="1" t="s">
        <v>136</v>
      </c>
      <c r="H266" s="1" t="s">
        <v>441</v>
      </c>
      <c r="I266" s="1" t="s">
        <v>120</v>
      </c>
      <c r="J266" s="1" t="s">
        <v>75</v>
      </c>
      <c r="K266" s="1" t="s">
        <v>90</v>
      </c>
      <c r="L266" s="1" t="s">
        <v>186</v>
      </c>
      <c r="M266" s="1" t="s">
        <v>139</v>
      </c>
      <c r="N266" s="1" t="s">
        <v>124</v>
      </c>
      <c r="O266" s="1" t="s">
        <v>187</v>
      </c>
      <c r="P266" s="1" t="s">
        <v>1526</v>
      </c>
      <c r="Q266" s="1" t="s">
        <v>127</v>
      </c>
      <c r="R266" s="1" t="s">
        <v>180</v>
      </c>
      <c r="S266" s="1" t="s">
        <v>78</v>
      </c>
      <c r="T266" s="1">
        <v>38799</v>
      </c>
      <c r="U266" s="1" t="s">
        <v>79</v>
      </c>
      <c r="V266" s="1" t="s">
        <v>189</v>
      </c>
      <c r="W266" s="1" t="s">
        <v>1527</v>
      </c>
    </row>
    <row r="267" spans="1:23" ht="15.75" customHeight="1" x14ac:dyDescent="0.35">
      <c r="A267" s="1" t="s">
        <v>112</v>
      </c>
      <c r="B267" s="1" t="s">
        <v>1528</v>
      </c>
      <c r="C267" s="1" t="s">
        <v>627</v>
      </c>
      <c r="D267" s="1" t="s">
        <v>1529</v>
      </c>
      <c r="E267" s="1" t="s">
        <v>507</v>
      </c>
      <c r="F267" s="1" t="s">
        <v>1429</v>
      </c>
      <c r="G267" s="1" t="s">
        <v>735</v>
      </c>
      <c r="H267" s="1" t="s">
        <v>441</v>
      </c>
      <c r="I267" s="1" t="s">
        <v>616</v>
      </c>
      <c r="J267" s="1" t="s">
        <v>75</v>
      </c>
      <c r="K267" s="1" t="s">
        <v>90</v>
      </c>
      <c r="L267" s="1" t="s">
        <v>990</v>
      </c>
      <c r="M267" s="1" t="s">
        <v>123</v>
      </c>
      <c r="N267" s="1" t="s">
        <v>124</v>
      </c>
      <c r="O267" s="1" t="s">
        <v>774</v>
      </c>
      <c r="Q267" s="1" t="s">
        <v>1530</v>
      </c>
      <c r="R267" s="1" t="s">
        <v>991</v>
      </c>
      <c r="S267" s="1" t="s">
        <v>78</v>
      </c>
      <c r="T267" s="1">
        <v>30499</v>
      </c>
      <c r="U267" s="1" t="s">
        <v>166</v>
      </c>
      <c r="V267" s="1" t="s">
        <v>1431</v>
      </c>
      <c r="W267" s="1" t="s">
        <v>1531</v>
      </c>
    </row>
    <row r="268" spans="1:23" ht="15.75" customHeight="1" x14ac:dyDescent="0.35">
      <c r="A268" s="1" t="s">
        <v>151</v>
      </c>
      <c r="B268" s="1" t="s">
        <v>1532</v>
      </c>
      <c r="C268" s="1" t="s">
        <v>1533</v>
      </c>
      <c r="D268" s="1" t="s">
        <v>115</v>
      </c>
      <c r="E268" s="1" t="s">
        <v>70</v>
      </c>
      <c r="F268" s="1" t="s">
        <v>1188</v>
      </c>
      <c r="G268" s="1" t="s">
        <v>156</v>
      </c>
      <c r="H268" s="1" t="s">
        <v>1534</v>
      </c>
      <c r="I268" s="1" t="s">
        <v>1535</v>
      </c>
      <c r="J268" s="1" t="s">
        <v>75</v>
      </c>
      <c r="K268" s="1" t="s">
        <v>101</v>
      </c>
      <c r="L268" s="1" t="s">
        <v>158</v>
      </c>
      <c r="M268" s="1" t="s">
        <v>617</v>
      </c>
      <c r="N268" s="1" t="s">
        <v>571</v>
      </c>
      <c r="O268" s="1" t="s">
        <v>1536</v>
      </c>
      <c r="P268" s="1" t="s">
        <v>1513</v>
      </c>
      <c r="Q268" s="1" t="s">
        <v>63</v>
      </c>
      <c r="R268" s="1" t="s">
        <v>802</v>
      </c>
      <c r="S268" s="1" t="s">
        <v>78</v>
      </c>
      <c r="T268" s="1">
        <v>37149</v>
      </c>
      <c r="U268" s="1" t="s">
        <v>166</v>
      </c>
      <c r="V268" s="1" t="s">
        <v>1537</v>
      </c>
      <c r="W268" s="1" t="s">
        <v>1538</v>
      </c>
    </row>
    <row r="269" spans="1:23" ht="15.75" customHeight="1" x14ac:dyDescent="0.35">
      <c r="A269" s="1" t="s">
        <v>151</v>
      </c>
      <c r="B269" s="1" t="s">
        <v>1532</v>
      </c>
      <c r="C269" s="1" t="s">
        <v>68</v>
      </c>
      <c r="D269" s="1" t="s">
        <v>115</v>
      </c>
      <c r="E269" s="1" t="s">
        <v>70</v>
      </c>
      <c r="F269" s="1" t="s">
        <v>491</v>
      </c>
      <c r="G269" s="1" t="s">
        <v>222</v>
      </c>
      <c r="H269" s="1" t="s">
        <v>1539</v>
      </c>
      <c r="I269" s="1" t="s">
        <v>616</v>
      </c>
      <c r="J269" s="1" t="s">
        <v>75</v>
      </c>
      <c r="K269" s="1" t="s">
        <v>90</v>
      </c>
      <c r="L269" s="1" t="s">
        <v>508</v>
      </c>
      <c r="M269" s="1" t="s">
        <v>617</v>
      </c>
      <c r="N269" s="1" t="s">
        <v>571</v>
      </c>
      <c r="O269" s="1" t="s">
        <v>1536</v>
      </c>
      <c r="P269" s="1" t="s">
        <v>1513</v>
      </c>
      <c r="Q269" s="1" t="s">
        <v>63</v>
      </c>
      <c r="R269" s="1" t="s">
        <v>802</v>
      </c>
      <c r="S269" s="1" t="s">
        <v>78</v>
      </c>
      <c r="T269" s="1">
        <v>39800</v>
      </c>
      <c r="U269" s="1" t="s">
        <v>79</v>
      </c>
      <c r="V269" s="1" t="s">
        <v>80</v>
      </c>
      <c r="W269" s="1" t="s">
        <v>1540</v>
      </c>
    </row>
    <row r="270" spans="1:23" ht="15.75" customHeight="1" x14ac:dyDescent="0.35">
      <c r="A270" s="1" t="s">
        <v>234</v>
      </c>
      <c r="B270" s="1" t="s">
        <v>1541</v>
      </c>
      <c r="C270" s="1" t="s">
        <v>50</v>
      </c>
      <c r="D270" s="1" t="s">
        <v>734</v>
      </c>
      <c r="E270" s="1" t="s">
        <v>410</v>
      </c>
      <c r="F270" s="1" t="s">
        <v>1542</v>
      </c>
      <c r="G270" s="1" t="s">
        <v>239</v>
      </c>
      <c r="H270" s="1" t="s">
        <v>1391</v>
      </c>
      <c r="I270" s="1" t="s">
        <v>275</v>
      </c>
      <c r="J270" s="1" t="s">
        <v>57</v>
      </c>
      <c r="K270" s="1" t="s">
        <v>90</v>
      </c>
      <c r="L270" s="1" t="s">
        <v>1543</v>
      </c>
      <c r="M270" s="1" t="s">
        <v>1544</v>
      </c>
      <c r="N270" s="1" t="s">
        <v>465</v>
      </c>
      <c r="O270" s="1" t="s">
        <v>1545</v>
      </c>
      <c r="P270" s="1" t="s">
        <v>290</v>
      </c>
      <c r="Q270" s="1" t="s">
        <v>280</v>
      </c>
      <c r="R270" s="1" t="s">
        <v>281</v>
      </c>
      <c r="S270" s="1" t="s">
        <v>165</v>
      </c>
      <c r="T270" s="1">
        <v>94499</v>
      </c>
      <c r="U270" s="1" t="s">
        <v>65</v>
      </c>
      <c r="V270" s="1" t="s">
        <v>495</v>
      </c>
      <c r="W270" s="1" t="s">
        <v>1546</v>
      </c>
    </row>
    <row r="271" spans="1:23" ht="15.75" customHeight="1" x14ac:dyDescent="0.35">
      <c r="A271" s="1" t="s">
        <v>234</v>
      </c>
      <c r="B271" s="1" t="s">
        <v>1547</v>
      </c>
      <c r="C271" s="1" t="s">
        <v>490</v>
      </c>
      <c r="D271" s="1" t="s">
        <v>1229</v>
      </c>
      <c r="E271" s="1" t="s">
        <v>552</v>
      </c>
      <c r="F271" s="1" t="s">
        <v>1548</v>
      </c>
      <c r="G271" s="1" t="s">
        <v>576</v>
      </c>
      <c r="H271" s="1" t="s">
        <v>1549</v>
      </c>
      <c r="I271" s="1" t="s">
        <v>89</v>
      </c>
      <c r="J271" s="1" t="s">
        <v>256</v>
      </c>
      <c r="K271" s="1" t="s">
        <v>90</v>
      </c>
      <c r="L271" s="1" t="s">
        <v>474</v>
      </c>
      <c r="M271" s="1" t="s">
        <v>241</v>
      </c>
      <c r="N271" s="1" t="s">
        <v>465</v>
      </c>
      <c r="O271" s="1" t="s">
        <v>1550</v>
      </c>
      <c r="P271" s="1" t="s">
        <v>1551</v>
      </c>
      <c r="Q271" s="1" t="s">
        <v>1552</v>
      </c>
      <c r="R271" s="1" t="s">
        <v>64</v>
      </c>
      <c r="S271" s="1" t="s">
        <v>165</v>
      </c>
      <c r="T271" s="1">
        <v>178199</v>
      </c>
      <c r="U271" s="1" t="s">
        <v>65</v>
      </c>
      <c r="V271" s="1" t="s">
        <v>495</v>
      </c>
      <c r="W271" s="1" t="s">
        <v>1553</v>
      </c>
    </row>
    <row r="272" spans="1:23" ht="15.75" customHeight="1" x14ac:dyDescent="0.35">
      <c r="A272" s="1" t="s">
        <v>234</v>
      </c>
      <c r="B272" s="1" t="s">
        <v>1554</v>
      </c>
      <c r="C272" s="1" t="s">
        <v>490</v>
      </c>
      <c r="D272" s="1" t="s">
        <v>1555</v>
      </c>
      <c r="E272" s="1" t="s">
        <v>1556</v>
      </c>
      <c r="F272" s="1" t="s">
        <v>1548</v>
      </c>
      <c r="G272" s="1" t="s">
        <v>472</v>
      </c>
      <c r="H272" s="1" t="s">
        <v>1557</v>
      </c>
      <c r="I272" s="1" t="s">
        <v>89</v>
      </c>
      <c r="J272" s="1" t="s">
        <v>256</v>
      </c>
      <c r="K272" s="1" t="s">
        <v>90</v>
      </c>
      <c r="L272" s="1" t="s">
        <v>474</v>
      </c>
      <c r="M272" s="1" t="s">
        <v>241</v>
      </c>
      <c r="N272" s="1" t="s">
        <v>465</v>
      </c>
      <c r="O272" s="1" t="s">
        <v>1550</v>
      </c>
      <c r="P272" s="1" t="s">
        <v>1551</v>
      </c>
      <c r="Q272" s="1" t="s">
        <v>1552</v>
      </c>
      <c r="R272" s="1" t="s">
        <v>64</v>
      </c>
      <c r="S272" s="1" t="s">
        <v>165</v>
      </c>
      <c r="T272" s="1">
        <v>139000</v>
      </c>
      <c r="U272" s="1" t="s">
        <v>65</v>
      </c>
      <c r="V272" s="1" t="s">
        <v>495</v>
      </c>
      <c r="W272" s="1" t="s">
        <v>1558</v>
      </c>
    </row>
    <row r="273" spans="1:24" ht="15.75" customHeight="1" x14ac:dyDescent="0.35">
      <c r="A273" s="1" t="s">
        <v>30</v>
      </c>
      <c r="B273" s="1" t="s">
        <v>1559</v>
      </c>
      <c r="C273" s="1" t="s">
        <v>1200</v>
      </c>
      <c r="D273" s="1" t="s">
        <v>1560</v>
      </c>
      <c r="E273" s="1" t="s">
        <v>410</v>
      </c>
      <c r="F273" s="1" t="s">
        <v>53</v>
      </c>
      <c r="G273" s="1" t="s">
        <v>644</v>
      </c>
      <c r="H273" s="1" t="s">
        <v>1561</v>
      </c>
      <c r="I273" s="1" t="s">
        <v>616</v>
      </c>
      <c r="J273" s="1" t="s">
        <v>75</v>
      </c>
      <c r="K273" s="1" t="s">
        <v>90</v>
      </c>
      <c r="L273" s="1" t="s">
        <v>58</v>
      </c>
      <c r="M273" s="1" t="s">
        <v>649</v>
      </c>
      <c r="N273" s="1" t="s">
        <v>373</v>
      </c>
      <c r="O273" s="1" t="s">
        <v>1562</v>
      </c>
      <c r="P273" s="1" t="s">
        <v>1563</v>
      </c>
      <c r="Q273" s="1" t="s">
        <v>1196</v>
      </c>
      <c r="R273" s="1" t="s">
        <v>64</v>
      </c>
      <c r="S273" s="1" t="s">
        <v>339</v>
      </c>
      <c r="T273" s="1">
        <v>77930</v>
      </c>
      <c r="U273" s="1" t="s">
        <v>79</v>
      </c>
      <c r="V273" s="1" t="s">
        <v>815</v>
      </c>
    </row>
    <row r="274" spans="1:24" ht="15.75" customHeight="1" x14ac:dyDescent="0.35">
      <c r="A274" s="1" t="s">
        <v>30</v>
      </c>
      <c r="B274" s="1" t="s">
        <v>1564</v>
      </c>
      <c r="C274" s="1" t="s">
        <v>490</v>
      </c>
      <c r="D274" s="1" t="s">
        <v>1555</v>
      </c>
      <c r="E274" s="1" t="s">
        <v>1556</v>
      </c>
      <c r="F274" s="1" t="s">
        <v>1565</v>
      </c>
      <c r="G274" s="1" t="s">
        <v>54</v>
      </c>
      <c r="H274" s="1" t="s">
        <v>334</v>
      </c>
      <c r="I274" s="1" t="s">
        <v>224</v>
      </c>
      <c r="J274" s="1" t="s">
        <v>256</v>
      </c>
      <c r="K274" s="1" t="s">
        <v>201</v>
      </c>
      <c r="L274" s="1" t="s">
        <v>903</v>
      </c>
      <c r="M274" s="1" t="s">
        <v>1566</v>
      </c>
      <c r="N274" s="1" t="s">
        <v>326</v>
      </c>
      <c r="O274" s="1" t="s">
        <v>1567</v>
      </c>
      <c r="P274" s="1" t="s">
        <v>1568</v>
      </c>
      <c r="Q274" s="1" t="s">
        <v>337</v>
      </c>
      <c r="R274" s="1" t="s">
        <v>338</v>
      </c>
      <c r="S274" s="1" t="s">
        <v>165</v>
      </c>
      <c r="T274" s="1">
        <v>131845</v>
      </c>
      <c r="V274" s="1" t="s">
        <v>504</v>
      </c>
    </row>
    <row r="275" spans="1:24" ht="15.75" customHeight="1" x14ac:dyDescent="0.35">
      <c r="A275" s="1" t="s">
        <v>30</v>
      </c>
      <c r="B275" s="1" t="s">
        <v>1569</v>
      </c>
      <c r="C275" s="1" t="s">
        <v>490</v>
      </c>
      <c r="D275" s="1" t="s">
        <v>1570</v>
      </c>
      <c r="E275" s="1" t="s">
        <v>552</v>
      </c>
      <c r="F275" s="1" t="s">
        <v>1565</v>
      </c>
      <c r="G275" s="1" t="s">
        <v>1231</v>
      </c>
      <c r="H275" s="1" t="s">
        <v>1571</v>
      </c>
      <c r="I275" s="1" t="s">
        <v>224</v>
      </c>
      <c r="J275" s="1" t="s">
        <v>256</v>
      </c>
      <c r="K275" s="1" t="s">
        <v>201</v>
      </c>
      <c r="L275" s="1" t="s">
        <v>903</v>
      </c>
      <c r="M275" s="1" t="s">
        <v>904</v>
      </c>
      <c r="N275" s="1" t="s">
        <v>43</v>
      </c>
      <c r="O275" s="1" t="s">
        <v>1567</v>
      </c>
      <c r="P275" s="1" t="s">
        <v>1572</v>
      </c>
      <c r="Q275" s="1" t="s">
        <v>329</v>
      </c>
      <c r="R275" s="1" t="s">
        <v>47</v>
      </c>
      <c r="S275" s="1" t="s">
        <v>165</v>
      </c>
      <c r="T275" s="1">
        <v>180449</v>
      </c>
      <c r="V275" s="1" t="s">
        <v>504</v>
      </c>
    </row>
    <row r="276" spans="1:24" ht="15.75" customHeight="1" x14ac:dyDescent="0.35">
      <c r="A276" s="1" t="s">
        <v>30</v>
      </c>
      <c r="B276" s="1" t="s">
        <v>1573</v>
      </c>
      <c r="C276" s="1" t="s">
        <v>384</v>
      </c>
      <c r="D276" s="1" t="s">
        <v>1229</v>
      </c>
      <c r="E276" s="1" t="s">
        <v>552</v>
      </c>
      <c r="F276" s="1" t="s">
        <v>1574</v>
      </c>
      <c r="G276" s="1" t="s">
        <v>1575</v>
      </c>
      <c r="H276" s="1" t="s">
        <v>1576</v>
      </c>
      <c r="I276" s="1" t="s">
        <v>38</v>
      </c>
      <c r="J276" s="1" t="s">
        <v>39</v>
      </c>
      <c r="K276" s="1" t="s">
        <v>201</v>
      </c>
      <c r="L276" s="1" t="s">
        <v>41</v>
      </c>
      <c r="M276" s="1" t="s">
        <v>904</v>
      </c>
      <c r="N276" s="1" t="s">
        <v>43</v>
      </c>
      <c r="O276" s="1" t="s">
        <v>1577</v>
      </c>
      <c r="P276" s="1" t="s">
        <v>45</v>
      </c>
      <c r="Q276" s="1" t="s">
        <v>46</v>
      </c>
      <c r="R276" s="1" t="s">
        <v>47</v>
      </c>
      <c r="S276" s="1" t="s">
        <v>165</v>
      </c>
      <c r="T276" s="1">
        <v>229999</v>
      </c>
      <c r="V276" s="1" t="s">
        <v>504</v>
      </c>
    </row>
    <row r="277" spans="1:24" ht="15.75" customHeight="1" x14ac:dyDescent="0.35">
      <c r="A277" s="1" t="s">
        <v>30</v>
      </c>
      <c r="B277" s="1" t="s">
        <v>1578</v>
      </c>
      <c r="C277" s="1" t="s">
        <v>1095</v>
      </c>
      <c r="D277" s="1" t="s">
        <v>712</v>
      </c>
      <c r="E277" s="1" t="s">
        <v>410</v>
      </c>
      <c r="F277" s="1" t="s">
        <v>53</v>
      </c>
      <c r="G277" s="1" t="s">
        <v>644</v>
      </c>
      <c r="H277" s="1" t="s">
        <v>1579</v>
      </c>
      <c r="I277" s="1" t="s">
        <v>616</v>
      </c>
      <c r="J277" s="1" t="s">
        <v>75</v>
      </c>
      <c r="K277" s="1" t="s">
        <v>90</v>
      </c>
      <c r="L277" s="1" t="s">
        <v>58</v>
      </c>
      <c r="M277" s="1" t="s">
        <v>897</v>
      </c>
      <c r="N277" s="1" t="s">
        <v>373</v>
      </c>
      <c r="O277" s="1" t="s">
        <v>1580</v>
      </c>
      <c r="P277" s="1" t="s">
        <v>1209</v>
      </c>
      <c r="Q277" s="1" t="s">
        <v>781</v>
      </c>
      <c r="R277" s="1" t="s">
        <v>782</v>
      </c>
      <c r="S277" s="1" t="s">
        <v>165</v>
      </c>
      <c r="T277" s="1">
        <v>60999</v>
      </c>
      <c r="V277" s="1" t="s">
        <v>1581</v>
      </c>
    </row>
    <row r="278" spans="1:24" ht="15.75" customHeight="1" x14ac:dyDescent="0.35">
      <c r="A278" s="1" t="s">
        <v>234</v>
      </c>
      <c r="B278" s="1" t="s">
        <v>1582</v>
      </c>
      <c r="C278" s="1" t="s">
        <v>1238</v>
      </c>
      <c r="D278" s="1" t="s">
        <v>1583</v>
      </c>
      <c r="E278" s="1" t="s">
        <v>1584</v>
      </c>
      <c r="F278" s="1" t="s">
        <v>1585</v>
      </c>
      <c r="G278" s="1" t="s">
        <v>1120</v>
      </c>
      <c r="H278" s="1" t="s">
        <v>1586</v>
      </c>
      <c r="I278" s="1" t="s">
        <v>120</v>
      </c>
      <c r="J278" s="1" t="s">
        <v>75</v>
      </c>
      <c r="K278" s="1" t="s">
        <v>90</v>
      </c>
      <c r="L278" s="1" t="s">
        <v>1022</v>
      </c>
      <c r="M278" s="1" t="s">
        <v>1587</v>
      </c>
      <c r="N278" s="1" t="s">
        <v>465</v>
      </c>
      <c r="O278" s="1" t="s">
        <v>1588</v>
      </c>
      <c r="P278" s="1" t="s">
        <v>1267</v>
      </c>
      <c r="Q278" s="1" t="s">
        <v>300</v>
      </c>
      <c r="R278" s="1" t="s">
        <v>1479</v>
      </c>
      <c r="S278" s="1" t="s">
        <v>78</v>
      </c>
      <c r="T278" s="1">
        <v>39666</v>
      </c>
      <c r="V278" s="1" t="s">
        <v>1589</v>
      </c>
      <c r="W278" s="1" t="s">
        <v>1590</v>
      </c>
      <c r="X278" s="1" t="s">
        <v>1591</v>
      </c>
    </row>
    <row r="279" spans="1:24" ht="15.75" customHeight="1" x14ac:dyDescent="0.35">
      <c r="A279" s="1" t="s">
        <v>234</v>
      </c>
      <c r="B279" s="1" t="s">
        <v>1592</v>
      </c>
      <c r="C279" s="1" t="s">
        <v>1593</v>
      </c>
      <c r="D279" s="1" t="s">
        <v>1229</v>
      </c>
      <c r="E279" s="1" t="s">
        <v>656</v>
      </c>
      <c r="F279" s="1" t="s">
        <v>1594</v>
      </c>
      <c r="G279" s="1" t="s">
        <v>1595</v>
      </c>
      <c r="H279" s="1" t="s">
        <v>1151</v>
      </c>
      <c r="I279" s="1" t="s">
        <v>1596</v>
      </c>
      <c r="J279" s="1" t="s">
        <v>256</v>
      </c>
      <c r="K279" s="1" t="s">
        <v>201</v>
      </c>
      <c r="L279" s="1" t="s">
        <v>515</v>
      </c>
      <c r="M279" s="1" t="s">
        <v>241</v>
      </c>
      <c r="N279" s="1" t="s">
        <v>277</v>
      </c>
      <c r="O279" s="1" t="s">
        <v>1597</v>
      </c>
      <c r="P279" s="1" t="s">
        <v>1040</v>
      </c>
      <c r="Q279" s="1" t="s">
        <v>518</v>
      </c>
      <c r="R279" s="1" t="s">
        <v>246</v>
      </c>
      <c r="S279" s="1" t="s">
        <v>165</v>
      </c>
      <c r="T279" s="1">
        <v>169888</v>
      </c>
      <c r="V279" s="1" t="s">
        <v>519</v>
      </c>
      <c r="W279" s="1" t="s">
        <v>1598</v>
      </c>
      <c r="X279" s="1" t="s">
        <v>1599</v>
      </c>
    </row>
    <row r="280" spans="1:24" ht="15.75" customHeight="1" x14ac:dyDescent="0.35">
      <c r="A280" s="1" t="s">
        <v>234</v>
      </c>
      <c r="B280" s="1" t="s">
        <v>1600</v>
      </c>
      <c r="C280" s="1" t="s">
        <v>1601</v>
      </c>
      <c r="D280" s="1" t="s">
        <v>1602</v>
      </c>
      <c r="E280" s="1" t="s">
        <v>507</v>
      </c>
      <c r="F280" s="1" t="s">
        <v>1603</v>
      </c>
      <c r="G280" s="1" t="s">
        <v>1604</v>
      </c>
      <c r="H280" s="1" t="s">
        <v>1605</v>
      </c>
      <c r="I280" s="1" t="s">
        <v>616</v>
      </c>
      <c r="J280" s="1" t="s">
        <v>971</v>
      </c>
      <c r="K280" s="1" t="s">
        <v>90</v>
      </c>
      <c r="L280" s="1" t="s">
        <v>1606</v>
      </c>
      <c r="M280" s="1" t="s">
        <v>919</v>
      </c>
      <c r="N280" s="1" t="s">
        <v>633</v>
      </c>
      <c r="O280" s="1" t="s">
        <v>1607</v>
      </c>
      <c r="P280" s="1" t="s">
        <v>1608</v>
      </c>
      <c r="Q280" s="1" t="s">
        <v>1609</v>
      </c>
      <c r="R280" s="1" t="s">
        <v>1610</v>
      </c>
      <c r="S280" s="1" t="s">
        <v>165</v>
      </c>
      <c r="T280" s="1">
        <v>48999</v>
      </c>
      <c r="V280" s="1" t="s">
        <v>1611</v>
      </c>
    </row>
    <row r="281" spans="1:24" ht="15.75" customHeight="1" x14ac:dyDescent="0.35">
      <c r="A281" s="1" t="s">
        <v>30</v>
      </c>
      <c r="B281" s="1" t="s">
        <v>1612</v>
      </c>
      <c r="C281" s="1" t="s">
        <v>1613</v>
      </c>
      <c r="D281" s="1" t="s">
        <v>1614</v>
      </c>
      <c r="E281" s="1" t="s">
        <v>507</v>
      </c>
      <c r="F281" s="1" t="s">
        <v>1615</v>
      </c>
      <c r="G281" s="1" t="s">
        <v>1120</v>
      </c>
      <c r="H281" s="1" t="s">
        <v>370</v>
      </c>
      <c r="I281" s="1" t="s">
        <v>616</v>
      </c>
      <c r="J281" s="1" t="s">
        <v>75</v>
      </c>
      <c r="K281" s="1" t="s">
        <v>101</v>
      </c>
      <c r="L281" s="1" t="s">
        <v>1441</v>
      </c>
      <c r="M281" s="1" t="s">
        <v>372</v>
      </c>
      <c r="N281" s="1" t="s">
        <v>373</v>
      </c>
      <c r="O281" s="1" t="s">
        <v>1616</v>
      </c>
      <c r="P281" s="1" t="s">
        <v>375</v>
      </c>
      <c r="Q281" s="1" t="s">
        <v>376</v>
      </c>
      <c r="R281" s="1" t="s">
        <v>64</v>
      </c>
      <c r="S281" s="1" t="s">
        <v>78</v>
      </c>
      <c r="T281" s="1">
        <v>28888</v>
      </c>
      <c r="V281" s="1" t="s">
        <v>1617</v>
      </c>
    </row>
    <row r="282" spans="1:24" ht="15.75" customHeight="1" x14ac:dyDescent="0.35">
      <c r="A282" s="1" t="s">
        <v>112</v>
      </c>
      <c r="B282" s="1" t="s">
        <v>1618</v>
      </c>
      <c r="C282" s="1" t="s">
        <v>1601</v>
      </c>
      <c r="D282" s="1" t="s">
        <v>1130</v>
      </c>
      <c r="E282" s="1" t="s">
        <v>507</v>
      </c>
      <c r="F282" s="1" t="s">
        <v>1462</v>
      </c>
      <c r="G282" s="1" t="s">
        <v>136</v>
      </c>
      <c r="H282" s="1" t="s">
        <v>1619</v>
      </c>
      <c r="I282" s="1" t="s">
        <v>616</v>
      </c>
      <c r="J282" s="1" t="s">
        <v>75</v>
      </c>
      <c r="K282" s="1" t="s">
        <v>90</v>
      </c>
      <c r="L282" s="1" t="s">
        <v>193</v>
      </c>
      <c r="M282" s="1" t="s">
        <v>139</v>
      </c>
      <c r="N282" s="1" t="s">
        <v>124</v>
      </c>
      <c r="O282" s="1" t="s">
        <v>774</v>
      </c>
      <c r="P282" s="1" t="s">
        <v>126</v>
      </c>
      <c r="Q282" s="1" t="s">
        <v>127</v>
      </c>
      <c r="R282" s="1" t="s">
        <v>128</v>
      </c>
      <c r="S282" s="1" t="s">
        <v>78</v>
      </c>
      <c r="T282" s="1">
        <v>31999</v>
      </c>
      <c r="V282" s="1" t="s">
        <v>1620</v>
      </c>
      <c r="W282" s="1" t="s">
        <v>1621</v>
      </c>
    </row>
    <row r="283" spans="1:24" ht="15.75" customHeight="1" x14ac:dyDescent="0.35">
      <c r="A283" s="1" t="s">
        <v>112</v>
      </c>
      <c r="B283" s="1" t="s">
        <v>1622</v>
      </c>
      <c r="C283" s="1" t="s">
        <v>1601</v>
      </c>
      <c r="D283" s="1" t="s">
        <v>1130</v>
      </c>
      <c r="E283" s="1" t="s">
        <v>507</v>
      </c>
      <c r="F283" s="1" t="s">
        <v>1623</v>
      </c>
      <c r="G283" s="1" t="s">
        <v>1624</v>
      </c>
      <c r="H283" s="1" t="s">
        <v>1240</v>
      </c>
      <c r="I283" s="1" t="s">
        <v>616</v>
      </c>
      <c r="J283" s="1" t="s">
        <v>75</v>
      </c>
      <c r="K283" s="1" t="s">
        <v>90</v>
      </c>
      <c r="L283" s="1" t="s">
        <v>193</v>
      </c>
      <c r="M283" s="1" t="s">
        <v>139</v>
      </c>
      <c r="N283" s="1" t="s">
        <v>124</v>
      </c>
      <c r="O283" s="1" t="s">
        <v>774</v>
      </c>
      <c r="P283" s="1" t="s">
        <v>126</v>
      </c>
      <c r="Q283" s="1" t="s">
        <v>127</v>
      </c>
      <c r="R283" s="1" t="s">
        <v>128</v>
      </c>
      <c r="S283" s="1" t="s">
        <v>78</v>
      </c>
      <c r="T283" s="1">
        <v>49199</v>
      </c>
      <c r="V283" s="1" t="s">
        <v>1620</v>
      </c>
      <c r="W283" s="1" t="s">
        <v>1625</v>
      </c>
    </row>
    <row r="284" spans="1:24" ht="15.75" customHeight="1" x14ac:dyDescent="0.35">
      <c r="A284" s="1" t="s">
        <v>112</v>
      </c>
      <c r="B284" s="1" t="s">
        <v>1626</v>
      </c>
      <c r="C284" s="1" t="s">
        <v>1627</v>
      </c>
      <c r="D284" s="1" t="s">
        <v>1628</v>
      </c>
      <c r="E284" s="1" t="s">
        <v>439</v>
      </c>
      <c r="F284" s="1" t="s">
        <v>1429</v>
      </c>
      <c r="G284" s="1" t="s">
        <v>735</v>
      </c>
      <c r="H284" s="1" t="s">
        <v>1335</v>
      </c>
      <c r="I284" s="1" t="s">
        <v>616</v>
      </c>
      <c r="J284" s="1" t="s">
        <v>75</v>
      </c>
      <c r="K284" s="1" t="s">
        <v>90</v>
      </c>
      <c r="L284" s="1" t="s">
        <v>186</v>
      </c>
      <c r="M284" s="1" t="s">
        <v>123</v>
      </c>
      <c r="N284" s="1" t="s">
        <v>124</v>
      </c>
      <c r="O284" s="1" t="s">
        <v>774</v>
      </c>
      <c r="P284" s="1" t="s">
        <v>126</v>
      </c>
      <c r="Q284" s="1" t="s">
        <v>127</v>
      </c>
      <c r="R284" s="1" t="s">
        <v>180</v>
      </c>
      <c r="S284" s="1" t="s">
        <v>78</v>
      </c>
      <c r="T284" s="1">
        <v>45999</v>
      </c>
      <c r="U284" s="1" t="s">
        <v>166</v>
      </c>
      <c r="V284" s="1" t="s">
        <v>1431</v>
      </c>
      <c r="W284" s="1" t="s">
        <v>1629</v>
      </c>
    </row>
    <row r="285" spans="1:24" ht="15.75" customHeight="1" x14ac:dyDescent="0.35">
      <c r="A285" s="1" t="s">
        <v>112</v>
      </c>
      <c r="B285" s="1" t="s">
        <v>1630</v>
      </c>
      <c r="C285" s="1" t="s">
        <v>68</v>
      </c>
      <c r="D285" s="1" t="s">
        <v>1445</v>
      </c>
      <c r="E285" s="1" t="s">
        <v>507</v>
      </c>
      <c r="F285" s="1" t="s">
        <v>1525</v>
      </c>
      <c r="G285" s="1" t="s">
        <v>136</v>
      </c>
      <c r="H285" s="1" t="s">
        <v>441</v>
      </c>
      <c r="I285" s="1" t="s">
        <v>616</v>
      </c>
      <c r="J285" s="1" t="s">
        <v>75</v>
      </c>
      <c r="K285" s="1" t="s">
        <v>101</v>
      </c>
      <c r="L285" s="1" t="s">
        <v>193</v>
      </c>
      <c r="M285" s="1" t="s">
        <v>123</v>
      </c>
      <c r="N285" s="1" t="s">
        <v>124</v>
      </c>
      <c r="O285" s="1" t="s">
        <v>187</v>
      </c>
      <c r="P285" s="1" t="s">
        <v>126</v>
      </c>
      <c r="Q285" s="1" t="s">
        <v>127</v>
      </c>
      <c r="S285" s="1" t="s">
        <v>78</v>
      </c>
      <c r="T285" s="1">
        <v>31666</v>
      </c>
      <c r="U285" s="1" t="s">
        <v>79</v>
      </c>
      <c r="V285" s="1" t="s">
        <v>1631</v>
      </c>
      <c r="W285" s="1" t="s">
        <v>1632</v>
      </c>
    </row>
    <row r="286" spans="1:24" ht="15.75" customHeight="1" x14ac:dyDescent="0.35">
      <c r="A286" s="1" t="s">
        <v>112</v>
      </c>
      <c r="B286" s="1" t="s">
        <v>1633</v>
      </c>
      <c r="C286" s="1" t="s">
        <v>627</v>
      </c>
      <c r="D286" s="1" t="s">
        <v>1628</v>
      </c>
      <c r="E286" s="1" t="s">
        <v>507</v>
      </c>
      <c r="F286" s="1" t="s">
        <v>1429</v>
      </c>
      <c r="G286" s="1" t="s">
        <v>735</v>
      </c>
      <c r="H286" s="1" t="s">
        <v>1335</v>
      </c>
      <c r="I286" s="1" t="s">
        <v>120</v>
      </c>
      <c r="J286" s="1" t="s">
        <v>75</v>
      </c>
      <c r="K286" s="1" t="s">
        <v>90</v>
      </c>
      <c r="L286" s="1" t="s">
        <v>193</v>
      </c>
      <c r="M286" s="1" t="s">
        <v>123</v>
      </c>
      <c r="N286" s="1" t="s">
        <v>124</v>
      </c>
      <c r="O286" s="1" t="s">
        <v>774</v>
      </c>
      <c r="P286" s="1" t="s">
        <v>126</v>
      </c>
      <c r="Q286" s="1" t="s">
        <v>127</v>
      </c>
      <c r="R286" s="1" t="s">
        <v>128</v>
      </c>
      <c r="S286" s="1" t="s">
        <v>129</v>
      </c>
      <c r="T286" s="1">
        <v>36999</v>
      </c>
      <c r="U286" s="1" t="s">
        <v>166</v>
      </c>
      <c r="V286" s="1" t="s">
        <v>1431</v>
      </c>
      <c r="W286" s="1" t="s">
        <v>1634</v>
      </c>
    </row>
    <row r="287" spans="1:24" ht="15.75" customHeight="1" x14ac:dyDescent="0.35">
      <c r="A287" s="1" t="s">
        <v>112</v>
      </c>
      <c r="B287" s="1" t="s">
        <v>1635</v>
      </c>
      <c r="C287" s="1" t="s">
        <v>1636</v>
      </c>
      <c r="D287" s="1" t="s">
        <v>1637</v>
      </c>
      <c r="E287" s="1" t="s">
        <v>410</v>
      </c>
      <c r="F287" s="1" t="s">
        <v>1638</v>
      </c>
      <c r="G287" s="1" t="s">
        <v>735</v>
      </c>
      <c r="H287" s="1" t="s">
        <v>1639</v>
      </c>
      <c r="I287" s="1" t="s">
        <v>120</v>
      </c>
      <c r="J287" s="1" t="s">
        <v>75</v>
      </c>
      <c r="K287" s="1" t="s">
        <v>90</v>
      </c>
      <c r="L287" s="1" t="s">
        <v>737</v>
      </c>
      <c r="M287" s="1" t="s">
        <v>139</v>
      </c>
      <c r="N287" s="1" t="s">
        <v>140</v>
      </c>
      <c r="O287" s="1" t="s">
        <v>141</v>
      </c>
      <c r="P287" s="1" t="s">
        <v>1640</v>
      </c>
      <c r="Q287" s="1" t="s">
        <v>142</v>
      </c>
      <c r="R287" s="1" t="s">
        <v>612</v>
      </c>
      <c r="S287" s="1" t="s">
        <v>129</v>
      </c>
      <c r="T287" s="1">
        <v>70499</v>
      </c>
      <c r="U287" s="1" t="s">
        <v>79</v>
      </c>
      <c r="V287" s="1" t="s">
        <v>1641</v>
      </c>
      <c r="W287" s="1" t="s">
        <v>1642</v>
      </c>
    </row>
    <row r="288" spans="1:24" ht="15.75" customHeight="1" x14ac:dyDescent="0.35">
      <c r="A288" s="1" t="s">
        <v>112</v>
      </c>
      <c r="B288" s="1" t="s">
        <v>1643</v>
      </c>
      <c r="C288" s="1" t="s">
        <v>818</v>
      </c>
      <c r="D288" s="1" t="s">
        <v>640</v>
      </c>
      <c r="E288" s="1" t="s">
        <v>410</v>
      </c>
      <c r="F288" s="1" t="s">
        <v>819</v>
      </c>
      <c r="G288" s="1" t="s">
        <v>735</v>
      </c>
      <c r="H288" s="1" t="s">
        <v>1639</v>
      </c>
      <c r="I288" s="1" t="s">
        <v>616</v>
      </c>
      <c r="J288" s="1" t="s">
        <v>75</v>
      </c>
      <c r="K288" s="1" t="s">
        <v>90</v>
      </c>
      <c r="L288" s="1" t="s">
        <v>737</v>
      </c>
      <c r="M288" s="1" t="s">
        <v>213</v>
      </c>
      <c r="N288" s="1" t="s">
        <v>140</v>
      </c>
      <c r="O288" s="1" t="s">
        <v>141</v>
      </c>
      <c r="P288" s="1" t="s">
        <v>1640</v>
      </c>
      <c r="Q288" s="1" t="s">
        <v>267</v>
      </c>
      <c r="R288" s="1" t="s">
        <v>128</v>
      </c>
      <c r="S288" s="1" t="s">
        <v>78</v>
      </c>
      <c r="T288" s="1">
        <v>59499</v>
      </c>
      <c r="U288" s="1" t="s">
        <v>79</v>
      </c>
      <c r="V288" s="1" t="s">
        <v>406</v>
      </c>
      <c r="W288" s="1" t="s">
        <v>1644</v>
      </c>
    </row>
    <row r="289" spans="1:24" ht="15.75" customHeight="1" x14ac:dyDescent="0.35">
      <c r="A289" s="1" t="s">
        <v>112</v>
      </c>
      <c r="B289" s="1" t="s">
        <v>1645</v>
      </c>
      <c r="C289" s="1" t="s">
        <v>818</v>
      </c>
      <c r="D289" s="1" t="s">
        <v>312</v>
      </c>
      <c r="E289" s="1" t="s">
        <v>362</v>
      </c>
      <c r="F289" s="1" t="s">
        <v>819</v>
      </c>
      <c r="G289" s="1" t="s">
        <v>735</v>
      </c>
      <c r="H289" s="1" t="s">
        <v>1639</v>
      </c>
      <c r="I289" s="1" t="s">
        <v>616</v>
      </c>
      <c r="J289" s="1" t="s">
        <v>75</v>
      </c>
      <c r="K289" s="1" t="s">
        <v>101</v>
      </c>
      <c r="L289" s="1" t="s">
        <v>1646</v>
      </c>
      <c r="M289" s="1" t="s">
        <v>139</v>
      </c>
      <c r="N289" s="1" t="s">
        <v>140</v>
      </c>
      <c r="O289" s="1" t="s">
        <v>141</v>
      </c>
      <c r="P289" s="1" t="s">
        <v>173</v>
      </c>
      <c r="Q289" s="1" t="s">
        <v>267</v>
      </c>
      <c r="R289" s="1" t="s">
        <v>991</v>
      </c>
      <c r="S289" s="1" t="s">
        <v>78</v>
      </c>
      <c r="T289" s="1">
        <v>74999</v>
      </c>
      <c r="U289" s="1" t="s">
        <v>79</v>
      </c>
      <c r="V289" s="1" t="s">
        <v>406</v>
      </c>
      <c r="W289" s="1" t="s">
        <v>1647</v>
      </c>
    </row>
    <row r="290" spans="1:24" ht="15.75" customHeight="1" x14ac:dyDescent="0.35">
      <c r="A290" s="1" t="s">
        <v>112</v>
      </c>
      <c r="B290" s="1" t="s">
        <v>1648</v>
      </c>
      <c r="C290" s="1" t="s">
        <v>1649</v>
      </c>
      <c r="D290" s="1" t="s">
        <v>1650</v>
      </c>
      <c r="E290" s="1" t="s">
        <v>507</v>
      </c>
      <c r="F290" s="1" t="s">
        <v>1525</v>
      </c>
      <c r="G290" s="1" t="s">
        <v>136</v>
      </c>
      <c r="H290" s="1" t="s">
        <v>1240</v>
      </c>
      <c r="I290" s="1" t="s">
        <v>616</v>
      </c>
      <c r="J290" s="1" t="s">
        <v>75</v>
      </c>
      <c r="K290" s="1" t="s">
        <v>101</v>
      </c>
      <c r="L290" s="1" t="s">
        <v>186</v>
      </c>
      <c r="M290" s="1" t="s">
        <v>123</v>
      </c>
      <c r="N290" s="1" t="s">
        <v>124</v>
      </c>
      <c r="O290" s="1" t="s">
        <v>774</v>
      </c>
      <c r="P290" s="1" t="s">
        <v>126</v>
      </c>
      <c r="Q290" s="1" t="s">
        <v>127</v>
      </c>
      <c r="R290" s="1" t="s">
        <v>180</v>
      </c>
      <c r="S290" s="1" t="s">
        <v>78</v>
      </c>
      <c r="T290" s="1">
        <v>27999</v>
      </c>
      <c r="V290" s="1" t="s">
        <v>1651</v>
      </c>
      <c r="W290" s="1" t="s">
        <v>1652</v>
      </c>
    </row>
    <row r="291" spans="1:24" ht="15.75" customHeight="1" x14ac:dyDescent="0.35">
      <c r="A291" s="1" t="s">
        <v>151</v>
      </c>
      <c r="B291" s="1" t="s">
        <v>794</v>
      </c>
      <c r="C291" s="1" t="s">
        <v>402</v>
      </c>
      <c r="D291" s="1" t="s">
        <v>312</v>
      </c>
      <c r="E291" s="1" t="s">
        <v>70</v>
      </c>
      <c r="F291" s="1" t="s">
        <v>1653</v>
      </c>
      <c r="G291" s="1" t="s">
        <v>1087</v>
      </c>
      <c r="H291" s="1" t="s">
        <v>797</v>
      </c>
      <c r="I291" s="1" t="s">
        <v>224</v>
      </c>
      <c r="J291" s="1" t="s">
        <v>57</v>
      </c>
      <c r="K291" s="1" t="s">
        <v>101</v>
      </c>
      <c r="L291" s="1" t="s">
        <v>889</v>
      </c>
      <c r="M291" s="1" t="s">
        <v>799</v>
      </c>
      <c r="N291" s="1" t="s">
        <v>571</v>
      </c>
      <c r="O291" s="1" t="s">
        <v>800</v>
      </c>
      <c r="P291" s="1" t="s">
        <v>1654</v>
      </c>
      <c r="Q291" s="1" t="s">
        <v>63</v>
      </c>
      <c r="R291" s="1" t="s">
        <v>802</v>
      </c>
      <c r="S291" s="1" t="s">
        <v>78</v>
      </c>
      <c r="T291" s="1">
        <v>66000</v>
      </c>
      <c r="U291" s="1" t="s">
        <v>79</v>
      </c>
      <c r="V291" s="1" t="s">
        <v>803</v>
      </c>
      <c r="W291" s="1" t="s">
        <v>1655</v>
      </c>
    </row>
    <row r="292" spans="1:24" ht="15.75" customHeight="1" x14ac:dyDescent="0.35">
      <c r="A292" s="1" t="s">
        <v>81</v>
      </c>
      <c r="B292" s="1" t="s">
        <v>1656</v>
      </c>
      <c r="C292" s="1" t="s">
        <v>1118</v>
      </c>
      <c r="D292" s="1" t="s">
        <v>1519</v>
      </c>
      <c r="E292" s="1" t="s">
        <v>1584</v>
      </c>
      <c r="F292" s="1" t="s">
        <v>1657</v>
      </c>
      <c r="G292" s="1" t="s">
        <v>322</v>
      </c>
      <c r="H292" s="1" t="s">
        <v>1658</v>
      </c>
      <c r="I292" s="1" t="s">
        <v>616</v>
      </c>
      <c r="J292" s="1" t="s">
        <v>57</v>
      </c>
      <c r="K292" s="1" t="s">
        <v>90</v>
      </c>
      <c r="M292" s="1" t="s">
        <v>1659</v>
      </c>
      <c r="O292" s="1" t="s">
        <v>1660</v>
      </c>
      <c r="P292" s="1" t="s">
        <v>1661</v>
      </c>
      <c r="Q292" s="1" t="s">
        <v>1662</v>
      </c>
      <c r="R292" s="1" t="s">
        <v>64</v>
      </c>
      <c r="S292" s="1" t="s">
        <v>129</v>
      </c>
      <c r="T292" s="1">
        <v>54499</v>
      </c>
      <c r="U292" s="1" t="s">
        <v>166</v>
      </c>
      <c r="V292" s="1" t="s">
        <v>1663</v>
      </c>
    </row>
    <row r="293" spans="1:24" ht="15.75" customHeight="1" x14ac:dyDescent="0.35">
      <c r="A293" s="1" t="s">
        <v>151</v>
      </c>
      <c r="B293" s="1" t="s">
        <v>1664</v>
      </c>
      <c r="C293" s="1" t="s">
        <v>402</v>
      </c>
      <c r="D293" s="1" t="s">
        <v>640</v>
      </c>
      <c r="E293" s="1" t="s">
        <v>410</v>
      </c>
      <c r="F293" s="1" t="s">
        <v>1665</v>
      </c>
      <c r="G293" s="1" t="s">
        <v>796</v>
      </c>
      <c r="H293" s="1" t="s">
        <v>1666</v>
      </c>
      <c r="I293" s="1" t="s">
        <v>1667</v>
      </c>
      <c r="J293" s="1" t="s">
        <v>57</v>
      </c>
      <c r="K293" s="1" t="s">
        <v>101</v>
      </c>
      <c r="L293" s="1" t="s">
        <v>158</v>
      </c>
      <c r="M293" s="1" t="s">
        <v>1352</v>
      </c>
      <c r="N293" s="1" t="s">
        <v>571</v>
      </c>
      <c r="O293" s="1" t="s">
        <v>1668</v>
      </c>
      <c r="P293" s="1" t="s">
        <v>1669</v>
      </c>
      <c r="Q293" s="1" t="s">
        <v>1670</v>
      </c>
      <c r="R293" s="1" t="s">
        <v>802</v>
      </c>
      <c r="S293" s="1" t="s">
        <v>78</v>
      </c>
      <c r="T293" s="1">
        <v>79199</v>
      </c>
      <c r="U293" s="1" t="s">
        <v>79</v>
      </c>
      <c r="V293" s="1" t="s">
        <v>803</v>
      </c>
      <c r="W293" s="1" t="s">
        <v>1671</v>
      </c>
    </row>
    <row r="294" spans="1:24" ht="15.75" customHeight="1" x14ac:dyDescent="0.35">
      <c r="A294" s="1" t="s">
        <v>151</v>
      </c>
      <c r="B294" s="1" t="s">
        <v>1672</v>
      </c>
      <c r="C294" s="1" t="s">
        <v>1673</v>
      </c>
      <c r="D294" s="1" t="s">
        <v>1453</v>
      </c>
      <c r="E294" s="1" t="s">
        <v>70</v>
      </c>
      <c r="F294" s="1" t="s">
        <v>1674</v>
      </c>
      <c r="G294" s="1" t="s">
        <v>1506</v>
      </c>
      <c r="H294" s="1" t="s">
        <v>1675</v>
      </c>
      <c r="I294" s="1" t="s">
        <v>74</v>
      </c>
      <c r="J294" s="1" t="s">
        <v>57</v>
      </c>
      <c r="K294" s="1" t="s">
        <v>101</v>
      </c>
      <c r="L294" s="1" t="s">
        <v>1099</v>
      </c>
      <c r="M294" s="1" t="s">
        <v>617</v>
      </c>
      <c r="N294" s="1" t="s">
        <v>160</v>
      </c>
      <c r="O294" s="1" t="s">
        <v>1676</v>
      </c>
      <c r="P294" s="1" t="s">
        <v>1677</v>
      </c>
      <c r="Q294" s="1" t="s">
        <v>1678</v>
      </c>
      <c r="R294" s="1" t="s">
        <v>945</v>
      </c>
      <c r="S294" s="1" t="s">
        <v>78</v>
      </c>
      <c r="T294" s="1">
        <v>61200</v>
      </c>
      <c r="U294" s="1" t="s">
        <v>166</v>
      </c>
      <c r="V294" s="1" t="s">
        <v>1679</v>
      </c>
      <c r="W294" s="1" t="s">
        <v>1680</v>
      </c>
    </row>
    <row r="295" spans="1:24" ht="15.75" customHeight="1" x14ac:dyDescent="0.35">
      <c r="A295" s="1" t="s">
        <v>151</v>
      </c>
      <c r="B295" s="1" t="s">
        <v>568</v>
      </c>
      <c r="C295" s="1" t="s">
        <v>711</v>
      </c>
      <c r="D295" s="1" t="s">
        <v>640</v>
      </c>
      <c r="E295" s="1" t="s">
        <v>410</v>
      </c>
      <c r="F295" s="1" t="s">
        <v>155</v>
      </c>
      <c r="G295" s="1" t="s">
        <v>222</v>
      </c>
      <c r="H295" s="1" t="s">
        <v>615</v>
      </c>
      <c r="I295" s="1" t="s">
        <v>74</v>
      </c>
      <c r="J295" s="1" t="s">
        <v>75</v>
      </c>
      <c r="K295" s="1" t="s">
        <v>101</v>
      </c>
      <c r="L295" s="1" t="s">
        <v>798</v>
      </c>
      <c r="M295" s="1" t="s">
        <v>617</v>
      </c>
      <c r="N295" s="1" t="s">
        <v>571</v>
      </c>
      <c r="O295" s="1" t="s">
        <v>1681</v>
      </c>
      <c r="P295" s="1" t="s">
        <v>397</v>
      </c>
      <c r="Q295" s="1" t="s">
        <v>398</v>
      </c>
      <c r="R295" s="1" t="s">
        <v>164</v>
      </c>
      <c r="S295" s="1" t="s">
        <v>78</v>
      </c>
      <c r="T295" s="1">
        <v>73700</v>
      </c>
      <c r="U295" s="1" t="s">
        <v>79</v>
      </c>
      <c r="V295" s="1" t="s">
        <v>705</v>
      </c>
      <c r="W295" s="1" t="s">
        <v>1682</v>
      </c>
    </row>
    <row r="296" spans="1:24" ht="15.75" customHeight="1" x14ac:dyDescent="0.35">
      <c r="A296" s="1" t="s">
        <v>151</v>
      </c>
      <c r="B296" s="1" t="s">
        <v>1532</v>
      </c>
      <c r="C296" s="1" t="s">
        <v>1533</v>
      </c>
      <c r="D296" s="1" t="s">
        <v>1683</v>
      </c>
      <c r="E296" s="1" t="s">
        <v>507</v>
      </c>
      <c r="F296" s="1" t="s">
        <v>1179</v>
      </c>
      <c r="G296" s="1" t="s">
        <v>156</v>
      </c>
      <c r="H296" s="1" t="s">
        <v>1534</v>
      </c>
      <c r="I296" s="1" t="s">
        <v>74</v>
      </c>
      <c r="J296" s="1" t="s">
        <v>75</v>
      </c>
      <c r="K296" s="1" t="s">
        <v>101</v>
      </c>
      <c r="L296" s="1" t="s">
        <v>158</v>
      </c>
      <c r="M296" s="1" t="s">
        <v>617</v>
      </c>
      <c r="N296" s="1" t="s">
        <v>571</v>
      </c>
      <c r="O296" s="1" t="s">
        <v>1684</v>
      </c>
      <c r="P296" s="1" t="s">
        <v>1513</v>
      </c>
      <c r="Q296" s="1" t="s">
        <v>63</v>
      </c>
      <c r="R296" s="1" t="s">
        <v>802</v>
      </c>
      <c r="S296" s="1" t="s">
        <v>78</v>
      </c>
      <c r="T296" s="1">
        <v>31799</v>
      </c>
      <c r="U296" s="1" t="s">
        <v>166</v>
      </c>
      <c r="V296" s="1" t="s">
        <v>1537</v>
      </c>
      <c r="W296" s="1" t="s">
        <v>1685</v>
      </c>
    </row>
    <row r="297" spans="1:24" ht="15.75" customHeight="1" x14ac:dyDescent="0.35">
      <c r="A297" s="1" t="s">
        <v>151</v>
      </c>
      <c r="B297" s="1" t="s">
        <v>1532</v>
      </c>
      <c r="C297" s="1" t="s">
        <v>1533</v>
      </c>
      <c r="D297" s="1" t="s">
        <v>1683</v>
      </c>
      <c r="E297" s="1" t="s">
        <v>507</v>
      </c>
      <c r="F297" s="1" t="s">
        <v>1433</v>
      </c>
      <c r="G297" s="1" t="s">
        <v>156</v>
      </c>
      <c r="H297" s="1" t="s">
        <v>1534</v>
      </c>
      <c r="I297" s="1" t="s">
        <v>74</v>
      </c>
      <c r="J297" s="1" t="s">
        <v>75</v>
      </c>
      <c r="K297" s="1" t="s">
        <v>101</v>
      </c>
      <c r="L297" s="1" t="s">
        <v>158</v>
      </c>
      <c r="M297" s="1" t="s">
        <v>617</v>
      </c>
      <c r="N297" s="1" t="s">
        <v>571</v>
      </c>
      <c r="O297" s="1" t="s">
        <v>1684</v>
      </c>
      <c r="P297" s="1" t="s">
        <v>1513</v>
      </c>
      <c r="Q297" s="1" t="s">
        <v>63</v>
      </c>
      <c r="R297" s="1" t="s">
        <v>802</v>
      </c>
      <c r="S297" s="1" t="s">
        <v>78</v>
      </c>
      <c r="T297" s="1">
        <v>31777</v>
      </c>
      <c r="U297" s="1" t="s">
        <v>166</v>
      </c>
      <c r="V297" s="1" t="s">
        <v>1537</v>
      </c>
      <c r="W297" s="1" t="s">
        <v>1685</v>
      </c>
    </row>
    <row r="298" spans="1:24" ht="15.75" customHeight="1" x14ac:dyDescent="0.35">
      <c r="A298" s="1" t="s">
        <v>81</v>
      </c>
      <c r="B298" s="1" t="s">
        <v>414</v>
      </c>
      <c r="C298" s="1" t="s">
        <v>711</v>
      </c>
      <c r="D298" s="1" t="s">
        <v>69</v>
      </c>
      <c r="E298" s="1" t="s">
        <v>70</v>
      </c>
      <c r="F298" s="1" t="s">
        <v>1686</v>
      </c>
      <c r="G298" s="1" t="s">
        <v>322</v>
      </c>
      <c r="H298" s="1" t="s">
        <v>1687</v>
      </c>
      <c r="I298" s="1" t="s">
        <v>616</v>
      </c>
      <c r="J298" s="1" t="s">
        <v>39</v>
      </c>
      <c r="K298" s="1" t="s">
        <v>90</v>
      </c>
      <c r="M298" s="1" t="s">
        <v>1659</v>
      </c>
      <c r="O298" s="1" t="s">
        <v>421</v>
      </c>
      <c r="P298" s="1" t="s">
        <v>422</v>
      </c>
      <c r="Q298" s="1" t="s">
        <v>423</v>
      </c>
      <c r="R298" s="1" t="s">
        <v>1688</v>
      </c>
      <c r="S298" s="1" t="s">
        <v>129</v>
      </c>
      <c r="T298" s="1">
        <v>58000</v>
      </c>
      <c r="U298" s="1" t="s">
        <v>79</v>
      </c>
      <c r="V298" s="1" t="s">
        <v>1689</v>
      </c>
    </row>
    <row r="299" spans="1:24" ht="15.75" customHeight="1" x14ac:dyDescent="0.35">
      <c r="A299" s="1" t="s">
        <v>30</v>
      </c>
      <c r="B299" s="1" t="s">
        <v>1690</v>
      </c>
      <c r="C299" s="1" t="s">
        <v>1613</v>
      </c>
      <c r="D299" s="1" t="s">
        <v>1130</v>
      </c>
      <c r="E299" s="1" t="s">
        <v>507</v>
      </c>
      <c r="F299" s="1" t="s">
        <v>1691</v>
      </c>
      <c r="G299" s="1" t="s">
        <v>723</v>
      </c>
      <c r="H299" s="1" t="s">
        <v>1692</v>
      </c>
      <c r="I299" s="1" t="s">
        <v>616</v>
      </c>
      <c r="J299" s="1" t="s">
        <v>75</v>
      </c>
      <c r="K299" s="1" t="s">
        <v>90</v>
      </c>
      <c r="L299" s="1" t="s">
        <v>1693</v>
      </c>
      <c r="M299" s="1" t="s">
        <v>1694</v>
      </c>
      <c r="N299" s="1" t="s">
        <v>728</v>
      </c>
      <c r="O299" s="1" t="s">
        <v>1695</v>
      </c>
      <c r="P299" s="1" t="s">
        <v>375</v>
      </c>
      <c r="Q299" s="1" t="s">
        <v>376</v>
      </c>
      <c r="R299" s="1" t="s">
        <v>64</v>
      </c>
      <c r="S299" s="1" t="s">
        <v>78</v>
      </c>
      <c r="T299" s="1">
        <v>45000</v>
      </c>
      <c r="U299" s="1" t="s">
        <v>1082</v>
      </c>
      <c r="V299" s="1" t="s">
        <v>1617</v>
      </c>
    </row>
    <row r="300" spans="1:24" ht="15.75" customHeight="1" x14ac:dyDescent="0.35">
      <c r="A300" s="1" t="s">
        <v>234</v>
      </c>
      <c r="B300" s="1" t="s">
        <v>1696</v>
      </c>
      <c r="C300" s="1" t="s">
        <v>1075</v>
      </c>
      <c r="D300" s="1" t="s">
        <v>1697</v>
      </c>
      <c r="E300" s="1" t="s">
        <v>507</v>
      </c>
      <c r="F300" s="1" t="s">
        <v>1698</v>
      </c>
      <c r="G300" s="1" t="s">
        <v>1699</v>
      </c>
      <c r="H300" s="1" t="s">
        <v>1700</v>
      </c>
      <c r="I300" s="1" t="s">
        <v>616</v>
      </c>
      <c r="J300" s="1" t="s">
        <v>75</v>
      </c>
      <c r="K300" s="1" t="s">
        <v>90</v>
      </c>
      <c r="L300" s="1" t="s">
        <v>1022</v>
      </c>
      <c r="M300" s="1" t="s">
        <v>1397</v>
      </c>
      <c r="N300" s="1" t="s">
        <v>465</v>
      </c>
      <c r="O300" s="1" t="s">
        <v>1701</v>
      </c>
      <c r="P300" s="1" t="s">
        <v>1702</v>
      </c>
      <c r="Q300" s="1" t="s">
        <v>1400</v>
      </c>
      <c r="R300" s="1" t="s">
        <v>1409</v>
      </c>
      <c r="S300" s="1" t="s">
        <v>165</v>
      </c>
      <c r="T300" s="1">
        <v>42800</v>
      </c>
      <c r="U300" s="1" t="s">
        <v>1082</v>
      </c>
      <c r="V300" s="1" t="s">
        <v>1703</v>
      </c>
      <c r="W300" s="1" t="s">
        <v>1704</v>
      </c>
    </row>
    <row r="301" spans="1:24" ht="15.75" customHeight="1" x14ac:dyDescent="0.35">
      <c r="A301" s="1" t="s">
        <v>112</v>
      </c>
      <c r="B301" s="1" t="s">
        <v>1705</v>
      </c>
      <c r="C301" s="1" t="s">
        <v>1649</v>
      </c>
      <c r="D301" s="1" t="s">
        <v>1706</v>
      </c>
      <c r="E301" s="1" t="s">
        <v>507</v>
      </c>
      <c r="F301" s="1" t="s">
        <v>1707</v>
      </c>
      <c r="G301" s="1" t="s">
        <v>1624</v>
      </c>
      <c r="H301" s="1" t="s">
        <v>1619</v>
      </c>
      <c r="I301" s="1" t="s">
        <v>616</v>
      </c>
      <c r="J301" s="1" t="s">
        <v>75</v>
      </c>
      <c r="K301" s="1" t="s">
        <v>90</v>
      </c>
      <c r="L301" s="1" t="s">
        <v>193</v>
      </c>
      <c r="M301" s="1" t="s">
        <v>123</v>
      </c>
      <c r="N301" s="1" t="s">
        <v>124</v>
      </c>
      <c r="O301" s="1" t="s">
        <v>774</v>
      </c>
      <c r="P301" s="1" t="s">
        <v>126</v>
      </c>
      <c r="Q301" s="1" t="s">
        <v>127</v>
      </c>
      <c r="R301" s="1" t="s">
        <v>612</v>
      </c>
      <c r="S301" s="1" t="s">
        <v>78</v>
      </c>
      <c r="T301" s="1">
        <v>39049</v>
      </c>
      <c r="V301" s="1" t="s">
        <v>1708</v>
      </c>
      <c r="W301" s="1" t="s">
        <v>1709</v>
      </c>
    </row>
    <row r="302" spans="1:24" ht="15.75" customHeight="1" x14ac:dyDescent="0.35">
      <c r="A302" s="1" t="s">
        <v>112</v>
      </c>
      <c r="B302" s="1" t="s">
        <v>1710</v>
      </c>
      <c r="C302" s="1" t="s">
        <v>1711</v>
      </c>
      <c r="D302" s="1" t="s">
        <v>1712</v>
      </c>
      <c r="E302" s="1" t="s">
        <v>439</v>
      </c>
      <c r="F302" s="1" t="s">
        <v>1462</v>
      </c>
      <c r="G302" s="1" t="s">
        <v>1624</v>
      </c>
      <c r="H302" s="1" t="s">
        <v>1619</v>
      </c>
      <c r="I302" s="1" t="s">
        <v>120</v>
      </c>
      <c r="J302" s="1" t="s">
        <v>75</v>
      </c>
      <c r="K302" s="1" t="s">
        <v>90</v>
      </c>
      <c r="L302" s="1" t="s">
        <v>193</v>
      </c>
      <c r="M302" s="1" t="s">
        <v>123</v>
      </c>
      <c r="N302" s="1" t="s">
        <v>124</v>
      </c>
      <c r="O302" s="1" t="s">
        <v>774</v>
      </c>
      <c r="P302" s="1" t="s">
        <v>126</v>
      </c>
      <c r="Q302" s="1" t="s">
        <v>127</v>
      </c>
      <c r="R302" s="1" t="s">
        <v>128</v>
      </c>
      <c r="S302" s="1" t="s">
        <v>78</v>
      </c>
      <c r="T302" s="1">
        <v>33499</v>
      </c>
      <c r="V302" s="1" t="s">
        <v>1713</v>
      </c>
      <c r="W302" s="1" t="s">
        <v>1647</v>
      </c>
      <c r="X302" s="1" t="s">
        <v>1243</v>
      </c>
    </row>
    <row r="303" spans="1:24" ht="15.75" customHeight="1" x14ac:dyDescent="0.35">
      <c r="A303" s="1" t="s">
        <v>151</v>
      </c>
      <c r="B303" s="1" t="s">
        <v>1714</v>
      </c>
      <c r="C303" s="1" t="s">
        <v>1118</v>
      </c>
      <c r="D303" s="1" t="s">
        <v>1715</v>
      </c>
      <c r="E303" s="1" t="s">
        <v>507</v>
      </c>
      <c r="F303" s="1" t="s">
        <v>1188</v>
      </c>
      <c r="G303" s="1" t="s">
        <v>796</v>
      </c>
      <c r="H303" s="1" t="s">
        <v>1716</v>
      </c>
      <c r="I303" s="1" t="s">
        <v>1493</v>
      </c>
      <c r="J303" s="1" t="s">
        <v>57</v>
      </c>
      <c r="K303" s="1" t="s">
        <v>101</v>
      </c>
      <c r="L303" s="1" t="s">
        <v>798</v>
      </c>
      <c r="M303" s="1" t="s">
        <v>617</v>
      </c>
      <c r="N303" s="1" t="s">
        <v>571</v>
      </c>
      <c r="O303" s="1" t="s">
        <v>1717</v>
      </c>
      <c r="P303" s="1" t="s">
        <v>1718</v>
      </c>
      <c r="Q303" s="1" t="s">
        <v>789</v>
      </c>
      <c r="R303" s="1" t="s">
        <v>802</v>
      </c>
      <c r="S303" s="1" t="s">
        <v>78</v>
      </c>
      <c r="T303" s="1">
        <v>49000</v>
      </c>
      <c r="U303" s="1" t="s">
        <v>166</v>
      </c>
      <c r="V303" s="1" t="s">
        <v>1719</v>
      </c>
      <c r="W303" s="1" t="s">
        <v>1720</v>
      </c>
    </row>
    <row r="304" spans="1:24" ht="15.75" customHeight="1" x14ac:dyDescent="0.35">
      <c r="A304" s="1" t="s">
        <v>81</v>
      </c>
      <c r="B304" s="1" t="s">
        <v>414</v>
      </c>
      <c r="C304" s="1" t="s">
        <v>711</v>
      </c>
      <c r="D304" s="1" t="s">
        <v>69</v>
      </c>
      <c r="E304" s="1" t="s">
        <v>70</v>
      </c>
      <c r="F304" s="1" t="s">
        <v>491</v>
      </c>
      <c r="G304" s="1" t="s">
        <v>1721</v>
      </c>
      <c r="H304" s="1" t="s">
        <v>1376</v>
      </c>
      <c r="I304" s="1" t="s">
        <v>616</v>
      </c>
      <c r="J304" s="1" t="s">
        <v>39</v>
      </c>
      <c r="K304" s="1" t="s">
        <v>90</v>
      </c>
      <c r="M304" s="1" t="s">
        <v>1377</v>
      </c>
      <c r="O304" s="1" t="s">
        <v>421</v>
      </c>
      <c r="P304" s="1" t="s">
        <v>422</v>
      </c>
      <c r="Q304" s="1" t="s">
        <v>423</v>
      </c>
      <c r="R304" s="1" t="s">
        <v>1688</v>
      </c>
      <c r="S304" s="1" t="s">
        <v>129</v>
      </c>
      <c r="T304" s="1">
        <v>59000</v>
      </c>
      <c r="U304" s="1" t="s">
        <v>79</v>
      </c>
      <c r="V304" s="1" t="s">
        <v>1689</v>
      </c>
    </row>
    <row r="305" spans="1:26" ht="15.75" customHeight="1" x14ac:dyDescent="0.35">
      <c r="A305" s="1" t="s">
        <v>81</v>
      </c>
      <c r="B305" s="1" t="s">
        <v>1656</v>
      </c>
      <c r="C305" s="1" t="s">
        <v>1118</v>
      </c>
      <c r="D305" s="1" t="s">
        <v>1519</v>
      </c>
      <c r="E305" s="1" t="s">
        <v>1584</v>
      </c>
      <c r="F305" s="1" t="s">
        <v>1657</v>
      </c>
      <c r="G305" s="1" t="s">
        <v>322</v>
      </c>
      <c r="H305" s="1" t="s">
        <v>1658</v>
      </c>
      <c r="I305" s="1" t="s">
        <v>616</v>
      </c>
      <c r="J305" s="1" t="s">
        <v>57</v>
      </c>
      <c r="K305" s="1" t="s">
        <v>1722</v>
      </c>
      <c r="M305" s="1" t="s">
        <v>420</v>
      </c>
      <c r="O305" s="1" t="s">
        <v>1660</v>
      </c>
      <c r="P305" s="1" t="s">
        <v>1661</v>
      </c>
      <c r="Q305" s="1" t="s">
        <v>1662</v>
      </c>
      <c r="R305" s="1" t="s">
        <v>1688</v>
      </c>
      <c r="S305" s="1" t="s">
        <v>129</v>
      </c>
      <c r="T305" s="1">
        <v>52777</v>
      </c>
      <c r="U305" s="1" t="s">
        <v>166</v>
      </c>
      <c r="V305" s="1" t="s">
        <v>1663</v>
      </c>
    </row>
    <row r="306" spans="1:26" ht="15.75" customHeight="1" x14ac:dyDescent="0.35">
      <c r="A306" s="1" t="s">
        <v>151</v>
      </c>
      <c r="B306" s="1" t="s">
        <v>1532</v>
      </c>
      <c r="C306" s="1" t="s">
        <v>68</v>
      </c>
      <c r="D306" s="1" t="s">
        <v>694</v>
      </c>
      <c r="E306" s="1" t="s">
        <v>70</v>
      </c>
      <c r="F306" s="1" t="s">
        <v>1723</v>
      </c>
      <c r="G306" s="1" t="s">
        <v>222</v>
      </c>
      <c r="H306" s="1" t="s">
        <v>1539</v>
      </c>
      <c r="I306" s="1" t="s">
        <v>616</v>
      </c>
      <c r="J306" s="1" t="s">
        <v>75</v>
      </c>
      <c r="K306" s="1" t="s">
        <v>40</v>
      </c>
      <c r="L306" s="1" t="s">
        <v>508</v>
      </c>
      <c r="M306" s="1" t="s">
        <v>617</v>
      </c>
      <c r="N306" s="1" t="s">
        <v>571</v>
      </c>
      <c r="O306" s="1" t="s">
        <v>1724</v>
      </c>
      <c r="P306" s="1" t="s">
        <v>1513</v>
      </c>
      <c r="Q306" s="1" t="s">
        <v>63</v>
      </c>
      <c r="R306" s="1" t="s">
        <v>802</v>
      </c>
      <c r="S306" s="1" t="s">
        <v>78</v>
      </c>
      <c r="T306" s="1">
        <v>37999</v>
      </c>
      <c r="U306" s="1" t="s">
        <v>79</v>
      </c>
      <c r="V306" s="1" t="s">
        <v>80</v>
      </c>
      <c r="W306" s="1" t="s">
        <v>1540</v>
      </c>
    </row>
    <row r="307" spans="1:26" ht="15.75" customHeight="1" x14ac:dyDescent="0.35">
      <c r="A307" s="1" t="s">
        <v>151</v>
      </c>
      <c r="B307" s="1" t="s">
        <v>1509</v>
      </c>
      <c r="C307" s="1" t="s">
        <v>1510</v>
      </c>
      <c r="D307" s="1" t="s">
        <v>747</v>
      </c>
      <c r="E307" s="1" t="s">
        <v>70</v>
      </c>
      <c r="F307" s="1" t="s">
        <v>1725</v>
      </c>
      <c r="G307" s="1" t="s">
        <v>156</v>
      </c>
      <c r="H307" s="1" t="s">
        <v>1726</v>
      </c>
      <c r="I307" s="1" t="s">
        <v>120</v>
      </c>
      <c r="J307" s="1" t="s">
        <v>75</v>
      </c>
      <c r="K307" s="1" t="s">
        <v>201</v>
      </c>
      <c r="L307" s="1" t="s">
        <v>158</v>
      </c>
      <c r="M307" s="1" t="s">
        <v>617</v>
      </c>
      <c r="N307" s="1" t="s">
        <v>571</v>
      </c>
      <c r="O307" s="1" t="s">
        <v>1727</v>
      </c>
      <c r="P307" s="1" t="s">
        <v>1513</v>
      </c>
      <c r="Q307" s="1" t="s">
        <v>63</v>
      </c>
      <c r="R307" s="1" t="s">
        <v>802</v>
      </c>
      <c r="S307" s="1" t="s">
        <v>78</v>
      </c>
      <c r="T307" s="1">
        <v>49999</v>
      </c>
      <c r="V307" s="1" t="s">
        <v>1728</v>
      </c>
      <c r="W307" s="1" t="s">
        <v>1729</v>
      </c>
    </row>
    <row r="308" spans="1:26" ht="15.75" customHeight="1" x14ac:dyDescent="0.35">
      <c r="A308" s="1" t="s">
        <v>151</v>
      </c>
      <c r="B308" s="1" t="s">
        <v>1730</v>
      </c>
      <c r="C308" s="1" t="s">
        <v>1731</v>
      </c>
      <c r="D308" s="1" t="s">
        <v>1732</v>
      </c>
      <c r="E308" s="1" t="s">
        <v>552</v>
      </c>
      <c r="F308" s="1" t="s">
        <v>1733</v>
      </c>
      <c r="G308" s="1" t="s">
        <v>254</v>
      </c>
      <c r="H308" s="1" t="s">
        <v>1734</v>
      </c>
      <c r="I308" s="1" t="s">
        <v>89</v>
      </c>
      <c r="J308" s="1" t="s">
        <v>57</v>
      </c>
      <c r="K308" s="1" t="s">
        <v>1735</v>
      </c>
      <c r="L308" s="1" t="s">
        <v>1736</v>
      </c>
      <c r="M308" s="1" t="s">
        <v>799</v>
      </c>
      <c r="N308" s="1" t="s">
        <v>395</v>
      </c>
      <c r="O308" s="1" t="s">
        <v>1737</v>
      </c>
      <c r="P308" s="1" t="s">
        <v>1738</v>
      </c>
      <c r="Q308" s="1" t="s">
        <v>944</v>
      </c>
      <c r="R308" s="1" t="s">
        <v>802</v>
      </c>
      <c r="S308" s="1" t="s">
        <v>78</v>
      </c>
      <c r="T308" s="1">
        <v>106000</v>
      </c>
      <c r="U308" s="1" t="s">
        <v>1082</v>
      </c>
      <c r="V308" s="1" t="s">
        <v>1739</v>
      </c>
      <c r="W308" s="1" t="s">
        <v>1740</v>
      </c>
    </row>
    <row r="309" spans="1:26" ht="15.75" customHeight="1" x14ac:dyDescent="0.35">
      <c r="A309" s="1" t="s">
        <v>112</v>
      </c>
      <c r="B309" s="1" t="s">
        <v>1741</v>
      </c>
      <c r="C309" s="1" t="s">
        <v>1711</v>
      </c>
      <c r="D309" s="1" t="s">
        <v>1712</v>
      </c>
      <c r="E309" s="1" t="s">
        <v>439</v>
      </c>
      <c r="F309" s="1" t="s">
        <v>1462</v>
      </c>
      <c r="G309" s="1" t="s">
        <v>136</v>
      </c>
      <c r="H309" s="1" t="s">
        <v>1619</v>
      </c>
      <c r="I309" s="1" t="s">
        <v>120</v>
      </c>
      <c r="J309" s="1" t="s">
        <v>75</v>
      </c>
      <c r="K309" s="1" t="s">
        <v>201</v>
      </c>
      <c r="L309" s="1" t="s">
        <v>193</v>
      </c>
      <c r="M309" s="1" t="s">
        <v>123</v>
      </c>
      <c r="N309" s="1" t="s">
        <v>124</v>
      </c>
      <c r="O309" s="1" t="s">
        <v>1742</v>
      </c>
      <c r="P309" s="1" t="s">
        <v>149</v>
      </c>
      <c r="Q309" s="1" t="s">
        <v>127</v>
      </c>
      <c r="R309" s="1" t="s">
        <v>128</v>
      </c>
      <c r="S309" s="1" t="s">
        <v>78</v>
      </c>
      <c r="T309" s="1">
        <v>34999</v>
      </c>
      <c r="V309" s="1" t="s">
        <v>1743</v>
      </c>
      <c r="W309" s="1" t="s">
        <v>1744</v>
      </c>
      <c r="X309" s="1" t="s">
        <v>1243</v>
      </c>
    </row>
    <row r="310" spans="1:26" ht="15.75" customHeight="1" x14ac:dyDescent="0.35">
      <c r="A310" s="1" t="s">
        <v>81</v>
      </c>
      <c r="B310" s="1" t="s">
        <v>1745</v>
      </c>
      <c r="C310" s="1" t="s">
        <v>1636</v>
      </c>
      <c r="D310" s="1" t="s">
        <v>1149</v>
      </c>
      <c r="E310" s="1" t="s">
        <v>410</v>
      </c>
      <c r="F310" s="1" t="s">
        <v>1746</v>
      </c>
      <c r="G310" s="1" t="s">
        <v>871</v>
      </c>
      <c r="H310" s="1" t="s">
        <v>1747</v>
      </c>
      <c r="I310" s="1" t="s">
        <v>89</v>
      </c>
      <c r="J310" s="1" t="s">
        <v>57</v>
      </c>
      <c r="K310" s="1" t="s">
        <v>725</v>
      </c>
      <c r="M310" s="1" t="s">
        <v>1748</v>
      </c>
      <c r="N310" s="1" t="s">
        <v>1749</v>
      </c>
      <c r="O310" s="1" t="s">
        <v>1750</v>
      </c>
      <c r="P310" s="1" t="s">
        <v>1751</v>
      </c>
      <c r="Q310" s="1" t="s">
        <v>1752</v>
      </c>
      <c r="R310" s="1" t="s">
        <v>1753</v>
      </c>
      <c r="S310" s="1" t="s">
        <v>78</v>
      </c>
      <c r="T310" s="1">
        <v>147450</v>
      </c>
      <c r="U310" s="1" t="s">
        <v>79</v>
      </c>
      <c r="V310" s="1" t="s">
        <v>1754</v>
      </c>
    </row>
    <row r="311" spans="1:26" ht="15.75" customHeight="1" x14ac:dyDescent="0.35">
      <c r="A311" s="1" t="s">
        <v>112</v>
      </c>
      <c r="B311" s="1" t="s">
        <v>1755</v>
      </c>
      <c r="C311" s="1" t="s">
        <v>1756</v>
      </c>
      <c r="D311" s="1" t="s">
        <v>1453</v>
      </c>
      <c r="E311" s="1" t="s">
        <v>70</v>
      </c>
      <c r="F311" s="1" t="s">
        <v>1491</v>
      </c>
      <c r="G311" s="1" t="s">
        <v>735</v>
      </c>
      <c r="H311" s="1" t="s">
        <v>1757</v>
      </c>
      <c r="I311" s="1" t="s">
        <v>1493</v>
      </c>
      <c r="J311" s="1" t="s">
        <v>57</v>
      </c>
      <c r="K311" s="1" t="s">
        <v>90</v>
      </c>
      <c r="L311" s="1" t="s">
        <v>787</v>
      </c>
      <c r="M311" s="1" t="s">
        <v>139</v>
      </c>
      <c r="N311" s="1" t="s">
        <v>124</v>
      </c>
      <c r="O311" s="1" t="s">
        <v>1758</v>
      </c>
      <c r="P311" s="1" t="s">
        <v>1759</v>
      </c>
      <c r="Q311" s="1" t="s">
        <v>789</v>
      </c>
      <c r="R311" s="1" t="s">
        <v>206</v>
      </c>
      <c r="S311" s="1" t="s">
        <v>78</v>
      </c>
      <c r="T311" s="1">
        <v>79777</v>
      </c>
      <c r="U311" s="1" t="s">
        <v>166</v>
      </c>
      <c r="V311" s="1" t="s">
        <v>1760</v>
      </c>
      <c r="W311" s="1" t="s">
        <v>1761</v>
      </c>
    </row>
    <row r="312" spans="1:26" ht="15.75" customHeight="1" x14ac:dyDescent="0.35">
      <c r="A312" s="1" t="s">
        <v>151</v>
      </c>
      <c r="B312" s="1" t="s">
        <v>1085</v>
      </c>
      <c r="C312" s="1" t="s">
        <v>1053</v>
      </c>
      <c r="D312" s="1" t="s">
        <v>640</v>
      </c>
      <c r="E312" s="1" t="s">
        <v>410</v>
      </c>
      <c r="F312" s="1" t="s">
        <v>1188</v>
      </c>
      <c r="G312" s="1" t="s">
        <v>796</v>
      </c>
      <c r="H312" s="1" t="s">
        <v>1762</v>
      </c>
      <c r="I312" s="1" t="s">
        <v>89</v>
      </c>
      <c r="J312" s="1" t="s">
        <v>256</v>
      </c>
      <c r="K312" s="1" t="s">
        <v>101</v>
      </c>
      <c r="L312" s="1" t="s">
        <v>798</v>
      </c>
      <c r="M312" s="1" t="s">
        <v>799</v>
      </c>
      <c r="N312" s="1" t="s">
        <v>571</v>
      </c>
      <c r="O312" s="1" t="s">
        <v>1763</v>
      </c>
      <c r="P312" s="1" t="s">
        <v>1090</v>
      </c>
      <c r="Q312" s="1" t="s">
        <v>1091</v>
      </c>
      <c r="R312" s="1" t="s">
        <v>945</v>
      </c>
      <c r="S312" s="1" t="s">
        <v>78</v>
      </c>
      <c r="T312" s="1">
        <v>70999</v>
      </c>
      <c r="U312" s="1" t="s">
        <v>79</v>
      </c>
      <c r="V312" s="1" t="s">
        <v>1331</v>
      </c>
      <c r="W312" s="1" t="s">
        <v>1764</v>
      </c>
    </row>
    <row r="313" spans="1:26" ht="15.75" customHeight="1" x14ac:dyDescent="0.35">
      <c r="A313" s="1" t="s">
        <v>151</v>
      </c>
      <c r="B313" s="1" t="s">
        <v>1532</v>
      </c>
      <c r="C313" s="1" t="s">
        <v>1765</v>
      </c>
      <c r="D313" s="1" t="s">
        <v>640</v>
      </c>
      <c r="E313" s="1" t="s">
        <v>410</v>
      </c>
      <c r="F313" s="1" t="s">
        <v>1766</v>
      </c>
      <c r="G313" s="1" t="s">
        <v>222</v>
      </c>
      <c r="H313" s="1" t="s">
        <v>1534</v>
      </c>
      <c r="I313" s="1" t="s">
        <v>120</v>
      </c>
      <c r="J313" s="1" t="s">
        <v>75</v>
      </c>
      <c r="K313" s="1" t="s">
        <v>40</v>
      </c>
      <c r="L313" s="1" t="s">
        <v>508</v>
      </c>
      <c r="M313" s="1" t="s">
        <v>617</v>
      </c>
      <c r="N313" s="1" t="s">
        <v>571</v>
      </c>
      <c r="O313" s="1" t="s">
        <v>1724</v>
      </c>
      <c r="P313" s="1" t="s">
        <v>1513</v>
      </c>
      <c r="Q313" s="1" t="s">
        <v>63</v>
      </c>
      <c r="R313" s="1" t="s">
        <v>802</v>
      </c>
      <c r="S313" s="1" t="s">
        <v>78</v>
      </c>
      <c r="T313" s="1">
        <v>57799</v>
      </c>
      <c r="U313" s="1" t="s">
        <v>79</v>
      </c>
      <c r="V313" s="1" t="s">
        <v>803</v>
      </c>
      <c r="W313" s="1" t="s">
        <v>1767</v>
      </c>
    </row>
    <row r="314" spans="1:26" ht="15.75" customHeight="1" x14ac:dyDescent="0.35">
      <c r="A314" s="1" t="s">
        <v>151</v>
      </c>
      <c r="B314" s="1" t="s">
        <v>826</v>
      </c>
      <c r="C314" s="1" t="s">
        <v>827</v>
      </c>
      <c r="D314" s="1" t="s">
        <v>1519</v>
      </c>
      <c r="E314" s="1" t="s">
        <v>70</v>
      </c>
      <c r="F314" s="1" t="s">
        <v>1448</v>
      </c>
      <c r="G314" s="1" t="s">
        <v>1520</v>
      </c>
      <c r="H314" s="1" t="s">
        <v>1521</v>
      </c>
      <c r="I314" s="1" t="s">
        <v>74</v>
      </c>
      <c r="J314" s="1" t="s">
        <v>39</v>
      </c>
      <c r="K314" s="1" t="s">
        <v>40</v>
      </c>
      <c r="L314" s="1" t="s">
        <v>508</v>
      </c>
      <c r="M314" s="1" t="s">
        <v>617</v>
      </c>
      <c r="N314" s="1" t="s">
        <v>160</v>
      </c>
      <c r="O314" s="1" t="s">
        <v>1522</v>
      </c>
      <c r="P314" s="1" t="s">
        <v>834</v>
      </c>
      <c r="Q314" s="1" t="s">
        <v>652</v>
      </c>
      <c r="R314" s="1" t="s">
        <v>217</v>
      </c>
      <c r="S314" s="1" t="s">
        <v>78</v>
      </c>
      <c r="T314" s="1">
        <v>43999</v>
      </c>
      <c r="V314" s="1" t="s">
        <v>835</v>
      </c>
      <c r="W314" s="1" t="s">
        <v>1768</v>
      </c>
    </row>
    <row r="315" spans="1:26" ht="15.75" customHeight="1" x14ac:dyDescent="0.35">
      <c r="A315" s="1" t="s">
        <v>151</v>
      </c>
      <c r="B315" s="1" t="s">
        <v>1769</v>
      </c>
      <c r="C315" s="1" t="s">
        <v>1731</v>
      </c>
      <c r="D315" s="1" t="s">
        <v>1715</v>
      </c>
      <c r="E315" s="1" t="s">
        <v>507</v>
      </c>
      <c r="F315" s="1" t="s">
        <v>1077</v>
      </c>
      <c r="G315" s="1" t="s">
        <v>1770</v>
      </c>
      <c r="H315" s="1" t="s">
        <v>1771</v>
      </c>
      <c r="I315" s="1" t="s">
        <v>89</v>
      </c>
      <c r="J315" s="1" t="s">
        <v>57</v>
      </c>
      <c r="K315" s="1" t="s">
        <v>101</v>
      </c>
      <c r="L315" s="1" t="s">
        <v>1112</v>
      </c>
      <c r="M315" s="1" t="s">
        <v>799</v>
      </c>
      <c r="N315" s="1" t="s">
        <v>395</v>
      </c>
      <c r="O315" s="1" t="s">
        <v>1772</v>
      </c>
      <c r="P315" s="1" t="s">
        <v>1773</v>
      </c>
      <c r="Q315" s="1" t="s">
        <v>503</v>
      </c>
      <c r="R315" s="1" t="s">
        <v>1114</v>
      </c>
      <c r="S315" s="1" t="s">
        <v>78</v>
      </c>
      <c r="T315" s="1">
        <v>58999</v>
      </c>
      <c r="U315" s="1" t="s">
        <v>1082</v>
      </c>
      <c r="V315" s="1" t="s">
        <v>1083</v>
      </c>
      <c r="W315" s="1" t="s">
        <v>1774</v>
      </c>
      <c r="Z315" s="1" t="s">
        <v>837</v>
      </c>
    </row>
    <row r="316" spans="1:26" ht="15.75" customHeight="1" x14ac:dyDescent="0.35">
      <c r="A316" s="1" t="s">
        <v>151</v>
      </c>
      <c r="B316" s="1" t="s">
        <v>1085</v>
      </c>
      <c r="C316" s="1" t="s">
        <v>1058</v>
      </c>
      <c r="D316" s="1" t="s">
        <v>1149</v>
      </c>
      <c r="E316" s="1" t="s">
        <v>410</v>
      </c>
      <c r="F316" s="1" t="s">
        <v>614</v>
      </c>
      <c r="G316" s="1" t="s">
        <v>796</v>
      </c>
      <c r="H316" s="1" t="s">
        <v>1775</v>
      </c>
      <c r="I316" s="1" t="s">
        <v>224</v>
      </c>
      <c r="J316" s="1" t="s">
        <v>256</v>
      </c>
      <c r="K316" s="1" t="s">
        <v>40</v>
      </c>
      <c r="L316" s="1" t="s">
        <v>940</v>
      </c>
      <c r="M316" s="1" t="s">
        <v>799</v>
      </c>
      <c r="N316" s="1" t="s">
        <v>571</v>
      </c>
      <c r="O316" s="1" t="s">
        <v>1763</v>
      </c>
      <c r="P316" s="1" t="s">
        <v>1090</v>
      </c>
      <c r="Q316" s="1" t="s">
        <v>1091</v>
      </c>
      <c r="R316" s="1" t="s">
        <v>945</v>
      </c>
      <c r="S316" s="1" t="s">
        <v>129</v>
      </c>
      <c r="T316" s="1">
        <v>124999</v>
      </c>
      <c r="U316" s="1" t="s">
        <v>79</v>
      </c>
      <c r="V316" s="1" t="s">
        <v>1092</v>
      </c>
      <c r="W316" s="1" t="s">
        <v>1776</v>
      </c>
      <c r="Z316" s="1" t="s">
        <v>837</v>
      </c>
    </row>
    <row r="317" spans="1:26" ht="15.75" customHeight="1" x14ac:dyDescent="0.35">
      <c r="A317" s="1" t="s">
        <v>66</v>
      </c>
      <c r="B317" s="1" t="s">
        <v>1777</v>
      </c>
      <c r="C317" s="1" t="s">
        <v>1075</v>
      </c>
      <c r="D317" s="1" t="s">
        <v>1519</v>
      </c>
      <c r="E317" s="1" t="s">
        <v>70</v>
      </c>
      <c r="F317" s="1" t="s">
        <v>1778</v>
      </c>
      <c r="G317" s="1" t="s">
        <v>72</v>
      </c>
      <c r="H317" s="1" t="s">
        <v>1779</v>
      </c>
      <c r="I317" s="1" t="s">
        <v>120</v>
      </c>
      <c r="J317" s="1" t="s">
        <v>75</v>
      </c>
      <c r="K317" s="1" t="s">
        <v>1722</v>
      </c>
      <c r="L317" s="1" t="s">
        <v>1780</v>
      </c>
      <c r="M317" s="1" t="s">
        <v>1781</v>
      </c>
      <c r="N317" s="1" t="s">
        <v>1782</v>
      </c>
      <c r="O317" s="1" t="s">
        <v>1783</v>
      </c>
      <c r="P317" s="1" t="s">
        <v>1784</v>
      </c>
      <c r="Q317" s="1" t="s">
        <v>94</v>
      </c>
      <c r="R317" s="1" t="s">
        <v>1785</v>
      </c>
      <c r="S317" s="1" t="s">
        <v>129</v>
      </c>
      <c r="T317" s="1">
        <v>54999</v>
      </c>
      <c r="U317" s="1" t="s">
        <v>1082</v>
      </c>
      <c r="V317" s="1" t="s">
        <v>1786</v>
      </c>
    </row>
    <row r="318" spans="1:26" ht="15.75" customHeight="1" x14ac:dyDescent="0.35">
      <c r="A318" s="1" t="s">
        <v>234</v>
      </c>
      <c r="B318" s="1" t="s">
        <v>1787</v>
      </c>
      <c r="C318" s="1" t="s">
        <v>1788</v>
      </c>
      <c r="D318" s="1" t="s">
        <v>1501</v>
      </c>
      <c r="E318" s="1" t="s">
        <v>1789</v>
      </c>
      <c r="F318" s="1" t="s">
        <v>1790</v>
      </c>
      <c r="G318" s="1" t="s">
        <v>1791</v>
      </c>
      <c r="H318" s="1" t="s">
        <v>1792</v>
      </c>
      <c r="I318" s="1" t="s">
        <v>89</v>
      </c>
      <c r="J318" s="1" t="s">
        <v>57</v>
      </c>
      <c r="K318" s="1" t="s">
        <v>90</v>
      </c>
      <c r="M318" s="1" t="s">
        <v>241</v>
      </c>
      <c r="N318" s="1" t="s">
        <v>811</v>
      </c>
      <c r="O318" s="1" t="s">
        <v>1793</v>
      </c>
      <c r="P318" s="1" t="s">
        <v>1794</v>
      </c>
      <c r="Q318" s="1" t="s">
        <v>814</v>
      </c>
      <c r="R318" s="1" t="s">
        <v>1034</v>
      </c>
      <c r="S318" s="1" t="s">
        <v>78</v>
      </c>
      <c r="T318" s="1">
        <v>82999</v>
      </c>
      <c r="V318" s="1" t="s">
        <v>1795</v>
      </c>
      <c r="W318" s="1" t="s">
        <v>1796</v>
      </c>
    </row>
    <row r="319" spans="1:26" ht="15.75" customHeight="1" x14ac:dyDescent="0.35">
      <c r="A319" s="1" t="s">
        <v>81</v>
      </c>
      <c r="B319" s="1" t="s">
        <v>1797</v>
      </c>
      <c r="C319" s="1" t="s">
        <v>1798</v>
      </c>
      <c r="D319" s="1" t="s">
        <v>312</v>
      </c>
      <c r="E319" s="1" t="s">
        <v>507</v>
      </c>
      <c r="F319" s="1" t="s">
        <v>792</v>
      </c>
      <c r="G319" s="1" t="s">
        <v>1799</v>
      </c>
      <c r="H319" s="1" t="s">
        <v>1800</v>
      </c>
      <c r="I319" s="1" t="s">
        <v>616</v>
      </c>
      <c r="J319" s="1" t="s">
        <v>39</v>
      </c>
      <c r="K319" s="1" t="s">
        <v>90</v>
      </c>
      <c r="L319" s="1" t="s">
        <v>1801</v>
      </c>
      <c r="M319" s="1" t="s">
        <v>1377</v>
      </c>
      <c r="O319" s="1" t="s">
        <v>1802</v>
      </c>
      <c r="P319" s="1" t="s">
        <v>1803</v>
      </c>
      <c r="Q319" s="1" t="s">
        <v>1804</v>
      </c>
      <c r="R319" s="1" t="s">
        <v>1805</v>
      </c>
      <c r="S319" s="1" t="s">
        <v>78</v>
      </c>
      <c r="T319" s="1">
        <v>39999</v>
      </c>
      <c r="V319" s="1" t="s">
        <v>1806</v>
      </c>
    </row>
    <row r="320" spans="1:26" ht="15.75" customHeight="1" x14ac:dyDescent="0.35">
      <c r="A320" s="1" t="s">
        <v>112</v>
      </c>
      <c r="B320" s="1" t="s">
        <v>1807</v>
      </c>
      <c r="C320" s="1" t="s">
        <v>402</v>
      </c>
      <c r="D320" s="1" t="s">
        <v>312</v>
      </c>
      <c r="E320" s="1" t="s">
        <v>1808</v>
      </c>
      <c r="F320" s="1" t="s">
        <v>1462</v>
      </c>
      <c r="G320" s="1" t="s">
        <v>136</v>
      </c>
      <c r="H320" s="1" t="s">
        <v>441</v>
      </c>
      <c r="I320" s="1" t="s">
        <v>616</v>
      </c>
      <c r="J320" s="1" t="s">
        <v>75</v>
      </c>
      <c r="K320" s="1" t="s">
        <v>101</v>
      </c>
      <c r="L320" s="1" t="s">
        <v>193</v>
      </c>
      <c r="M320" s="1" t="s">
        <v>139</v>
      </c>
      <c r="N320" s="1" t="s">
        <v>124</v>
      </c>
      <c r="O320" s="1" t="s">
        <v>187</v>
      </c>
      <c r="P320" s="1" t="s">
        <v>126</v>
      </c>
      <c r="Q320" s="1" t="s">
        <v>127</v>
      </c>
      <c r="R320" s="1" t="s">
        <v>128</v>
      </c>
      <c r="S320" s="1" t="s">
        <v>78</v>
      </c>
      <c r="T320" s="1">
        <v>53599</v>
      </c>
      <c r="U320" s="1" t="s">
        <v>79</v>
      </c>
      <c r="V320" s="1" t="s">
        <v>1809</v>
      </c>
      <c r="W320" s="1" t="s">
        <v>1810</v>
      </c>
      <c r="X320" s="1" t="s">
        <v>1459</v>
      </c>
    </row>
    <row r="321" spans="1:24" ht="15.75" customHeight="1" x14ac:dyDescent="0.35">
      <c r="A321" s="1" t="s">
        <v>112</v>
      </c>
      <c r="B321" s="1" t="s">
        <v>1811</v>
      </c>
      <c r="C321" s="1" t="s">
        <v>1812</v>
      </c>
      <c r="D321" s="1" t="s">
        <v>1130</v>
      </c>
      <c r="E321" s="1" t="s">
        <v>439</v>
      </c>
      <c r="F321" s="1" t="s">
        <v>1491</v>
      </c>
      <c r="G321" s="1" t="s">
        <v>1813</v>
      </c>
      <c r="H321" s="1" t="s">
        <v>404</v>
      </c>
      <c r="I321" s="1" t="s">
        <v>616</v>
      </c>
      <c r="J321" s="1" t="s">
        <v>75</v>
      </c>
      <c r="K321" s="1" t="s">
        <v>101</v>
      </c>
      <c r="L321" s="1" t="s">
        <v>990</v>
      </c>
      <c r="M321" s="1" t="s">
        <v>139</v>
      </c>
      <c r="N321" s="1" t="s">
        <v>124</v>
      </c>
      <c r="O321" s="1" t="s">
        <v>1456</v>
      </c>
      <c r="Q321" s="1" t="s">
        <v>1814</v>
      </c>
      <c r="R321" s="1" t="s">
        <v>991</v>
      </c>
      <c r="S321" s="1" t="s">
        <v>78</v>
      </c>
      <c r="T321" s="1">
        <v>46149</v>
      </c>
      <c r="V321" s="1" t="s">
        <v>1815</v>
      </c>
      <c r="W321" s="1" t="s">
        <v>1816</v>
      </c>
      <c r="X321" s="1" t="s">
        <v>1459</v>
      </c>
    </row>
    <row r="322" spans="1:24" ht="15.75" customHeight="1" x14ac:dyDescent="0.35">
      <c r="A322" s="1" t="s">
        <v>112</v>
      </c>
      <c r="B322" s="1" t="s">
        <v>1817</v>
      </c>
      <c r="C322" s="1" t="s">
        <v>1818</v>
      </c>
      <c r="D322" s="1" t="s">
        <v>1130</v>
      </c>
      <c r="E322" s="1" t="s">
        <v>439</v>
      </c>
      <c r="F322" s="1" t="s">
        <v>1491</v>
      </c>
      <c r="G322" s="1" t="s">
        <v>1813</v>
      </c>
      <c r="H322" s="1" t="s">
        <v>404</v>
      </c>
      <c r="I322" s="1" t="s">
        <v>616</v>
      </c>
      <c r="J322" s="1" t="s">
        <v>75</v>
      </c>
      <c r="K322" s="1" t="s">
        <v>101</v>
      </c>
      <c r="L322" s="1" t="s">
        <v>186</v>
      </c>
      <c r="M322" s="1" t="s">
        <v>139</v>
      </c>
      <c r="N322" s="1" t="s">
        <v>124</v>
      </c>
      <c r="O322" s="1" t="s">
        <v>1456</v>
      </c>
      <c r="P322" s="1" t="s">
        <v>1819</v>
      </c>
      <c r="Q322" s="1" t="s">
        <v>63</v>
      </c>
      <c r="R322" s="1" t="s">
        <v>180</v>
      </c>
      <c r="S322" s="1" t="s">
        <v>78</v>
      </c>
      <c r="T322" s="1">
        <v>42000</v>
      </c>
      <c r="W322" s="1" t="s">
        <v>1820</v>
      </c>
    </row>
    <row r="323" spans="1:24" ht="15.75" customHeight="1" x14ac:dyDescent="0.35">
      <c r="A323" s="1" t="s">
        <v>151</v>
      </c>
      <c r="B323" s="1" t="s">
        <v>1499</v>
      </c>
      <c r="C323" s="1" t="s">
        <v>1821</v>
      </c>
      <c r="D323" s="1" t="s">
        <v>1822</v>
      </c>
      <c r="E323" s="1" t="s">
        <v>410</v>
      </c>
      <c r="F323" s="1" t="s">
        <v>1077</v>
      </c>
      <c r="G323" s="1" t="s">
        <v>1506</v>
      </c>
      <c r="H323" s="1" t="s">
        <v>1823</v>
      </c>
      <c r="I323" s="1" t="s">
        <v>616</v>
      </c>
      <c r="J323" s="1" t="s">
        <v>57</v>
      </c>
      <c r="K323" s="1" t="s">
        <v>101</v>
      </c>
      <c r="L323" s="1" t="s">
        <v>798</v>
      </c>
      <c r="M323" s="1" t="s">
        <v>799</v>
      </c>
      <c r="N323" s="1" t="s">
        <v>395</v>
      </c>
      <c r="O323" s="1" t="s">
        <v>1113</v>
      </c>
      <c r="P323" s="1" t="s">
        <v>1080</v>
      </c>
      <c r="Q323" s="1" t="s">
        <v>63</v>
      </c>
      <c r="R323" s="1" t="s">
        <v>1081</v>
      </c>
      <c r="S323" s="1" t="s">
        <v>78</v>
      </c>
      <c r="T323" s="1">
        <v>50777</v>
      </c>
      <c r="V323" s="1" t="s">
        <v>1824</v>
      </c>
      <c r="W323" s="1" t="s">
        <v>1825</v>
      </c>
    </row>
    <row r="324" spans="1:24" ht="15.75" customHeight="1" x14ac:dyDescent="0.35">
      <c r="A324" s="1" t="s">
        <v>151</v>
      </c>
      <c r="B324" s="1" t="s">
        <v>1714</v>
      </c>
      <c r="C324" s="1" t="s">
        <v>1826</v>
      </c>
      <c r="D324" s="1" t="s">
        <v>1715</v>
      </c>
      <c r="E324" s="1" t="s">
        <v>507</v>
      </c>
      <c r="F324" s="1" t="s">
        <v>1827</v>
      </c>
      <c r="G324" s="1" t="s">
        <v>156</v>
      </c>
      <c r="H324" s="1" t="s">
        <v>1716</v>
      </c>
      <c r="I324" s="1" t="s">
        <v>1493</v>
      </c>
      <c r="J324" s="1" t="s">
        <v>57</v>
      </c>
      <c r="K324" s="1" t="s">
        <v>101</v>
      </c>
      <c r="L324" s="1" t="s">
        <v>1828</v>
      </c>
      <c r="M324" s="1" t="s">
        <v>617</v>
      </c>
      <c r="N324" s="1" t="s">
        <v>571</v>
      </c>
      <c r="O324" s="1" t="s">
        <v>1717</v>
      </c>
      <c r="P324" s="1" t="s">
        <v>1718</v>
      </c>
      <c r="Q324" s="1" t="s">
        <v>789</v>
      </c>
      <c r="R324" s="1" t="s">
        <v>802</v>
      </c>
      <c r="S324" s="1" t="s">
        <v>78</v>
      </c>
      <c r="T324" s="1">
        <v>43499</v>
      </c>
      <c r="U324" s="1" t="s">
        <v>166</v>
      </c>
      <c r="V324" s="1" t="s">
        <v>1719</v>
      </c>
      <c r="W324" s="1" t="s">
        <v>1829</v>
      </c>
    </row>
    <row r="325" spans="1:24" ht="15.75" customHeight="1" x14ac:dyDescent="0.35">
      <c r="A325" s="1" t="s">
        <v>151</v>
      </c>
      <c r="B325" s="1" t="s">
        <v>826</v>
      </c>
      <c r="C325" s="1" t="s">
        <v>1601</v>
      </c>
      <c r="D325" s="1" t="s">
        <v>1453</v>
      </c>
      <c r="E325" s="1" t="s">
        <v>70</v>
      </c>
      <c r="F325" s="1" t="s">
        <v>1830</v>
      </c>
      <c r="G325" s="1" t="s">
        <v>1520</v>
      </c>
      <c r="H325" s="1" t="s">
        <v>1675</v>
      </c>
      <c r="I325" s="1" t="s">
        <v>616</v>
      </c>
      <c r="J325" s="1" t="s">
        <v>57</v>
      </c>
      <c r="K325" s="1" t="s">
        <v>101</v>
      </c>
      <c r="L325" s="1" t="s">
        <v>798</v>
      </c>
      <c r="M325" s="1" t="s">
        <v>617</v>
      </c>
      <c r="N325" s="1" t="s">
        <v>160</v>
      </c>
      <c r="O325" s="1" t="s">
        <v>1522</v>
      </c>
      <c r="P325" s="1" t="s">
        <v>834</v>
      </c>
      <c r="Q325" s="1" t="s">
        <v>652</v>
      </c>
      <c r="R325" s="1" t="s">
        <v>217</v>
      </c>
      <c r="S325" s="1" t="s">
        <v>78</v>
      </c>
      <c r="T325" s="1">
        <v>43800</v>
      </c>
      <c r="V325" s="1" t="s">
        <v>835</v>
      </c>
      <c r="W325" s="1" t="s">
        <v>1831</v>
      </c>
    </row>
    <row r="326" spans="1:24" ht="15.75" customHeight="1" x14ac:dyDescent="0.35">
      <c r="A326" s="1" t="s">
        <v>151</v>
      </c>
      <c r="B326" s="1" t="s">
        <v>826</v>
      </c>
      <c r="C326" s="1" t="s">
        <v>1832</v>
      </c>
      <c r="D326" s="1" t="s">
        <v>1453</v>
      </c>
      <c r="E326" s="1" t="s">
        <v>70</v>
      </c>
      <c r="F326" s="1" t="s">
        <v>1448</v>
      </c>
      <c r="G326" s="1" t="s">
        <v>1506</v>
      </c>
      <c r="H326" s="1" t="s">
        <v>1833</v>
      </c>
      <c r="I326" s="1" t="s">
        <v>616</v>
      </c>
      <c r="J326" s="1" t="s">
        <v>39</v>
      </c>
      <c r="K326" s="1" t="s">
        <v>101</v>
      </c>
      <c r="L326" s="1" t="s">
        <v>158</v>
      </c>
      <c r="M326" s="1" t="s">
        <v>617</v>
      </c>
      <c r="N326" s="1" t="s">
        <v>160</v>
      </c>
      <c r="O326" s="1" t="s">
        <v>1522</v>
      </c>
      <c r="P326" s="1" t="s">
        <v>834</v>
      </c>
      <c r="Q326" s="1" t="s">
        <v>652</v>
      </c>
      <c r="R326" s="1" t="s">
        <v>217</v>
      </c>
      <c r="S326" s="1" t="s">
        <v>78</v>
      </c>
      <c r="T326" s="1">
        <v>43000</v>
      </c>
      <c r="V326" s="1" t="s">
        <v>835</v>
      </c>
      <c r="W326" s="1" t="s">
        <v>1834</v>
      </c>
    </row>
    <row r="327" spans="1:24" ht="15.75" customHeight="1" x14ac:dyDescent="0.35">
      <c r="A327" s="1" t="s">
        <v>112</v>
      </c>
      <c r="B327" s="1" t="s">
        <v>1835</v>
      </c>
      <c r="C327" s="1" t="s">
        <v>1818</v>
      </c>
      <c r="D327" s="1" t="s">
        <v>1130</v>
      </c>
      <c r="E327" s="1" t="s">
        <v>1836</v>
      </c>
      <c r="F327" s="1" t="s">
        <v>1491</v>
      </c>
      <c r="G327" s="1" t="s">
        <v>1813</v>
      </c>
      <c r="H327" s="1" t="s">
        <v>404</v>
      </c>
      <c r="I327" s="1" t="s">
        <v>616</v>
      </c>
      <c r="J327" s="1" t="s">
        <v>75</v>
      </c>
      <c r="K327" s="1" t="s">
        <v>101</v>
      </c>
      <c r="L327" s="1" t="s">
        <v>990</v>
      </c>
      <c r="M327" s="1" t="s">
        <v>139</v>
      </c>
      <c r="N327" s="1" t="s">
        <v>124</v>
      </c>
      <c r="O327" s="1" t="s">
        <v>1456</v>
      </c>
      <c r="P327" s="1" t="s">
        <v>1819</v>
      </c>
      <c r="Q327" s="1" t="s">
        <v>1814</v>
      </c>
      <c r="R327" s="1" t="s">
        <v>991</v>
      </c>
      <c r="S327" s="1" t="s">
        <v>78</v>
      </c>
      <c r="T327" s="1">
        <v>58888</v>
      </c>
      <c r="W327" s="1" t="s">
        <v>1837</v>
      </c>
    </row>
    <row r="328" spans="1:24" ht="15.75" customHeight="1" x14ac:dyDescent="0.35">
      <c r="A328" s="1" t="s">
        <v>112</v>
      </c>
      <c r="B328" s="1" t="s">
        <v>1838</v>
      </c>
      <c r="C328" s="1" t="s">
        <v>1812</v>
      </c>
      <c r="D328" s="1" t="s">
        <v>1130</v>
      </c>
      <c r="E328" s="1" t="s">
        <v>1836</v>
      </c>
      <c r="F328" s="1" t="s">
        <v>1454</v>
      </c>
      <c r="G328" s="1" t="s">
        <v>1813</v>
      </c>
      <c r="H328" s="1" t="s">
        <v>404</v>
      </c>
      <c r="I328" s="1" t="s">
        <v>616</v>
      </c>
      <c r="J328" s="1" t="s">
        <v>75</v>
      </c>
      <c r="K328" s="1" t="s">
        <v>101</v>
      </c>
      <c r="L328" s="1" t="s">
        <v>186</v>
      </c>
      <c r="M328" s="1" t="s">
        <v>139</v>
      </c>
      <c r="N328" s="1" t="s">
        <v>124</v>
      </c>
      <c r="O328" s="1" t="s">
        <v>1456</v>
      </c>
      <c r="Q328" s="1" t="s">
        <v>1814</v>
      </c>
      <c r="R328" s="1" t="s">
        <v>180</v>
      </c>
      <c r="S328" s="1" t="s">
        <v>78</v>
      </c>
      <c r="T328" s="1">
        <v>46149</v>
      </c>
      <c r="V328" s="1" t="s">
        <v>1815</v>
      </c>
      <c r="W328" s="1" t="s">
        <v>1839</v>
      </c>
      <c r="X328" s="1" t="s">
        <v>1459</v>
      </c>
    </row>
    <row r="329" spans="1:24" ht="15.75" customHeight="1" x14ac:dyDescent="0.35">
      <c r="A329" s="1" t="s">
        <v>112</v>
      </c>
      <c r="B329" s="1" t="s">
        <v>1840</v>
      </c>
      <c r="C329" s="1" t="s">
        <v>1812</v>
      </c>
      <c r="D329" s="1" t="s">
        <v>1130</v>
      </c>
      <c r="E329" s="1" t="s">
        <v>1836</v>
      </c>
      <c r="F329" s="1" t="s">
        <v>1491</v>
      </c>
      <c r="G329" s="1" t="s">
        <v>1813</v>
      </c>
      <c r="H329" s="1" t="s">
        <v>404</v>
      </c>
      <c r="I329" s="1" t="s">
        <v>120</v>
      </c>
      <c r="J329" s="1" t="s">
        <v>75</v>
      </c>
      <c r="K329" s="1" t="s">
        <v>101</v>
      </c>
      <c r="L329" s="1" t="s">
        <v>193</v>
      </c>
      <c r="M329" s="1" t="s">
        <v>139</v>
      </c>
      <c r="N329" s="1" t="s">
        <v>1841</v>
      </c>
      <c r="O329" s="1" t="s">
        <v>1456</v>
      </c>
      <c r="P329" s="1" t="s">
        <v>1819</v>
      </c>
      <c r="Q329" s="1" t="s">
        <v>1814</v>
      </c>
      <c r="R329" s="1" t="s">
        <v>757</v>
      </c>
      <c r="S329" s="1" t="s">
        <v>78</v>
      </c>
      <c r="T329" s="1">
        <v>46149</v>
      </c>
      <c r="V329" s="1" t="s">
        <v>1815</v>
      </c>
      <c r="W329" s="1" t="s">
        <v>1842</v>
      </c>
    </row>
    <row r="330" spans="1:24" ht="15.75" customHeight="1" x14ac:dyDescent="0.35">
      <c r="A330" s="1" t="s">
        <v>112</v>
      </c>
      <c r="B330" s="1" t="s">
        <v>1843</v>
      </c>
      <c r="C330" s="1" t="s">
        <v>402</v>
      </c>
      <c r="D330" s="1" t="s">
        <v>312</v>
      </c>
      <c r="E330" s="1" t="s">
        <v>772</v>
      </c>
      <c r="F330" s="1" t="s">
        <v>819</v>
      </c>
      <c r="G330" s="1" t="s">
        <v>735</v>
      </c>
      <c r="H330" s="1" t="s">
        <v>1055</v>
      </c>
      <c r="I330" s="1" t="s">
        <v>616</v>
      </c>
      <c r="J330" s="1" t="s">
        <v>75</v>
      </c>
      <c r="K330" s="1" t="s">
        <v>101</v>
      </c>
      <c r="L330" s="1" t="s">
        <v>1646</v>
      </c>
      <c r="M330" s="1" t="s">
        <v>139</v>
      </c>
      <c r="N330" s="1" t="s">
        <v>140</v>
      </c>
      <c r="O330" s="1" t="s">
        <v>141</v>
      </c>
      <c r="P330" s="1" t="s">
        <v>1844</v>
      </c>
      <c r="Q330" s="1" t="s">
        <v>267</v>
      </c>
      <c r="R330" s="1" t="s">
        <v>991</v>
      </c>
      <c r="S330" s="1" t="s">
        <v>78</v>
      </c>
      <c r="T330" s="1">
        <v>55999</v>
      </c>
      <c r="U330" s="1" t="s">
        <v>79</v>
      </c>
      <c r="V330" s="1" t="s">
        <v>406</v>
      </c>
      <c r="W330" s="1" t="s">
        <v>1845</v>
      </c>
    </row>
    <row r="331" spans="1:24" ht="15.75" customHeight="1" x14ac:dyDescent="0.35">
      <c r="A331" s="1" t="s">
        <v>112</v>
      </c>
      <c r="B331" s="1" t="s">
        <v>1846</v>
      </c>
      <c r="C331" s="1" t="s">
        <v>1818</v>
      </c>
      <c r="D331" s="1" t="s">
        <v>1130</v>
      </c>
      <c r="E331" s="1" t="s">
        <v>1836</v>
      </c>
      <c r="F331" s="1" t="s">
        <v>1491</v>
      </c>
      <c r="G331" s="1" t="s">
        <v>1813</v>
      </c>
      <c r="H331" s="1" t="s">
        <v>404</v>
      </c>
      <c r="I331" s="1" t="s">
        <v>120</v>
      </c>
      <c r="J331" s="1" t="s">
        <v>75</v>
      </c>
      <c r="K331" s="1" t="s">
        <v>101</v>
      </c>
      <c r="L331" s="1" t="s">
        <v>193</v>
      </c>
      <c r="M331" s="1" t="s">
        <v>139</v>
      </c>
      <c r="N331" s="1" t="s">
        <v>1841</v>
      </c>
      <c r="O331" s="1" t="s">
        <v>1456</v>
      </c>
      <c r="P331" s="1" t="s">
        <v>1819</v>
      </c>
      <c r="Q331" s="1" t="s">
        <v>1814</v>
      </c>
      <c r="R331" s="1" t="s">
        <v>128</v>
      </c>
      <c r="S331" s="1" t="s">
        <v>78</v>
      </c>
      <c r="T331" s="1">
        <v>36999</v>
      </c>
      <c r="W331" s="1" t="s">
        <v>1847</v>
      </c>
    </row>
    <row r="332" spans="1:24" ht="15.75" customHeight="1" x14ac:dyDescent="0.35">
      <c r="A332" s="1" t="s">
        <v>112</v>
      </c>
      <c r="B332" s="1" t="s">
        <v>1848</v>
      </c>
      <c r="C332" s="1" t="s">
        <v>818</v>
      </c>
      <c r="D332" s="1" t="s">
        <v>312</v>
      </c>
      <c r="E332" s="1" t="s">
        <v>70</v>
      </c>
      <c r="F332" s="1" t="s">
        <v>1462</v>
      </c>
      <c r="G332" s="1" t="s">
        <v>136</v>
      </c>
      <c r="H332" s="1" t="s">
        <v>441</v>
      </c>
      <c r="I332" s="1" t="s">
        <v>616</v>
      </c>
      <c r="J332" s="1" t="s">
        <v>75</v>
      </c>
      <c r="K332" s="1" t="s">
        <v>101</v>
      </c>
      <c r="L332" s="1" t="s">
        <v>990</v>
      </c>
      <c r="M332" s="1" t="s">
        <v>139</v>
      </c>
      <c r="N332" s="1" t="s">
        <v>124</v>
      </c>
      <c r="O332" s="1" t="s">
        <v>187</v>
      </c>
      <c r="P332" s="1" t="s">
        <v>126</v>
      </c>
      <c r="Q332" s="1" t="s">
        <v>127</v>
      </c>
      <c r="R332" s="1" t="s">
        <v>991</v>
      </c>
      <c r="S332" s="1" t="s">
        <v>78</v>
      </c>
      <c r="T332" s="1">
        <v>50499</v>
      </c>
      <c r="U332" s="1" t="s">
        <v>79</v>
      </c>
      <c r="V332" s="1" t="s">
        <v>406</v>
      </c>
      <c r="W332" s="1" t="s">
        <v>1849</v>
      </c>
    </row>
    <row r="333" spans="1:24" ht="15.75" customHeight="1" x14ac:dyDescent="0.35">
      <c r="A333" s="1" t="s">
        <v>112</v>
      </c>
      <c r="B333" s="1" t="s">
        <v>1850</v>
      </c>
      <c r="C333" s="1" t="s">
        <v>818</v>
      </c>
      <c r="D333" s="1" t="s">
        <v>312</v>
      </c>
      <c r="E333" s="1" t="s">
        <v>70</v>
      </c>
      <c r="F333" s="1" t="s">
        <v>1851</v>
      </c>
      <c r="G333" s="1" t="s">
        <v>1463</v>
      </c>
      <c r="H333" s="1" t="s">
        <v>1852</v>
      </c>
      <c r="I333" s="1" t="s">
        <v>616</v>
      </c>
      <c r="J333" s="1" t="s">
        <v>75</v>
      </c>
      <c r="K333" s="1" t="s">
        <v>101</v>
      </c>
      <c r="L333" s="1" t="s">
        <v>1853</v>
      </c>
      <c r="M333" s="1" t="s">
        <v>1854</v>
      </c>
      <c r="N333" s="1" t="s">
        <v>1855</v>
      </c>
      <c r="O333" s="1" t="s">
        <v>1856</v>
      </c>
      <c r="P333" s="1" t="s">
        <v>126</v>
      </c>
      <c r="Q333" s="1" t="s">
        <v>127</v>
      </c>
      <c r="R333" s="1" t="s">
        <v>1001</v>
      </c>
      <c r="S333" s="1" t="s">
        <v>78</v>
      </c>
      <c r="T333" s="1">
        <v>50999</v>
      </c>
      <c r="U333" s="1" t="s">
        <v>79</v>
      </c>
      <c r="V333" s="1" t="s">
        <v>1857</v>
      </c>
    </row>
    <row r="334" spans="1:24" ht="15.75" customHeight="1" x14ac:dyDescent="0.35">
      <c r="A334" s="1" t="s">
        <v>112</v>
      </c>
      <c r="B334" s="1" t="s">
        <v>1858</v>
      </c>
      <c r="C334" s="1" t="s">
        <v>1711</v>
      </c>
      <c r="D334" s="1" t="s">
        <v>1859</v>
      </c>
      <c r="E334" s="1" t="s">
        <v>507</v>
      </c>
      <c r="F334" s="1" t="s">
        <v>1525</v>
      </c>
      <c r="G334" s="1" t="s">
        <v>136</v>
      </c>
      <c r="H334" s="1" t="s">
        <v>364</v>
      </c>
      <c r="I334" s="1" t="s">
        <v>616</v>
      </c>
      <c r="J334" s="1" t="s">
        <v>75</v>
      </c>
      <c r="K334" s="1" t="s">
        <v>101</v>
      </c>
      <c r="L334" s="1" t="s">
        <v>990</v>
      </c>
      <c r="M334" s="1" t="s">
        <v>123</v>
      </c>
      <c r="N334" s="1" t="s">
        <v>124</v>
      </c>
      <c r="O334" s="1" t="s">
        <v>774</v>
      </c>
      <c r="P334" s="1" t="s">
        <v>126</v>
      </c>
      <c r="Q334" s="1" t="s">
        <v>127</v>
      </c>
      <c r="R334" s="1" t="s">
        <v>991</v>
      </c>
      <c r="S334" s="1" t="s">
        <v>78</v>
      </c>
      <c r="T334" s="1">
        <v>30999</v>
      </c>
      <c r="V334" s="1" t="s">
        <v>1713</v>
      </c>
    </row>
    <row r="335" spans="1:24" ht="15.75" customHeight="1" x14ac:dyDescent="0.35">
      <c r="A335" s="1" t="s">
        <v>112</v>
      </c>
      <c r="B335" s="1" t="s">
        <v>1860</v>
      </c>
      <c r="C335" s="1" t="s">
        <v>1649</v>
      </c>
      <c r="D335" s="1" t="s">
        <v>1859</v>
      </c>
      <c r="E335" s="1" t="s">
        <v>507</v>
      </c>
      <c r="F335" s="1" t="s">
        <v>1525</v>
      </c>
      <c r="G335" s="1" t="s">
        <v>136</v>
      </c>
      <c r="H335" s="1" t="s">
        <v>364</v>
      </c>
      <c r="I335" s="1" t="s">
        <v>120</v>
      </c>
      <c r="J335" s="1" t="s">
        <v>75</v>
      </c>
      <c r="K335" s="1" t="s">
        <v>101</v>
      </c>
      <c r="L335" s="1" t="s">
        <v>193</v>
      </c>
      <c r="M335" s="1" t="s">
        <v>123</v>
      </c>
      <c r="N335" s="1" t="s">
        <v>124</v>
      </c>
      <c r="O335" s="1" t="s">
        <v>774</v>
      </c>
      <c r="P335" s="1" t="s">
        <v>126</v>
      </c>
      <c r="Q335" s="1" t="s">
        <v>127</v>
      </c>
      <c r="R335" s="1" t="s">
        <v>128</v>
      </c>
      <c r="S335" s="1" t="s">
        <v>78</v>
      </c>
      <c r="T335" s="1">
        <v>28999</v>
      </c>
      <c r="V335" s="1" t="s">
        <v>1713</v>
      </c>
    </row>
    <row r="336" spans="1:24" ht="15.75" customHeight="1" x14ac:dyDescent="0.35">
      <c r="A336" s="1" t="s">
        <v>234</v>
      </c>
      <c r="B336" s="1" t="s">
        <v>1861</v>
      </c>
      <c r="C336" s="1" t="s">
        <v>1756</v>
      </c>
      <c r="D336" s="1" t="s">
        <v>1862</v>
      </c>
      <c r="E336" s="1" t="s">
        <v>410</v>
      </c>
      <c r="F336" s="1" t="s">
        <v>1863</v>
      </c>
      <c r="G336" s="1" t="s">
        <v>472</v>
      </c>
      <c r="H336" s="1" t="s">
        <v>1864</v>
      </c>
      <c r="I336" s="1" t="s">
        <v>616</v>
      </c>
      <c r="J336" s="1" t="s">
        <v>1518</v>
      </c>
      <c r="K336" s="1" t="s">
        <v>90</v>
      </c>
      <c r="L336" s="1" t="s">
        <v>1865</v>
      </c>
      <c r="M336" s="1" t="s">
        <v>241</v>
      </c>
      <c r="N336" s="1" t="s">
        <v>1866</v>
      </c>
      <c r="O336" s="1" t="s">
        <v>1867</v>
      </c>
      <c r="P336" s="1" t="s">
        <v>1868</v>
      </c>
      <c r="Q336" s="1" t="s">
        <v>1869</v>
      </c>
      <c r="R336" s="1" t="s">
        <v>64</v>
      </c>
      <c r="S336" s="1" t="s">
        <v>165</v>
      </c>
      <c r="T336" s="1">
        <v>103999</v>
      </c>
      <c r="U336" s="1" t="s">
        <v>166</v>
      </c>
      <c r="V336" s="1" t="s">
        <v>1760</v>
      </c>
      <c r="W336" s="1" t="s">
        <v>1870</v>
      </c>
    </row>
    <row r="337" spans="1:23" ht="15.75" customHeight="1" x14ac:dyDescent="0.35">
      <c r="A337" s="1" t="s">
        <v>234</v>
      </c>
      <c r="B337" s="1" t="s">
        <v>1871</v>
      </c>
      <c r="C337" s="1" t="s">
        <v>1872</v>
      </c>
      <c r="D337" s="1" t="s">
        <v>1873</v>
      </c>
      <c r="E337" s="1" t="s">
        <v>410</v>
      </c>
      <c r="F337" s="1" t="s">
        <v>1874</v>
      </c>
      <c r="G337" s="1" t="s">
        <v>1325</v>
      </c>
      <c r="H337" s="1" t="s">
        <v>1875</v>
      </c>
      <c r="I337" s="1" t="s">
        <v>89</v>
      </c>
      <c r="J337" s="1" t="s">
        <v>39</v>
      </c>
      <c r="K337" s="1" t="s">
        <v>90</v>
      </c>
      <c r="L337" s="1" t="s">
        <v>1022</v>
      </c>
      <c r="M337" s="1" t="s">
        <v>1876</v>
      </c>
      <c r="N337" s="1" t="s">
        <v>811</v>
      </c>
      <c r="O337" s="1" t="s">
        <v>1877</v>
      </c>
      <c r="P337" s="1" t="s">
        <v>1878</v>
      </c>
      <c r="Q337" s="1" t="s">
        <v>1879</v>
      </c>
      <c r="R337" s="1" t="s">
        <v>301</v>
      </c>
      <c r="S337" s="1" t="s">
        <v>165</v>
      </c>
      <c r="T337" s="1">
        <v>53499</v>
      </c>
      <c r="V337" s="1" t="s">
        <v>1815</v>
      </c>
      <c r="W337" s="1" t="s">
        <v>1880</v>
      </c>
    </row>
    <row r="338" spans="1:23" ht="15.75" customHeight="1" x14ac:dyDescent="0.35">
      <c r="A338" s="1" t="s">
        <v>234</v>
      </c>
      <c r="B338" s="1" t="s">
        <v>1881</v>
      </c>
      <c r="C338" s="1" t="s">
        <v>1872</v>
      </c>
      <c r="D338" s="1" t="s">
        <v>1873</v>
      </c>
      <c r="E338" s="1" t="s">
        <v>410</v>
      </c>
      <c r="F338" s="1" t="s">
        <v>1882</v>
      </c>
      <c r="G338" s="1" t="s">
        <v>239</v>
      </c>
      <c r="H338" s="1" t="s">
        <v>1875</v>
      </c>
      <c r="I338" s="1" t="s">
        <v>89</v>
      </c>
      <c r="J338" s="1" t="s">
        <v>39</v>
      </c>
      <c r="K338" s="1" t="s">
        <v>90</v>
      </c>
      <c r="L338" s="1" t="s">
        <v>1022</v>
      </c>
      <c r="M338" s="1" t="s">
        <v>1876</v>
      </c>
      <c r="N338" s="1" t="s">
        <v>811</v>
      </c>
      <c r="O338" s="1" t="s">
        <v>1877</v>
      </c>
      <c r="P338" s="1" t="s">
        <v>1878</v>
      </c>
      <c r="Q338" s="1" t="s">
        <v>1879</v>
      </c>
      <c r="R338" s="1" t="s">
        <v>1883</v>
      </c>
      <c r="S338" s="1" t="s">
        <v>165</v>
      </c>
      <c r="T338" s="1">
        <v>53499</v>
      </c>
      <c r="V338" s="1" t="s">
        <v>1815</v>
      </c>
      <c r="W338" s="1" t="s">
        <v>1884</v>
      </c>
    </row>
    <row r="339" spans="1:23" ht="15.75" customHeight="1" x14ac:dyDescent="0.35">
      <c r="A339" s="1" t="s">
        <v>234</v>
      </c>
      <c r="B339" s="1" t="s">
        <v>1885</v>
      </c>
      <c r="C339" s="1" t="s">
        <v>1886</v>
      </c>
      <c r="D339" s="1" t="s">
        <v>1732</v>
      </c>
      <c r="E339" s="1" t="s">
        <v>552</v>
      </c>
      <c r="F339" s="1" t="s">
        <v>1887</v>
      </c>
      <c r="G339" s="1" t="s">
        <v>1888</v>
      </c>
      <c r="H339" s="1" t="s">
        <v>1889</v>
      </c>
      <c r="I339" s="1" t="s">
        <v>1890</v>
      </c>
      <c r="J339" s="1" t="s">
        <v>39</v>
      </c>
      <c r="K339" s="1" t="s">
        <v>90</v>
      </c>
      <c r="L339" s="1" t="s">
        <v>1891</v>
      </c>
      <c r="M339" s="1" t="s">
        <v>241</v>
      </c>
      <c r="N339" s="1" t="s">
        <v>465</v>
      </c>
      <c r="O339" s="1" t="s">
        <v>1892</v>
      </c>
      <c r="P339" s="1" t="s">
        <v>1893</v>
      </c>
      <c r="Q339" s="1" t="s">
        <v>1894</v>
      </c>
      <c r="R339" s="1" t="s">
        <v>64</v>
      </c>
      <c r="S339" s="1" t="s">
        <v>165</v>
      </c>
      <c r="T339" s="1">
        <v>117699</v>
      </c>
      <c r="U339" s="1" t="s">
        <v>1082</v>
      </c>
      <c r="V339" s="1" t="s">
        <v>1895</v>
      </c>
      <c r="W339" s="1" t="s">
        <v>1896</v>
      </c>
    </row>
    <row r="340" spans="1:23" ht="15.75" customHeight="1" x14ac:dyDescent="0.35">
      <c r="A340" s="1" t="s">
        <v>112</v>
      </c>
      <c r="B340" s="1" t="s">
        <v>1897</v>
      </c>
      <c r="C340" s="1" t="s">
        <v>1798</v>
      </c>
      <c r="D340" s="1" t="s">
        <v>1715</v>
      </c>
      <c r="E340" s="1" t="s">
        <v>507</v>
      </c>
      <c r="F340" s="1" t="s">
        <v>1491</v>
      </c>
      <c r="G340" s="1" t="s">
        <v>1898</v>
      </c>
      <c r="H340" s="1" t="s">
        <v>404</v>
      </c>
      <c r="I340" s="1" t="s">
        <v>616</v>
      </c>
      <c r="J340" s="1" t="s">
        <v>75</v>
      </c>
      <c r="K340" s="1" t="s">
        <v>101</v>
      </c>
      <c r="L340" s="1" t="s">
        <v>193</v>
      </c>
      <c r="M340" s="1" t="s">
        <v>139</v>
      </c>
      <c r="N340" s="1" t="s">
        <v>1841</v>
      </c>
      <c r="O340" s="1" t="s">
        <v>1456</v>
      </c>
      <c r="P340" s="1" t="s">
        <v>1819</v>
      </c>
      <c r="Q340" s="1" t="s">
        <v>1899</v>
      </c>
      <c r="R340" s="1" t="s">
        <v>128</v>
      </c>
      <c r="S340" s="1" t="s">
        <v>78</v>
      </c>
      <c r="T340" s="1">
        <v>35500</v>
      </c>
      <c r="V340" s="1" t="s">
        <v>1457</v>
      </c>
      <c r="W340" s="1" t="s">
        <v>1900</v>
      </c>
    </row>
    <row r="341" spans="1:23" ht="15.75" customHeight="1" x14ac:dyDescent="0.35">
      <c r="A341" s="1" t="s">
        <v>112</v>
      </c>
      <c r="B341" s="1" t="s">
        <v>1901</v>
      </c>
      <c r="C341" s="1" t="s">
        <v>1798</v>
      </c>
      <c r="D341" s="1" t="s">
        <v>1715</v>
      </c>
      <c r="E341" s="1" t="s">
        <v>507</v>
      </c>
      <c r="F341" s="1" t="s">
        <v>1491</v>
      </c>
      <c r="G341" s="1" t="s">
        <v>1813</v>
      </c>
      <c r="H341" s="1" t="s">
        <v>404</v>
      </c>
      <c r="I341" s="1" t="s">
        <v>616</v>
      </c>
      <c r="J341" s="1" t="s">
        <v>75</v>
      </c>
      <c r="K341" s="1" t="s">
        <v>101</v>
      </c>
      <c r="L341" s="1" t="s">
        <v>186</v>
      </c>
      <c r="M341" s="1" t="s">
        <v>139</v>
      </c>
      <c r="N341" s="1" t="s">
        <v>124</v>
      </c>
      <c r="O341" s="1" t="s">
        <v>1456</v>
      </c>
      <c r="P341" s="1" t="s">
        <v>1819</v>
      </c>
      <c r="Q341" s="1" t="s">
        <v>1899</v>
      </c>
      <c r="R341" s="1" t="s">
        <v>1001</v>
      </c>
      <c r="S341" s="1" t="s">
        <v>78</v>
      </c>
      <c r="T341" s="1">
        <v>35500</v>
      </c>
      <c r="V341" s="1" t="s">
        <v>1795</v>
      </c>
      <c r="W341" s="1" t="s">
        <v>1902</v>
      </c>
    </row>
    <row r="342" spans="1:23" ht="15.75" customHeight="1" x14ac:dyDescent="0.35">
      <c r="A342" s="1" t="s">
        <v>112</v>
      </c>
      <c r="B342" s="1" t="s">
        <v>1903</v>
      </c>
      <c r="C342" s="1" t="s">
        <v>1118</v>
      </c>
      <c r="D342" s="1" t="s">
        <v>1715</v>
      </c>
      <c r="E342" s="1" t="s">
        <v>507</v>
      </c>
      <c r="F342" s="1" t="s">
        <v>1491</v>
      </c>
      <c r="G342" s="1" t="s">
        <v>1624</v>
      </c>
      <c r="H342" s="1" t="s">
        <v>404</v>
      </c>
      <c r="I342" s="1" t="s">
        <v>616</v>
      </c>
      <c r="J342" s="1" t="s">
        <v>75</v>
      </c>
      <c r="K342" s="1" t="s">
        <v>101</v>
      </c>
      <c r="L342" s="1" t="s">
        <v>990</v>
      </c>
      <c r="M342" s="1" t="s">
        <v>139</v>
      </c>
      <c r="N342" s="1" t="s">
        <v>124</v>
      </c>
      <c r="O342" s="1" t="s">
        <v>1456</v>
      </c>
      <c r="P342" s="1" t="s">
        <v>1819</v>
      </c>
      <c r="Q342" s="1" t="s">
        <v>1899</v>
      </c>
      <c r="R342" s="1" t="s">
        <v>991</v>
      </c>
      <c r="S342" s="1" t="s">
        <v>78</v>
      </c>
      <c r="T342" s="1">
        <v>54699</v>
      </c>
      <c r="U342" s="1" t="s">
        <v>166</v>
      </c>
      <c r="V342" s="1" t="s">
        <v>1457</v>
      </c>
      <c r="W342" s="1" t="s">
        <v>1904</v>
      </c>
    </row>
    <row r="343" spans="1:23" ht="15.75" customHeight="1" x14ac:dyDescent="0.35">
      <c r="A343" s="1" t="s">
        <v>66</v>
      </c>
      <c r="B343" s="1" t="s">
        <v>1905</v>
      </c>
      <c r="C343" s="1" t="s">
        <v>627</v>
      </c>
      <c r="D343" s="1" t="s">
        <v>982</v>
      </c>
      <c r="E343" s="1" t="s">
        <v>507</v>
      </c>
      <c r="F343" s="1" t="s">
        <v>1906</v>
      </c>
      <c r="G343" s="1" t="s">
        <v>1120</v>
      </c>
      <c r="H343" s="1" t="s">
        <v>1907</v>
      </c>
      <c r="I343" s="1" t="s">
        <v>616</v>
      </c>
      <c r="J343" s="1" t="s">
        <v>75</v>
      </c>
      <c r="K343" s="1" t="s">
        <v>101</v>
      </c>
      <c r="M343" s="1" t="s">
        <v>1908</v>
      </c>
      <c r="O343" s="1" t="s">
        <v>1909</v>
      </c>
      <c r="P343" s="1" t="s">
        <v>1910</v>
      </c>
      <c r="Q343" s="1" t="s">
        <v>1911</v>
      </c>
      <c r="R343" s="1" t="s">
        <v>64</v>
      </c>
      <c r="S343" s="1" t="s">
        <v>78</v>
      </c>
      <c r="T343" s="1">
        <v>29999</v>
      </c>
      <c r="U343" s="1" t="s">
        <v>166</v>
      </c>
      <c r="V343" s="1" t="s">
        <v>1912</v>
      </c>
    </row>
    <row r="344" spans="1:23" ht="15.75" customHeight="1" x14ac:dyDescent="0.35">
      <c r="A344" s="1" t="s">
        <v>151</v>
      </c>
      <c r="B344" s="1" t="s">
        <v>1672</v>
      </c>
      <c r="C344" s="1" t="s">
        <v>627</v>
      </c>
      <c r="D344" s="1" t="s">
        <v>1130</v>
      </c>
      <c r="E344" s="1" t="s">
        <v>507</v>
      </c>
      <c r="F344" s="1" t="s">
        <v>1913</v>
      </c>
      <c r="G344" s="1" t="s">
        <v>1506</v>
      </c>
      <c r="H344" s="1" t="s">
        <v>1521</v>
      </c>
      <c r="I344" s="1" t="s">
        <v>616</v>
      </c>
      <c r="J344" s="1" t="s">
        <v>39</v>
      </c>
      <c r="K344" s="1" t="s">
        <v>90</v>
      </c>
      <c r="L344" s="1" t="s">
        <v>1099</v>
      </c>
      <c r="M344" s="1" t="s">
        <v>831</v>
      </c>
      <c r="N344" s="1" t="s">
        <v>160</v>
      </c>
      <c r="O344" s="1" t="s">
        <v>1914</v>
      </c>
      <c r="P344" s="1" t="s">
        <v>1677</v>
      </c>
      <c r="Q344" s="1" t="s">
        <v>1678</v>
      </c>
      <c r="R344" s="1" t="s">
        <v>945</v>
      </c>
      <c r="S344" s="1" t="s">
        <v>78</v>
      </c>
      <c r="T344" s="1">
        <v>46800</v>
      </c>
      <c r="U344" s="1" t="s">
        <v>166</v>
      </c>
      <c r="V344" s="1" t="s">
        <v>1915</v>
      </c>
      <c r="W344" s="1" t="s">
        <v>1916</v>
      </c>
    </row>
    <row r="345" spans="1:23" ht="15.75" customHeight="1" x14ac:dyDescent="0.35">
      <c r="A345" s="1" t="s">
        <v>234</v>
      </c>
      <c r="B345" s="1" t="s">
        <v>1917</v>
      </c>
      <c r="C345" s="1" t="s">
        <v>1788</v>
      </c>
      <c r="D345" s="1" t="s">
        <v>1918</v>
      </c>
      <c r="E345" s="1" t="s">
        <v>70</v>
      </c>
      <c r="F345" s="1" t="s">
        <v>491</v>
      </c>
      <c r="G345" s="1" t="s">
        <v>1919</v>
      </c>
      <c r="H345" s="1" t="s">
        <v>1920</v>
      </c>
      <c r="I345" s="1" t="s">
        <v>1493</v>
      </c>
      <c r="J345" s="1" t="s">
        <v>57</v>
      </c>
      <c r="K345" s="1" t="s">
        <v>90</v>
      </c>
      <c r="L345" s="1" t="s">
        <v>972</v>
      </c>
      <c r="M345" s="1" t="s">
        <v>241</v>
      </c>
      <c r="N345" s="1" t="s">
        <v>811</v>
      </c>
      <c r="O345" s="1" t="s">
        <v>1921</v>
      </c>
      <c r="P345" s="1" t="s">
        <v>1922</v>
      </c>
      <c r="Q345" s="1" t="s">
        <v>1923</v>
      </c>
      <c r="R345" s="1" t="s">
        <v>281</v>
      </c>
      <c r="S345" s="1" t="s">
        <v>165</v>
      </c>
      <c r="T345" s="1">
        <v>44999</v>
      </c>
      <c r="V345" s="1" t="s">
        <v>1795</v>
      </c>
      <c r="W345" s="1" t="s">
        <v>1924</v>
      </c>
    </row>
    <row r="346" spans="1:23" ht="15.75" customHeight="1" x14ac:dyDescent="0.35">
      <c r="A346" s="1" t="s">
        <v>234</v>
      </c>
      <c r="B346" s="1" t="s">
        <v>1925</v>
      </c>
      <c r="C346" s="1" t="s">
        <v>1926</v>
      </c>
      <c r="D346" s="1" t="s">
        <v>1130</v>
      </c>
      <c r="E346" s="1" t="s">
        <v>507</v>
      </c>
      <c r="F346" s="1" t="s">
        <v>1603</v>
      </c>
      <c r="G346" s="1" t="s">
        <v>1927</v>
      </c>
      <c r="H346" s="1" t="s">
        <v>1928</v>
      </c>
      <c r="I346" s="1" t="s">
        <v>1493</v>
      </c>
      <c r="J346" s="1" t="s">
        <v>39</v>
      </c>
      <c r="K346" s="1" t="s">
        <v>90</v>
      </c>
      <c r="L346" s="1" t="s">
        <v>1929</v>
      </c>
      <c r="M346" s="1" t="s">
        <v>1876</v>
      </c>
      <c r="N346" s="1" t="s">
        <v>1866</v>
      </c>
      <c r="O346" s="1" t="s">
        <v>1930</v>
      </c>
      <c r="P346" s="1" t="s">
        <v>1931</v>
      </c>
      <c r="Q346" s="1" t="s">
        <v>1932</v>
      </c>
      <c r="R346" s="1" t="s">
        <v>281</v>
      </c>
      <c r="S346" s="1" t="s">
        <v>165</v>
      </c>
      <c r="T346" s="1">
        <v>45999</v>
      </c>
      <c r="V346" s="1" t="s">
        <v>1933</v>
      </c>
      <c r="W346" s="1" t="s">
        <v>1934</v>
      </c>
    </row>
    <row r="347" spans="1:23" ht="15.75" customHeight="1" x14ac:dyDescent="0.35">
      <c r="A347" s="1" t="s">
        <v>234</v>
      </c>
      <c r="B347" s="1" t="s">
        <v>1935</v>
      </c>
      <c r="C347" s="1" t="s">
        <v>1075</v>
      </c>
      <c r="D347" s="1" t="s">
        <v>1453</v>
      </c>
      <c r="E347" s="1" t="s">
        <v>70</v>
      </c>
      <c r="F347" s="1" t="s">
        <v>1119</v>
      </c>
      <c r="G347" s="1" t="s">
        <v>1936</v>
      </c>
      <c r="H347" s="1" t="s">
        <v>1937</v>
      </c>
      <c r="I347" s="1" t="s">
        <v>120</v>
      </c>
      <c r="J347" s="1" t="s">
        <v>75</v>
      </c>
      <c r="K347" s="1" t="s">
        <v>1722</v>
      </c>
      <c r="L347" s="1" t="s">
        <v>1405</v>
      </c>
      <c r="M347" s="1" t="s">
        <v>241</v>
      </c>
      <c r="N347" s="1" t="s">
        <v>465</v>
      </c>
      <c r="O347" s="1" t="s">
        <v>1938</v>
      </c>
      <c r="P347" s="1" t="s">
        <v>1939</v>
      </c>
      <c r="Q347" s="1" t="s">
        <v>1894</v>
      </c>
      <c r="R347" s="1" t="s">
        <v>281</v>
      </c>
      <c r="S347" s="1" t="s">
        <v>165</v>
      </c>
      <c r="T347" s="1">
        <v>47049</v>
      </c>
      <c r="U347" s="1" t="s">
        <v>1082</v>
      </c>
      <c r="V347" s="1" t="s">
        <v>1940</v>
      </c>
      <c r="W347" s="1" t="s">
        <v>1941</v>
      </c>
    </row>
    <row r="348" spans="1:23" ht="15.75" customHeight="1" x14ac:dyDescent="0.35">
      <c r="A348" s="1" t="s">
        <v>234</v>
      </c>
      <c r="B348" s="1" t="s">
        <v>1942</v>
      </c>
      <c r="C348" s="1" t="s">
        <v>1601</v>
      </c>
      <c r="D348" s="1" t="s">
        <v>1453</v>
      </c>
      <c r="E348" s="1" t="s">
        <v>1789</v>
      </c>
      <c r="F348" s="1" t="s">
        <v>1943</v>
      </c>
      <c r="G348" s="1" t="s">
        <v>1944</v>
      </c>
      <c r="H348" s="1" t="s">
        <v>1945</v>
      </c>
      <c r="I348" s="1" t="s">
        <v>1493</v>
      </c>
      <c r="J348" s="1" t="s">
        <v>57</v>
      </c>
      <c r="K348" s="1" t="s">
        <v>1722</v>
      </c>
      <c r="L348" s="1" t="s">
        <v>276</v>
      </c>
      <c r="M348" s="1" t="s">
        <v>241</v>
      </c>
      <c r="N348" s="1" t="s">
        <v>1866</v>
      </c>
      <c r="O348" s="1" t="s">
        <v>1946</v>
      </c>
      <c r="P348" s="1" t="s">
        <v>1947</v>
      </c>
      <c r="Q348" s="1" t="s">
        <v>1400</v>
      </c>
      <c r="R348" s="1" t="s">
        <v>281</v>
      </c>
      <c r="S348" s="1" t="s">
        <v>165</v>
      </c>
      <c r="T348" s="1">
        <v>41999</v>
      </c>
      <c r="V348" s="1" t="s">
        <v>1948</v>
      </c>
      <c r="W348" s="1" t="s">
        <v>1949</v>
      </c>
    </row>
    <row r="349" spans="1:23" ht="15.75" customHeight="1" x14ac:dyDescent="0.35">
      <c r="A349" s="1" t="s">
        <v>234</v>
      </c>
      <c r="B349" s="1" t="s">
        <v>1950</v>
      </c>
      <c r="C349" s="1" t="s">
        <v>1926</v>
      </c>
      <c r="D349" s="1" t="s">
        <v>1453</v>
      </c>
      <c r="E349" s="1" t="s">
        <v>1789</v>
      </c>
      <c r="F349" s="1" t="s">
        <v>965</v>
      </c>
      <c r="G349" s="1" t="s">
        <v>1944</v>
      </c>
      <c r="H349" s="1" t="s">
        <v>1951</v>
      </c>
      <c r="I349" s="1" t="s">
        <v>1493</v>
      </c>
      <c r="J349" s="1" t="s">
        <v>39</v>
      </c>
      <c r="K349" s="1" t="s">
        <v>90</v>
      </c>
      <c r="L349" s="1" t="s">
        <v>1929</v>
      </c>
      <c r="M349" s="1" t="s">
        <v>1876</v>
      </c>
      <c r="O349" s="1" t="s">
        <v>1930</v>
      </c>
      <c r="P349" s="1" t="s">
        <v>1952</v>
      </c>
      <c r="Q349" s="1" t="s">
        <v>1953</v>
      </c>
      <c r="R349" s="1" t="s">
        <v>301</v>
      </c>
      <c r="S349" s="1" t="s">
        <v>165</v>
      </c>
      <c r="T349" s="1">
        <v>50999</v>
      </c>
      <c r="V349" s="1" t="s">
        <v>1954</v>
      </c>
      <c r="W349" s="1" t="s">
        <v>1955</v>
      </c>
    </row>
    <row r="350" spans="1:23" ht="15.75" customHeight="1" x14ac:dyDescent="0.35">
      <c r="A350" s="1" t="s">
        <v>234</v>
      </c>
      <c r="B350" s="1" t="s">
        <v>1956</v>
      </c>
      <c r="C350" s="1" t="s">
        <v>1788</v>
      </c>
      <c r="D350" s="1" t="s">
        <v>982</v>
      </c>
      <c r="E350" s="1" t="s">
        <v>507</v>
      </c>
      <c r="F350" s="1" t="s">
        <v>1957</v>
      </c>
      <c r="G350" s="1" t="s">
        <v>1958</v>
      </c>
      <c r="H350" s="1" t="s">
        <v>1959</v>
      </c>
      <c r="I350" s="1" t="s">
        <v>275</v>
      </c>
      <c r="J350" s="1" t="s">
        <v>39</v>
      </c>
      <c r="K350" s="1" t="s">
        <v>90</v>
      </c>
      <c r="L350" s="1" t="s">
        <v>1929</v>
      </c>
      <c r="M350" s="1" t="s">
        <v>1960</v>
      </c>
      <c r="N350" s="1" t="s">
        <v>465</v>
      </c>
      <c r="O350" s="1" t="s">
        <v>1961</v>
      </c>
      <c r="P350" s="1" t="s">
        <v>1962</v>
      </c>
      <c r="Q350" s="1" t="s">
        <v>1963</v>
      </c>
      <c r="R350" s="1" t="s">
        <v>64</v>
      </c>
      <c r="S350" s="1" t="s">
        <v>165</v>
      </c>
      <c r="T350" s="1">
        <v>52999</v>
      </c>
      <c r="V350" s="1" t="s">
        <v>1795</v>
      </c>
      <c r="W350" s="1" t="s">
        <v>1964</v>
      </c>
    </row>
    <row r="351" spans="1:23" ht="15.75" customHeight="1" x14ac:dyDescent="0.35">
      <c r="A351" s="1" t="s">
        <v>234</v>
      </c>
      <c r="B351" s="1" t="s">
        <v>1965</v>
      </c>
      <c r="C351" s="1" t="s">
        <v>1788</v>
      </c>
      <c r="D351" s="1" t="s">
        <v>1715</v>
      </c>
      <c r="E351" s="1" t="s">
        <v>507</v>
      </c>
      <c r="F351" s="1" t="s">
        <v>1957</v>
      </c>
      <c r="G351" s="1" t="s">
        <v>1958</v>
      </c>
      <c r="H351" s="1" t="s">
        <v>1959</v>
      </c>
      <c r="I351" s="1" t="s">
        <v>275</v>
      </c>
      <c r="J351" s="1" t="s">
        <v>39</v>
      </c>
      <c r="K351" s="1" t="s">
        <v>90</v>
      </c>
      <c r="L351" s="1" t="s">
        <v>1929</v>
      </c>
      <c r="M351" s="1" t="s">
        <v>1960</v>
      </c>
      <c r="N351" s="1" t="s">
        <v>465</v>
      </c>
      <c r="O351" s="1" t="s">
        <v>1961</v>
      </c>
      <c r="P351" s="1" t="s">
        <v>1962</v>
      </c>
      <c r="Q351" s="1" t="s">
        <v>1963</v>
      </c>
      <c r="R351" s="1" t="s">
        <v>64</v>
      </c>
      <c r="S351" s="1" t="s">
        <v>165</v>
      </c>
      <c r="T351" s="1">
        <v>62400</v>
      </c>
      <c r="V351" s="1" t="s">
        <v>1795</v>
      </c>
      <c r="W351" s="1" t="s">
        <v>1966</v>
      </c>
    </row>
    <row r="352" spans="1:23" ht="15.75" customHeight="1" x14ac:dyDescent="0.35">
      <c r="A352" s="1" t="s">
        <v>234</v>
      </c>
      <c r="B352" s="1" t="s">
        <v>1967</v>
      </c>
      <c r="C352" s="1" t="s">
        <v>1118</v>
      </c>
      <c r="D352" s="1" t="s">
        <v>115</v>
      </c>
      <c r="E352" s="1" t="s">
        <v>507</v>
      </c>
      <c r="F352" s="1" t="s">
        <v>1968</v>
      </c>
      <c r="G352" s="1" t="s">
        <v>1969</v>
      </c>
      <c r="H352" s="1" t="s">
        <v>1970</v>
      </c>
      <c r="I352" s="1" t="s">
        <v>275</v>
      </c>
      <c r="J352" s="1" t="s">
        <v>39</v>
      </c>
      <c r="K352" s="1" t="s">
        <v>90</v>
      </c>
      <c r="L352" s="1" t="s">
        <v>1971</v>
      </c>
      <c r="M352" s="1" t="s">
        <v>464</v>
      </c>
      <c r="N352" s="1" t="s">
        <v>1972</v>
      </c>
      <c r="O352" s="1" t="s">
        <v>1973</v>
      </c>
      <c r="P352" s="1" t="s">
        <v>1974</v>
      </c>
      <c r="Q352" s="1" t="s">
        <v>1975</v>
      </c>
      <c r="R352" s="1" t="s">
        <v>64</v>
      </c>
      <c r="S352" s="1" t="s">
        <v>165</v>
      </c>
      <c r="T352" s="1">
        <v>53499</v>
      </c>
      <c r="U352" s="1" t="s">
        <v>166</v>
      </c>
      <c r="V352" s="1" t="s">
        <v>1976</v>
      </c>
      <c r="W352" s="1" t="s">
        <v>1977</v>
      </c>
    </row>
    <row r="353" spans="1:23" ht="15.75" customHeight="1" x14ac:dyDescent="0.35">
      <c r="A353" s="1" t="s">
        <v>234</v>
      </c>
      <c r="B353" s="1" t="s">
        <v>1978</v>
      </c>
      <c r="C353" s="1" t="s">
        <v>1756</v>
      </c>
      <c r="D353" s="1" t="s">
        <v>1697</v>
      </c>
      <c r="E353" s="1" t="s">
        <v>507</v>
      </c>
      <c r="F353" s="1" t="s">
        <v>1957</v>
      </c>
      <c r="G353" s="1" t="s">
        <v>1979</v>
      </c>
      <c r="H353" s="1" t="s">
        <v>1980</v>
      </c>
      <c r="I353" s="1" t="s">
        <v>345</v>
      </c>
      <c r="K353" s="1" t="s">
        <v>90</v>
      </c>
      <c r="L353" s="1" t="s">
        <v>1971</v>
      </c>
      <c r="M353" s="1" t="s">
        <v>464</v>
      </c>
      <c r="N353" s="1" t="s">
        <v>1972</v>
      </c>
      <c r="O353" s="1" t="s">
        <v>1973</v>
      </c>
      <c r="P353" s="1" t="s">
        <v>1974</v>
      </c>
      <c r="Q353" s="1" t="s">
        <v>1975</v>
      </c>
      <c r="R353" s="1" t="s">
        <v>64</v>
      </c>
      <c r="S353" s="1" t="s">
        <v>165</v>
      </c>
      <c r="T353" s="1">
        <v>69099</v>
      </c>
      <c r="U353" s="1" t="s">
        <v>166</v>
      </c>
      <c r="V353" s="1" t="s">
        <v>1760</v>
      </c>
      <c r="W353" s="1" t="s">
        <v>1981</v>
      </c>
    </row>
    <row r="354" spans="1:23" ht="15.75" customHeight="1" x14ac:dyDescent="0.35">
      <c r="A354" s="1" t="s">
        <v>234</v>
      </c>
      <c r="B354" s="1" t="s">
        <v>1982</v>
      </c>
      <c r="C354" s="1" t="s">
        <v>1756</v>
      </c>
      <c r="D354" s="1" t="s">
        <v>1983</v>
      </c>
      <c r="E354" s="1" t="s">
        <v>410</v>
      </c>
      <c r="F354" s="1" t="s">
        <v>1863</v>
      </c>
      <c r="G354" s="1" t="s">
        <v>472</v>
      </c>
      <c r="H354" s="1" t="s">
        <v>1984</v>
      </c>
      <c r="I354" s="1" t="s">
        <v>1493</v>
      </c>
      <c r="J354" s="1" t="s">
        <v>256</v>
      </c>
      <c r="K354" s="1" t="s">
        <v>90</v>
      </c>
      <c r="L354" s="1" t="s">
        <v>1985</v>
      </c>
      <c r="M354" s="1" t="s">
        <v>241</v>
      </c>
      <c r="O354" s="1" t="s">
        <v>1986</v>
      </c>
      <c r="P354" s="1" t="s">
        <v>1987</v>
      </c>
      <c r="Q354" s="1" t="s">
        <v>1400</v>
      </c>
      <c r="R354" s="1" t="s">
        <v>64</v>
      </c>
      <c r="S354" s="1" t="s">
        <v>165</v>
      </c>
      <c r="T354" s="1">
        <v>108900</v>
      </c>
      <c r="U354" s="1" t="s">
        <v>166</v>
      </c>
      <c r="V354" s="1" t="s">
        <v>1760</v>
      </c>
      <c r="W354" s="1" t="s">
        <v>1988</v>
      </c>
    </row>
    <row r="355" spans="1:23" ht="15.75" customHeight="1" x14ac:dyDescent="0.35">
      <c r="A355" s="1" t="s">
        <v>234</v>
      </c>
      <c r="B355" s="1" t="s">
        <v>1989</v>
      </c>
      <c r="C355" s="1" t="s">
        <v>1756</v>
      </c>
      <c r="D355" s="1" t="s">
        <v>1983</v>
      </c>
      <c r="E355" s="1" t="s">
        <v>410</v>
      </c>
      <c r="F355" s="1" t="s">
        <v>1863</v>
      </c>
      <c r="G355" s="1" t="s">
        <v>576</v>
      </c>
      <c r="H355" s="1" t="s">
        <v>1990</v>
      </c>
      <c r="I355" s="1" t="s">
        <v>120</v>
      </c>
      <c r="J355" s="1" t="s">
        <v>1518</v>
      </c>
      <c r="K355" s="1" t="s">
        <v>90</v>
      </c>
      <c r="L355" s="1" t="s">
        <v>474</v>
      </c>
      <c r="M355" s="1" t="s">
        <v>241</v>
      </c>
      <c r="O355" s="1" t="s">
        <v>1991</v>
      </c>
      <c r="P355" s="1" t="s">
        <v>1868</v>
      </c>
      <c r="Q355" s="1" t="s">
        <v>1869</v>
      </c>
      <c r="R355" s="1" t="s">
        <v>64</v>
      </c>
      <c r="S355" s="1" t="s">
        <v>165</v>
      </c>
      <c r="T355" s="1">
        <v>107000</v>
      </c>
      <c r="U355" s="1" t="s">
        <v>166</v>
      </c>
      <c r="V355" s="1" t="s">
        <v>1760</v>
      </c>
      <c r="W355" s="1" t="s">
        <v>1992</v>
      </c>
    </row>
    <row r="356" spans="1:23" ht="15.75" customHeight="1" x14ac:dyDescent="0.35">
      <c r="A356" s="1" t="s">
        <v>234</v>
      </c>
      <c r="B356" s="1" t="s">
        <v>1993</v>
      </c>
      <c r="C356" s="1" t="s">
        <v>1756</v>
      </c>
      <c r="D356" s="1" t="s">
        <v>1994</v>
      </c>
      <c r="E356" s="1" t="s">
        <v>552</v>
      </c>
      <c r="F356" s="1" t="s">
        <v>1863</v>
      </c>
      <c r="G356" s="1" t="s">
        <v>472</v>
      </c>
      <c r="H356" s="1" t="s">
        <v>1995</v>
      </c>
      <c r="I356" s="1" t="s">
        <v>120</v>
      </c>
      <c r="J356" s="1" t="s">
        <v>1518</v>
      </c>
      <c r="K356" s="1" t="s">
        <v>90</v>
      </c>
      <c r="L356" s="1" t="s">
        <v>474</v>
      </c>
      <c r="M356" s="1" t="s">
        <v>241</v>
      </c>
      <c r="N356" s="1" t="s">
        <v>1866</v>
      </c>
      <c r="O356" s="1" t="s">
        <v>1867</v>
      </c>
      <c r="P356" s="1" t="s">
        <v>1868</v>
      </c>
      <c r="Q356" s="1" t="s">
        <v>1869</v>
      </c>
      <c r="R356" s="1" t="s">
        <v>64</v>
      </c>
      <c r="S356" s="1" t="s">
        <v>165</v>
      </c>
      <c r="T356" s="1">
        <v>119999</v>
      </c>
      <c r="U356" s="1" t="s">
        <v>166</v>
      </c>
      <c r="V356" s="1" t="s">
        <v>1760</v>
      </c>
      <c r="W356" s="1" t="s">
        <v>1996</v>
      </c>
    </row>
    <row r="357" spans="1:23" ht="15.75" customHeight="1" x14ac:dyDescent="0.35">
      <c r="A357" s="1" t="s">
        <v>234</v>
      </c>
      <c r="B357" s="1" t="s">
        <v>1997</v>
      </c>
      <c r="C357" s="1" t="s">
        <v>1998</v>
      </c>
      <c r="D357" s="1" t="s">
        <v>312</v>
      </c>
      <c r="E357" s="1" t="s">
        <v>70</v>
      </c>
      <c r="F357" s="1" t="s">
        <v>1999</v>
      </c>
      <c r="G357" s="1" t="s">
        <v>295</v>
      </c>
      <c r="H357" s="1" t="s">
        <v>2000</v>
      </c>
      <c r="I357" s="1" t="s">
        <v>616</v>
      </c>
      <c r="J357" s="1" t="s">
        <v>75</v>
      </c>
      <c r="K357" s="1" t="s">
        <v>90</v>
      </c>
      <c r="L357" s="1" t="s">
        <v>1022</v>
      </c>
      <c r="M357" s="1" t="s">
        <v>241</v>
      </c>
      <c r="N357" s="1" t="s">
        <v>465</v>
      </c>
      <c r="O357" s="1" t="s">
        <v>2001</v>
      </c>
      <c r="P357" s="1" t="s">
        <v>2002</v>
      </c>
      <c r="Q357" s="1" t="s">
        <v>300</v>
      </c>
      <c r="R357" s="1" t="s">
        <v>1479</v>
      </c>
      <c r="S357" s="1" t="s">
        <v>339</v>
      </c>
      <c r="T357" s="1">
        <v>44000</v>
      </c>
      <c r="V357" s="1" t="s">
        <v>2003</v>
      </c>
    </row>
    <row r="358" spans="1:23" ht="15.75" customHeight="1" x14ac:dyDescent="0.35">
      <c r="A358" s="1" t="s">
        <v>112</v>
      </c>
      <c r="B358" s="1" t="s">
        <v>2004</v>
      </c>
      <c r="C358" s="1" t="s">
        <v>1601</v>
      </c>
      <c r="D358" s="1" t="s">
        <v>1715</v>
      </c>
      <c r="E358" s="1" t="s">
        <v>507</v>
      </c>
      <c r="F358" s="1" t="s">
        <v>2005</v>
      </c>
      <c r="G358" s="1" t="s">
        <v>136</v>
      </c>
      <c r="H358" s="1" t="s">
        <v>2006</v>
      </c>
      <c r="I358" s="1" t="s">
        <v>616</v>
      </c>
      <c r="J358" s="1" t="s">
        <v>75</v>
      </c>
      <c r="K358" s="1" t="s">
        <v>90</v>
      </c>
      <c r="L358" s="1" t="s">
        <v>193</v>
      </c>
      <c r="M358" s="1" t="s">
        <v>139</v>
      </c>
      <c r="N358" s="1" t="s">
        <v>124</v>
      </c>
      <c r="O358" s="1" t="s">
        <v>2007</v>
      </c>
      <c r="P358" s="1" t="s">
        <v>126</v>
      </c>
      <c r="Q358" s="1" t="s">
        <v>127</v>
      </c>
      <c r="R358" s="1" t="s">
        <v>757</v>
      </c>
      <c r="S358" s="1" t="s">
        <v>78</v>
      </c>
      <c r="T358" s="1">
        <v>43899</v>
      </c>
      <c r="V358" s="1" t="s">
        <v>1620</v>
      </c>
    </row>
    <row r="359" spans="1:23" ht="15.75" customHeight="1" x14ac:dyDescent="0.35">
      <c r="A359" s="1" t="s">
        <v>112</v>
      </c>
      <c r="B359" s="1" t="s">
        <v>2008</v>
      </c>
      <c r="C359" s="1" t="s">
        <v>1118</v>
      </c>
      <c r="D359" s="1" t="s">
        <v>1130</v>
      </c>
      <c r="E359" s="1" t="s">
        <v>507</v>
      </c>
      <c r="F359" s="1" t="s">
        <v>1491</v>
      </c>
      <c r="G359" s="1" t="s">
        <v>1624</v>
      </c>
      <c r="H359" s="1" t="s">
        <v>2009</v>
      </c>
      <c r="I359" s="1" t="s">
        <v>616</v>
      </c>
      <c r="J359" s="1" t="s">
        <v>75</v>
      </c>
      <c r="K359" s="1" t="s">
        <v>101</v>
      </c>
      <c r="L359" s="1" t="s">
        <v>193</v>
      </c>
      <c r="M359" s="1" t="s">
        <v>139</v>
      </c>
      <c r="N359" s="1" t="s">
        <v>124</v>
      </c>
      <c r="O359" s="1" t="s">
        <v>1456</v>
      </c>
      <c r="P359" s="1" t="s">
        <v>2010</v>
      </c>
      <c r="Q359" s="1" t="s">
        <v>2011</v>
      </c>
      <c r="R359" s="1" t="s">
        <v>757</v>
      </c>
      <c r="S359" s="1" t="s">
        <v>78</v>
      </c>
      <c r="T359" s="1">
        <v>39499</v>
      </c>
      <c r="U359" s="1" t="s">
        <v>166</v>
      </c>
      <c r="V359" s="1" t="s">
        <v>1457</v>
      </c>
      <c r="W359" s="1" t="s">
        <v>2012</v>
      </c>
    </row>
    <row r="360" spans="1:23" ht="15.75" customHeight="1" x14ac:dyDescent="0.35">
      <c r="A360" s="1" t="s">
        <v>112</v>
      </c>
      <c r="B360" s="1" t="s">
        <v>2013</v>
      </c>
      <c r="C360" s="1" t="s">
        <v>1118</v>
      </c>
      <c r="D360" s="1" t="s">
        <v>1130</v>
      </c>
      <c r="E360" s="1" t="s">
        <v>507</v>
      </c>
      <c r="F360" s="1" t="s">
        <v>2014</v>
      </c>
      <c r="G360" s="1" t="s">
        <v>1813</v>
      </c>
      <c r="H360" s="1" t="s">
        <v>441</v>
      </c>
      <c r="I360" s="1" t="s">
        <v>120</v>
      </c>
      <c r="J360" s="1" t="s">
        <v>75</v>
      </c>
      <c r="K360" s="1" t="s">
        <v>101</v>
      </c>
      <c r="L360" s="1" t="s">
        <v>193</v>
      </c>
      <c r="M360" s="1" t="s">
        <v>139</v>
      </c>
      <c r="N360" s="1" t="s">
        <v>124</v>
      </c>
      <c r="O360" s="1" t="s">
        <v>774</v>
      </c>
      <c r="P360" s="1" t="s">
        <v>126</v>
      </c>
      <c r="Q360" s="1" t="s">
        <v>127</v>
      </c>
      <c r="R360" s="1" t="s">
        <v>757</v>
      </c>
      <c r="S360" s="1" t="s">
        <v>78</v>
      </c>
      <c r="T360" s="1">
        <v>36999</v>
      </c>
      <c r="U360" s="1" t="s">
        <v>166</v>
      </c>
      <c r="V360" s="1" t="s">
        <v>1457</v>
      </c>
      <c r="W360" s="1" t="s">
        <v>2015</v>
      </c>
    </row>
    <row r="361" spans="1:23" ht="15.75" customHeight="1" x14ac:dyDescent="0.35">
      <c r="A361" s="1" t="s">
        <v>151</v>
      </c>
      <c r="B361" s="1" t="s">
        <v>826</v>
      </c>
      <c r="C361" s="1" t="s">
        <v>1601</v>
      </c>
      <c r="D361" s="1" t="s">
        <v>1130</v>
      </c>
      <c r="E361" s="1" t="s">
        <v>507</v>
      </c>
      <c r="F361" s="1" t="s">
        <v>1674</v>
      </c>
      <c r="G361" s="1" t="s">
        <v>2016</v>
      </c>
      <c r="H361" s="1" t="s">
        <v>1833</v>
      </c>
      <c r="I361" s="1" t="s">
        <v>616</v>
      </c>
      <c r="J361" s="1" t="s">
        <v>39</v>
      </c>
      <c r="K361" s="1" t="s">
        <v>101</v>
      </c>
      <c r="M361" s="1" t="s">
        <v>831</v>
      </c>
      <c r="N361" s="1" t="s">
        <v>160</v>
      </c>
      <c r="O361" s="1" t="s">
        <v>1522</v>
      </c>
      <c r="P361" s="1" t="s">
        <v>834</v>
      </c>
      <c r="Q361" s="1" t="s">
        <v>652</v>
      </c>
      <c r="R361" s="1" t="s">
        <v>217</v>
      </c>
      <c r="S361" s="1" t="s">
        <v>78</v>
      </c>
      <c r="T361" s="1">
        <v>27499</v>
      </c>
      <c r="V361" s="1" t="s">
        <v>1503</v>
      </c>
      <c r="W361" s="1" t="s">
        <v>2017</v>
      </c>
    </row>
    <row r="362" spans="1:23" ht="15.75" customHeight="1" x14ac:dyDescent="0.35">
      <c r="A362" s="1" t="s">
        <v>112</v>
      </c>
      <c r="B362" s="1" t="s">
        <v>2018</v>
      </c>
      <c r="C362" s="1" t="s">
        <v>1711</v>
      </c>
      <c r="D362" s="1" t="s">
        <v>1628</v>
      </c>
      <c r="E362" s="1" t="s">
        <v>507</v>
      </c>
      <c r="F362" s="1" t="s">
        <v>2019</v>
      </c>
      <c r="G362" s="1" t="s">
        <v>1813</v>
      </c>
      <c r="H362" s="1" t="s">
        <v>2020</v>
      </c>
      <c r="I362" s="1" t="s">
        <v>120</v>
      </c>
      <c r="K362" s="1" t="s">
        <v>90</v>
      </c>
      <c r="L362" s="1" t="s">
        <v>193</v>
      </c>
      <c r="M362" s="1" t="s">
        <v>139</v>
      </c>
      <c r="N362" s="1" t="s">
        <v>1841</v>
      </c>
      <c r="O362" s="1" t="s">
        <v>2021</v>
      </c>
      <c r="P362" s="1" t="s">
        <v>1819</v>
      </c>
      <c r="Q362" s="1" t="s">
        <v>2011</v>
      </c>
      <c r="R362" s="1" t="s">
        <v>2022</v>
      </c>
      <c r="S362" s="1" t="s">
        <v>78</v>
      </c>
      <c r="T362" s="1">
        <v>24750</v>
      </c>
      <c r="V362" s="1" t="s">
        <v>1713</v>
      </c>
      <c r="W362" s="1" t="s">
        <v>2023</v>
      </c>
    </row>
    <row r="363" spans="1:23" ht="15.75" customHeight="1" x14ac:dyDescent="0.35">
      <c r="A363" s="1" t="s">
        <v>30</v>
      </c>
      <c r="B363" s="1" t="s">
        <v>2024</v>
      </c>
      <c r="C363" s="1" t="s">
        <v>2025</v>
      </c>
      <c r="D363" s="1" t="s">
        <v>2026</v>
      </c>
      <c r="E363" s="1" t="s">
        <v>552</v>
      </c>
      <c r="F363" s="1" t="s">
        <v>2027</v>
      </c>
      <c r="G363" s="1" t="s">
        <v>2028</v>
      </c>
      <c r="H363" s="1" t="s">
        <v>2029</v>
      </c>
      <c r="I363" s="1" t="s">
        <v>616</v>
      </c>
      <c r="J363" s="1" t="s">
        <v>1518</v>
      </c>
      <c r="K363" s="1" t="s">
        <v>90</v>
      </c>
      <c r="L363" s="1" t="s">
        <v>2030</v>
      </c>
      <c r="M363" s="1" t="s">
        <v>2031</v>
      </c>
      <c r="N363" s="1" t="s">
        <v>2032</v>
      </c>
      <c r="O363" s="1" t="s">
        <v>2033</v>
      </c>
      <c r="P363" s="1" t="s">
        <v>2034</v>
      </c>
      <c r="Q363" s="1" t="s">
        <v>2035</v>
      </c>
      <c r="R363" s="1" t="s">
        <v>2036</v>
      </c>
      <c r="S363" s="1" t="s">
        <v>165</v>
      </c>
      <c r="T363" s="1">
        <v>129999</v>
      </c>
      <c r="U363" s="1" t="s">
        <v>166</v>
      </c>
      <c r="V363" s="1" t="s">
        <v>2037</v>
      </c>
    </row>
    <row r="364" spans="1:23" ht="15.75" customHeight="1" x14ac:dyDescent="0.35">
      <c r="A364" s="1" t="s">
        <v>30</v>
      </c>
      <c r="B364" s="1" t="s">
        <v>2038</v>
      </c>
      <c r="C364" s="1" t="s">
        <v>1075</v>
      </c>
      <c r="D364" s="1" t="s">
        <v>1076</v>
      </c>
      <c r="E364" s="1" t="s">
        <v>410</v>
      </c>
      <c r="F364" s="1" t="s">
        <v>491</v>
      </c>
      <c r="G364" s="1" t="s">
        <v>2039</v>
      </c>
      <c r="H364" s="1" t="s">
        <v>2040</v>
      </c>
      <c r="I364" s="1" t="s">
        <v>1371</v>
      </c>
      <c r="J364" s="1" t="s">
        <v>256</v>
      </c>
      <c r="K364" s="1" t="s">
        <v>90</v>
      </c>
      <c r="L364" s="1" t="s">
        <v>2041</v>
      </c>
      <c r="M364" s="1" t="s">
        <v>2042</v>
      </c>
      <c r="N364" s="1" t="s">
        <v>1364</v>
      </c>
      <c r="O364" s="1" t="s">
        <v>2043</v>
      </c>
      <c r="P364" s="1" t="s">
        <v>2044</v>
      </c>
      <c r="Q364" s="1" t="s">
        <v>2045</v>
      </c>
      <c r="R364" s="1" t="s">
        <v>64</v>
      </c>
      <c r="S364" s="1" t="s">
        <v>165</v>
      </c>
      <c r="T364" s="1">
        <v>57999</v>
      </c>
      <c r="U364" s="1" t="s">
        <v>1082</v>
      </c>
      <c r="V364" s="1" t="s">
        <v>2046</v>
      </c>
    </row>
    <row r="365" spans="1:23" ht="15.75" customHeight="1" x14ac:dyDescent="0.35">
      <c r="A365" s="1" t="s">
        <v>30</v>
      </c>
      <c r="B365" s="1" t="s">
        <v>2047</v>
      </c>
      <c r="C365" s="1" t="s">
        <v>1118</v>
      </c>
      <c r="D365" s="1" t="s">
        <v>2048</v>
      </c>
      <c r="E365" s="1" t="s">
        <v>410</v>
      </c>
      <c r="F365" s="1" t="s">
        <v>2049</v>
      </c>
      <c r="G365" s="1" t="s">
        <v>2050</v>
      </c>
      <c r="H365" s="1" t="s">
        <v>370</v>
      </c>
      <c r="I365" s="1" t="s">
        <v>616</v>
      </c>
      <c r="J365" s="1" t="s">
        <v>75</v>
      </c>
      <c r="K365" s="1" t="s">
        <v>90</v>
      </c>
      <c r="L365" s="1" t="s">
        <v>1441</v>
      </c>
      <c r="M365" s="1" t="s">
        <v>649</v>
      </c>
      <c r="N365" s="1" t="s">
        <v>373</v>
      </c>
      <c r="O365" s="1" t="s">
        <v>2051</v>
      </c>
      <c r="P365" s="1" t="s">
        <v>651</v>
      </c>
      <c r="Q365" s="1" t="s">
        <v>652</v>
      </c>
      <c r="R365" s="1" t="s">
        <v>64</v>
      </c>
      <c r="S365" s="1" t="s">
        <v>165</v>
      </c>
      <c r="T365" s="1">
        <v>62049</v>
      </c>
      <c r="U365" s="1" t="s">
        <v>166</v>
      </c>
      <c r="V365" s="1" t="s">
        <v>1663</v>
      </c>
    </row>
    <row r="366" spans="1:23" ht="15.75" customHeight="1" x14ac:dyDescent="0.35">
      <c r="A366" s="1" t="s">
        <v>30</v>
      </c>
      <c r="B366" s="1" t="s">
        <v>2052</v>
      </c>
      <c r="C366" s="1" t="s">
        <v>1075</v>
      </c>
      <c r="D366" s="1" t="s">
        <v>1715</v>
      </c>
      <c r="E366" s="1" t="s">
        <v>507</v>
      </c>
      <c r="F366" s="1" t="s">
        <v>2053</v>
      </c>
      <c r="G366" s="1" t="s">
        <v>2054</v>
      </c>
      <c r="H366" s="1" t="s">
        <v>1579</v>
      </c>
      <c r="I366" s="1" t="s">
        <v>616</v>
      </c>
      <c r="J366" s="1" t="s">
        <v>75</v>
      </c>
      <c r="K366" s="1" t="s">
        <v>90</v>
      </c>
      <c r="L366" s="1" t="s">
        <v>1441</v>
      </c>
      <c r="M366" s="1" t="s">
        <v>372</v>
      </c>
      <c r="N366" s="1" t="s">
        <v>373</v>
      </c>
      <c r="O366" s="1" t="s">
        <v>1616</v>
      </c>
      <c r="P366" s="1" t="s">
        <v>375</v>
      </c>
      <c r="Q366" s="1" t="s">
        <v>376</v>
      </c>
      <c r="R366" s="1" t="s">
        <v>64</v>
      </c>
      <c r="S366" s="1" t="s">
        <v>165</v>
      </c>
      <c r="T366" s="1">
        <v>36144</v>
      </c>
      <c r="U366" s="1" t="s">
        <v>1082</v>
      </c>
      <c r="V366" s="1" t="s">
        <v>2055</v>
      </c>
    </row>
    <row r="367" spans="1:23" ht="15.75" customHeight="1" x14ac:dyDescent="0.35">
      <c r="A367" s="1" t="s">
        <v>30</v>
      </c>
      <c r="B367" s="1" t="s">
        <v>1612</v>
      </c>
      <c r="C367" s="1" t="s">
        <v>1075</v>
      </c>
      <c r="D367" s="1" t="s">
        <v>1706</v>
      </c>
      <c r="E367" s="1" t="s">
        <v>507</v>
      </c>
      <c r="F367" s="1" t="s">
        <v>1134</v>
      </c>
      <c r="G367" s="1" t="s">
        <v>2054</v>
      </c>
      <c r="H367" s="1" t="s">
        <v>2056</v>
      </c>
      <c r="I367" s="1" t="s">
        <v>616</v>
      </c>
      <c r="J367" s="1" t="s">
        <v>971</v>
      </c>
      <c r="K367" s="1" t="s">
        <v>101</v>
      </c>
      <c r="L367" s="1" t="s">
        <v>1441</v>
      </c>
      <c r="M367" s="1" t="s">
        <v>372</v>
      </c>
      <c r="N367" s="1" t="s">
        <v>373</v>
      </c>
      <c r="O367" s="1" t="s">
        <v>1616</v>
      </c>
      <c r="P367" s="1" t="s">
        <v>375</v>
      </c>
      <c r="Q367" s="1" t="s">
        <v>376</v>
      </c>
      <c r="R367" s="1" t="s">
        <v>64</v>
      </c>
      <c r="S367" s="1" t="s">
        <v>78</v>
      </c>
      <c r="T367" s="1">
        <v>32100</v>
      </c>
      <c r="U367" s="1" t="s">
        <v>1082</v>
      </c>
      <c r="V367" s="1" t="s">
        <v>2057</v>
      </c>
    </row>
    <row r="368" spans="1:23" ht="15.75" customHeight="1" x14ac:dyDescent="0.35">
      <c r="A368" s="1" t="s">
        <v>30</v>
      </c>
      <c r="B368" s="1" t="s">
        <v>2058</v>
      </c>
      <c r="C368" s="1" t="s">
        <v>1118</v>
      </c>
      <c r="D368" s="1" t="s">
        <v>2059</v>
      </c>
      <c r="E368" s="1" t="s">
        <v>410</v>
      </c>
      <c r="F368" s="1" t="s">
        <v>2060</v>
      </c>
      <c r="G368" s="1" t="s">
        <v>2050</v>
      </c>
      <c r="H368" s="1" t="s">
        <v>2061</v>
      </c>
      <c r="I368" s="1" t="s">
        <v>1493</v>
      </c>
      <c r="J368" s="1" t="s">
        <v>256</v>
      </c>
      <c r="K368" s="1" t="s">
        <v>90</v>
      </c>
      <c r="L368" s="1" t="s">
        <v>2041</v>
      </c>
      <c r="M368" s="1" t="s">
        <v>500</v>
      </c>
      <c r="N368" s="1" t="s">
        <v>373</v>
      </c>
      <c r="O368" s="1" t="s">
        <v>2062</v>
      </c>
      <c r="P368" s="1" t="s">
        <v>2063</v>
      </c>
      <c r="Q368" s="1" t="s">
        <v>2064</v>
      </c>
      <c r="R368" s="1" t="s">
        <v>64</v>
      </c>
      <c r="S368" s="1" t="s">
        <v>165</v>
      </c>
      <c r="T368" s="1">
        <v>79599</v>
      </c>
      <c r="U368" s="1" t="s">
        <v>166</v>
      </c>
      <c r="V368" s="1" t="s">
        <v>1976</v>
      </c>
    </row>
    <row r="369" spans="1:23" ht="15.75" customHeight="1" x14ac:dyDescent="0.35">
      <c r="A369" s="1" t="s">
        <v>30</v>
      </c>
      <c r="B369" s="1" t="s">
        <v>2065</v>
      </c>
      <c r="C369" s="1" t="s">
        <v>1118</v>
      </c>
      <c r="D369" s="1" t="s">
        <v>2066</v>
      </c>
      <c r="E369" s="1" t="s">
        <v>410</v>
      </c>
      <c r="F369" s="1" t="s">
        <v>2060</v>
      </c>
      <c r="G369" s="1" t="s">
        <v>2050</v>
      </c>
      <c r="H369" s="1" t="s">
        <v>2067</v>
      </c>
      <c r="I369" s="1" t="s">
        <v>1493</v>
      </c>
      <c r="J369" s="1" t="s">
        <v>57</v>
      </c>
      <c r="K369" s="1" t="s">
        <v>90</v>
      </c>
      <c r="L369" s="1" t="s">
        <v>2041</v>
      </c>
      <c r="M369" s="1" t="s">
        <v>500</v>
      </c>
      <c r="N369" s="1" t="s">
        <v>373</v>
      </c>
      <c r="O369" s="1" t="s">
        <v>2062</v>
      </c>
      <c r="P369" s="1" t="s">
        <v>2068</v>
      </c>
      <c r="Q369" s="1" t="s">
        <v>398</v>
      </c>
      <c r="R369" s="1" t="s">
        <v>64</v>
      </c>
      <c r="S369" s="1" t="s">
        <v>165</v>
      </c>
      <c r="T369" s="1">
        <v>83299</v>
      </c>
      <c r="U369" s="1" t="s">
        <v>166</v>
      </c>
      <c r="V369" s="1" t="s">
        <v>1976</v>
      </c>
    </row>
    <row r="370" spans="1:23" ht="15.75" customHeight="1" x14ac:dyDescent="0.35">
      <c r="A370" s="1" t="s">
        <v>151</v>
      </c>
      <c r="B370" s="1" t="s">
        <v>1085</v>
      </c>
      <c r="C370" s="1" t="s">
        <v>1636</v>
      </c>
      <c r="D370" s="1" t="s">
        <v>640</v>
      </c>
      <c r="E370" s="1" t="s">
        <v>410</v>
      </c>
      <c r="F370" s="1" t="s">
        <v>2069</v>
      </c>
      <c r="G370" s="1" t="s">
        <v>1087</v>
      </c>
      <c r="H370" s="1" t="s">
        <v>2070</v>
      </c>
      <c r="I370" s="1" t="s">
        <v>89</v>
      </c>
      <c r="J370" s="1" t="s">
        <v>57</v>
      </c>
      <c r="K370" s="1" t="s">
        <v>90</v>
      </c>
      <c r="L370" s="1" t="s">
        <v>940</v>
      </c>
      <c r="M370" s="1" t="s">
        <v>799</v>
      </c>
      <c r="N370" s="1" t="s">
        <v>571</v>
      </c>
      <c r="O370" s="1" t="s">
        <v>2071</v>
      </c>
      <c r="P370" s="1" t="s">
        <v>1090</v>
      </c>
      <c r="Q370" s="1" t="s">
        <v>1091</v>
      </c>
      <c r="R370" s="1" t="s">
        <v>945</v>
      </c>
      <c r="S370" s="1" t="s">
        <v>129</v>
      </c>
      <c r="T370" s="1">
        <v>71000</v>
      </c>
      <c r="U370" s="1" t="s">
        <v>79</v>
      </c>
      <c r="V370" s="1" t="s">
        <v>1331</v>
      </c>
      <c r="W370" s="1" t="s">
        <v>2072</v>
      </c>
    </row>
    <row r="371" spans="1:23" ht="15.75" customHeight="1" x14ac:dyDescent="0.35">
      <c r="A371" s="1" t="s">
        <v>234</v>
      </c>
      <c r="B371" s="1" t="s">
        <v>2073</v>
      </c>
      <c r="C371" s="1" t="s">
        <v>1756</v>
      </c>
      <c r="D371" s="1" t="s">
        <v>1983</v>
      </c>
      <c r="E371" s="1" t="s">
        <v>410</v>
      </c>
      <c r="F371" s="1" t="s">
        <v>2074</v>
      </c>
      <c r="G371" s="1" t="s">
        <v>472</v>
      </c>
      <c r="H371" s="1" t="s">
        <v>2075</v>
      </c>
      <c r="I371" s="1" t="s">
        <v>89</v>
      </c>
      <c r="J371" s="1" t="s">
        <v>57</v>
      </c>
      <c r="K371" s="1" t="s">
        <v>90</v>
      </c>
      <c r="L371" s="1" t="s">
        <v>2076</v>
      </c>
      <c r="M371" s="1" t="s">
        <v>1544</v>
      </c>
      <c r="N371" s="1" t="s">
        <v>811</v>
      </c>
      <c r="O371" s="1" t="s">
        <v>2077</v>
      </c>
      <c r="P371" s="1" t="s">
        <v>1922</v>
      </c>
      <c r="Q371" s="1" t="s">
        <v>2078</v>
      </c>
      <c r="R371" s="1" t="s">
        <v>1034</v>
      </c>
      <c r="S371" s="1" t="s">
        <v>165</v>
      </c>
      <c r="T371" s="1">
        <v>102999</v>
      </c>
      <c r="U371" s="1" t="s">
        <v>166</v>
      </c>
      <c r="V371" s="1" t="s">
        <v>1760</v>
      </c>
      <c r="W371" s="1" t="s">
        <v>2079</v>
      </c>
    </row>
    <row r="372" spans="1:23" ht="15.75" customHeight="1" x14ac:dyDescent="0.35">
      <c r="A372" s="1" t="s">
        <v>234</v>
      </c>
      <c r="B372" s="1" t="s">
        <v>2080</v>
      </c>
      <c r="C372" s="1" t="s">
        <v>711</v>
      </c>
      <c r="D372" s="1" t="s">
        <v>2081</v>
      </c>
      <c r="E372" s="1" t="s">
        <v>1556</v>
      </c>
      <c r="F372" s="1" t="s">
        <v>1264</v>
      </c>
      <c r="G372" s="1" t="s">
        <v>2082</v>
      </c>
      <c r="H372" s="1" t="s">
        <v>2083</v>
      </c>
      <c r="I372" s="1" t="s">
        <v>275</v>
      </c>
      <c r="J372" s="1" t="s">
        <v>57</v>
      </c>
      <c r="K372" s="1" t="s">
        <v>90</v>
      </c>
      <c r="L372" s="1" t="s">
        <v>1985</v>
      </c>
      <c r="M372" s="1" t="s">
        <v>241</v>
      </c>
      <c r="N372" s="1" t="s">
        <v>465</v>
      </c>
      <c r="O372" s="1" t="s">
        <v>2084</v>
      </c>
      <c r="P372" s="1" t="s">
        <v>290</v>
      </c>
      <c r="Q372" s="1" t="s">
        <v>280</v>
      </c>
      <c r="R372" s="1" t="s">
        <v>281</v>
      </c>
      <c r="S372" s="1" t="s">
        <v>165</v>
      </c>
      <c r="T372" s="1">
        <v>135000</v>
      </c>
      <c r="U372" s="1" t="s">
        <v>79</v>
      </c>
      <c r="V372" s="1" t="s">
        <v>2085</v>
      </c>
    </row>
    <row r="373" spans="1:23" ht="15.75" customHeight="1" x14ac:dyDescent="0.35">
      <c r="A373" s="1" t="s">
        <v>234</v>
      </c>
      <c r="B373" s="1" t="s">
        <v>2086</v>
      </c>
      <c r="C373" s="1" t="s">
        <v>1798</v>
      </c>
      <c r="D373" s="1" t="s">
        <v>1453</v>
      </c>
      <c r="E373" s="1" t="s">
        <v>70</v>
      </c>
      <c r="F373" s="1" t="s">
        <v>2087</v>
      </c>
      <c r="G373" s="1" t="s">
        <v>2088</v>
      </c>
      <c r="H373" s="1" t="s">
        <v>2089</v>
      </c>
      <c r="I373" s="1" t="s">
        <v>616</v>
      </c>
      <c r="J373" s="1" t="s">
        <v>75</v>
      </c>
      <c r="K373" s="1" t="s">
        <v>90</v>
      </c>
      <c r="L373" s="1" t="s">
        <v>1022</v>
      </c>
      <c r="M373" s="1" t="s">
        <v>241</v>
      </c>
      <c r="N373" s="1" t="s">
        <v>465</v>
      </c>
      <c r="O373" s="1" t="s">
        <v>2090</v>
      </c>
      <c r="P373" s="1" t="s">
        <v>1267</v>
      </c>
      <c r="Q373" s="1" t="s">
        <v>300</v>
      </c>
      <c r="R373" s="1" t="s">
        <v>246</v>
      </c>
      <c r="S373" s="1" t="s">
        <v>165</v>
      </c>
      <c r="T373" s="1">
        <v>47599</v>
      </c>
      <c r="V373" s="1" t="s">
        <v>1795</v>
      </c>
    </row>
    <row r="374" spans="1:23" ht="15.75" customHeight="1" x14ac:dyDescent="0.35">
      <c r="A374" s="1" t="s">
        <v>234</v>
      </c>
      <c r="B374" s="1" t="s">
        <v>2091</v>
      </c>
      <c r="C374" s="1" t="s">
        <v>2092</v>
      </c>
      <c r="D374" s="1" t="s">
        <v>1149</v>
      </c>
      <c r="E374" s="1" t="s">
        <v>410</v>
      </c>
      <c r="F374" s="1" t="s">
        <v>2093</v>
      </c>
      <c r="G374" s="1" t="s">
        <v>295</v>
      </c>
      <c r="H374" s="1" t="s">
        <v>1272</v>
      </c>
      <c r="I374" s="1" t="s">
        <v>616</v>
      </c>
      <c r="J374" s="1" t="s">
        <v>75</v>
      </c>
      <c r="K374" s="1" t="s">
        <v>90</v>
      </c>
      <c r="L374" s="1" t="s">
        <v>1022</v>
      </c>
      <c r="M374" s="1" t="s">
        <v>241</v>
      </c>
      <c r="N374" s="1" t="s">
        <v>465</v>
      </c>
      <c r="O374" s="1" t="s">
        <v>2001</v>
      </c>
      <c r="P374" s="1" t="s">
        <v>1267</v>
      </c>
      <c r="Q374" s="1" t="s">
        <v>300</v>
      </c>
      <c r="R374" s="1" t="s">
        <v>1479</v>
      </c>
      <c r="S374" s="1" t="s">
        <v>165</v>
      </c>
      <c r="T374" s="1">
        <v>84999</v>
      </c>
      <c r="V374" s="1" t="s">
        <v>2094</v>
      </c>
      <c r="W374" s="1" t="s">
        <v>2095</v>
      </c>
    </row>
    <row r="375" spans="1:23" ht="15.75" customHeight="1" x14ac:dyDescent="0.35">
      <c r="A375" s="1" t="s">
        <v>234</v>
      </c>
      <c r="B375" s="1" t="s">
        <v>2096</v>
      </c>
      <c r="C375" s="1" t="s">
        <v>1798</v>
      </c>
      <c r="D375" s="1" t="s">
        <v>1130</v>
      </c>
      <c r="E375" s="1" t="s">
        <v>507</v>
      </c>
      <c r="F375" s="1" t="s">
        <v>2097</v>
      </c>
      <c r="G375" s="1" t="s">
        <v>2088</v>
      </c>
      <c r="H375" s="1" t="s">
        <v>2089</v>
      </c>
      <c r="I375" s="1" t="s">
        <v>616</v>
      </c>
      <c r="J375" s="1" t="s">
        <v>75</v>
      </c>
      <c r="K375" s="1" t="s">
        <v>90</v>
      </c>
      <c r="L375" s="1" t="s">
        <v>1022</v>
      </c>
      <c r="M375" s="1" t="s">
        <v>464</v>
      </c>
      <c r="N375" s="1" t="s">
        <v>465</v>
      </c>
      <c r="O375" s="1" t="s">
        <v>2098</v>
      </c>
      <c r="P375" s="1" t="s">
        <v>1267</v>
      </c>
      <c r="Q375" s="1" t="s">
        <v>300</v>
      </c>
      <c r="R375" s="1" t="s">
        <v>246</v>
      </c>
      <c r="S375" s="1" t="s">
        <v>165</v>
      </c>
      <c r="T375" s="1">
        <v>34499</v>
      </c>
      <c r="V375" s="1" t="s">
        <v>2099</v>
      </c>
    </row>
    <row r="376" spans="1:23" ht="15.75" customHeight="1" x14ac:dyDescent="0.35">
      <c r="A376" s="1" t="s">
        <v>234</v>
      </c>
      <c r="B376" s="1" t="s">
        <v>2100</v>
      </c>
      <c r="C376" s="1" t="s">
        <v>1118</v>
      </c>
      <c r="D376" s="1" t="s">
        <v>640</v>
      </c>
      <c r="E376" s="1" t="s">
        <v>410</v>
      </c>
      <c r="F376" s="1" t="s">
        <v>1138</v>
      </c>
      <c r="G376" s="1" t="s">
        <v>295</v>
      </c>
      <c r="H376" s="1" t="s">
        <v>1272</v>
      </c>
      <c r="I376" s="1" t="s">
        <v>616</v>
      </c>
      <c r="J376" s="1" t="s">
        <v>75</v>
      </c>
      <c r="K376" s="1" t="s">
        <v>90</v>
      </c>
      <c r="L376" s="1" t="s">
        <v>1022</v>
      </c>
      <c r="M376" s="1" t="s">
        <v>241</v>
      </c>
      <c r="N376" s="1" t="s">
        <v>465</v>
      </c>
      <c r="O376" s="1" t="s">
        <v>2101</v>
      </c>
      <c r="P376" s="1" t="s">
        <v>1267</v>
      </c>
      <c r="Q376" s="1" t="s">
        <v>300</v>
      </c>
      <c r="R376" s="1" t="s">
        <v>1479</v>
      </c>
      <c r="S376" s="1" t="s">
        <v>165</v>
      </c>
      <c r="T376" s="1">
        <v>60149</v>
      </c>
      <c r="U376" s="1" t="s">
        <v>166</v>
      </c>
      <c r="V376" s="1" t="s">
        <v>1976</v>
      </c>
    </row>
    <row r="377" spans="1:23" ht="15.75" customHeight="1" x14ac:dyDescent="0.35">
      <c r="A377" s="1" t="s">
        <v>234</v>
      </c>
      <c r="B377" s="1" t="s">
        <v>2102</v>
      </c>
      <c r="C377" s="1" t="s">
        <v>1118</v>
      </c>
      <c r="D377" s="1" t="s">
        <v>312</v>
      </c>
      <c r="E377" s="1" t="s">
        <v>70</v>
      </c>
      <c r="F377" s="1" t="s">
        <v>1119</v>
      </c>
      <c r="G377" s="1" t="s">
        <v>295</v>
      </c>
      <c r="H377" s="1" t="s">
        <v>1272</v>
      </c>
      <c r="I377" s="1" t="s">
        <v>616</v>
      </c>
      <c r="J377" s="1" t="s">
        <v>75</v>
      </c>
      <c r="K377" s="1" t="s">
        <v>90</v>
      </c>
      <c r="L377" s="1" t="s">
        <v>1022</v>
      </c>
      <c r="M377" s="1" t="s">
        <v>241</v>
      </c>
      <c r="N377" s="1" t="s">
        <v>465</v>
      </c>
      <c r="O377" s="1" t="s">
        <v>2101</v>
      </c>
      <c r="P377" s="1" t="s">
        <v>1267</v>
      </c>
      <c r="Q377" s="1" t="s">
        <v>300</v>
      </c>
      <c r="R377" s="1" t="s">
        <v>467</v>
      </c>
      <c r="S377" s="1" t="s">
        <v>165</v>
      </c>
      <c r="T377" s="1">
        <v>69700</v>
      </c>
      <c r="U377" s="1" t="s">
        <v>166</v>
      </c>
      <c r="V377" s="1" t="s">
        <v>1976</v>
      </c>
    </row>
    <row r="378" spans="1:23" ht="15.75" customHeight="1" x14ac:dyDescent="0.35">
      <c r="A378" s="1" t="s">
        <v>234</v>
      </c>
      <c r="B378" s="1" t="s">
        <v>2103</v>
      </c>
      <c r="C378" s="1" t="s">
        <v>1200</v>
      </c>
      <c r="D378" s="1" t="s">
        <v>312</v>
      </c>
      <c r="E378" s="1" t="s">
        <v>70</v>
      </c>
      <c r="F378" s="1" t="s">
        <v>1119</v>
      </c>
      <c r="G378" s="1" t="s">
        <v>295</v>
      </c>
      <c r="H378" s="1" t="s">
        <v>1272</v>
      </c>
      <c r="I378" s="1" t="s">
        <v>616</v>
      </c>
      <c r="J378" s="1" t="s">
        <v>75</v>
      </c>
      <c r="K378" s="1" t="s">
        <v>90</v>
      </c>
      <c r="L378" s="1" t="s">
        <v>1022</v>
      </c>
      <c r="M378" s="1" t="s">
        <v>241</v>
      </c>
      <c r="N378" s="1" t="s">
        <v>465</v>
      </c>
      <c r="O378" s="1" t="s">
        <v>2101</v>
      </c>
      <c r="P378" s="1" t="s">
        <v>1267</v>
      </c>
      <c r="Q378" s="1" t="s">
        <v>300</v>
      </c>
      <c r="R378" s="1" t="s">
        <v>467</v>
      </c>
      <c r="S378" s="1" t="s">
        <v>165</v>
      </c>
      <c r="T378" s="1">
        <v>64999</v>
      </c>
      <c r="U378" s="1" t="s">
        <v>79</v>
      </c>
      <c r="V378" s="1" t="s">
        <v>2104</v>
      </c>
    </row>
    <row r="379" spans="1:23" ht="15.75" customHeight="1" x14ac:dyDescent="0.35">
      <c r="A379" s="1" t="s">
        <v>81</v>
      </c>
      <c r="B379" s="1" t="s">
        <v>414</v>
      </c>
      <c r="C379" s="1" t="s">
        <v>711</v>
      </c>
      <c r="D379" s="1" t="s">
        <v>2105</v>
      </c>
      <c r="E379" s="1" t="s">
        <v>70</v>
      </c>
      <c r="F379" s="1" t="s">
        <v>792</v>
      </c>
      <c r="G379" s="1" t="s">
        <v>417</v>
      </c>
      <c r="H379" s="1" t="s">
        <v>1376</v>
      </c>
      <c r="I379" s="1" t="s">
        <v>616</v>
      </c>
      <c r="J379" s="1" t="s">
        <v>39</v>
      </c>
      <c r="K379" s="1" t="s">
        <v>90</v>
      </c>
      <c r="L379" s="1" t="s">
        <v>419</v>
      </c>
      <c r="M379" s="1" t="s">
        <v>1377</v>
      </c>
      <c r="O379" s="1" t="s">
        <v>421</v>
      </c>
      <c r="P379" s="1" t="s">
        <v>422</v>
      </c>
      <c r="Q379" s="1" t="s">
        <v>423</v>
      </c>
      <c r="R379" s="1" t="s">
        <v>2106</v>
      </c>
      <c r="S379" s="1" t="s">
        <v>129</v>
      </c>
      <c r="T379" s="1">
        <v>50099</v>
      </c>
      <c r="U379" s="1" t="s">
        <v>79</v>
      </c>
      <c r="V379" s="1" t="s">
        <v>1689</v>
      </c>
    </row>
    <row r="380" spans="1:23" ht="15.75" customHeight="1" x14ac:dyDescent="0.35">
      <c r="A380" s="1" t="s">
        <v>234</v>
      </c>
      <c r="B380" s="1" t="s">
        <v>2107</v>
      </c>
      <c r="C380" s="1" t="s">
        <v>2108</v>
      </c>
      <c r="D380" s="1" t="s">
        <v>2109</v>
      </c>
      <c r="E380" s="1" t="s">
        <v>507</v>
      </c>
      <c r="F380" s="1" t="s">
        <v>2110</v>
      </c>
      <c r="G380" s="1" t="s">
        <v>1604</v>
      </c>
      <c r="H380" s="1" t="s">
        <v>2111</v>
      </c>
      <c r="I380" s="1" t="s">
        <v>120</v>
      </c>
      <c r="J380" s="1" t="s">
        <v>75</v>
      </c>
      <c r="K380" s="1" t="s">
        <v>1722</v>
      </c>
      <c r="L380" s="1" t="s">
        <v>315</v>
      </c>
      <c r="M380" s="1" t="s">
        <v>1876</v>
      </c>
      <c r="O380" s="1" t="s">
        <v>2112</v>
      </c>
      <c r="P380" s="1" t="s">
        <v>2113</v>
      </c>
      <c r="Q380" s="1" t="s">
        <v>814</v>
      </c>
      <c r="R380" s="1" t="s">
        <v>281</v>
      </c>
      <c r="S380" s="1" t="s">
        <v>165</v>
      </c>
      <c r="T380" s="1">
        <v>44999</v>
      </c>
      <c r="U380" s="1" t="s">
        <v>1082</v>
      </c>
      <c r="V380" s="1" t="s">
        <v>2114</v>
      </c>
    </row>
    <row r="381" spans="1:23" ht="15.75" customHeight="1" x14ac:dyDescent="0.35">
      <c r="A381" s="1" t="s">
        <v>151</v>
      </c>
      <c r="B381" s="1" t="s">
        <v>1769</v>
      </c>
      <c r="C381" s="1" t="s">
        <v>1075</v>
      </c>
      <c r="D381" s="1" t="s">
        <v>1715</v>
      </c>
      <c r="E381" s="1" t="s">
        <v>507</v>
      </c>
      <c r="F381" s="1" t="s">
        <v>2115</v>
      </c>
      <c r="G381" s="1" t="s">
        <v>1506</v>
      </c>
      <c r="H381" s="1" t="s">
        <v>1734</v>
      </c>
      <c r="I381" s="1" t="s">
        <v>224</v>
      </c>
      <c r="J381" s="1" t="s">
        <v>57</v>
      </c>
      <c r="K381" s="1" t="s">
        <v>121</v>
      </c>
      <c r="L381" s="1" t="s">
        <v>798</v>
      </c>
      <c r="M381" s="1" t="s">
        <v>799</v>
      </c>
      <c r="N381" s="1" t="s">
        <v>395</v>
      </c>
      <c r="O381" s="1" t="s">
        <v>1772</v>
      </c>
      <c r="P381" s="1" t="s">
        <v>1773</v>
      </c>
      <c r="Q381" s="1" t="s">
        <v>503</v>
      </c>
      <c r="R381" s="1" t="s">
        <v>2116</v>
      </c>
      <c r="S381" s="1" t="s">
        <v>129</v>
      </c>
      <c r="T381" s="1">
        <v>40000</v>
      </c>
      <c r="U381" s="1" t="s">
        <v>1082</v>
      </c>
      <c r="V381" s="1" t="s">
        <v>1083</v>
      </c>
      <c r="W381" s="1" t="s">
        <v>2117</v>
      </c>
    </row>
    <row r="382" spans="1:23" ht="15.75" customHeight="1" x14ac:dyDescent="0.35">
      <c r="A382" s="1" t="s">
        <v>234</v>
      </c>
      <c r="B382" s="1" t="s">
        <v>2118</v>
      </c>
      <c r="C382" s="1" t="s">
        <v>1200</v>
      </c>
      <c r="D382" s="1" t="s">
        <v>1637</v>
      </c>
      <c r="E382" s="1" t="s">
        <v>410</v>
      </c>
      <c r="F382" s="1" t="s">
        <v>491</v>
      </c>
      <c r="G382" s="1" t="s">
        <v>295</v>
      </c>
      <c r="H382" s="1" t="s">
        <v>1272</v>
      </c>
      <c r="I382" s="1" t="s">
        <v>616</v>
      </c>
      <c r="J382" s="1" t="s">
        <v>75</v>
      </c>
      <c r="K382" s="1" t="s">
        <v>90</v>
      </c>
      <c r="L382" s="1" t="s">
        <v>1022</v>
      </c>
      <c r="M382" s="1" t="s">
        <v>241</v>
      </c>
      <c r="N382" s="1" t="s">
        <v>465</v>
      </c>
      <c r="O382" s="1" t="s">
        <v>2101</v>
      </c>
      <c r="P382" s="1" t="s">
        <v>1267</v>
      </c>
      <c r="Q382" s="1" t="s">
        <v>300</v>
      </c>
      <c r="R382" s="1" t="s">
        <v>467</v>
      </c>
      <c r="S382" s="1" t="s">
        <v>165</v>
      </c>
      <c r="T382" s="1">
        <v>91555</v>
      </c>
      <c r="U382" s="1" t="s">
        <v>79</v>
      </c>
      <c r="V382" s="1" t="s">
        <v>2104</v>
      </c>
    </row>
    <row r="383" spans="1:23" ht="15.75" customHeight="1" x14ac:dyDescent="0.35">
      <c r="A383" s="1" t="s">
        <v>112</v>
      </c>
      <c r="B383" s="1" t="s">
        <v>2119</v>
      </c>
      <c r="C383" s="1" t="s">
        <v>2120</v>
      </c>
      <c r="D383" s="1" t="s">
        <v>1614</v>
      </c>
      <c r="E383" s="1" t="s">
        <v>507</v>
      </c>
      <c r="F383" s="1" t="s">
        <v>1429</v>
      </c>
      <c r="G383" s="1" t="s">
        <v>1813</v>
      </c>
      <c r="H383" s="1" t="s">
        <v>2121</v>
      </c>
      <c r="I383" s="1" t="s">
        <v>120</v>
      </c>
      <c r="K383" s="1" t="s">
        <v>90</v>
      </c>
      <c r="M383" s="1" t="s">
        <v>139</v>
      </c>
      <c r="N383" s="1" t="s">
        <v>1841</v>
      </c>
      <c r="O383" s="1" t="s">
        <v>2122</v>
      </c>
      <c r="P383" s="1" t="s">
        <v>1819</v>
      </c>
      <c r="Q383" s="1" t="s">
        <v>2011</v>
      </c>
      <c r="R383" s="1" t="s">
        <v>128</v>
      </c>
      <c r="S383" s="1" t="s">
        <v>129</v>
      </c>
      <c r="T383" s="1">
        <v>24799</v>
      </c>
      <c r="V383" s="1" t="s">
        <v>1713</v>
      </c>
      <c r="W383" s="1" t="s">
        <v>2123</v>
      </c>
    </row>
    <row r="384" spans="1:23" ht="15.75" customHeight="1" x14ac:dyDescent="0.35">
      <c r="A384" s="1" t="s">
        <v>234</v>
      </c>
      <c r="B384" s="1" t="s">
        <v>2124</v>
      </c>
      <c r="C384" s="1" t="s">
        <v>1118</v>
      </c>
      <c r="D384" s="1" t="s">
        <v>982</v>
      </c>
      <c r="E384" s="1" t="s">
        <v>507</v>
      </c>
      <c r="F384" s="1" t="s">
        <v>965</v>
      </c>
      <c r="G384" s="1" t="s">
        <v>2125</v>
      </c>
      <c r="H384" s="1" t="s">
        <v>2126</v>
      </c>
      <c r="I384" s="1" t="s">
        <v>120</v>
      </c>
      <c r="J384" s="1" t="s">
        <v>75</v>
      </c>
      <c r="K384" s="1" t="s">
        <v>90</v>
      </c>
      <c r="L384" s="1" t="s">
        <v>1022</v>
      </c>
      <c r="M384" s="1" t="s">
        <v>464</v>
      </c>
      <c r="N384" s="1" t="s">
        <v>465</v>
      </c>
      <c r="O384" s="1" t="s">
        <v>2127</v>
      </c>
      <c r="P384" s="1" t="s">
        <v>1267</v>
      </c>
      <c r="Q384" s="1" t="s">
        <v>300</v>
      </c>
      <c r="R384" s="1" t="s">
        <v>467</v>
      </c>
      <c r="S384" s="1" t="s">
        <v>165</v>
      </c>
      <c r="T384" s="1">
        <v>43999</v>
      </c>
      <c r="U384" s="1" t="s">
        <v>166</v>
      </c>
      <c r="V384" s="1" t="s">
        <v>1976</v>
      </c>
      <c r="W384" s="1" t="s">
        <v>2128</v>
      </c>
    </row>
    <row r="385" spans="1:23" ht="15.75" customHeight="1" x14ac:dyDescent="0.35">
      <c r="A385" s="1" t="s">
        <v>81</v>
      </c>
      <c r="B385" s="1" t="s">
        <v>414</v>
      </c>
      <c r="C385" s="1" t="s">
        <v>711</v>
      </c>
      <c r="D385" s="1" t="s">
        <v>1637</v>
      </c>
      <c r="E385" s="1" t="s">
        <v>410</v>
      </c>
      <c r="F385" s="1" t="s">
        <v>792</v>
      </c>
      <c r="G385" s="1" t="s">
        <v>417</v>
      </c>
      <c r="H385" s="1" t="s">
        <v>2129</v>
      </c>
      <c r="I385" s="1" t="s">
        <v>120</v>
      </c>
      <c r="J385" s="1" t="s">
        <v>57</v>
      </c>
      <c r="K385" s="1" t="s">
        <v>90</v>
      </c>
      <c r="L385" s="1" t="s">
        <v>2130</v>
      </c>
      <c r="M385" s="1" t="s">
        <v>715</v>
      </c>
      <c r="O385" s="1" t="s">
        <v>421</v>
      </c>
      <c r="P385" s="1" t="s">
        <v>422</v>
      </c>
      <c r="Q385" s="1" t="s">
        <v>423</v>
      </c>
      <c r="R385" s="1" t="s">
        <v>64</v>
      </c>
      <c r="S385" s="1" t="s">
        <v>129</v>
      </c>
      <c r="T385" s="1">
        <v>62000</v>
      </c>
      <c r="U385" s="1" t="s">
        <v>79</v>
      </c>
      <c r="V385" s="1" t="s">
        <v>1689</v>
      </c>
    </row>
    <row r="386" spans="1:23" ht="15.75" customHeight="1" x14ac:dyDescent="0.35">
      <c r="A386" s="1" t="s">
        <v>151</v>
      </c>
      <c r="B386" s="1" t="s">
        <v>2131</v>
      </c>
      <c r="C386" s="1" t="s">
        <v>818</v>
      </c>
      <c r="D386" s="1" t="s">
        <v>312</v>
      </c>
      <c r="E386" s="1" t="s">
        <v>70</v>
      </c>
      <c r="F386" s="1" t="s">
        <v>2132</v>
      </c>
      <c r="G386" s="1" t="s">
        <v>156</v>
      </c>
      <c r="H386" s="1" t="s">
        <v>2133</v>
      </c>
      <c r="I386" s="1" t="s">
        <v>89</v>
      </c>
      <c r="J386" s="1" t="s">
        <v>39</v>
      </c>
      <c r="K386" s="1" t="s">
        <v>121</v>
      </c>
      <c r="L386" s="1" t="s">
        <v>1099</v>
      </c>
      <c r="M386" s="1" t="s">
        <v>2134</v>
      </c>
      <c r="N386" s="1" t="s">
        <v>1101</v>
      </c>
      <c r="O386" s="1" t="s">
        <v>2135</v>
      </c>
      <c r="P386" s="1" t="s">
        <v>1103</v>
      </c>
      <c r="Q386" s="1" t="s">
        <v>923</v>
      </c>
      <c r="R386" s="1" t="s">
        <v>1105</v>
      </c>
      <c r="S386" s="1" t="s">
        <v>129</v>
      </c>
      <c r="T386" s="1">
        <v>47499</v>
      </c>
      <c r="U386" s="1" t="s">
        <v>79</v>
      </c>
      <c r="V386" s="1" t="s">
        <v>803</v>
      </c>
      <c r="W386" s="1" t="s">
        <v>2136</v>
      </c>
    </row>
    <row r="387" spans="1:23" ht="15.75" customHeight="1" x14ac:dyDescent="0.35">
      <c r="A387" s="1" t="s">
        <v>151</v>
      </c>
      <c r="B387" s="1" t="s">
        <v>1672</v>
      </c>
      <c r="C387" s="1" t="s">
        <v>2137</v>
      </c>
      <c r="D387" s="1" t="s">
        <v>1130</v>
      </c>
      <c r="E387" s="1" t="s">
        <v>507</v>
      </c>
      <c r="F387" s="1" t="s">
        <v>2115</v>
      </c>
      <c r="G387" s="1" t="s">
        <v>1506</v>
      </c>
      <c r="H387" s="1" t="s">
        <v>1521</v>
      </c>
      <c r="I387" s="1" t="s">
        <v>120</v>
      </c>
      <c r="J387" s="1" t="s">
        <v>39</v>
      </c>
      <c r="K387" s="1" t="s">
        <v>90</v>
      </c>
      <c r="L387" s="1" t="s">
        <v>798</v>
      </c>
      <c r="M387" s="1" t="s">
        <v>831</v>
      </c>
      <c r="N387" s="1" t="s">
        <v>160</v>
      </c>
      <c r="O387" s="1" t="s">
        <v>2138</v>
      </c>
      <c r="P387" s="1" t="s">
        <v>1677</v>
      </c>
      <c r="Q387" s="1" t="s">
        <v>1678</v>
      </c>
      <c r="R387" s="1" t="s">
        <v>945</v>
      </c>
      <c r="S387" s="1" t="s">
        <v>2139</v>
      </c>
      <c r="T387" s="1">
        <v>49999</v>
      </c>
      <c r="U387" s="1" t="s">
        <v>166</v>
      </c>
      <c r="V387" s="1" t="s">
        <v>2140</v>
      </c>
      <c r="W387" s="1" t="s">
        <v>2141</v>
      </c>
    </row>
    <row r="388" spans="1:23" ht="15.75" customHeight="1" x14ac:dyDescent="0.35">
      <c r="A388" s="1" t="s">
        <v>151</v>
      </c>
      <c r="B388" s="1" t="s">
        <v>1499</v>
      </c>
      <c r="C388" s="1" t="s">
        <v>2142</v>
      </c>
      <c r="D388" s="1" t="s">
        <v>1715</v>
      </c>
      <c r="E388" s="1" t="s">
        <v>507</v>
      </c>
      <c r="F388" s="1" t="s">
        <v>1448</v>
      </c>
      <c r="G388" s="1" t="s">
        <v>1506</v>
      </c>
      <c r="H388" s="1" t="s">
        <v>1507</v>
      </c>
      <c r="I388" s="1" t="s">
        <v>120</v>
      </c>
      <c r="J388" s="1" t="s">
        <v>39</v>
      </c>
      <c r="K388" s="1" t="s">
        <v>40</v>
      </c>
      <c r="L388" s="1" t="s">
        <v>508</v>
      </c>
      <c r="M388" s="1" t="s">
        <v>617</v>
      </c>
      <c r="N388" s="1" t="s">
        <v>395</v>
      </c>
      <c r="O388" s="1" t="s">
        <v>2143</v>
      </c>
      <c r="P388" s="1" t="s">
        <v>1080</v>
      </c>
      <c r="Q388" s="1" t="s">
        <v>63</v>
      </c>
      <c r="R388" s="1" t="s">
        <v>1081</v>
      </c>
      <c r="S388" s="1" t="s">
        <v>129</v>
      </c>
      <c r="T388" s="1">
        <v>41299</v>
      </c>
      <c r="V388" s="1" t="s">
        <v>1503</v>
      </c>
      <c r="W388" s="1" t="s">
        <v>1508</v>
      </c>
    </row>
    <row r="389" spans="1:23" ht="15.75" customHeight="1" x14ac:dyDescent="0.35">
      <c r="A389" s="1" t="s">
        <v>151</v>
      </c>
      <c r="B389" s="1" t="s">
        <v>1532</v>
      </c>
      <c r="C389" s="1" t="s">
        <v>806</v>
      </c>
      <c r="D389" s="1" t="s">
        <v>312</v>
      </c>
      <c r="E389" s="1" t="s">
        <v>70</v>
      </c>
      <c r="F389" s="1" t="s">
        <v>2144</v>
      </c>
      <c r="G389" s="1" t="s">
        <v>156</v>
      </c>
      <c r="H389" s="1" t="s">
        <v>1534</v>
      </c>
      <c r="I389" s="1" t="s">
        <v>616</v>
      </c>
      <c r="J389" s="1" t="s">
        <v>75</v>
      </c>
      <c r="K389" s="1" t="s">
        <v>101</v>
      </c>
      <c r="L389" s="1" t="s">
        <v>798</v>
      </c>
      <c r="M389" s="1" t="s">
        <v>617</v>
      </c>
      <c r="N389" s="1" t="s">
        <v>571</v>
      </c>
      <c r="O389" s="1" t="s">
        <v>1684</v>
      </c>
      <c r="P389" s="1" t="s">
        <v>1513</v>
      </c>
      <c r="Q389" s="1" t="s">
        <v>63</v>
      </c>
      <c r="R389" s="1" t="s">
        <v>802</v>
      </c>
      <c r="S389" s="1" t="s">
        <v>78</v>
      </c>
      <c r="T389" s="1">
        <v>46000</v>
      </c>
      <c r="U389" s="1" t="s">
        <v>79</v>
      </c>
      <c r="V389" s="1" t="s">
        <v>783</v>
      </c>
      <c r="W389" s="1" t="s">
        <v>2145</v>
      </c>
    </row>
    <row r="390" spans="1:23" ht="15.75" customHeight="1" x14ac:dyDescent="0.35">
      <c r="A390" s="1" t="s">
        <v>151</v>
      </c>
      <c r="B390" s="1" t="s">
        <v>1532</v>
      </c>
      <c r="C390" s="1" t="s">
        <v>806</v>
      </c>
      <c r="D390" s="1" t="s">
        <v>312</v>
      </c>
      <c r="E390" s="1" t="s">
        <v>70</v>
      </c>
      <c r="F390" s="1" t="s">
        <v>1653</v>
      </c>
      <c r="G390" s="1" t="s">
        <v>156</v>
      </c>
      <c r="H390" s="1" t="s">
        <v>1534</v>
      </c>
      <c r="I390" s="1" t="s">
        <v>616</v>
      </c>
      <c r="J390" s="1" t="s">
        <v>75</v>
      </c>
      <c r="K390" s="1" t="s">
        <v>101</v>
      </c>
      <c r="L390" s="1" t="s">
        <v>798</v>
      </c>
      <c r="M390" s="1" t="s">
        <v>617</v>
      </c>
      <c r="N390" s="1" t="s">
        <v>571</v>
      </c>
      <c r="O390" s="1" t="s">
        <v>1684</v>
      </c>
      <c r="P390" s="1" t="s">
        <v>1513</v>
      </c>
      <c r="Q390" s="1" t="s">
        <v>63</v>
      </c>
      <c r="R390" s="1" t="s">
        <v>802</v>
      </c>
      <c r="S390" s="1" t="s">
        <v>78</v>
      </c>
      <c r="T390" s="1">
        <v>49499</v>
      </c>
      <c r="U390" s="1" t="s">
        <v>79</v>
      </c>
      <c r="V390" s="1" t="s">
        <v>783</v>
      </c>
      <c r="W390" s="1" t="s">
        <v>2146</v>
      </c>
    </row>
    <row r="391" spans="1:23" ht="15.75" customHeight="1" x14ac:dyDescent="0.35">
      <c r="A391" s="1" t="s">
        <v>151</v>
      </c>
      <c r="B391" s="1" t="s">
        <v>1532</v>
      </c>
      <c r="C391" s="1" t="s">
        <v>806</v>
      </c>
      <c r="D391" s="1" t="s">
        <v>669</v>
      </c>
      <c r="E391" s="1" t="s">
        <v>410</v>
      </c>
      <c r="F391" s="1" t="s">
        <v>1653</v>
      </c>
      <c r="G391" s="1" t="s">
        <v>156</v>
      </c>
      <c r="H391" s="1" t="s">
        <v>1534</v>
      </c>
      <c r="I391" s="1" t="s">
        <v>120</v>
      </c>
      <c r="J391" s="1" t="s">
        <v>75</v>
      </c>
      <c r="K391" s="1" t="s">
        <v>101</v>
      </c>
      <c r="L391" s="1" t="s">
        <v>798</v>
      </c>
      <c r="M391" s="1" t="s">
        <v>617</v>
      </c>
      <c r="N391" s="1" t="s">
        <v>571</v>
      </c>
      <c r="O391" s="1" t="s">
        <v>1684</v>
      </c>
      <c r="P391" s="1" t="s">
        <v>1513</v>
      </c>
      <c r="Q391" s="1" t="s">
        <v>63</v>
      </c>
      <c r="R391" s="1" t="s">
        <v>802</v>
      </c>
      <c r="S391" s="1" t="s">
        <v>78</v>
      </c>
      <c r="T391" s="1">
        <v>46199</v>
      </c>
      <c r="U391" s="1" t="s">
        <v>79</v>
      </c>
      <c r="V391" s="1" t="s">
        <v>783</v>
      </c>
      <c r="W391" s="1" t="s">
        <v>2147</v>
      </c>
    </row>
    <row r="392" spans="1:23" ht="15.75" customHeight="1" x14ac:dyDescent="0.35">
      <c r="A392" s="1" t="s">
        <v>81</v>
      </c>
      <c r="B392" s="1" t="s">
        <v>2148</v>
      </c>
      <c r="C392" s="1" t="s">
        <v>2142</v>
      </c>
      <c r="D392" s="1" t="s">
        <v>2149</v>
      </c>
      <c r="E392" s="1" t="s">
        <v>507</v>
      </c>
      <c r="F392" s="1" t="s">
        <v>2110</v>
      </c>
      <c r="G392" s="1" t="s">
        <v>1120</v>
      </c>
      <c r="H392" s="1" t="s">
        <v>2150</v>
      </c>
      <c r="I392" s="1" t="s">
        <v>616</v>
      </c>
      <c r="J392" s="1" t="s">
        <v>39</v>
      </c>
      <c r="K392" s="1" t="s">
        <v>90</v>
      </c>
      <c r="M392" s="1" t="s">
        <v>2151</v>
      </c>
      <c r="N392" s="1" t="s">
        <v>465</v>
      </c>
      <c r="O392" s="1" t="s">
        <v>2152</v>
      </c>
      <c r="P392" s="1" t="s">
        <v>2153</v>
      </c>
      <c r="Q392" s="1" t="s">
        <v>262</v>
      </c>
      <c r="R392" s="1" t="s">
        <v>301</v>
      </c>
      <c r="S392" s="1" t="s">
        <v>78</v>
      </c>
      <c r="T392" s="1">
        <v>38000</v>
      </c>
      <c r="V392" s="1" t="s">
        <v>2154</v>
      </c>
    </row>
    <row r="393" spans="1:23" ht="15.75" customHeight="1" x14ac:dyDescent="0.35">
      <c r="A393" s="1" t="s">
        <v>234</v>
      </c>
      <c r="B393" s="1" t="s">
        <v>2155</v>
      </c>
      <c r="C393" s="1" t="s">
        <v>2156</v>
      </c>
      <c r="D393" s="1" t="s">
        <v>1379</v>
      </c>
      <c r="E393" s="1" t="s">
        <v>552</v>
      </c>
      <c r="F393" s="1" t="s">
        <v>1863</v>
      </c>
      <c r="G393" s="1" t="s">
        <v>2157</v>
      </c>
      <c r="H393" s="1" t="s">
        <v>2158</v>
      </c>
      <c r="I393" s="1" t="s">
        <v>89</v>
      </c>
      <c r="J393" s="1" t="s">
        <v>256</v>
      </c>
      <c r="K393" s="1" t="s">
        <v>725</v>
      </c>
      <c r="L393" s="1" t="s">
        <v>1865</v>
      </c>
      <c r="M393" s="1" t="s">
        <v>241</v>
      </c>
      <c r="N393" s="1" t="s">
        <v>465</v>
      </c>
      <c r="O393" s="1" t="s">
        <v>1550</v>
      </c>
      <c r="P393" s="1" t="s">
        <v>1551</v>
      </c>
      <c r="Q393" s="1" t="s">
        <v>1552</v>
      </c>
      <c r="R393" s="1" t="s">
        <v>64</v>
      </c>
      <c r="S393" s="1" t="s">
        <v>165</v>
      </c>
      <c r="T393" s="1">
        <v>146499</v>
      </c>
      <c r="U393" s="1" t="s">
        <v>79</v>
      </c>
      <c r="V393" s="1" t="s">
        <v>2159</v>
      </c>
    </row>
    <row r="394" spans="1:23" ht="15.75" customHeight="1" x14ac:dyDescent="0.35">
      <c r="A394" s="1" t="s">
        <v>234</v>
      </c>
      <c r="B394" s="1" t="s">
        <v>2160</v>
      </c>
      <c r="C394" s="1" t="s">
        <v>2108</v>
      </c>
      <c r="D394" s="1" t="s">
        <v>2161</v>
      </c>
      <c r="E394" s="1" t="s">
        <v>70</v>
      </c>
      <c r="F394" s="1" t="s">
        <v>2162</v>
      </c>
      <c r="G394" s="1" t="s">
        <v>2088</v>
      </c>
      <c r="H394" s="1" t="s">
        <v>1700</v>
      </c>
      <c r="I394" s="1" t="s">
        <v>616</v>
      </c>
      <c r="J394" s="1" t="s">
        <v>75</v>
      </c>
      <c r="K394" s="1" t="s">
        <v>2163</v>
      </c>
      <c r="L394" s="1" t="s">
        <v>315</v>
      </c>
      <c r="M394" s="1" t="s">
        <v>1876</v>
      </c>
      <c r="O394" s="1" t="s">
        <v>2112</v>
      </c>
      <c r="P394" s="1" t="s">
        <v>2113</v>
      </c>
      <c r="Q394" s="1" t="s">
        <v>814</v>
      </c>
      <c r="R394" s="1" t="s">
        <v>281</v>
      </c>
      <c r="S394" s="1" t="s">
        <v>165</v>
      </c>
      <c r="T394" s="1">
        <v>43999</v>
      </c>
      <c r="U394" s="1" t="s">
        <v>1082</v>
      </c>
      <c r="V394" s="1" t="s">
        <v>2164</v>
      </c>
      <c r="W394" s="1" t="s">
        <v>2165</v>
      </c>
    </row>
    <row r="395" spans="1:23" ht="15.75" customHeight="1" x14ac:dyDescent="0.35">
      <c r="A395" s="1" t="s">
        <v>234</v>
      </c>
      <c r="B395" s="1" t="s">
        <v>2166</v>
      </c>
      <c r="C395" s="1" t="s">
        <v>2167</v>
      </c>
      <c r="D395" s="1" t="s">
        <v>1501</v>
      </c>
      <c r="E395" s="1" t="s">
        <v>70</v>
      </c>
      <c r="F395" s="1" t="s">
        <v>965</v>
      </c>
      <c r="G395" s="1" t="s">
        <v>2168</v>
      </c>
      <c r="H395" s="1" t="s">
        <v>2169</v>
      </c>
      <c r="I395" s="1" t="s">
        <v>616</v>
      </c>
      <c r="J395" s="1" t="s">
        <v>75</v>
      </c>
      <c r="K395" s="1" t="s">
        <v>90</v>
      </c>
      <c r="L395" s="1" t="s">
        <v>288</v>
      </c>
      <c r="M395" s="1" t="s">
        <v>241</v>
      </c>
      <c r="O395" s="1" t="s">
        <v>2170</v>
      </c>
      <c r="P395" s="1" t="s">
        <v>2171</v>
      </c>
      <c r="Q395" s="1" t="s">
        <v>1400</v>
      </c>
      <c r="R395" s="1" t="s">
        <v>281</v>
      </c>
      <c r="S395" s="1" t="s">
        <v>339</v>
      </c>
      <c r="T395" s="1">
        <v>47555</v>
      </c>
      <c r="V395" s="1" t="s">
        <v>2172</v>
      </c>
      <c r="W395" s="1" t="s">
        <v>2173</v>
      </c>
    </row>
    <row r="396" spans="1:23" ht="15.75" customHeight="1" x14ac:dyDescent="0.35">
      <c r="A396" s="1" t="s">
        <v>30</v>
      </c>
      <c r="B396" s="1" t="s">
        <v>2174</v>
      </c>
      <c r="C396" s="1" t="s">
        <v>2175</v>
      </c>
      <c r="D396" s="1" t="s">
        <v>1130</v>
      </c>
      <c r="E396" s="1" t="s">
        <v>507</v>
      </c>
      <c r="F396" s="1" t="s">
        <v>2176</v>
      </c>
      <c r="G396" s="1" t="s">
        <v>2177</v>
      </c>
      <c r="H396" s="1" t="s">
        <v>2178</v>
      </c>
      <c r="I396" s="1" t="s">
        <v>120</v>
      </c>
      <c r="L396" s="1" t="s">
        <v>1441</v>
      </c>
      <c r="M396" s="1" t="s">
        <v>2179</v>
      </c>
      <c r="N396" s="1" t="s">
        <v>373</v>
      </c>
      <c r="O396" s="1" t="s">
        <v>2180</v>
      </c>
      <c r="P396" s="1" t="s">
        <v>375</v>
      </c>
      <c r="Q396" s="1" t="s">
        <v>376</v>
      </c>
      <c r="R396" s="1" t="s">
        <v>64</v>
      </c>
      <c r="S396" s="1" t="s">
        <v>78</v>
      </c>
      <c r="T396" s="1">
        <v>25999</v>
      </c>
      <c r="U396" s="1" t="s">
        <v>2181</v>
      </c>
      <c r="V396" s="1" t="s">
        <v>2182</v>
      </c>
      <c r="W396" s="1" t="s">
        <v>2183</v>
      </c>
    </row>
    <row r="397" spans="1:23" ht="15.75" customHeight="1" x14ac:dyDescent="0.35">
      <c r="A397" s="1" t="s">
        <v>30</v>
      </c>
      <c r="B397" s="1" t="s">
        <v>2174</v>
      </c>
      <c r="C397" s="1" t="s">
        <v>2184</v>
      </c>
      <c r="D397" s="1" t="s">
        <v>1130</v>
      </c>
      <c r="E397" s="1" t="s">
        <v>507</v>
      </c>
      <c r="F397" s="1" t="s">
        <v>2185</v>
      </c>
      <c r="G397" s="1" t="s">
        <v>2177</v>
      </c>
      <c r="H397" s="1" t="s">
        <v>2178</v>
      </c>
      <c r="I397" s="1" t="s">
        <v>120</v>
      </c>
      <c r="L397" s="1" t="s">
        <v>1441</v>
      </c>
      <c r="M397" s="1" t="s">
        <v>2179</v>
      </c>
      <c r="N397" s="1" t="s">
        <v>373</v>
      </c>
      <c r="O397" s="1" t="s">
        <v>2180</v>
      </c>
      <c r="P397" s="1" t="s">
        <v>375</v>
      </c>
      <c r="Q397" s="1" t="s">
        <v>376</v>
      </c>
      <c r="R397" s="1" t="s">
        <v>64</v>
      </c>
      <c r="S397" s="1" t="s">
        <v>78</v>
      </c>
      <c r="T397" s="1">
        <v>32099</v>
      </c>
      <c r="U397" s="1" t="s">
        <v>2181</v>
      </c>
      <c r="V397" s="1" t="s">
        <v>2186</v>
      </c>
      <c r="W397" s="1" t="s">
        <v>2187</v>
      </c>
    </row>
    <row r="398" spans="1:23" ht="15.75" customHeight="1" x14ac:dyDescent="0.35">
      <c r="A398" s="1" t="s">
        <v>30</v>
      </c>
      <c r="B398" s="1" t="s">
        <v>1612</v>
      </c>
      <c r="C398" s="1" t="s">
        <v>1613</v>
      </c>
      <c r="D398" s="1" t="s">
        <v>1614</v>
      </c>
      <c r="E398" s="1" t="s">
        <v>507</v>
      </c>
      <c r="F398" s="1" t="s">
        <v>1134</v>
      </c>
      <c r="G398" s="1" t="s">
        <v>2188</v>
      </c>
      <c r="H398" s="1" t="s">
        <v>2178</v>
      </c>
      <c r="I398" s="1" t="s">
        <v>120</v>
      </c>
      <c r="L398" s="1" t="s">
        <v>1441</v>
      </c>
      <c r="M398" s="1" t="s">
        <v>372</v>
      </c>
      <c r="N398" s="1" t="s">
        <v>373</v>
      </c>
      <c r="O398" s="1" t="s">
        <v>1616</v>
      </c>
      <c r="P398" s="1" t="s">
        <v>375</v>
      </c>
      <c r="Q398" s="1" t="s">
        <v>376</v>
      </c>
      <c r="R398" s="1" t="s">
        <v>64</v>
      </c>
      <c r="S398" s="1" t="s">
        <v>78</v>
      </c>
      <c r="T398" s="1">
        <v>29050</v>
      </c>
      <c r="U398" s="1" t="s">
        <v>1082</v>
      </c>
      <c r="V398" s="1" t="s">
        <v>1617</v>
      </c>
      <c r="W398" s="1" t="s">
        <v>2189</v>
      </c>
    </row>
    <row r="399" spans="1:23" ht="15.75" customHeight="1" x14ac:dyDescent="0.35">
      <c r="A399" s="1" t="s">
        <v>30</v>
      </c>
      <c r="B399" s="1" t="s">
        <v>1690</v>
      </c>
      <c r="C399" s="1" t="s">
        <v>1613</v>
      </c>
      <c r="D399" s="1" t="s">
        <v>1130</v>
      </c>
      <c r="E399" s="1" t="s">
        <v>507</v>
      </c>
      <c r="F399" s="1" t="s">
        <v>1134</v>
      </c>
      <c r="G399" s="1" t="s">
        <v>2188</v>
      </c>
      <c r="H399" s="1" t="s">
        <v>2178</v>
      </c>
      <c r="I399" s="1" t="s">
        <v>74</v>
      </c>
      <c r="K399" s="1" t="s">
        <v>101</v>
      </c>
      <c r="L399" s="1" t="s">
        <v>1441</v>
      </c>
      <c r="M399" s="1" t="s">
        <v>372</v>
      </c>
      <c r="N399" s="1" t="s">
        <v>373</v>
      </c>
      <c r="O399" s="1" t="s">
        <v>1695</v>
      </c>
      <c r="P399" s="1" t="s">
        <v>375</v>
      </c>
      <c r="Q399" s="1" t="s">
        <v>376</v>
      </c>
      <c r="S399" s="1" t="s">
        <v>78</v>
      </c>
      <c r="T399" s="1">
        <v>38499</v>
      </c>
      <c r="U399" s="1" t="s">
        <v>1082</v>
      </c>
      <c r="V399" s="1" t="s">
        <v>1617</v>
      </c>
      <c r="W399" s="1" t="s">
        <v>2190</v>
      </c>
    </row>
    <row r="400" spans="1:23" ht="15.75" customHeight="1" x14ac:dyDescent="0.35">
      <c r="A400" s="1" t="s">
        <v>234</v>
      </c>
      <c r="B400" s="1" t="s">
        <v>2191</v>
      </c>
      <c r="C400" s="1" t="s">
        <v>1756</v>
      </c>
      <c r="D400" s="1" t="s">
        <v>2192</v>
      </c>
      <c r="E400" s="1" t="s">
        <v>507</v>
      </c>
      <c r="F400" s="1" t="s">
        <v>2193</v>
      </c>
      <c r="G400" s="1" t="s">
        <v>1979</v>
      </c>
      <c r="H400" s="1" t="s">
        <v>2194</v>
      </c>
      <c r="I400" s="1" t="s">
        <v>275</v>
      </c>
      <c r="J400" s="1" t="s">
        <v>39</v>
      </c>
      <c r="K400" s="1" t="s">
        <v>90</v>
      </c>
      <c r="L400" s="1" t="s">
        <v>1022</v>
      </c>
      <c r="M400" s="1" t="s">
        <v>464</v>
      </c>
      <c r="N400" s="1" t="s">
        <v>1972</v>
      </c>
      <c r="O400" s="1" t="s">
        <v>2195</v>
      </c>
      <c r="P400" s="1" t="s">
        <v>2196</v>
      </c>
      <c r="Q400" s="1" t="s">
        <v>1975</v>
      </c>
      <c r="R400" s="1" t="s">
        <v>64</v>
      </c>
      <c r="S400" s="1" t="s">
        <v>165</v>
      </c>
      <c r="T400" s="1">
        <v>84999</v>
      </c>
      <c r="U400" s="1" t="s">
        <v>166</v>
      </c>
      <c r="V400" s="1" t="s">
        <v>1760</v>
      </c>
      <c r="W400" s="1" t="s">
        <v>2197</v>
      </c>
    </row>
    <row r="401" spans="1:26" ht="15.75" customHeight="1" x14ac:dyDescent="0.35">
      <c r="A401" s="1" t="s">
        <v>234</v>
      </c>
      <c r="B401" s="1" t="s">
        <v>2198</v>
      </c>
      <c r="C401" s="1" t="s">
        <v>1711</v>
      </c>
      <c r="D401" s="1" t="s">
        <v>2199</v>
      </c>
      <c r="E401" s="1" t="s">
        <v>507</v>
      </c>
      <c r="F401" s="1" t="s">
        <v>462</v>
      </c>
      <c r="G401" s="1" t="s">
        <v>1604</v>
      </c>
      <c r="H401" s="1" t="s">
        <v>2200</v>
      </c>
      <c r="I401" s="1" t="s">
        <v>2201</v>
      </c>
      <c r="J401" s="1" t="s">
        <v>39</v>
      </c>
      <c r="K401" s="1" t="s">
        <v>90</v>
      </c>
      <c r="L401" s="1" t="s">
        <v>972</v>
      </c>
      <c r="M401" s="1" t="s">
        <v>1258</v>
      </c>
      <c r="N401" s="1" t="s">
        <v>920</v>
      </c>
      <c r="O401" s="1" t="s">
        <v>2202</v>
      </c>
      <c r="P401" s="1" t="s">
        <v>2203</v>
      </c>
      <c r="Q401" s="1" t="s">
        <v>2204</v>
      </c>
      <c r="R401" s="1" t="s">
        <v>1610</v>
      </c>
      <c r="S401" s="1" t="s">
        <v>165</v>
      </c>
      <c r="T401" s="1">
        <v>49500</v>
      </c>
      <c r="V401" s="1" t="s">
        <v>2154</v>
      </c>
      <c r="W401" s="1" t="s">
        <v>2205</v>
      </c>
    </row>
    <row r="402" spans="1:26" ht="15.75" customHeight="1" x14ac:dyDescent="0.35">
      <c r="A402" s="1" t="s">
        <v>234</v>
      </c>
      <c r="B402" s="1" t="s">
        <v>2206</v>
      </c>
      <c r="C402" s="1" t="s">
        <v>2207</v>
      </c>
      <c r="D402" s="1" t="s">
        <v>2208</v>
      </c>
      <c r="E402" s="1" t="s">
        <v>507</v>
      </c>
      <c r="F402" s="1" t="s">
        <v>965</v>
      </c>
      <c r="G402" s="1" t="s">
        <v>1936</v>
      </c>
      <c r="H402" s="1" t="s">
        <v>2209</v>
      </c>
      <c r="I402" s="1" t="s">
        <v>345</v>
      </c>
      <c r="J402" s="1" t="s">
        <v>971</v>
      </c>
      <c r="K402" s="1" t="s">
        <v>90</v>
      </c>
      <c r="L402" s="1" t="s">
        <v>972</v>
      </c>
      <c r="M402" s="1" t="s">
        <v>2210</v>
      </c>
      <c r="N402" s="1" t="s">
        <v>633</v>
      </c>
      <c r="O402" s="1" t="s">
        <v>1607</v>
      </c>
      <c r="P402" s="1" t="s">
        <v>2211</v>
      </c>
      <c r="Q402" s="1" t="s">
        <v>518</v>
      </c>
      <c r="R402" s="1" t="s">
        <v>2212</v>
      </c>
      <c r="S402" s="1" t="s">
        <v>165</v>
      </c>
      <c r="T402" s="1">
        <v>39999</v>
      </c>
      <c r="V402" s="1" t="s">
        <v>1948</v>
      </c>
      <c r="W402" s="1" t="s">
        <v>2213</v>
      </c>
    </row>
    <row r="403" spans="1:26" ht="15.75" customHeight="1" x14ac:dyDescent="0.35">
      <c r="A403" s="1" t="s">
        <v>234</v>
      </c>
      <c r="B403" s="1" t="s">
        <v>2214</v>
      </c>
      <c r="C403" s="1" t="s">
        <v>1788</v>
      </c>
      <c r="D403" s="1" t="s">
        <v>1501</v>
      </c>
      <c r="E403" s="1" t="s">
        <v>1789</v>
      </c>
      <c r="F403" s="1" t="s">
        <v>1790</v>
      </c>
      <c r="G403" s="1" t="s">
        <v>472</v>
      </c>
      <c r="H403" s="1" t="s">
        <v>1792</v>
      </c>
      <c r="I403" s="1" t="s">
        <v>89</v>
      </c>
      <c r="J403" s="1" t="s">
        <v>57</v>
      </c>
      <c r="K403" s="1" t="s">
        <v>90</v>
      </c>
      <c r="L403" s="1" t="s">
        <v>2215</v>
      </c>
      <c r="M403" s="1" t="s">
        <v>241</v>
      </c>
      <c r="N403" s="1" t="s">
        <v>811</v>
      </c>
      <c r="O403" s="1" t="s">
        <v>1793</v>
      </c>
      <c r="P403" s="1" t="s">
        <v>1794</v>
      </c>
      <c r="Q403" s="1" t="s">
        <v>814</v>
      </c>
      <c r="R403" s="1" t="s">
        <v>1034</v>
      </c>
      <c r="S403" s="1" t="s">
        <v>339</v>
      </c>
      <c r="T403" s="1">
        <v>83999</v>
      </c>
      <c r="V403" s="1" t="s">
        <v>1795</v>
      </c>
      <c r="W403" s="1" t="s">
        <v>2216</v>
      </c>
    </row>
    <row r="404" spans="1:26" ht="15.75" customHeight="1" x14ac:dyDescent="0.35">
      <c r="A404" s="1" t="s">
        <v>234</v>
      </c>
      <c r="B404" s="1" t="s">
        <v>2217</v>
      </c>
      <c r="C404" s="1" t="s">
        <v>2218</v>
      </c>
      <c r="D404" s="1" t="s">
        <v>2219</v>
      </c>
      <c r="E404" s="1" t="s">
        <v>410</v>
      </c>
      <c r="F404" s="1" t="s">
        <v>1863</v>
      </c>
      <c r="G404" s="1" t="s">
        <v>472</v>
      </c>
      <c r="H404" s="1" t="s">
        <v>2220</v>
      </c>
      <c r="I404" s="1" t="s">
        <v>89</v>
      </c>
      <c r="J404" s="1" t="s">
        <v>256</v>
      </c>
      <c r="K404" s="1" t="s">
        <v>90</v>
      </c>
      <c r="L404" s="1" t="s">
        <v>2221</v>
      </c>
      <c r="M404" s="1" t="s">
        <v>241</v>
      </c>
      <c r="N404" s="1" t="s">
        <v>811</v>
      </c>
      <c r="O404" s="1" t="s">
        <v>1793</v>
      </c>
      <c r="P404" s="1" t="s">
        <v>2222</v>
      </c>
      <c r="Q404" s="1" t="s">
        <v>814</v>
      </c>
      <c r="R404" s="1" t="s">
        <v>1034</v>
      </c>
      <c r="S404" s="1" t="s">
        <v>48</v>
      </c>
      <c r="T404" s="1">
        <v>89999</v>
      </c>
      <c r="V404" s="1" t="s">
        <v>2223</v>
      </c>
      <c r="W404" s="1" t="s">
        <v>2224</v>
      </c>
    </row>
    <row r="405" spans="1:26" ht="15.75" customHeight="1" x14ac:dyDescent="0.35">
      <c r="A405" s="1" t="s">
        <v>234</v>
      </c>
      <c r="B405" s="1" t="s">
        <v>2225</v>
      </c>
      <c r="C405" s="1" t="s">
        <v>1075</v>
      </c>
      <c r="D405" s="1" t="s">
        <v>2226</v>
      </c>
      <c r="E405" s="1" t="s">
        <v>1584</v>
      </c>
      <c r="F405" s="1" t="s">
        <v>2227</v>
      </c>
      <c r="G405" s="1" t="s">
        <v>2228</v>
      </c>
      <c r="H405" s="1" t="s">
        <v>2229</v>
      </c>
      <c r="I405" s="1" t="s">
        <v>345</v>
      </c>
      <c r="J405" s="1" t="s">
        <v>971</v>
      </c>
      <c r="K405" s="1" t="s">
        <v>90</v>
      </c>
      <c r="L405" s="1" t="s">
        <v>1257</v>
      </c>
      <c r="M405" s="1" t="s">
        <v>241</v>
      </c>
      <c r="N405" s="1" t="s">
        <v>2230</v>
      </c>
      <c r="O405" s="1" t="s">
        <v>2231</v>
      </c>
      <c r="P405" s="1" t="s">
        <v>2232</v>
      </c>
      <c r="Q405" s="1" t="s">
        <v>2233</v>
      </c>
      <c r="R405" s="1" t="s">
        <v>2234</v>
      </c>
      <c r="S405" s="1" t="s">
        <v>165</v>
      </c>
      <c r="T405" s="1">
        <v>73999</v>
      </c>
      <c r="U405" s="1" t="s">
        <v>1082</v>
      </c>
      <c r="V405" s="1" t="s">
        <v>2235</v>
      </c>
      <c r="W405" s="1" t="s">
        <v>2236</v>
      </c>
    </row>
    <row r="406" spans="1:26" ht="15.75" customHeight="1" x14ac:dyDescent="0.35">
      <c r="A406" s="1" t="s">
        <v>234</v>
      </c>
      <c r="B406" s="1" t="s">
        <v>2237</v>
      </c>
      <c r="C406" s="1" t="s">
        <v>2238</v>
      </c>
      <c r="D406" s="1" t="s">
        <v>2239</v>
      </c>
      <c r="E406" s="1" t="s">
        <v>1584</v>
      </c>
      <c r="F406" s="1" t="s">
        <v>2227</v>
      </c>
      <c r="G406" s="1" t="s">
        <v>2240</v>
      </c>
      <c r="H406" s="1" t="s">
        <v>2241</v>
      </c>
      <c r="I406" s="1" t="s">
        <v>345</v>
      </c>
      <c r="J406" s="1" t="s">
        <v>971</v>
      </c>
      <c r="K406" s="1" t="s">
        <v>90</v>
      </c>
      <c r="L406" s="1" t="s">
        <v>1257</v>
      </c>
      <c r="M406" s="1" t="s">
        <v>241</v>
      </c>
      <c r="N406" s="1" t="s">
        <v>2230</v>
      </c>
      <c r="O406" s="1" t="s">
        <v>2242</v>
      </c>
      <c r="P406" s="1" t="s">
        <v>2232</v>
      </c>
      <c r="Q406" s="1" t="s">
        <v>2233</v>
      </c>
      <c r="R406" s="1" t="s">
        <v>2234</v>
      </c>
      <c r="S406" s="1" t="s">
        <v>165</v>
      </c>
      <c r="T406" s="1">
        <v>85699</v>
      </c>
      <c r="V406" s="1" t="s">
        <v>2243</v>
      </c>
      <c r="W406" s="1" t="s">
        <v>2244</v>
      </c>
    </row>
    <row r="407" spans="1:26" ht="15.75" customHeight="1" x14ac:dyDescent="0.35">
      <c r="A407" s="1" t="s">
        <v>234</v>
      </c>
      <c r="B407" s="1" t="s">
        <v>2245</v>
      </c>
      <c r="C407" s="1" t="s">
        <v>1118</v>
      </c>
      <c r="D407" s="1" t="s">
        <v>1076</v>
      </c>
      <c r="E407" s="1" t="s">
        <v>410</v>
      </c>
      <c r="F407" s="1" t="s">
        <v>2246</v>
      </c>
      <c r="G407" s="1" t="s">
        <v>1936</v>
      </c>
      <c r="H407" s="1" t="s">
        <v>2247</v>
      </c>
      <c r="I407" s="1" t="s">
        <v>120</v>
      </c>
      <c r="J407" s="1" t="s">
        <v>75</v>
      </c>
      <c r="K407" s="1" t="s">
        <v>90</v>
      </c>
      <c r="L407" s="1" t="s">
        <v>1971</v>
      </c>
      <c r="M407" s="1" t="s">
        <v>241</v>
      </c>
      <c r="N407" s="1" t="s">
        <v>465</v>
      </c>
      <c r="O407" s="1" t="s">
        <v>2127</v>
      </c>
      <c r="P407" s="1" t="s">
        <v>2002</v>
      </c>
      <c r="Q407" s="1" t="s">
        <v>300</v>
      </c>
      <c r="R407" s="1" t="s">
        <v>467</v>
      </c>
      <c r="S407" s="1" t="s">
        <v>165</v>
      </c>
      <c r="T407" s="1">
        <v>57999</v>
      </c>
      <c r="U407" s="1" t="s">
        <v>166</v>
      </c>
      <c r="V407" s="1" t="s">
        <v>1976</v>
      </c>
      <c r="W407" s="1" t="s">
        <v>2248</v>
      </c>
    </row>
    <row r="408" spans="1:26" ht="15.75" customHeight="1" x14ac:dyDescent="0.35">
      <c r="A408" s="1" t="s">
        <v>234</v>
      </c>
      <c r="B408" s="1" t="s">
        <v>2249</v>
      </c>
      <c r="C408" s="1" t="s">
        <v>2250</v>
      </c>
      <c r="D408" s="1" t="s">
        <v>2251</v>
      </c>
      <c r="E408" s="1" t="s">
        <v>70</v>
      </c>
      <c r="F408" s="1" t="s">
        <v>2252</v>
      </c>
      <c r="G408" s="1" t="s">
        <v>2253</v>
      </c>
      <c r="H408" s="1" t="s">
        <v>2254</v>
      </c>
      <c r="I408" s="1" t="s">
        <v>1890</v>
      </c>
      <c r="J408" s="1" t="s">
        <v>971</v>
      </c>
      <c r="K408" s="1" t="s">
        <v>2255</v>
      </c>
      <c r="L408" s="1" t="s">
        <v>1257</v>
      </c>
      <c r="M408" s="1" t="s">
        <v>2256</v>
      </c>
      <c r="N408" s="1" t="s">
        <v>2257</v>
      </c>
      <c r="O408" s="1" t="s">
        <v>2258</v>
      </c>
      <c r="P408" s="1" t="s">
        <v>2259</v>
      </c>
      <c r="Q408" s="1" t="s">
        <v>766</v>
      </c>
      <c r="R408" s="1" t="s">
        <v>2260</v>
      </c>
      <c r="S408" s="1" t="s">
        <v>165</v>
      </c>
      <c r="T408" s="1">
        <v>135500</v>
      </c>
      <c r="U408" s="1" t="s">
        <v>166</v>
      </c>
      <c r="V408" s="1" t="s">
        <v>2261</v>
      </c>
      <c r="W408" s="1" t="s">
        <v>2262</v>
      </c>
    </row>
    <row r="409" spans="1:26" ht="15.75" customHeight="1" x14ac:dyDescent="0.35">
      <c r="A409" s="1" t="s">
        <v>234</v>
      </c>
      <c r="B409" s="1" t="s">
        <v>2263</v>
      </c>
      <c r="C409" s="1" t="s">
        <v>1798</v>
      </c>
      <c r="D409" s="1" t="s">
        <v>1501</v>
      </c>
      <c r="E409" s="1" t="s">
        <v>70</v>
      </c>
      <c r="F409" s="1" t="s">
        <v>452</v>
      </c>
      <c r="G409" s="1" t="s">
        <v>2264</v>
      </c>
      <c r="H409" s="1" t="s">
        <v>2265</v>
      </c>
      <c r="I409" s="1" t="s">
        <v>1493</v>
      </c>
      <c r="J409" s="1" t="s">
        <v>256</v>
      </c>
      <c r="K409" s="1" t="s">
        <v>90</v>
      </c>
      <c r="L409" s="1" t="s">
        <v>288</v>
      </c>
      <c r="M409" s="1" t="s">
        <v>241</v>
      </c>
      <c r="O409" s="1" t="s">
        <v>2266</v>
      </c>
      <c r="P409" s="1" t="s">
        <v>2171</v>
      </c>
      <c r="Q409" s="1" t="s">
        <v>1400</v>
      </c>
      <c r="R409" s="1" t="s">
        <v>281</v>
      </c>
      <c r="S409" s="1" t="s">
        <v>339</v>
      </c>
      <c r="T409" s="1">
        <v>51999</v>
      </c>
      <c r="V409" s="1" t="s">
        <v>2099</v>
      </c>
      <c r="W409" s="1" t="s">
        <v>2267</v>
      </c>
    </row>
    <row r="410" spans="1:26" ht="15.75" customHeight="1" x14ac:dyDescent="0.35">
      <c r="A410" s="1" t="s">
        <v>66</v>
      </c>
      <c r="B410" s="1" t="s">
        <v>2268</v>
      </c>
      <c r="C410" s="1" t="s">
        <v>1118</v>
      </c>
      <c r="D410" s="1" t="s">
        <v>1519</v>
      </c>
      <c r="E410" s="1" t="s">
        <v>2269</v>
      </c>
      <c r="F410" s="1" t="s">
        <v>2270</v>
      </c>
      <c r="G410" s="1" t="s">
        <v>2271</v>
      </c>
      <c r="H410" s="1" t="s">
        <v>2272</v>
      </c>
      <c r="I410" s="1" t="s">
        <v>120</v>
      </c>
      <c r="J410" s="1" t="s">
        <v>75</v>
      </c>
      <c r="K410" s="1" t="s">
        <v>101</v>
      </c>
      <c r="M410" s="1" t="s">
        <v>2273</v>
      </c>
      <c r="O410" s="1" t="s">
        <v>2274</v>
      </c>
      <c r="P410" s="1" t="s">
        <v>2275</v>
      </c>
      <c r="Q410" s="1" t="s">
        <v>944</v>
      </c>
      <c r="R410" s="1" t="s">
        <v>2276</v>
      </c>
      <c r="S410" s="1" t="s">
        <v>339</v>
      </c>
      <c r="T410" s="1">
        <v>41999</v>
      </c>
      <c r="U410" s="1" t="s">
        <v>166</v>
      </c>
      <c r="V410" s="1" t="s">
        <v>2277</v>
      </c>
      <c r="W410" s="1" t="s">
        <v>2278</v>
      </c>
    </row>
    <row r="411" spans="1:26" ht="15.75" customHeight="1" x14ac:dyDescent="0.35">
      <c r="A411" s="1" t="s">
        <v>66</v>
      </c>
      <c r="B411" s="1" t="s">
        <v>2279</v>
      </c>
      <c r="C411" s="1" t="s">
        <v>2280</v>
      </c>
      <c r="D411" s="1" t="s">
        <v>982</v>
      </c>
      <c r="E411" s="1" t="s">
        <v>507</v>
      </c>
      <c r="F411" s="1" t="s">
        <v>2281</v>
      </c>
      <c r="G411" s="1" t="s">
        <v>352</v>
      </c>
      <c r="H411" s="1" t="s">
        <v>2282</v>
      </c>
      <c r="I411" s="1" t="s">
        <v>120</v>
      </c>
      <c r="K411" s="1" t="s">
        <v>121</v>
      </c>
      <c r="M411" s="1" t="s">
        <v>2283</v>
      </c>
      <c r="N411" s="1" t="s">
        <v>2284</v>
      </c>
      <c r="O411" s="1" t="s">
        <v>2285</v>
      </c>
      <c r="P411" s="1" t="s">
        <v>2286</v>
      </c>
      <c r="Q411" s="1" t="s">
        <v>2045</v>
      </c>
      <c r="R411" s="1" t="s">
        <v>2287</v>
      </c>
      <c r="S411" s="1" t="s">
        <v>165</v>
      </c>
      <c r="T411" s="1">
        <v>24999</v>
      </c>
      <c r="U411" s="1" t="s">
        <v>166</v>
      </c>
      <c r="V411" s="1" t="s">
        <v>2288</v>
      </c>
      <c r="W411" s="1" t="s">
        <v>2289</v>
      </c>
      <c r="Z411" s="1" t="s">
        <v>2290</v>
      </c>
    </row>
    <row r="412" spans="1:26" ht="15.75" customHeight="1" x14ac:dyDescent="0.35">
      <c r="A412" s="1" t="s">
        <v>66</v>
      </c>
      <c r="B412" s="1" t="s">
        <v>2291</v>
      </c>
      <c r="C412" s="1" t="s">
        <v>2292</v>
      </c>
      <c r="D412" s="1" t="s">
        <v>982</v>
      </c>
      <c r="E412" s="1" t="s">
        <v>507</v>
      </c>
      <c r="F412" s="1" t="s">
        <v>2293</v>
      </c>
      <c r="G412" s="1" t="s">
        <v>352</v>
      </c>
      <c r="H412" s="1" t="s">
        <v>2282</v>
      </c>
      <c r="I412" s="1" t="s">
        <v>120</v>
      </c>
      <c r="K412" s="1" t="s">
        <v>121</v>
      </c>
      <c r="M412" s="1" t="s">
        <v>2283</v>
      </c>
      <c r="N412" s="1" t="s">
        <v>2284</v>
      </c>
      <c r="O412" s="1" t="s">
        <v>2285</v>
      </c>
      <c r="P412" s="1" t="s">
        <v>2294</v>
      </c>
      <c r="Q412" s="1" t="s">
        <v>2045</v>
      </c>
      <c r="R412" s="1" t="s">
        <v>2287</v>
      </c>
      <c r="S412" s="1" t="s">
        <v>165</v>
      </c>
      <c r="T412" s="1">
        <v>23999</v>
      </c>
      <c r="U412" s="1" t="s">
        <v>166</v>
      </c>
      <c r="V412" s="1" t="s">
        <v>2295</v>
      </c>
      <c r="W412" s="1" t="s">
        <v>2296</v>
      </c>
      <c r="Z412" s="1" t="s">
        <v>2290</v>
      </c>
    </row>
    <row r="413" spans="1:26" ht="15.75" customHeight="1" x14ac:dyDescent="0.35">
      <c r="A413" s="1" t="s">
        <v>66</v>
      </c>
      <c r="B413" s="1" t="s">
        <v>2297</v>
      </c>
      <c r="C413" s="1" t="s">
        <v>2298</v>
      </c>
      <c r="D413" s="1" t="s">
        <v>1076</v>
      </c>
      <c r="E413" s="1" t="s">
        <v>410</v>
      </c>
      <c r="F413" s="1" t="s">
        <v>2299</v>
      </c>
      <c r="G413" s="1" t="s">
        <v>2300</v>
      </c>
      <c r="H413" s="1" t="s">
        <v>2301</v>
      </c>
      <c r="I413" s="1" t="s">
        <v>1493</v>
      </c>
      <c r="J413" s="1" t="s">
        <v>57</v>
      </c>
      <c r="K413" s="1" t="s">
        <v>121</v>
      </c>
      <c r="M413" s="1" t="s">
        <v>2302</v>
      </c>
      <c r="O413" s="1" t="s">
        <v>2303</v>
      </c>
      <c r="P413" s="1" t="s">
        <v>2304</v>
      </c>
      <c r="Q413" s="1" t="s">
        <v>1196</v>
      </c>
      <c r="R413" s="1" t="s">
        <v>2305</v>
      </c>
      <c r="S413" s="1" t="s">
        <v>339</v>
      </c>
      <c r="T413" s="1">
        <v>40000</v>
      </c>
      <c r="U413" s="1" t="s">
        <v>166</v>
      </c>
      <c r="V413" s="1" t="s">
        <v>2277</v>
      </c>
      <c r="W413" s="1" t="s">
        <v>2306</v>
      </c>
    </row>
    <row r="414" spans="1:26" ht="15.75" customHeight="1" x14ac:dyDescent="0.35">
      <c r="A414" s="1" t="s">
        <v>66</v>
      </c>
      <c r="B414" s="1" t="s">
        <v>2307</v>
      </c>
      <c r="C414" s="1" t="s">
        <v>1075</v>
      </c>
      <c r="D414" s="1" t="s">
        <v>1519</v>
      </c>
      <c r="E414" s="1" t="s">
        <v>70</v>
      </c>
      <c r="F414" s="1" t="s">
        <v>2308</v>
      </c>
      <c r="G414" s="1" t="s">
        <v>2300</v>
      </c>
      <c r="H414" s="1" t="s">
        <v>2272</v>
      </c>
      <c r="I414" s="1" t="s">
        <v>120</v>
      </c>
      <c r="J414" s="1" t="s">
        <v>75</v>
      </c>
      <c r="K414" s="1" t="s">
        <v>121</v>
      </c>
      <c r="M414" s="1" t="s">
        <v>2273</v>
      </c>
      <c r="N414" s="1" t="s">
        <v>2309</v>
      </c>
      <c r="O414" s="1" t="s">
        <v>2310</v>
      </c>
      <c r="P414" s="1" t="s">
        <v>2311</v>
      </c>
      <c r="Q414" s="1" t="s">
        <v>2312</v>
      </c>
      <c r="R414" s="1" t="s">
        <v>2313</v>
      </c>
      <c r="S414" s="1" t="s">
        <v>339</v>
      </c>
      <c r="T414" s="1">
        <v>36999</v>
      </c>
      <c r="U414" s="1" t="s">
        <v>1082</v>
      </c>
      <c r="V414" s="1" t="s">
        <v>2046</v>
      </c>
      <c r="W414" s="1" t="s">
        <v>2314</v>
      </c>
    </row>
    <row r="415" spans="1:26" ht="15.75" customHeight="1" x14ac:dyDescent="0.35">
      <c r="A415" s="1" t="s">
        <v>234</v>
      </c>
      <c r="B415" s="1" t="s">
        <v>2315</v>
      </c>
      <c r="C415" s="1" t="s">
        <v>1613</v>
      </c>
      <c r="D415" s="1" t="s">
        <v>438</v>
      </c>
      <c r="E415" s="1" t="s">
        <v>507</v>
      </c>
      <c r="F415" s="1" t="s">
        <v>2316</v>
      </c>
      <c r="G415" s="1" t="s">
        <v>2088</v>
      </c>
      <c r="H415" s="1" t="s">
        <v>2317</v>
      </c>
      <c r="I415" s="1" t="s">
        <v>120</v>
      </c>
      <c r="J415" s="1" t="s">
        <v>75</v>
      </c>
      <c r="K415" s="1" t="s">
        <v>90</v>
      </c>
      <c r="L415" s="1" t="s">
        <v>1022</v>
      </c>
      <c r="M415" s="1" t="s">
        <v>1397</v>
      </c>
      <c r="N415" s="1" t="s">
        <v>465</v>
      </c>
      <c r="O415" s="1" t="s">
        <v>2318</v>
      </c>
      <c r="P415" s="1" t="s">
        <v>1470</v>
      </c>
      <c r="Q415" s="1" t="s">
        <v>1400</v>
      </c>
      <c r="R415" s="1" t="s">
        <v>1409</v>
      </c>
      <c r="S415" s="1" t="s">
        <v>339</v>
      </c>
      <c r="T415" s="1">
        <v>30999</v>
      </c>
      <c r="U415" s="1" t="s">
        <v>1082</v>
      </c>
      <c r="V415" s="1" t="s">
        <v>2319</v>
      </c>
      <c r="W415" s="1" t="s">
        <v>2320</v>
      </c>
    </row>
    <row r="416" spans="1:26" ht="15.75" customHeight="1" x14ac:dyDescent="0.35">
      <c r="A416" s="1" t="s">
        <v>234</v>
      </c>
      <c r="B416" s="1" t="s">
        <v>2321</v>
      </c>
      <c r="C416" s="1" t="s">
        <v>1798</v>
      </c>
      <c r="D416" s="1" t="s">
        <v>1501</v>
      </c>
      <c r="E416" s="1" t="s">
        <v>70</v>
      </c>
      <c r="F416" s="1" t="s">
        <v>1324</v>
      </c>
      <c r="G416" s="1" t="s">
        <v>239</v>
      </c>
      <c r="H416" s="1" t="s">
        <v>2322</v>
      </c>
      <c r="I416" s="1" t="s">
        <v>120</v>
      </c>
      <c r="J416" s="1" t="s">
        <v>2323</v>
      </c>
      <c r="K416" s="1" t="s">
        <v>90</v>
      </c>
      <c r="L416" s="1" t="s">
        <v>288</v>
      </c>
      <c r="M416" s="1" t="s">
        <v>241</v>
      </c>
      <c r="N416" s="1" t="s">
        <v>465</v>
      </c>
      <c r="O416" s="1" t="s">
        <v>2266</v>
      </c>
      <c r="P416" s="1" t="s">
        <v>2171</v>
      </c>
      <c r="Q416" s="1" t="s">
        <v>1400</v>
      </c>
      <c r="R416" s="1" t="s">
        <v>281</v>
      </c>
      <c r="S416" s="1" t="s">
        <v>165</v>
      </c>
      <c r="T416" s="1">
        <v>49999</v>
      </c>
      <c r="V416" s="1" t="s">
        <v>2099</v>
      </c>
      <c r="W416" s="1" t="s">
        <v>2324</v>
      </c>
    </row>
    <row r="417" spans="1:23" ht="15.75" customHeight="1" x14ac:dyDescent="0.35">
      <c r="A417" s="1" t="s">
        <v>234</v>
      </c>
      <c r="B417" s="1" t="s">
        <v>2325</v>
      </c>
      <c r="C417" s="1" t="s">
        <v>2218</v>
      </c>
      <c r="D417" s="1" t="s">
        <v>2326</v>
      </c>
      <c r="E417" s="1" t="s">
        <v>410</v>
      </c>
      <c r="F417" s="1" t="s">
        <v>2327</v>
      </c>
      <c r="G417" s="1" t="s">
        <v>239</v>
      </c>
      <c r="H417" s="1" t="s">
        <v>2328</v>
      </c>
      <c r="I417" s="1" t="s">
        <v>1493</v>
      </c>
      <c r="J417" s="1" t="s">
        <v>256</v>
      </c>
      <c r="K417" s="1" t="s">
        <v>90</v>
      </c>
      <c r="L417" s="1" t="s">
        <v>1022</v>
      </c>
      <c r="M417" s="1" t="s">
        <v>241</v>
      </c>
      <c r="N417" s="1" t="s">
        <v>811</v>
      </c>
      <c r="O417" s="1" t="s">
        <v>2329</v>
      </c>
      <c r="P417" s="1" t="s">
        <v>1922</v>
      </c>
      <c r="Q417" s="1" t="s">
        <v>1923</v>
      </c>
      <c r="R417" s="1" t="s">
        <v>2330</v>
      </c>
      <c r="S417" s="1" t="s">
        <v>339</v>
      </c>
      <c r="T417" s="1">
        <v>69999</v>
      </c>
      <c r="V417" s="1" t="s">
        <v>2331</v>
      </c>
      <c r="W417" s="1" t="s">
        <v>2332</v>
      </c>
    </row>
    <row r="418" spans="1:23" ht="15.75" customHeight="1" x14ac:dyDescent="0.35">
      <c r="A418" s="1" t="s">
        <v>234</v>
      </c>
      <c r="B418" s="1" t="s">
        <v>2333</v>
      </c>
      <c r="C418" s="1" t="s">
        <v>1046</v>
      </c>
      <c r="D418" s="1" t="s">
        <v>2334</v>
      </c>
      <c r="E418" s="1" t="s">
        <v>1556</v>
      </c>
      <c r="F418" s="1" t="s">
        <v>2335</v>
      </c>
      <c r="G418" s="1" t="s">
        <v>472</v>
      </c>
      <c r="H418" s="1" t="s">
        <v>2336</v>
      </c>
      <c r="I418" s="1" t="s">
        <v>89</v>
      </c>
      <c r="J418" s="1" t="s">
        <v>256</v>
      </c>
      <c r="K418" s="1" t="s">
        <v>90</v>
      </c>
      <c r="L418" s="1" t="s">
        <v>1865</v>
      </c>
      <c r="M418" s="1" t="s">
        <v>241</v>
      </c>
      <c r="N418" s="1" t="s">
        <v>465</v>
      </c>
      <c r="O418" s="1" t="s">
        <v>2337</v>
      </c>
      <c r="P418" s="1" t="s">
        <v>2338</v>
      </c>
      <c r="Q418" s="1" t="s">
        <v>1552</v>
      </c>
      <c r="R418" s="1" t="s">
        <v>64</v>
      </c>
      <c r="S418" s="1" t="s">
        <v>165</v>
      </c>
      <c r="T418" s="1">
        <v>124999</v>
      </c>
      <c r="U418" s="1" t="s">
        <v>79</v>
      </c>
      <c r="V418" s="1" t="s">
        <v>2339</v>
      </c>
      <c r="W418" s="1" t="s">
        <v>2340</v>
      </c>
    </row>
    <row r="419" spans="1:23" ht="15.75" customHeight="1" x14ac:dyDescent="0.35">
      <c r="A419" s="1" t="s">
        <v>30</v>
      </c>
      <c r="B419" s="1" t="s">
        <v>2341</v>
      </c>
      <c r="C419" s="1" t="s">
        <v>2175</v>
      </c>
      <c r="D419" s="1" t="s">
        <v>1706</v>
      </c>
      <c r="E419" s="1" t="s">
        <v>2342</v>
      </c>
      <c r="F419" s="1" t="s">
        <v>2110</v>
      </c>
      <c r="G419" s="1" t="s">
        <v>2343</v>
      </c>
      <c r="H419" s="1" t="s">
        <v>2178</v>
      </c>
      <c r="I419" s="1" t="s">
        <v>74</v>
      </c>
      <c r="K419" s="1" t="s">
        <v>101</v>
      </c>
      <c r="L419" s="1" t="s">
        <v>1441</v>
      </c>
      <c r="M419" s="1" t="s">
        <v>2179</v>
      </c>
      <c r="N419" s="1" t="s">
        <v>373</v>
      </c>
      <c r="O419" s="1" t="s">
        <v>1695</v>
      </c>
      <c r="P419" s="1" t="s">
        <v>375</v>
      </c>
      <c r="Q419" s="1" t="s">
        <v>376</v>
      </c>
      <c r="R419" s="1" t="s">
        <v>64</v>
      </c>
      <c r="S419" s="1" t="s">
        <v>78</v>
      </c>
      <c r="T419" s="1">
        <v>24499</v>
      </c>
      <c r="U419" s="1" t="s">
        <v>2181</v>
      </c>
      <c r="V419" s="1" t="s">
        <v>2182</v>
      </c>
      <c r="W419" s="1" t="s">
        <v>2344</v>
      </c>
    </row>
    <row r="420" spans="1:23" ht="15.75" customHeight="1" x14ac:dyDescent="0.35">
      <c r="A420" s="1" t="s">
        <v>30</v>
      </c>
      <c r="B420" s="1" t="s">
        <v>2345</v>
      </c>
      <c r="C420" s="1" t="s">
        <v>1075</v>
      </c>
      <c r="D420" s="1" t="s">
        <v>1453</v>
      </c>
      <c r="E420" s="1" t="s">
        <v>70</v>
      </c>
      <c r="F420" s="1" t="s">
        <v>2346</v>
      </c>
      <c r="G420" s="1" t="s">
        <v>322</v>
      </c>
      <c r="H420" s="1" t="s">
        <v>778</v>
      </c>
      <c r="I420" s="1" t="s">
        <v>120</v>
      </c>
      <c r="J420" s="1" t="s">
        <v>75</v>
      </c>
      <c r="K420" s="1" t="s">
        <v>90</v>
      </c>
      <c r="L420" s="1" t="s">
        <v>1441</v>
      </c>
      <c r="M420" s="1" t="s">
        <v>649</v>
      </c>
      <c r="N420" s="1" t="s">
        <v>373</v>
      </c>
      <c r="O420" s="1" t="s">
        <v>2051</v>
      </c>
      <c r="P420" s="1" t="s">
        <v>651</v>
      </c>
      <c r="Q420" s="1" t="s">
        <v>652</v>
      </c>
      <c r="R420" s="1" t="s">
        <v>64</v>
      </c>
      <c r="S420" s="1" t="s">
        <v>78</v>
      </c>
      <c r="T420" s="1">
        <v>41999</v>
      </c>
      <c r="U420" s="1" t="s">
        <v>1082</v>
      </c>
      <c r="V420" s="1" t="s">
        <v>2057</v>
      </c>
    </row>
    <row r="421" spans="1:23" ht="15.75" customHeight="1" x14ac:dyDescent="0.35">
      <c r="A421" s="1" t="s">
        <v>234</v>
      </c>
      <c r="B421" s="1" t="s">
        <v>2347</v>
      </c>
      <c r="C421" s="1" t="s">
        <v>2137</v>
      </c>
      <c r="D421" s="1" t="s">
        <v>2348</v>
      </c>
      <c r="E421" s="1" t="s">
        <v>70</v>
      </c>
      <c r="F421" s="1" t="s">
        <v>2349</v>
      </c>
      <c r="G421" s="1" t="s">
        <v>1604</v>
      </c>
      <c r="H421" s="1" t="s">
        <v>2350</v>
      </c>
      <c r="I421" s="1" t="s">
        <v>120</v>
      </c>
      <c r="J421" s="1" t="s">
        <v>75</v>
      </c>
      <c r="K421" s="1" t="s">
        <v>90</v>
      </c>
      <c r="L421" s="1" t="s">
        <v>972</v>
      </c>
      <c r="M421" s="1" t="s">
        <v>2351</v>
      </c>
      <c r="N421" s="1" t="s">
        <v>465</v>
      </c>
      <c r="O421" s="1" t="s">
        <v>2352</v>
      </c>
      <c r="P421" s="1" t="s">
        <v>2353</v>
      </c>
      <c r="Q421" s="1" t="s">
        <v>814</v>
      </c>
      <c r="R421" s="1" t="s">
        <v>1034</v>
      </c>
      <c r="S421" s="1" t="s">
        <v>339</v>
      </c>
      <c r="T421" s="1">
        <v>42500</v>
      </c>
      <c r="U421" s="1" t="s">
        <v>166</v>
      </c>
      <c r="V421" s="1" t="s">
        <v>2277</v>
      </c>
    </row>
    <row r="422" spans="1:23" ht="15.75" customHeight="1" x14ac:dyDescent="0.35">
      <c r="A422" s="1" t="s">
        <v>30</v>
      </c>
      <c r="B422" s="1" t="s">
        <v>2354</v>
      </c>
      <c r="C422" s="1" t="s">
        <v>1118</v>
      </c>
      <c r="D422" s="1" t="s">
        <v>2326</v>
      </c>
      <c r="E422" s="1" t="s">
        <v>410</v>
      </c>
      <c r="F422" s="1" t="s">
        <v>2355</v>
      </c>
      <c r="G422" s="1" t="s">
        <v>322</v>
      </c>
      <c r="H422" s="1" t="s">
        <v>2356</v>
      </c>
      <c r="I422" s="1" t="s">
        <v>120</v>
      </c>
      <c r="J422" s="1" t="s">
        <v>256</v>
      </c>
      <c r="K422" s="1" t="s">
        <v>90</v>
      </c>
      <c r="L422" s="1" t="s">
        <v>1441</v>
      </c>
      <c r="M422" s="1" t="s">
        <v>649</v>
      </c>
      <c r="N422" s="1" t="s">
        <v>373</v>
      </c>
      <c r="O422" s="1" t="s">
        <v>2051</v>
      </c>
      <c r="P422" s="1" t="s">
        <v>651</v>
      </c>
      <c r="Q422" s="1" t="s">
        <v>652</v>
      </c>
      <c r="R422" s="1" t="s">
        <v>64</v>
      </c>
      <c r="S422" s="1" t="s">
        <v>78</v>
      </c>
      <c r="T422" s="1">
        <v>57799</v>
      </c>
      <c r="U422" s="1" t="s">
        <v>166</v>
      </c>
      <c r="V422" s="1" t="s">
        <v>1663</v>
      </c>
    </row>
    <row r="423" spans="1:23" ht="15.75" customHeight="1" x14ac:dyDescent="0.35">
      <c r="A423" s="1" t="s">
        <v>30</v>
      </c>
      <c r="B423" s="1" t="s">
        <v>2354</v>
      </c>
      <c r="C423" s="1" t="s">
        <v>1118</v>
      </c>
      <c r="D423" s="1" t="s">
        <v>1822</v>
      </c>
      <c r="E423" s="1" t="s">
        <v>410</v>
      </c>
      <c r="F423" s="1" t="s">
        <v>2355</v>
      </c>
      <c r="G423" s="1" t="s">
        <v>322</v>
      </c>
      <c r="H423" s="1" t="s">
        <v>778</v>
      </c>
      <c r="I423" s="1" t="s">
        <v>120</v>
      </c>
      <c r="J423" s="1" t="s">
        <v>75</v>
      </c>
      <c r="K423" s="1" t="s">
        <v>90</v>
      </c>
      <c r="L423" s="1" t="s">
        <v>1441</v>
      </c>
      <c r="M423" s="1" t="s">
        <v>649</v>
      </c>
      <c r="N423" s="1" t="s">
        <v>373</v>
      </c>
      <c r="O423" s="1" t="s">
        <v>2051</v>
      </c>
      <c r="P423" s="1" t="s">
        <v>651</v>
      </c>
      <c r="Q423" s="1" t="s">
        <v>652</v>
      </c>
      <c r="R423" s="1" t="s">
        <v>64</v>
      </c>
      <c r="S423" s="1" t="s">
        <v>78</v>
      </c>
      <c r="T423" s="1">
        <v>70000</v>
      </c>
      <c r="U423" s="1" t="s">
        <v>166</v>
      </c>
      <c r="V423" s="1" t="s">
        <v>1663</v>
      </c>
    </row>
    <row r="424" spans="1:23" ht="15.75" customHeight="1" x14ac:dyDescent="0.35">
      <c r="A424" s="1" t="s">
        <v>30</v>
      </c>
      <c r="B424" s="1" t="s">
        <v>2357</v>
      </c>
      <c r="C424" s="1" t="s">
        <v>2184</v>
      </c>
      <c r="D424" s="1" t="s">
        <v>2358</v>
      </c>
      <c r="E424" s="1" t="s">
        <v>507</v>
      </c>
      <c r="F424" s="1" t="s">
        <v>513</v>
      </c>
      <c r="G424" s="1" t="s">
        <v>2359</v>
      </c>
      <c r="H424" s="1" t="s">
        <v>778</v>
      </c>
      <c r="I424" s="1" t="s">
        <v>120</v>
      </c>
      <c r="J424" s="1" t="s">
        <v>75</v>
      </c>
      <c r="K424" s="1" t="s">
        <v>1722</v>
      </c>
      <c r="L424" s="1" t="s">
        <v>1441</v>
      </c>
      <c r="M424" s="1" t="s">
        <v>2179</v>
      </c>
      <c r="N424" s="1" t="s">
        <v>373</v>
      </c>
      <c r="O424" s="1" t="s">
        <v>2180</v>
      </c>
      <c r="P424" s="1" t="s">
        <v>375</v>
      </c>
      <c r="Q424" s="1" t="s">
        <v>376</v>
      </c>
      <c r="S424" s="1" t="s">
        <v>78</v>
      </c>
      <c r="T424" s="1">
        <v>35480</v>
      </c>
      <c r="U424" s="1" t="s">
        <v>2181</v>
      </c>
      <c r="V424" s="1" t="s">
        <v>2186</v>
      </c>
    </row>
    <row r="425" spans="1:23" ht="15.75" customHeight="1" x14ac:dyDescent="0.35">
      <c r="A425" s="1" t="s">
        <v>30</v>
      </c>
      <c r="B425" s="1" t="s">
        <v>1690</v>
      </c>
      <c r="C425" s="1" t="s">
        <v>1075</v>
      </c>
      <c r="D425" s="1" t="s">
        <v>1130</v>
      </c>
      <c r="E425" s="1" t="s">
        <v>507</v>
      </c>
      <c r="F425" s="1" t="s">
        <v>2360</v>
      </c>
      <c r="G425" s="1" t="s">
        <v>2188</v>
      </c>
      <c r="H425" s="1" t="s">
        <v>778</v>
      </c>
      <c r="I425" s="1" t="s">
        <v>74</v>
      </c>
      <c r="J425" s="1" t="s">
        <v>75</v>
      </c>
      <c r="K425" s="1" t="s">
        <v>90</v>
      </c>
      <c r="L425" s="1" t="s">
        <v>1441</v>
      </c>
      <c r="M425" s="1" t="s">
        <v>372</v>
      </c>
      <c r="N425" s="1" t="s">
        <v>373</v>
      </c>
      <c r="O425" s="1" t="s">
        <v>1616</v>
      </c>
      <c r="P425" s="1" t="s">
        <v>375</v>
      </c>
      <c r="Q425" s="1" t="s">
        <v>376</v>
      </c>
      <c r="S425" s="1" t="s">
        <v>78</v>
      </c>
      <c r="T425" s="1">
        <v>36959</v>
      </c>
      <c r="U425" s="1" t="s">
        <v>1082</v>
      </c>
      <c r="V425" s="1" t="s">
        <v>2055</v>
      </c>
    </row>
    <row r="426" spans="1:23" ht="15.75" customHeight="1" x14ac:dyDescent="0.35">
      <c r="A426" s="1" t="s">
        <v>234</v>
      </c>
      <c r="B426" s="1" t="s">
        <v>2361</v>
      </c>
      <c r="C426" s="1" t="s">
        <v>2362</v>
      </c>
      <c r="D426" s="1" t="s">
        <v>1453</v>
      </c>
      <c r="E426" s="1" t="s">
        <v>70</v>
      </c>
      <c r="F426" s="1" t="s">
        <v>1289</v>
      </c>
      <c r="G426" s="1" t="s">
        <v>2363</v>
      </c>
      <c r="H426" s="1" t="s">
        <v>2364</v>
      </c>
      <c r="I426" s="1" t="s">
        <v>89</v>
      </c>
      <c r="J426" s="1" t="s">
        <v>57</v>
      </c>
      <c r="K426" s="1" t="s">
        <v>90</v>
      </c>
      <c r="L426" s="1" t="s">
        <v>2076</v>
      </c>
      <c r="M426" s="1" t="s">
        <v>2365</v>
      </c>
      <c r="N426" s="1" t="s">
        <v>811</v>
      </c>
      <c r="O426" s="1" t="s">
        <v>2366</v>
      </c>
      <c r="P426" s="1" t="s">
        <v>2367</v>
      </c>
      <c r="Q426" s="1" t="s">
        <v>814</v>
      </c>
      <c r="S426" s="1" t="s">
        <v>165</v>
      </c>
      <c r="T426" s="1">
        <v>69999</v>
      </c>
      <c r="V426" s="1" t="s">
        <v>1795</v>
      </c>
      <c r="W426" s="1" t="s">
        <v>2368</v>
      </c>
    </row>
    <row r="427" spans="1:23" ht="15.75" customHeight="1" x14ac:dyDescent="0.35">
      <c r="A427" s="1" t="s">
        <v>234</v>
      </c>
      <c r="B427" s="1" t="s">
        <v>2369</v>
      </c>
      <c r="C427" s="1" t="s">
        <v>1118</v>
      </c>
      <c r="D427" s="1" t="s">
        <v>2370</v>
      </c>
      <c r="E427" s="1" t="s">
        <v>1584</v>
      </c>
      <c r="F427" s="1" t="s">
        <v>656</v>
      </c>
      <c r="G427" s="1" t="s">
        <v>322</v>
      </c>
      <c r="H427" s="1" t="s">
        <v>2247</v>
      </c>
      <c r="I427" s="1" t="s">
        <v>120</v>
      </c>
      <c r="J427" s="1" t="s">
        <v>57</v>
      </c>
      <c r="K427" s="1" t="s">
        <v>90</v>
      </c>
      <c r="L427" s="1" t="s">
        <v>1405</v>
      </c>
      <c r="M427" s="1" t="s">
        <v>241</v>
      </c>
      <c r="N427" s="1" t="s">
        <v>465</v>
      </c>
      <c r="O427" s="1" t="s">
        <v>2127</v>
      </c>
      <c r="P427" s="1" t="s">
        <v>2002</v>
      </c>
      <c r="Q427" s="1" t="s">
        <v>2312</v>
      </c>
      <c r="R427" s="1" t="s">
        <v>64</v>
      </c>
      <c r="S427" s="1" t="s">
        <v>165</v>
      </c>
      <c r="T427" s="1">
        <v>44449</v>
      </c>
      <c r="U427" s="1" t="s">
        <v>166</v>
      </c>
      <c r="V427" s="1" t="s">
        <v>2371</v>
      </c>
      <c r="W427" s="1" t="s">
        <v>2372</v>
      </c>
    </row>
    <row r="428" spans="1:23" ht="15.75" customHeight="1" x14ac:dyDescent="0.35">
      <c r="A428" s="1" t="s">
        <v>234</v>
      </c>
      <c r="B428" s="1" t="s">
        <v>2373</v>
      </c>
      <c r="C428" s="1" t="s">
        <v>2362</v>
      </c>
      <c r="D428" s="1" t="s">
        <v>2374</v>
      </c>
      <c r="E428" s="1" t="s">
        <v>2342</v>
      </c>
      <c r="F428" s="1" t="s">
        <v>656</v>
      </c>
      <c r="G428" s="1" t="s">
        <v>295</v>
      </c>
      <c r="H428" s="1" t="s">
        <v>2375</v>
      </c>
      <c r="I428" s="1" t="s">
        <v>89</v>
      </c>
      <c r="J428" s="1" t="s">
        <v>57</v>
      </c>
      <c r="K428" s="1" t="s">
        <v>90</v>
      </c>
      <c r="L428" s="1" t="s">
        <v>1022</v>
      </c>
      <c r="M428" s="1" t="s">
        <v>241</v>
      </c>
      <c r="N428" s="1" t="s">
        <v>811</v>
      </c>
      <c r="O428" s="1" t="s">
        <v>2376</v>
      </c>
      <c r="P428" s="1" t="s">
        <v>1794</v>
      </c>
      <c r="Q428" s="1" t="s">
        <v>2377</v>
      </c>
      <c r="R428" s="1" t="s">
        <v>281</v>
      </c>
      <c r="S428" s="1" t="s">
        <v>165</v>
      </c>
      <c r="T428" s="1">
        <v>64999</v>
      </c>
      <c r="V428" s="1" t="s">
        <v>1795</v>
      </c>
      <c r="W428" s="1" t="s">
        <v>2378</v>
      </c>
    </row>
    <row r="429" spans="1:23" ht="15.75" customHeight="1" x14ac:dyDescent="0.35">
      <c r="A429" s="1" t="s">
        <v>151</v>
      </c>
      <c r="B429" s="1" t="s">
        <v>2379</v>
      </c>
      <c r="C429" s="1" t="s">
        <v>2380</v>
      </c>
      <c r="D429" s="1" t="s">
        <v>2381</v>
      </c>
      <c r="E429" s="1" t="s">
        <v>2342</v>
      </c>
      <c r="F429" s="1" t="s">
        <v>656</v>
      </c>
      <c r="G429" s="1" t="s">
        <v>1120</v>
      </c>
      <c r="H429" s="1" t="s">
        <v>2382</v>
      </c>
      <c r="I429" s="1" t="s">
        <v>120</v>
      </c>
      <c r="J429" s="1" t="s">
        <v>39</v>
      </c>
      <c r="K429" s="1" t="s">
        <v>121</v>
      </c>
      <c r="L429" s="1" t="s">
        <v>158</v>
      </c>
      <c r="M429" s="1" t="s">
        <v>2383</v>
      </c>
      <c r="N429" s="1" t="s">
        <v>160</v>
      </c>
      <c r="O429" s="1" t="s">
        <v>2384</v>
      </c>
      <c r="P429" s="1" t="s">
        <v>834</v>
      </c>
      <c r="Q429" s="1" t="s">
        <v>652</v>
      </c>
      <c r="R429" s="1" t="s">
        <v>217</v>
      </c>
      <c r="S429" s="1" t="s">
        <v>78</v>
      </c>
      <c r="T429" s="1">
        <v>29999</v>
      </c>
      <c r="U429" s="1" t="s">
        <v>1082</v>
      </c>
      <c r="V429" s="1" t="s">
        <v>2385</v>
      </c>
      <c r="W429" s="1" t="s">
        <v>2386</v>
      </c>
    </row>
    <row r="430" spans="1:23" ht="15.75" customHeight="1" x14ac:dyDescent="0.35">
      <c r="A430" s="1" t="s">
        <v>66</v>
      </c>
      <c r="B430" s="1" t="s">
        <v>2387</v>
      </c>
      <c r="C430" s="1" t="s">
        <v>2292</v>
      </c>
      <c r="D430" s="1" t="s">
        <v>350</v>
      </c>
      <c r="E430" s="1" t="s">
        <v>2342</v>
      </c>
      <c r="F430" s="1" t="s">
        <v>512</v>
      </c>
      <c r="G430" s="1" t="s">
        <v>2388</v>
      </c>
      <c r="H430" s="1" t="s">
        <v>2389</v>
      </c>
      <c r="I430" s="1" t="s">
        <v>120</v>
      </c>
      <c r="K430" s="1" t="s">
        <v>121</v>
      </c>
      <c r="M430" s="1" t="s">
        <v>2390</v>
      </c>
      <c r="N430" s="1" t="s">
        <v>2284</v>
      </c>
      <c r="O430" s="1" t="s">
        <v>2391</v>
      </c>
      <c r="P430" s="1" t="s">
        <v>2392</v>
      </c>
      <c r="Q430" s="1" t="s">
        <v>2393</v>
      </c>
      <c r="R430" s="1" t="s">
        <v>2394</v>
      </c>
      <c r="S430" s="1" t="s">
        <v>165</v>
      </c>
      <c r="T430" s="1">
        <v>24199</v>
      </c>
      <c r="U430" s="1" t="s">
        <v>166</v>
      </c>
      <c r="V430" s="1" t="s">
        <v>2395</v>
      </c>
    </row>
    <row r="431" spans="1:23" ht="15.75" customHeight="1" x14ac:dyDescent="0.35">
      <c r="A431" s="1" t="s">
        <v>66</v>
      </c>
      <c r="B431" s="1" t="s">
        <v>2396</v>
      </c>
      <c r="C431" s="1" t="s">
        <v>2280</v>
      </c>
      <c r="D431" s="1" t="s">
        <v>350</v>
      </c>
      <c r="E431" s="1" t="s">
        <v>2342</v>
      </c>
      <c r="F431" s="1" t="s">
        <v>512</v>
      </c>
      <c r="G431" s="1" t="s">
        <v>1120</v>
      </c>
      <c r="H431" s="1" t="s">
        <v>2389</v>
      </c>
      <c r="I431" s="1" t="s">
        <v>120</v>
      </c>
      <c r="K431" s="1" t="s">
        <v>121</v>
      </c>
      <c r="M431" s="1" t="s">
        <v>2390</v>
      </c>
      <c r="N431" s="1" t="s">
        <v>2284</v>
      </c>
      <c r="O431" s="1" t="s">
        <v>2391</v>
      </c>
      <c r="P431" s="1" t="s">
        <v>2392</v>
      </c>
      <c r="Q431" s="1" t="s">
        <v>2393</v>
      </c>
      <c r="R431" s="1" t="s">
        <v>2394</v>
      </c>
      <c r="S431" s="1" t="s">
        <v>165</v>
      </c>
      <c r="T431" s="1">
        <v>25700</v>
      </c>
      <c r="U431" s="1" t="s">
        <v>166</v>
      </c>
      <c r="V431" s="1" t="s">
        <v>2288</v>
      </c>
    </row>
    <row r="432" spans="1:23" ht="15.75" customHeight="1" x14ac:dyDescent="0.35">
      <c r="A432" s="1" t="s">
        <v>66</v>
      </c>
      <c r="B432" s="1" t="s">
        <v>2397</v>
      </c>
      <c r="C432" s="1" t="s">
        <v>2398</v>
      </c>
      <c r="D432" s="1" t="s">
        <v>1440</v>
      </c>
      <c r="E432" s="1" t="s">
        <v>2342</v>
      </c>
      <c r="F432" s="1" t="s">
        <v>512</v>
      </c>
      <c r="G432" s="1" t="s">
        <v>1120</v>
      </c>
      <c r="H432" s="1" t="s">
        <v>2399</v>
      </c>
      <c r="I432" s="1" t="s">
        <v>120</v>
      </c>
      <c r="K432" s="1" t="s">
        <v>121</v>
      </c>
      <c r="M432" s="1" t="s">
        <v>2400</v>
      </c>
      <c r="O432" s="1" t="s">
        <v>2401</v>
      </c>
      <c r="P432" s="1" t="s">
        <v>2286</v>
      </c>
      <c r="Q432" s="1" t="s">
        <v>2402</v>
      </c>
      <c r="R432" s="1" t="s">
        <v>64</v>
      </c>
      <c r="S432" s="1" t="s">
        <v>165</v>
      </c>
      <c r="T432" s="1">
        <v>25299</v>
      </c>
      <c r="V432" s="1" t="s">
        <v>2403</v>
      </c>
    </row>
    <row r="433" spans="1:27" ht="15.75" customHeight="1" x14ac:dyDescent="0.35">
      <c r="A433" s="1" t="s">
        <v>66</v>
      </c>
      <c r="B433" s="1" t="s">
        <v>2404</v>
      </c>
      <c r="C433" s="1" t="s">
        <v>2405</v>
      </c>
      <c r="D433" s="1" t="s">
        <v>1440</v>
      </c>
      <c r="E433" s="1" t="s">
        <v>2342</v>
      </c>
      <c r="F433" s="1" t="s">
        <v>656</v>
      </c>
      <c r="G433" s="1" t="s">
        <v>1120</v>
      </c>
      <c r="H433" s="1" t="s">
        <v>2406</v>
      </c>
      <c r="I433" s="1" t="s">
        <v>120</v>
      </c>
      <c r="J433" s="1" t="s">
        <v>75</v>
      </c>
      <c r="K433" s="1" t="s">
        <v>121</v>
      </c>
      <c r="M433" s="1" t="s">
        <v>2400</v>
      </c>
      <c r="O433" s="1" t="s">
        <v>2401</v>
      </c>
      <c r="P433" s="1" t="s">
        <v>2286</v>
      </c>
      <c r="Q433" s="1" t="s">
        <v>2402</v>
      </c>
      <c r="R433" s="1" t="s">
        <v>64</v>
      </c>
      <c r="S433" s="1" t="s">
        <v>165</v>
      </c>
      <c r="T433" s="1">
        <v>32499</v>
      </c>
      <c r="V433" s="1" t="s">
        <v>2407</v>
      </c>
    </row>
    <row r="434" spans="1:27" ht="15.75" customHeight="1" x14ac:dyDescent="0.35">
      <c r="A434" s="1" t="s">
        <v>234</v>
      </c>
      <c r="B434" s="1" t="s">
        <v>2408</v>
      </c>
      <c r="C434" s="1" t="s">
        <v>2137</v>
      </c>
      <c r="D434" s="1" t="s">
        <v>982</v>
      </c>
      <c r="E434" s="1" t="s">
        <v>2342</v>
      </c>
      <c r="F434" s="1" t="s">
        <v>656</v>
      </c>
      <c r="G434" s="1" t="s">
        <v>1120</v>
      </c>
      <c r="H434" s="1" t="s">
        <v>2409</v>
      </c>
      <c r="I434" s="1" t="s">
        <v>120</v>
      </c>
      <c r="J434" s="1" t="s">
        <v>75</v>
      </c>
      <c r="K434" s="1" t="s">
        <v>555</v>
      </c>
      <c r="L434" s="1" t="s">
        <v>972</v>
      </c>
      <c r="M434" s="1" t="s">
        <v>1876</v>
      </c>
      <c r="N434" s="1" t="s">
        <v>465</v>
      </c>
      <c r="O434" s="1" t="s">
        <v>2352</v>
      </c>
      <c r="P434" s="1" t="s">
        <v>2353</v>
      </c>
      <c r="Q434" s="1" t="s">
        <v>2078</v>
      </c>
      <c r="R434" s="1" t="s">
        <v>64</v>
      </c>
      <c r="S434" s="1" t="s">
        <v>165</v>
      </c>
      <c r="T434" s="1">
        <v>36000</v>
      </c>
      <c r="U434" s="1" t="s">
        <v>166</v>
      </c>
      <c r="V434" s="1" t="s">
        <v>2410</v>
      </c>
      <c r="W434" s="1" t="s">
        <v>2411</v>
      </c>
    </row>
    <row r="435" spans="1:27" ht="15.75" customHeight="1" x14ac:dyDescent="0.35">
      <c r="A435" s="1" t="s">
        <v>151</v>
      </c>
      <c r="B435" s="1" t="s">
        <v>2412</v>
      </c>
      <c r="C435" s="1" t="s">
        <v>2137</v>
      </c>
      <c r="D435" s="1" t="s">
        <v>1519</v>
      </c>
      <c r="E435" s="1" t="s">
        <v>1584</v>
      </c>
      <c r="F435" s="1" t="s">
        <v>656</v>
      </c>
      <c r="G435" s="1" t="s">
        <v>1120</v>
      </c>
      <c r="H435" s="1" t="s">
        <v>1521</v>
      </c>
      <c r="I435" s="1" t="s">
        <v>120</v>
      </c>
      <c r="J435" s="1" t="s">
        <v>39</v>
      </c>
      <c r="K435" s="1" t="s">
        <v>121</v>
      </c>
      <c r="L435" s="1" t="s">
        <v>1099</v>
      </c>
      <c r="M435" s="1" t="s">
        <v>617</v>
      </c>
      <c r="N435" s="1" t="s">
        <v>160</v>
      </c>
      <c r="O435" s="1" t="s">
        <v>2138</v>
      </c>
      <c r="P435" s="1" t="s">
        <v>1677</v>
      </c>
      <c r="Q435" s="1" t="s">
        <v>1678</v>
      </c>
      <c r="R435" s="1" t="s">
        <v>945</v>
      </c>
      <c r="S435" s="1" t="s">
        <v>78</v>
      </c>
      <c r="T435" s="1">
        <v>60499</v>
      </c>
      <c r="U435" s="1" t="s">
        <v>166</v>
      </c>
      <c r="V435" s="1" t="s">
        <v>2413</v>
      </c>
      <c r="W435" s="1" t="s">
        <v>2414</v>
      </c>
    </row>
    <row r="436" spans="1:27" ht="15.75" customHeight="1" x14ac:dyDescent="0.35">
      <c r="A436" s="1" t="s">
        <v>234</v>
      </c>
      <c r="B436" s="1" t="s">
        <v>2415</v>
      </c>
      <c r="C436" s="1" t="s">
        <v>2416</v>
      </c>
      <c r="D436" s="1" t="s">
        <v>1440</v>
      </c>
      <c r="E436" s="1" t="s">
        <v>2342</v>
      </c>
      <c r="F436" s="1" t="s">
        <v>512</v>
      </c>
      <c r="G436" s="1" t="s">
        <v>2088</v>
      </c>
      <c r="H436" s="1" t="s">
        <v>2417</v>
      </c>
      <c r="I436" s="1" t="s">
        <v>120</v>
      </c>
      <c r="J436" s="1" t="s">
        <v>75</v>
      </c>
      <c r="K436" s="1" t="s">
        <v>555</v>
      </c>
      <c r="L436" s="1" t="s">
        <v>1971</v>
      </c>
      <c r="M436" s="1" t="s">
        <v>1397</v>
      </c>
      <c r="N436" s="1" t="s">
        <v>465</v>
      </c>
      <c r="O436" s="1" t="s">
        <v>2418</v>
      </c>
      <c r="P436" s="1" t="s">
        <v>1470</v>
      </c>
      <c r="Q436" s="1" t="s">
        <v>1400</v>
      </c>
      <c r="R436" s="1" t="s">
        <v>64</v>
      </c>
      <c r="S436" s="1" t="s">
        <v>78</v>
      </c>
      <c r="T436" s="1">
        <v>20999</v>
      </c>
      <c r="V436" s="1" t="s">
        <v>2419</v>
      </c>
      <c r="W436" s="1" t="s">
        <v>2420</v>
      </c>
    </row>
    <row r="437" spans="1:27" ht="15.75" customHeight="1" x14ac:dyDescent="0.35">
      <c r="A437" s="1" t="s">
        <v>234</v>
      </c>
      <c r="B437" s="1" t="s">
        <v>2421</v>
      </c>
      <c r="C437" s="1" t="s">
        <v>2416</v>
      </c>
      <c r="D437" s="1" t="s">
        <v>2422</v>
      </c>
      <c r="E437" s="1" t="s">
        <v>2342</v>
      </c>
      <c r="F437" s="1" t="s">
        <v>2423</v>
      </c>
      <c r="G437" s="1" t="s">
        <v>1604</v>
      </c>
      <c r="H437" s="1" t="s">
        <v>2424</v>
      </c>
      <c r="I437" s="1" t="s">
        <v>120</v>
      </c>
      <c r="J437" s="1" t="s">
        <v>75</v>
      </c>
      <c r="K437" s="1" t="s">
        <v>2425</v>
      </c>
      <c r="L437" s="1" t="s">
        <v>1971</v>
      </c>
      <c r="M437" s="1" t="s">
        <v>1397</v>
      </c>
      <c r="N437" s="1" t="s">
        <v>465</v>
      </c>
      <c r="O437" s="1" t="s">
        <v>2418</v>
      </c>
      <c r="P437" s="1" t="s">
        <v>1470</v>
      </c>
      <c r="Q437" s="1" t="s">
        <v>1400</v>
      </c>
      <c r="R437" s="1" t="s">
        <v>64</v>
      </c>
      <c r="S437" s="1" t="s">
        <v>165</v>
      </c>
      <c r="T437" s="1">
        <v>23100</v>
      </c>
      <c r="V437" s="1" t="s">
        <v>2426</v>
      </c>
      <c r="W437" s="1" t="s">
        <v>2427</v>
      </c>
    </row>
    <row r="438" spans="1:27" ht="15.75" customHeight="1" x14ac:dyDescent="0.35">
      <c r="A438" s="1" t="s">
        <v>30</v>
      </c>
      <c r="B438" s="1" t="s">
        <v>2428</v>
      </c>
      <c r="C438" s="1" t="s">
        <v>2184</v>
      </c>
      <c r="D438" s="1" t="s">
        <v>2429</v>
      </c>
      <c r="E438" s="1" t="s">
        <v>2430</v>
      </c>
      <c r="F438" s="1" t="s">
        <v>2431</v>
      </c>
      <c r="G438" s="1" t="s">
        <v>2432</v>
      </c>
      <c r="H438" s="1" t="s">
        <v>2433</v>
      </c>
      <c r="I438" s="1" t="s">
        <v>120</v>
      </c>
      <c r="K438" s="1" t="s">
        <v>121</v>
      </c>
      <c r="L438" s="1" t="s">
        <v>2434</v>
      </c>
      <c r="M438" s="1" t="s">
        <v>2435</v>
      </c>
      <c r="N438" s="1" t="s">
        <v>373</v>
      </c>
      <c r="O438" s="1" t="s">
        <v>1616</v>
      </c>
      <c r="P438" s="1" t="s">
        <v>375</v>
      </c>
      <c r="Q438" s="1" t="s">
        <v>376</v>
      </c>
      <c r="R438" s="1" t="s">
        <v>64</v>
      </c>
      <c r="S438" s="1" t="s">
        <v>78</v>
      </c>
      <c r="T438" s="1">
        <v>32000</v>
      </c>
      <c r="U438" s="1" t="s">
        <v>2181</v>
      </c>
      <c r="V438" s="1" t="s">
        <v>2436</v>
      </c>
      <c r="X438" s="1" t="s">
        <v>2437</v>
      </c>
      <c r="Z438" s="1" t="s">
        <v>2438</v>
      </c>
      <c r="AA438" s="1" t="s">
        <v>2439</v>
      </c>
    </row>
    <row r="439" spans="1:27" ht="15.75" customHeight="1" x14ac:dyDescent="0.35">
      <c r="A439" s="1" t="s">
        <v>112</v>
      </c>
      <c r="B439" s="1" t="s">
        <v>2440</v>
      </c>
      <c r="C439" s="1" t="s">
        <v>1118</v>
      </c>
      <c r="D439" s="1" t="s">
        <v>2161</v>
      </c>
      <c r="E439" s="1" t="s">
        <v>1584</v>
      </c>
      <c r="F439" s="1" t="s">
        <v>1491</v>
      </c>
      <c r="G439" s="1" t="s">
        <v>1624</v>
      </c>
      <c r="H439" s="1" t="s">
        <v>1055</v>
      </c>
      <c r="I439" s="1" t="s">
        <v>120</v>
      </c>
      <c r="J439" s="1" t="s">
        <v>75</v>
      </c>
      <c r="K439" s="1" t="s">
        <v>121</v>
      </c>
      <c r="L439" s="1" t="s">
        <v>193</v>
      </c>
      <c r="M439" s="1" t="s">
        <v>139</v>
      </c>
      <c r="N439" s="1" t="s">
        <v>124</v>
      </c>
      <c r="O439" s="1" t="s">
        <v>1456</v>
      </c>
      <c r="P439" s="1" t="s">
        <v>1819</v>
      </c>
      <c r="Q439" s="1" t="s">
        <v>2011</v>
      </c>
      <c r="R439" s="1" t="s">
        <v>128</v>
      </c>
      <c r="S439" s="1" t="s">
        <v>78</v>
      </c>
      <c r="T439" s="1">
        <v>49999</v>
      </c>
      <c r="U439" s="1" t="s">
        <v>166</v>
      </c>
      <c r="V439" s="1" t="s">
        <v>1457</v>
      </c>
      <c r="W439" s="1" t="s">
        <v>2441</v>
      </c>
    </row>
    <row r="440" spans="1:27" ht="15.75" customHeight="1" x14ac:dyDescent="0.35">
      <c r="A440" s="1" t="s">
        <v>112</v>
      </c>
      <c r="B440" s="1" t="s">
        <v>2442</v>
      </c>
      <c r="C440" s="1" t="s">
        <v>2142</v>
      </c>
      <c r="D440" s="1" t="s">
        <v>2443</v>
      </c>
      <c r="E440" s="1" t="s">
        <v>2342</v>
      </c>
      <c r="F440" s="1" t="s">
        <v>2444</v>
      </c>
      <c r="G440" s="1" t="s">
        <v>2445</v>
      </c>
      <c r="H440" s="1" t="s">
        <v>2446</v>
      </c>
      <c r="I440" s="1" t="s">
        <v>120</v>
      </c>
      <c r="K440" s="1" t="s">
        <v>2447</v>
      </c>
      <c r="L440" s="1" t="s">
        <v>2448</v>
      </c>
      <c r="M440" s="1" t="s">
        <v>2449</v>
      </c>
      <c r="N440" s="1" t="s">
        <v>2450</v>
      </c>
      <c r="O440" s="1" t="s">
        <v>2451</v>
      </c>
      <c r="P440" s="1" t="s">
        <v>1819</v>
      </c>
      <c r="Q440" s="1" t="s">
        <v>2011</v>
      </c>
      <c r="R440" s="1" t="s">
        <v>868</v>
      </c>
      <c r="S440" s="1" t="s">
        <v>78</v>
      </c>
      <c r="T440" s="1">
        <v>24999</v>
      </c>
      <c r="V440" s="1" t="s">
        <v>2452</v>
      </c>
    </row>
    <row r="441" spans="1:27" ht="15.75" customHeight="1" x14ac:dyDescent="0.35">
      <c r="A441" s="1" t="s">
        <v>66</v>
      </c>
      <c r="B441" s="1" t="s">
        <v>2453</v>
      </c>
      <c r="C441" s="1" t="s">
        <v>1613</v>
      </c>
      <c r="D441" s="1" t="s">
        <v>2454</v>
      </c>
      <c r="E441" s="1" t="s">
        <v>2342</v>
      </c>
      <c r="F441" s="1" t="s">
        <v>2455</v>
      </c>
      <c r="G441" s="1" t="s">
        <v>2456</v>
      </c>
      <c r="H441" s="1" t="s">
        <v>2457</v>
      </c>
      <c r="I441" s="1" t="s">
        <v>120</v>
      </c>
      <c r="J441" s="1" t="s">
        <v>75</v>
      </c>
      <c r="K441" s="1" t="s">
        <v>1722</v>
      </c>
      <c r="M441" s="1" t="s">
        <v>1908</v>
      </c>
      <c r="O441" s="1" t="s">
        <v>2458</v>
      </c>
      <c r="P441" s="1" t="s">
        <v>2459</v>
      </c>
      <c r="Q441" s="1" t="s">
        <v>2460</v>
      </c>
      <c r="R441" s="1" t="s">
        <v>2313</v>
      </c>
      <c r="S441" s="1" t="s">
        <v>78</v>
      </c>
      <c r="T441" s="1">
        <v>24499</v>
      </c>
      <c r="U441" s="1" t="s">
        <v>1082</v>
      </c>
      <c r="V441" s="1" t="s">
        <v>2461</v>
      </c>
    </row>
    <row r="442" spans="1:27" ht="15.75" customHeight="1" x14ac:dyDescent="0.35">
      <c r="A442" s="1" t="s">
        <v>81</v>
      </c>
      <c r="B442" s="1" t="s">
        <v>2462</v>
      </c>
      <c r="C442" s="1" t="s">
        <v>1613</v>
      </c>
      <c r="D442" s="1" t="s">
        <v>2463</v>
      </c>
      <c r="E442" s="1" t="s">
        <v>507</v>
      </c>
      <c r="F442" s="1" t="s">
        <v>2464</v>
      </c>
      <c r="G442" s="1" t="s">
        <v>2465</v>
      </c>
      <c r="H442" s="1" t="s">
        <v>2466</v>
      </c>
      <c r="I442" s="1" t="s">
        <v>120</v>
      </c>
      <c r="J442" s="1" t="s">
        <v>39</v>
      </c>
      <c r="K442" s="1" t="s">
        <v>90</v>
      </c>
      <c r="L442" s="1" t="s">
        <v>2467</v>
      </c>
      <c r="M442" s="1" t="s">
        <v>420</v>
      </c>
      <c r="N442" s="1" t="s">
        <v>2468</v>
      </c>
      <c r="O442" s="1" t="s">
        <v>2469</v>
      </c>
      <c r="P442" s="1" t="s">
        <v>2470</v>
      </c>
      <c r="Q442" s="1" t="s">
        <v>2471</v>
      </c>
      <c r="R442" s="1" t="s">
        <v>64</v>
      </c>
      <c r="S442" s="1" t="s">
        <v>78</v>
      </c>
      <c r="T442" s="1">
        <v>47777</v>
      </c>
      <c r="U442" s="1" t="s">
        <v>1082</v>
      </c>
      <c r="V442" s="1" t="s">
        <v>2472</v>
      </c>
    </row>
    <row r="443" spans="1:27" ht="15.75" customHeight="1" x14ac:dyDescent="0.35">
      <c r="A443" s="1" t="s">
        <v>112</v>
      </c>
      <c r="B443" s="1" t="s">
        <v>2473</v>
      </c>
      <c r="C443" s="1" t="s">
        <v>1613</v>
      </c>
      <c r="D443" s="1" t="s">
        <v>1715</v>
      </c>
      <c r="E443" s="1" t="s">
        <v>507</v>
      </c>
      <c r="F443" s="1" t="s">
        <v>2474</v>
      </c>
      <c r="G443" s="1" t="s">
        <v>1813</v>
      </c>
      <c r="H443" s="1" t="s">
        <v>2475</v>
      </c>
      <c r="I443" s="1" t="s">
        <v>120</v>
      </c>
      <c r="K443" s="1" t="s">
        <v>90</v>
      </c>
      <c r="M443" s="1" t="s">
        <v>139</v>
      </c>
      <c r="N443" s="1" t="s">
        <v>1841</v>
      </c>
      <c r="O443" s="1" t="s">
        <v>2476</v>
      </c>
      <c r="P443" s="1" t="s">
        <v>2477</v>
      </c>
      <c r="Q443" s="1" t="s">
        <v>503</v>
      </c>
      <c r="R443" s="1" t="s">
        <v>64</v>
      </c>
      <c r="S443" s="1" t="s">
        <v>78</v>
      </c>
      <c r="T443" s="1">
        <v>28999</v>
      </c>
      <c r="U443" s="1" t="s">
        <v>1082</v>
      </c>
      <c r="V443" s="1" t="s">
        <v>1617</v>
      </c>
    </row>
    <row r="444" spans="1:27" ht="15.75" customHeight="1" x14ac:dyDescent="0.35">
      <c r="A444" s="1" t="s">
        <v>112</v>
      </c>
      <c r="B444" s="1" t="s">
        <v>2478</v>
      </c>
      <c r="C444" s="1" t="s">
        <v>1075</v>
      </c>
      <c r="D444" s="1" t="s">
        <v>2479</v>
      </c>
      <c r="E444" s="1" t="s">
        <v>70</v>
      </c>
      <c r="F444" s="1" t="s">
        <v>491</v>
      </c>
      <c r="G444" s="1" t="s">
        <v>322</v>
      </c>
      <c r="H444" s="1" t="s">
        <v>2480</v>
      </c>
      <c r="I444" s="1" t="s">
        <v>120</v>
      </c>
      <c r="J444" s="1" t="s">
        <v>75</v>
      </c>
      <c r="K444" s="1" t="s">
        <v>101</v>
      </c>
      <c r="L444" s="1" t="s">
        <v>2481</v>
      </c>
      <c r="M444" s="1" t="s">
        <v>2449</v>
      </c>
      <c r="N444" s="1" t="s">
        <v>2450</v>
      </c>
      <c r="O444" s="1" t="s">
        <v>2482</v>
      </c>
      <c r="P444" s="1" t="s">
        <v>1819</v>
      </c>
      <c r="Q444" s="1" t="s">
        <v>2483</v>
      </c>
      <c r="R444" s="1" t="s">
        <v>757</v>
      </c>
      <c r="S444" s="1" t="s">
        <v>78</v>
      </c>
      <c r="T444" s="1">
        <v>37800</v>
      </c>
      <c r="U444" s="1" t="s">
        <v>1082</v>
      </c>
      <c r="V444" s="1" t="s">
        <v>2484</v>
      </c>
    </row>
    <row r="445" spans="1:27" ht="15.75" customHeight="1" x14ac:dyDescent="0.35">
      <c r="A445" s="1" t="s">
        <v>112</v>
      </c>
      <c r="B445" s="1" t="s">
        <v>2485</v>
      </c>
      <c r="C445" s="1" t="s">
        <v>2137</v>
      </c>
      <c r="D445" s="1" t="s">
        <v>2486</v>
      </c>
      <c r="E445" s="1" t="s">
        <v>507</v>
      </c>
      <c r="F445" s="1" t="s">
        <v>2487</v>
      </c>
      <c r="G445" s="1" t="s">
        <v>2488</v>
      </c>
      <c r="H445" s="1" t="s">
        <v>2489</v>
      </c>
      <c r="I445" s="1" t="s">
        <v>120</v>
      </c>
      <c r="J445" s="1" t="s">
        <v>75</v>
      </c>
      <c r="K445" s="1" t="s">
        <v>90</v>
      </c>
      <c r="L445" s="1" t="s">
        <v>2490</v>
      </c>
      <c r="M445" s="1" t="s">
        <v>2491</v>
      </c>
      <c r="N445" s="1" t="s">
        <v>2492</v>
      </c>
      <c r="O445" s="1" t="s">
        <v>2493</v>
      </c>
      <c r="P445" s="1" t="s">
        <v>1819</v>
      </c>
      <c r="Q445" s="1" t="s">
        <v>2011</v>
      </c>
      <c r="R445" s="1" t="s">
        <v>757</v>
      </c>
      <c r="S445" s="1" t="s">
        <v>78</v>
      </c>
      <c r="T445" s="1">
        <v>47500</v>
      </c>
      <c r="U445" s="1" t="s">
        <v>166</v>
      </c>
      <c r="V445" s="1" t="s">
        <v>2494</v>
      </c>
    </row>
    <row r="446" spans="1:27" ht="15.75" customHeight="1" x14ac:dyDescent="0.35">
      <c r="A446" s="1" t="s">
        <v>234</v>
      </c>
      <c r="B446" s="1" t="s">
        <v>2495</v>
      </c>
      <c r="C446" s="1" t="s">
        <v>2496</v>
      </c>
      <c r="D446" s="1" t="s">
        <v>1130</v>
      </c>
      <c r="E446" s="1" t="s">
        <v>507</v>
      </c>
      <c r="F446" s="1" t="s">
        <v>2497</v>
      </c>
      <c r="G446" s="1" t="s">
        <v>295</v>
      </c>
      <c r="H446" s="1" t="s">
        <v>2498</v>
      </c>
      <c r="I446" s="1" t="s">
        <v>120</v>
      </c>
      <c r="J446" s="1" t="s">
        <v>75</v>
      </c>
      <c r="K446" s="1" t="s">
        <v>90</v>
      </c>
      <c r="L446" s="1" t="s">
        <v>276</v>
      </c>
      <c r="M446" s="1" t="s">
        <v>464</v>
      </c>
      <c r="O446" s="1" t="s">
        <v>2499</v>
      </c>
      <c r="P446" s="1" t="s">
        <v>2500</v>
      </c>
      <c r="Q446" s="1" t="s">
        <v>2501</v>
      </c>
      <c r="R446" s="1" t="s">
        <v>281</v>
      </c>
      <c r="S446" s="1" t="s">
        <v>339</v>
      </c>
      <c r="T446" s="1">
        <v>57666</v>
      </c>
      <c r="V446" s="1" t="s">
        <v>1795</v>
      </c>
      <c r="W446" s="1" t="s">
        <v>2502</v>
      </c>
      <c r="X446" s="1" t="s">
        <v>2503</v>
      </c>
    </row>
    <row r="447" spans="1:27" ht="15.75" customHeight="1" x14ac:dyDescent="0.35">
      <c r="A447" s="1" t="s">
        <v>151</v>
      </c>
      <c r="B447" s="1" t="s">
        <v>1074</v>
      </c>
      <c r="C447" s="1" t="s">
        <v>2504</v>
      </c>
      <c r="D447" s="1" t="s">
        <v>2048</v>
      </c>
      <c r="E447" s="1" t="s">
        <v>410</v>
      </c>
      <c r="F447" s="1" t="s">
        <v>1077</v>
      </c>
      <c r="G447" s="1" t="s">
        <v>2505</v>
      </c>
      <c r="H447" s="1" t="s">
        <v>2506</v>
      </c>
      <c r="I447" s="1" t="s">
        <v>1371</v>
      </c>
      <c r="J447" s="1" t="s">
        <v>57</v>
      </c>
      <c r="K447" s="1" t="s">
        <v>2507</v>
      </c>
      <c r="L447" s="1" t="s">
        <v>798</v>
      </c>
      <c r="M447" s="1" t="s">
        <v>799</v>
      </c>
      <c r="N447" s="1" t="s">
        <v>395</v>
      </c>
      <c r="O447" s="1" t="s">
        <v>2508</v>
      </c>
      <c r="P447" s="1" t="s">
        <v>2509</v>
      </c>
      <c r="Q447" s="1" t="s">
        <v>63</v>
      </c>
      <c r="R447" s="1" t="s">
        <v>2510</v>
      </c>
      <c r="S447" s="1" t="s">
        <v>78</v>
      </c>
      <c r="T447" s="1">
        <v>49999</v>
      </c>
      <c r="U447" s="1" t="s">
        <v>1082</v>
      </c>
      <c r="V447" s="1" t="s">
        <v>1083</v>
      </c>
      <c r="W447" s="1" t="s">
        <v>2511</v>
      </c>
    </row>
    <row r="448" spans="1:27" ht="15.75" customHeight="1" x14ac:dyDescent="0.35">
      <c r="A448" s="1" t="s">
        <v>151</v>
      </c>
      <c r="B448" s="1" t="s">
        <v>2512</v>
      </c>
      <c r="C448" s="1" t="s">
        <v>1601</v>
      </c>
      <c r="D448" s="1" t="s">
        <v>2048</v>
      </c>
      <c r="E448" s="1" t="s">
        <v>410</v>
      </c>
      <c r="F448" s="1" t="s">
        <v>1077</v>
      </c>
      <c r="G448" s="1" t="s">
        <v>829</v>
      </c>
      <c r="H448" s="1" t="s">
        <v>2513</v>
      </c>
      <c r="I448" s="1" t="s">
        <v>224</v>
      </c>
      <c r="J448" s="1" t="s">
        <v>57</v>
      </c>
      <c r="K448" s="1" t="s">
        <v>2514</v>
      </c>
      <c r="L448" s="1" t="s">
        <v>940</v>
      </c>
      <c r="M448" s="1" t="s">
        <v>799</v>
      </c>
      <c r="N448" s="1" t="s">
        <v>395</v>
      </c>
      <c r="O448" s="1" t="s">
        <v>2515</v>
      </c>
      <c r="P448" s="1" t="s">
        <v>2516</v>
      </c>
      <c r="Q448" s="1" t="s">
        <v>2517</v>
      </c>
      <c r="R448" s="1" t="s">
        <v>2116</v>
      </c>
      <c r="S448" s="1" t="s">
        <v>78</v>
      </c>
      <c r="T448" s="1">
        <v>53999</v>
      </c>
      <c r="V448" s="1" t="s">
        <v>835</v>
      </c>
      <c r="W448" s="1" t="s">
        <v>2518</v>
      </c>
    </row>
    <row r="449" spans="1:26" ht="15.75" customHeight="1" x14ac:dyDescent="0.35">
      <c r="A449" s="1" t="s">
        <v>81</v>
      </c>
      <c r="B449" s="1" t="s">
        <v>2462</v>
      </c>
      <c r="C449" s="1" t="s">
        <v>2519</v>
      </c>
      <c r="D449" s="1" t="s">
        <v>2149</v>
      </c>
      <c r="E449" s="1" t="s">
        <v>507</v>
      </c>
      <c r="F449" s="1" t="s">
        <v>2520</v>
      </c>
      <c r="G449" s="1" t="s">
        <v>2521</v>
      </c>
      <c r="H449" s="1" t="s">
        <v>2522</v>
      </c>
      <c r="I449" s="1" t="s">
        <v>120</v>
      </c>
      <c r="J449" s="1" t="s">
        <v>39</v>
      </c>
      <c r="K449" s="1" t="s">
        <v>2507</v>
      </c>
      <c r="L449" s="1" t="s">
        <v>2523</v>
      </c>
      <c r="M449" s="1" t="s">
        <v>1377</v>
      </c>
      <c r="O449" s="1" t="s">
        <v>2469</v>
      </c>
      <c r="P449" s="1" t="s">
        <v>2470</v>
      </c>
      <c r="Q449" s="1" t="s">
        <v>2471</v>
      </c>
      <c r="R449" s="1" t="s">
        <v>64</v>
      </c>
      <c r="S449" s="1" t="s">
        <v>78</v>
      </c>
      <c r="T449" s="1">
        <v>33999</v>
      </c>
      <c r="U449" s="1" t="s">
        <v>1082</v>
      </c>
      <c r="V449" s="1" t="s">
        <v>2524</v>
      </c>
      <c r="W449" s="1" t="s">
        <v>2525</v>
      </c>
    </row>
    <row r="450" spans="1:26" ht="15.75" customHeight="1" x14ac:dyDescent="0.35">
      <c r="A450" s="1" t="s">
        <v>234</v>
      </c>
      <c r="B450" s="1" t="s">
        <v>2526</v>
      </c>
      <c r="C450" s="1" t="s">
        <v>2527</v>
      </c>
      <c r="D450" s="1" t="s">
        <v>2528</v>
      </c>
      <c r="E450" s="1" t="s">
        <v>507</v>
      </c>
      <c r="F450" s="1" t="s">
        <v>2529</v>
      </c>
      <c r="G450" s="1" t="s">
        <v>2168</v>
      </c>
      <c r="H450" s="1" t="s">
        <v>2530</v>
      </c>
      <c r="I450" s="1" t="s">
        <v>120</v>
      </c>
      <c r="J450" s="1" t="s">
        <v>75</v>
      </c>
      <c r="K450" s="1" t="s">
        <v>90</v>
      </c>
      <c r="L450" s="1" t="s">
        <v>276</v>
      </c>
      <c r="M450" s="1" t="s">
        <v>464</v>
      </c>
      <c r="O450" s="1" t="s">
        <v>2531</v>
      </c>
      <c r="P450" s="1" t="s">
        <v>2500</v>
      </c>
      <c r="Q450" s="1" t="s">
        <v>2501</v>
      </c>
      <c r="R450" s="1" t="s">
        <v>281</v>
      </c>
      <c r="S450" s="1" t="s">
        <v>48</v>
      </c>
      <c r="T450" s="1">
        <v>35999</v>
      </c>
      <c r="V450" s="1" t="s">
        <v>2172</v>
      </c>
      <c r="W450" s="1" t="s">
        <v>2532</v>
      </c>
      <c r="X450" s="1" t="s">
        <v>2503</v>
      </c>
    </row>
    <row r="451" spans="1:26" ht="15.75" customHeight="1" x14ac:dyDescent="0.35">
      <c r="A451" s="1" t="s">
        <v>234</v>
      </c>
      <c r="B451" s="1" t="s">
        <v>2533</v>
      </c>
      <c r="C451" s="1" t="s">
        <v>1118</v>
      </c>
      <c r="D451" s="1" t="s">
        <v>2534</v>
      </c>
      <c r="E451" s="1" t="s">
        <v>70</v>
      </c>
      <c r="F451" s="1" t="s">
        <v>491</v>
      </c>
      <c r="G451" s="1" t="s">
        <v>1120</v>
      </c>
      <c r="H451" s="1" t="s">
        <v>2535</v>
      </c>
      <c r="I451" s="1" t="s">
        <v>120</v>
      </c>
      <c r="J451" s="1" t="s">
        <v>2323</v>
      </c>
      <c r="K451" s="1" t="s">
        <v>90</v>
      </c>
      <c r="M451" s="1" t="s">
        <v>241</v>
      </c>
      <c r="N451" s="1" t="s">
        <v>465</v>
      </c>
      <c r="O451" s="1" t="s">
        <v>2536</v>
      </c>
      <c r="P451" s="1" t="s">
        <v>2002</v>
      </c>
      <c r="Q451" s="1" t="s">
        <v>300</v>
      </c>
      <c r="R451" s="1" t="s">
        <v>246</v>
      </c>
      <c r="S451" s="1" t="s">
        <v>48</v>
      </c>
      <c r="T451" s="1">
        <v>49999</v>
      </c>
      <c r="U451" s="1" t="s">
        <v>166</v>
      </c>
      <c r="V451" s="1" t="s">
        <v>1976</v>
      </c>
      <c r="W451" s="1" t="s">
        <v>2537</v>
      </c>
    </row>
    <row r="452" spans="1:26" ht="15.75" customHeight="1" x14ac:dyDescent="0.35">
      <c r="A452" s="1" t="s">
        <v>234</v>
      </c>
      <c r="B452" s="1" t="s">
        <v>2538</v>
      </c>
      <c r="C452" s="1" t="s">
        <v>2539</v>
      </c>
      <c r="D452" s="1" t="s">
        <v>2540</v>
      </c>
      <c r="E452" s="1" t="s">
        <v>507</v>
      </c>
      <c r="F452" s="1" t="s">
        <v>2110</v>
      </c>
      <c r="G452" s="1" t="s">
        <v>1604</v>
      </c>
      <c r="H452" s="1" t="s">
        <v>2424</v>
      </c>
      <c r="I452" s="1" t="s">
        <v>120</v>
      </c>
      <c r="J452" s="1" t="s">
        <v>75</v>
      </c>
      <c r="K452" s="1" t="s">
        <v>90</v>
      </c>
      <c r="L452" s="1" t="s">
        <v>2541</v>
      </c>
      <c r="M452" s="1" t="s">
        <v>1876</v>
      </c>
      <c r="O452" s="1" t="s">
        <v>2112</v>
      </c>
      <c r="P452" s="1" t="s">
        <v>2113</v>
      </c>
      <c r="Q452" s="1" t="s">
        <v>814</v>
      </c>
      <c r="R452" s="1" t="s">
        <v>2542</v>
      </c>
      <c r="S452" s="1" t="s">
        <v>48</v>
      </c>
      <c r="T452" s="1">
        <v>29999</v>
      </c>
      <c r="U452" s="1" t="s">
        <v>1082</v>
      </c>
      <c r="V452" s="1" t="s">
        <v>2182</v>
      </c>
      <c r="W452" s="1" t="s">
        <v>2543</v>
      </c>
      <c r="X452" s="1" t="s">
        <v>2544</v>
      </c>
    </row>
    <row r="453" spans="1:26" ht="15.75" customHeight="1" x14ac:dyDescent="0.35">
      <c r="A453" s="1" t="s">
        <v>151</v>
      </c>
      <c r="B453" s="1" t="s">
        <v>1499</v>
      </c>
      <c r="C453" s="1" t="s">
        <v>2207</v>
      </c>
      <c r="D453" s="1" t="s">
        <v>2048</v>
      </c>
      <c r="E453" s="1" t="s">
        <v>410</v>
      </c>
      <c r="F453" s="1" t="s">
        <v>1077</v>
      </c>
      <c r="G453" s="1" t="s">
        <v>2545</v>
      </c>
      <c r="H453" s="1" t="s">
        <v>2546</v>
      </c>
      <c r="I453" s="1" t="s">
        <v>1493</v>
      </c>
      <c r="J453" s="1" t="s">
        <v>57</v>
      </c>
      <c r="K453" s="1" t="s">
        <v>2507</v>
      </c>
      <c r="L453" s="1" t="s">
        <v>2547</v>
      </c>
      <c r="M453" s="1" t="s">
        <v>617</v>
      </c>
      <c r="N453" s="1" t="s">
        <v>395</v>
      </c>
      <c r="O453" s="1" t="s">
        <v>2515</v>
      </c>
      <c r="P453" s="1" t="s">
        <v>2509</v>
      </c>
      <c r="Q453" s="1" t="s">
        <v>63</v>
      </c>
      <c r="R453" s="1" t="s">
        <v>1081</v>
      </c>
      <c r="S453" s="1" t="s">
        <v>78</v>
      </c>
      <c r="T453" s="1">
        <v>45999</v>
      </c>
      <c r="V453" s="1" t="s">
        <v>835</v>
      </c>
      <c r="W453" s="1" t="s">
        <v>2548</v>
      </c>
      <c r="Z453" s="1" t="s">
        <v>837</v>
      </c>
    </row>
    <row r="454" spans="1:26" ht="15.75" customHeight="1" x14ac:dyDescent="0.35">
      <c r="A454" s="1" t="s">
        <v>234</v>
      </c>
      <c r="B454" s="1" t="s">
        <v>2549</v>
      </c>
      <c r="C454" s="1" t="s">
        <v>2380</v>
      </c>
      <c r="D454" s="1" t="s">
        <v>1602</v>
      </c>
      <c r="E454" s="1" t="s">
        <v>507</v>
      </c>
      <c r="F454" s="1" t="s">
        <v>1603</v>
      </c>
      <c r="G454" s="1" t="s">
        <v>1936</v>
      </c>
      <c r="H454" s="1" t="s">
        <v>2550</v>
      </c>
      <c r="I454" s="1" t="s">
        <v>120</v>
      </c>
      <c r="K454" s="1" t="s">
        <v>555</v>
      </c>
      <c r="L454" s="1" t="s">
        <v>2551</v>
      </c>
      <c r="M454" s="1" t="s">
        <v>919</v>
      </c>
      <c r="N454" s="1" t="s">
        <v>633</v>
      </c>
      <c r="O454" s="1" t="s">
        <v>2552</v>
      </c>
      <c r="P454" s="1" t="s">
        <v>2553</v>
      </c>
      <c r="Q454" s="1" t="s">
        <v>1609</v>
      </c>
      <c r="R454" s="1" t="s">
        <v>1610</v>
      </c>
      <c r="S454" s="1" t="s">
        <v>339</v>
      </c>
      <c r="T454" s="1">
        <v>30999</v>
      </c>
      <c r="U454" s="1" t="s">
        <v>1082</v>
      </c>
      <c r="V454" s="1" t="s">
        <v>2554</v>
      </c>
      <c r="W454" s="1" t="s">
        <v>2555</v>
      </c>
      <c r="X454" s="1" t="s">
        <v>2556</v>
      </c>
    </row>
    <row r="455" spans="1:26" ht="15.75" customHeight="1" x14ac:dyDescent="0.35">
      <c r="A455" s="1" t="s">
        <v>234</v>
      </c>
      <c r="B455" s="1" t="s">
        <v>2557</v>
      </c>
      <c r="C455" s="1" t="s">
        <v>1533</v>
      </c>
      <c r="D455" s="1" t="s">
        <v>1130</v>
      </c>
      <c r="E455" s="1" t="s">
        <v>507</v>
      </c>
      <c r="F455" s="1" t="s">
        <v>2558</v>
      </c>
      <c r="G455" s="1" t="s">
        <v>1604</v>
      </c>
      <c r="H455" s="1" t="s">
        <v>2559</v>
      </c>
      <c r="I455" s="1" t="s">
        <v>1493</v>
      </c>
      <c r="J455" s="1" t="s">
        <v>57</v>
      </c>
      <c r="K455" s="1" t="s">
        <v>90</v>
      </c>
      <c r="L455" s="1" t="s">
        <v>2560</v>
      </c>
      <c r="M455" s="1" t="s">
        <v>1876</v>
      </c>
      <c r="N455" s="1" t="s">
        <v>465</v>
      </c>
      <c r="O455" s="1" t="s">
        <v>2561</v>
      </c>
      <c r="P455" s="1" t="s">
        <v>2353</v>
      </c>
      <c r="Q455" s="1" t="s">
        <v>814</v>
      </c>
      <c r="S455" s="1" t="s">
        <v>339</v>
      </c>
      <c r="T455" s="1">
        <v>25999</v>
      </c>
      <c r="U455" s="1" t="s">
        <v>166</v>
      </c>
      <c r="V455" s="1" t="s">
        <v>2562</v>
      </c>
      <c r="W455" s="1" t="s">
        <v>2563</v>
      </c>
      <c r="X455" s="1" t="s">
        <v>2503</v>
      </c>
    </row>
    <row r="456" spans="1:26" ht="15.75" customHeight="1" x14ac:dyDescent="0.35">
      <c r="A456" s="1" t="s">
        <v>234</v>
      </c>
      <c r="B456" s="1" t="s">
        <v>2564</v>
      </c>
      <c r="C456" s="1" t="s">
        <v>2137</v>
      </c>
      <c r="D456" s="1" t="s">
        <v>1715</v>
      </c>
      <c r="E456" s="1" t="s">
        <v>507</v>
      </c>
      <c r="F456" s="1" t="s">
        <v>491</v>
      </c>
      <c r="G456" s="1" t="s">
        <v>1604</v>
      </c>
      <c r="H456" s="1" t="s">
        <v>2565</v>
      </c>
      <c r="I456" s="1" t="s">
        <v>120</v>
      </c>
      <c r="J456" s="1" t="s">
        <v>75</v>
      </c>
      <c r="K456" s="1" t="s">
        <v>90</v>
      </c>
      <c r="L456" s="1" t="s">
        <v>972</v>
      </c>
      <c r="M456" s="1" t="s">
        <v>1876</v>
      </c>
      <c r="N456" s="1" t="s">
        <v>465</v>
      </c>
      <c r="O456" s="1" t="s">
        <v>2561</v>
      </c>
      <c r="P456" s="1" t="s">
        <v>2353</v>
      </c>
      <c r="Q456" s="1" t="s">
        <v>814</v>
      </c>
      <c r="S456" s="1" t="s">
        <v>339</v>
      </c>
      <c r="T456" s="1">
        <v>33499</v>
      </c>
      <c r="U456" s="1" t="s">
        <v>166</v>
      </c>
      <c r="V456" s="1" t="s">
        <v>2566</v>
      </c>
      <c r="W456" s="1" t="s">
        <v>2567</v>
      </c>
      <c r="X456" s="1" t="s">
        <v>2503</v>
      </c>
    </row>
    <row r="457" spans="1:26" ht="15.75" customHeight="1" x14ac:dyDescent="0.35">
      <c r="A457" s="1" t="s">
        <v>234</v>
      </c>
      <c r="B457" s="1" t="s">
        <v>2568</v>
      </c>
      <c r="C457" s="1" t="s">
        <v>2496</v>
      </c>
      <c r="D457" s="1" t="s">
        <v>1453</v>
      </c>
      <c r="E457" s="1" t="s">
        <v>1789</v>
      </c>
      <c r="F457" s="1" t="s">
        <v>965</v>
      </c>
      <c r="G457" s="1" t="s">
        <v>295</v>
      </c>
      <c r="H457" s="1" t="s">
        <v>2569</v>
      </c>
      <c r="I457" s="1" t="s">
        <v>120</v>
      </c>
      <c r="J457" s="1" t="s">
        <v>2323</v>
      </c>
      <c r="K457" s="1" t="s">
        <v>90</v>
      </c>
      <c r="L457" s="1" t="s">
        <v>276</v>
      </c>
      <c r="M457" s="1" t="s">
        <v>241</v>
      </c>
      <c r="N457" s="1" t="s">
        <v>1866</v>
      </c>
      <c r="O457" s="1" t="s">
        <v>2499</v>
      </c>
      <c r="P457" s="1" t="s">
        <v>2171</v>
      </c>
      <c r="Q457" s="1" t="s">
        <v>1400</v>
      </c>
      <c r="S457" s="1" t="s">
        <v>339</v>
      </c>
      <c r="T457" s="1">
        <v>40999</v>
      </c>
      <c r="V457" s="1" t="s">
        <v>2570</v>
      </c>
      <c r="W457" s="1" t="s">
        <v>2571</v>
      </c>
    </row>
    <row r="458" spans="1:26" ht="15.75" customHeight="1" x14ac:dyDescent="0.35">
      <c r="A458" s="1" t="s">
        <v>151</v>
      </c>
      <c r="B458" s="1" t="s">
        <v>2379</v>
      </c>
      <c r="C458" s="1" t="s">
        <v>2380</v>
      </c>
      <c r="D458" s="1" t="s">
        <v>2572</v>
      </c>
      <c r="E458" s="1" t="s">
        <v>507</v>
      </c>
      <c r="F458" s="1" t="s">
        <v>1448</v>
      </c>
      <c r="G458" s="1" t="s">
        <v>2573</v>
      </c>
      <c r="H458" s="1" t="s">
        <v>1521</v>
      </c>
      <c r="I458" s="1" t="s">
        <v>120</v>
      </c>
      <c r="J458" s="1" t="s">
        <v>39</v>
      </c>
      <c r="K458" s="1" t="s">
        <v>2514</v>
      </c>
      <c r="L458" s="1" t="s">
        <v>508</v>
      </c>
      <c r="M458" s="1" t="s">
        <v>831</v>
      </c>
      <c r="N458" s="1" t="s">
        <v>160</v>
      </c>
      <c r="O458" s="1" t="s">
        <v>833</v>
      </c>
      <c r="P458" s="1" t="s">
        <v>834</v>
      </c>
      <c r="Q458" s="1" t="s">
        <v>652</v>
      </c>
      <c r="R458" s="1" t="s">
        <v>217</v>
      </c>
      <c r="S458" s="1" t="s">
        <v>78</v>
      </c>
      <c r="T458" s="1">
        <v>27499</v>
      </c>
      <c r="U458" s="1" t="s">
        <v>1082</v>
      </c>
      <c r="V458" s="1" t="s">
        <v>2574</v>
      </c>
      <c r="W458" s="1" t="s">
        <v>2575</v>
      </c>
    </row>
    <row r="459" spans="1:26" ht="15.75" customHeight="1" x14ac:dyDescent="0.35">
      <c r="A459" s="1" t="s">
        <v>66</v>
      </c>
      <c r="B459" s="1" t="s">
        <v>2576</v>
      </c>
      <c r="C459" s="1" t="s">
        <v>2577</v>
      </c>
      <c r="D459" s="1" t="s">
        <v>2486</v>
      </c>
      <c r="E459" s="1" t="s">
        <v>507</v>
      </c>
      <c r="F459" s="1" t="s">
        <v>2578</v>
      </c>
      <c r="G459" s="1" t="s">
        <v>723</v>
      </c>
      <c r="H459" s="1" t="s">
        <v>2579</v>
      </c>
      <c r="I459" s="1" t="s">
        <v>120</v>
      </c>
      <c r="K459" s="1" t="s">
        <v>90</v>
      </c>
      <c r="L459" s="1" t="s">
        <v>2580</v>
      </c>
      <c r="M459" s="1" t="s">
        <v>2581</v>
      </c>
      <c r="N459" s="1" t="s">
        <v>2468</v>
      </c>
      <c r="O459" s="1" t="s">
        <v>2582</v>
      </c>
      <c r="P459" s="1" t="s">
        <v>2583</v>
      </c>
      <c r="Q459" s="1" t="s">
        <v>2584</v>
      </c>
      <c r="R459" s="1" t="s">
        <v>2585</v>
      </c>
      <c r="S459" s="1" t="s">
        <v>78</v>
      </c>
      <c r="T459" s="1">
        <v>35199</v>
      </c>
    </row>
    <row r="460" spans="1:26" ht="15.75" customHeight="1" x14ac:dyDescent="0.35">
      <c r="A460" s="1" t="s">
        <v>30</v>
      </c>
      <c r="B460" s="1" t="s">
        <v>2586</v>
      </c>
      <c r="C460" s="1" t="s">
        <v>827</v>
      </c>
      <c r="D460" s="1" t="s">
        <v>2587</v>
      </c>
      <c r="E460" s="1" t="s">
        <v>2588</v>
      </c>
      <c r="F460" s="1" t="s">
        <v>1691</v>
      </c>
      <c r="G460" s="1" t="s">
        <v>2589</v>
      </c>
      <c r="H460" s="1" t="s">
        <v>2590</v>
      </c>
      <c r="I460" s="1" t="s">
        <v>120</v>
      </c>
      <c r="J460" s="1" t="s">
        <v>256</v>
      </c>
      <c r="K460" s="1" t="s">
        <v>1722</v>
      </c>
      <c r="L460" s="1" t="s">
        <v>2591</v>
      </c>
      <c r="M460" s="1" t="s">
        <v>2592</v>
      </c>
      <c r="N460" s="1" t="s">
        <v>728</v>
      </c>
      <c r="O460" s="1" t="s">
        <v>2593</v>
      </c>
      <c r="P460" s="1" t="s">
        <v>2594</v>
      </c>
      <c r="Q460" s="1" t="s">
        <v>2595</v>
      </c>
      <c r="R460" s="1" t="s">
        <v>64</v>
      </c>
      <c r="S460" s="1" t="s">
        <v>78</v>
      </c>
      <c r="T460" s="1">
        <v>48499</v>
      </c>
    </row>
    <row r="461" spans="1:26" ht="15.75" customHeight="1" x14ac:dyDescent="0.35">
      <c r="A461" s="1" t="s">
        <v>234</v>
      </c>
      <c r="B461" s="1" t="s">
        <v>2596</v>
      </c>
      <c r="C461" s="1" t="s">
        <v>2380</v>
      </c>
      <c r="D461" s="1" t="s">
        <v>2597</v>
      </c>
      <c r="E461" s="1" t="s">
        <v>410</v>
      </c>
      <c r="F461" s="1" t="s">
        <v>2598</v>
      </c>
      <c r="G461" s="1" t="s">
        <v>1936</v>
      </c>
      <c r="H461" s="1" t="s">
        <v>2599</v>
      </c>
      <c r="I461" s="1" t="s">
        <v>120</v>
      </c>
      <c r="J461" s="1" t="s">
        <v>256</v>
      </c>
      <c r="K461" s="1" t="s">
        <v>2163</v>
      </c>
      <c r="L461" s="1" t="s">
        <v>972</v>
      </c>
      <c r="M461" s="1" t="s">
        <v>1876</v>
      </c>
      <c r="O461" s="1" t="s">
        <v>2600</v>
      </c>
      <c r="P461" s="1" t="s">
        <v>2113</v>
      </c>
      <c r="Q461" s="1" t="s">
        <v>814</v>
      </c>
      <c r="R461" s="1" t="s">
        <v>281</v>
      </c>
      <c r="S461" s="1" t="s">
        <v>78</v>
      </c>
      <c r="T461" s="1">
        <v>57999</v>
      </c>
      <c r="U461" s="1" t="s">
        <v>1082</v>
      </c>
      <c r="V461" s="1" t="s">
        <v>2114</v>
      </c>
    </row>
    <row r="462" spans="1:26" ht="15.75" customHeight="1" x14ac:dyDescent="0.35">
      <c r="A462" s="1" t="s">
        <v>234</v>
      </c>
      <c r="B462" s="1" t="s">
        <v>2601</v>
      </c>
      <c r="C462" s="1" t="s">
        <v>2137</v>
      </c>
      <c r="D462" s="1" t="s">
        <v>2602</v>
      </c>
      <c r="E462" s="1" t="s">
        <v>507</v>
      </c>
      <c r="F462" s="1" t="s">
        <v>2349</v>
      </c>
      <c r="G462" s="1" t="s">
        <v>2603</v>
      </c>
      <c r="H462" s="1" t="s">
        <v>2604</v>
      </c>
      <c r="I462" s="1" t="s">
        <v>120</v>
      </c>
      <c r="J462" s="1" t="s">
        <v>75</v>
      </c>
      <c r="K462" s="1" t="s">
        <v>90</v>
      </c>
      <c r="L462" s="1" t="s">
        <v>2605</v>
      </c>
      <c r="N462" s="1" t="s">
        <v>2468</v>
      </c>
      <c r="O462" s="1" t="s">
        <v>2606</v>
      </c>
      <c r="P462" s="1" t="s">
        <v>2607</v>
      </c>
      <c r="Q462" s="1" t="s">
        <v>1670</v>
      </c>
      <c r="R462" s="1" t="s">
        <v>64</v>
      </c>
      <c r="S462" s="1" t="s">
        <v>2608</v>
      </c>
      <c r="T462" s="1">
        <v>35999</v>
      </c>
      <c r="U462" s="1" t="s">
        <v>166</v>
      </c>
      <c r="V462" s="1" t="s">
        <v>2277</v>
      </c>
    </row>
    <row r="463" spans="1:26" ht="15.75" customHeight="1" x14ac:dyDescent="0.35">
      <c r="A463" s="1" t="s">
        <v>81</v>
      </c>
      <c r="B463" s="1" t="s">
        <v>2609</v>
      </c>
      <c r="C463" s="1" t="s">
        <v>2175</v>
      </c>
      <c r="D463" s="1" t="s">
        <v>1614</v>
      </c>
      <c r="E463" s="1" t="s">
        <v>507</v>
      </c>
      <c r="F463" s="1" t="s">
        <v>2610</v>
      </c>
      <c r="G463" s="1" t="s">
        <v>2521</v>
      </c>
      <c r="H463" s="1" t="s">
        <v>1800</v>
      </c>
      <c r="I463" s="1" t="s">
        <v>74</v>
      </c>
      <c r="J463" s="1" t="s">
        <v>39</v>
      </c>
      <c r="K463" s="1" t="s">
        <v>2611</v>
      </c>
      <c r="L463" s="1" t="s">
        <v>2523</v>
      </c>
      <c r="M463" s="1" t="s">
        <v>1377</v>
      </c>
      <c r="N463" s="1" t="s">
        <v>2468</v>
      </c>
      <c r="O463" s="1" t="s">
        <v>2612</v>
      </c>
      <c r="P463" s="1" t="s">
        <v>2613</v>
      </c>
      <c r="Q463" s="1" t="s">
        <v>2614</v>
      </c>
      <c r="R463" s="1" t="s">
        <v>1688</v>
      </c>
      <c r="S463" s="1" t="s">
        <v>129</v>
      </c>
      <c r="T463" s="1">
        <v>25000</v>
      </c>
      <c r="U463" s="1" t="s">
        <v>2181</v>
      </c>
      <c r="V463" s="1" t="s">
        <v>2615</v>
      </c>
    </row>
    <row r="464" spans="1:26" ht="15.75" customHeight="1" x14ac:dyDescent="0.35">
      <c r="A464" s="1" t="s">
        <v>81</v>
      </c>
      <c r="B464" s="1" t="s">
        <v>2609</v>
      </c>
      <c r="C464" s="1" t="s">
        <v>2616</v>
      </c>
      <c r="D464" s="1" t="s">
        <v>2617</v>
      </c>
      <c r="E464" s="1" t="s">
        <v>70</v>
      </c>
      <c r="F464" s="1" t="s">
        <v>2618</v>
      </c>
      <c r="G464" s="1" t="s">
        <v>2521</v>
      </c>
      <c r="H464" s="1" t="s">
        <v>2619</v>
      </c>
      <c r="I464" s="1" t="s">
        <v>74</v>
      </c>
      <c r="J464" s="1" t="s">
        <v>57</v>
      </c>
      <c r="K464" s="1" t="s">
        <v>1722</v>
      </c>
      <c r="L464" s="1" t="s">
        <v>2620</v>
      </c>
      <c r="M464" s="1" t="s">
        <v>715</v>
      </c>
      <c r="N464" s="1" t="s">
        <v>2468</v>
      </c>
      <c r="O464" s="1" t="s">
        <v>2612</v>
      </c>
      <c r="P464" s="1" t="s">
        <v>2613</v>
      </c>
      <c r="Q464" s="1" t="s">
        <v>2614</v>
      </c>
      <c r="R464" s="1" t="s">
        <v>1688</v>
      </c>
      <c r="S464" s="1" t="s">
        <v>129</v>
      </c>
      <c r="T464" s="1">
        <v>32999</v>
      </c>
      <c r="U464" s="1" t="s">
        <v>2181</v>
      </c>
      <c r="V464" s="1" t="s">
        <v>2621</v>
      </c>
    </row>
    <row r="465" spans="1:26" ht="15.75" customHeight="1" x14ac:dyDescent="0.35">
      <c r="A465" s="1" t="s">
        <v>112</v>
      </c>
      <c r="B465" s="1" t="s">
        <v>2622</v>
      </c>
      <c r="C465" s="1" t="s">
        <v>2623</v>
      </c>
      <c r="D465" s="1" t="s">
        <v>1628</v>
      </c>
      <c r="E465" s="1" t="s">
        <v>507</v>
      </c>
      <c r="F465" s="1" t="s">
        <v>1707</v>
      </c>
      <c r="G465" s="1" t="s">
        <v>2624</v>
      </c>
      <c r="H465" s="1" t="s">
        <v>2625</v>
      </c>
      <c r="I465" s="1" t="s">
        <v>120</v>
      </c>
      <c r="J465" s="1" t="s">
        <v>75</v>
      </c>
      <c r="K465" s="1" t="s">
        <v>2507</v>
      </c>
      <c r="L465" s="1" t="s">
        <v>2626</v>
      </c>
      <c r="M465" s="1" t="s">
        <v>2627</v>
      </c>
      <c r="N465" s="1" t="s">
        <v>1841</v>
      </c>
      <c r="O465" s="1" t="s">
        <v>2628</v>
      </c>
      <c r="P465" s="1" t="s">
        <v>2629</v>
      </c>
      <c r="Q465" s="1" t="s">
        <v>2630</v>
      </c>
      <c r="S465" s="1" t="s">
        <v>78</v>
      </c>
      <c r="T465" s="1">
        <v>39799</v>
      </c>
      <c r="U465" s="1" t="s">
        <v>1082</v>
      </c>
      <c r="V465" s="1" t="s">
        <v>2631</v>
      </c>
      <c r="W465" s="1" t="s">
        <v>2632</v>
      </c>
    </row>
    <row r="466" spans="1:26" ht="15.75" customHeight="1" x14ac:dyDescent="0.35">
      <c r="A466" s="1" t="s">
        <v>151</v>
      </c>
      <c r="B466" s="1" t="s">
        <v>2379</v>
      </c>
      <c r="C466" s="1" t="s">
        <v>2633</v>
      </c>
      <c r="D466" s="1" t="s">
        <v>2572</v>
      </c>
      <c r="E466" s="1" t="s">
        <v>507</v>
      </c>
      <c r="F466" s="1" t="s">
        <v>1448</v>
      </c>
      <c r="G466" s="1" t="s">
        <v>2634</v>
      </c>
      <c r="H466" s="1" t="s">
        <v>1521</v>
      </c>
      <c r="I466" s="1" t="s">
        <v>74</v>
      </c>
      <c r="J466" s="1" t="s">
        <v>39</v>
      </c>
      <c r="K466" s="1" t="s">
        <v>2611</v>
      </c>
      <c r="L466" s="1" t="s">
        <v>158</v>
      </c>
      <c r="M466" s="1" t="s">
        <v>831</v>
      </c>
      <c r="N466" s="1" t="s">
        <v>160</v>
      </c>
      <c r="O466" s="1" t="s">
        <v>833</v>
      </c>
      <c r="P466" s="1" t="s">
        <v>834</v>
      </c>
      <c r="Q466" s="1" t="s">
        <v>652</v>
      </c>
      <c r="R466" s="1" t="s">
        <v>217</v>
      </c>
      <c r="S466" s="1" t="s">
        <v>129</v>
      </c>
      <c r="T466" s="1">
        <v>26899</v>
      </c>
      <c r="U466" s="1" t="s">
        <v>1082</v>
      </c>
      <c r="V466" s="1" t="s">
        <v>2635</v>
      </c>
      <c r="W466" s="1" t="s">
        <v>2636</v>
      </c>
      <c r="Z466" s="1" t="s">
        <v>2438</v>
      </c>
    </row>
    <row r="467" spans="1:26" ht="15.75" customHeight="1" x14ac:dyDescent="0.35">
      <c r="B467" s="1" t="s">
        <v>2637</v>
      </c>
      <c r="C467" s="1" t="s">
        <v>2380</v>
      </c>
      <c r="D467" s="1" t="s">
        <v>2161</v>
      </c>
      <c r="E467" s="1" t="s">
        <v>1584</v>
      </c>
      <c r="F467" s="1" t="s">
        <v>2638</v>
      </c>
      <c r="G467" s="1" t="s">
        <v>322</v>
      </c>
      <c r="H467" s="1" t="s">
        <v>2639</v>
      </c>
      <c r="I467" s="1" t="s">
        <v>120</v>
      </c>
      <c r="K467" s="1" t="s">
        <v>90</v>
      </c>
      <c r="L467" s="1" t="s">
        <v>972</v>
      </c>
      <c r="M467" s="1" t="s">
        <v>1876</v>
      </c>
      <c r="O467" s="1" t="s">
        <v>2640</v>
      </c>
      <c r="P467" s="1" t="s">
        <v>2113</v>
      </c>
      <c r="Q467" s="1" t="s">
        <v>2078</v>
      </c>
      <c r="R467" s="1" t="s">
        <v>301</v>
      </c>
      <c r="S467" s="1" t="s">
        <v>165</v>
      </c>
      <c r="T467" s="1">
        <v>70000</v>
      </c>
      <c r="U467" s="1" t="s">
        <v>1082</v>
      </c>
      <c r="V467" s="1" t="s">
        <v>2114</v>
      </c>
    </row>
    <row r="468" spans="1:26" ht="15.75" customHeight="1" x14ac:dyDescent="0.35">
      <c r="B468" s="1" t="s">
        <v>2641</v>
      </c>
      <c r="C468" s="1" t="s">
        <v>2642</v>
      </c>
      <c r="D468" s="1" t="s">
        <v>2026</v>
      </c>
      <c r="E468" s="1" t="s">
        <v>552</v>
      </c>
      <c r="F468" s="1" t="s">
        <v>2643</v>
      </c>
      <c r="G468" s="1" t="s">
        <v>576</v>
      </c>
      <c r="H468" s="1" t="s">
        <v>2644</v>
      </c>
      <c r="I468" s="1" t="s">
        <v>1493</v>
      </c>
      <c r="J468" s="1" t="s">
        <v>256</v>
      </c>
      <c r="K468" s="1" t="s">
        <v>725</v>
      </c>
      <c r="L468" s="1" t="s">
        <v>474</v>
      </c>
      <c r="O468" s="1" t="s">
        <v>2645</v>
      </c>
      <c r="P468" s="1" t="s">
        <v>2646</v>
      </c>
      <c r="Q468" s="1" t="s">
        <v>2647</v>
      </c>
      <c r="S468" s="1" t="s">
        <v>165</v>
      </c>
      <c r="T468" s="1">
        <v>114999</v>
      </c>
      <c r="U468" s="1" t="s">
        <v>166</v>
      </c>
      <c r="V468" s="1" t="s">
        <v>2648</v>
      </c>
    </row>
    <row r="469" spans="1:26" ht="15.75" customHeight="1" x14ac:dyDescent="0.35">
      <c r="B469" s="1" t="s">
        <v>2649</v>
      </c>
      <c r="C469" s="1" t="s">
        <v>2650</v>
      </c>
      <c r="D469" s="1" t="s">
        <v>2651</v>
      </c>
      <c r="E469" s="1" t="s">
        <v>552</v>
      </c>
      <c r="F469" s="1" t="s">
        <v>2652</v>
      </c>
      <c r="G469" s="1" t="s">
        <v>2653</v>
      </c>
      <c r="H469" s="1" t="s">
        <v>2654</v>
      </c>
      <c r="I469" s="1" t="s">
        <v>89</v>
      </c>
      <c r="J469" s="1" t="s">
        <v>57</v>
      </c>
      <c r="K469" s="1" t="s">
        <v>725</v>
      </c>
      <c r="L469" s="1" t="s">
        <v>1985</v>
      </c>
      <c r="M469" s="1" t="s">
        <v>241</v>
      </c>
      <c r="N469" s="1" t="s">
        <v>811</v>
      </c>
      <c r="O469" s="1" t="s">
        <v>2655</v>
      </c>
      <c r="P469" s="1" t="s">
        <v>2656</v>
      </c>
      <c r="Q469" s="1" t="s">
        <v>2657</v>
      </c>
      <c r="R469" s="1" t="s">
        <v>64</v>
      </c>
      <c r="S469" s="1" t="s">
        <v>165</v>
      </c>
      <c r="T469" s="1">
        <v>125000</v>
      </c>
      <c r="V469" s="1" t="s">
        <v>2658</v>
      </c>
    </row>
    <row r="470" spans="1:26" ht="15.75" customHeight="1" x14ac:dyDescent="0.35">
      <c r="B470" s="1" t="s">
        <v>2659</v>
      </c>
      <c r="C470" s="1" t="s">
        <v>2660</v>
      </c>
      <c r="D470" s="1" t="s">
        <v>2661</v>
      </c>
      <c r="E470" s="1" t="s">
        <v>2662</v>
      </c>
      <c r="F470" s="1" t="s">
        <v>2663</v>
      </c>
      <c r="G470" s="1" t="s">
        <v>1604</v>
      </c>
      <c r="H470" s="1" t="s">
        <v>2664</v>
      </c>
      <c r="I470" s="1" t="s">
        <v>120</v>
      </c>
      <c r="J470" s="1" t="s">
        <v>75</v>
      </c>
      <c r="K470" s="1" t="s">
        <v>2507</v>
      </c>
      <c r="L470" s="1" t="s">
        <v>1405</v>
      </c>
      <c r="M470" s="1" t="s">
        <v>1397</v>
      </c>
      <c r="N470" s="1" t="s">
        <v>465</v>
      </c>
      <c r="O470" s="1" t="s">
        <v>2665</v>
      </c>
      <c r="P470" s="1" t="s">
        <v>2666</v>
      </c>
      <c r="Q470" s="1" t="s">
        <v>300</v>
      </c>
      <c r="S470" s="1" t="s">
        <v>165</v>
      </c>
      <c r="T470" s="1">
        <v>18499</v>
      </c>
      <c r="V470" s="1" t="s">
        <v>2667</v>
      </c>
      <c r="W470" s="1" t="s">
        <v>2668</v>
      </c>
    </row>
    <row r="471" spans="1:26" ht="15.75" customHeight="1" x14ac:dyDescent="0.35">
      <c r="A471" s="1" t="s">
        <v>112</v>
      </c>
      <c r="B471" s="1" t="s">
        <v>2669</v>
      </c>
      <c r="C471" s="1" t="s">
        <v>1118</v>
      </c>
      <c r="D471" s="1" t="s">
        <v>1130</v>
      </c>
      <c r="E471" s="1" t="s">
        <v>507</v>
      </c>
      <c r="F471" s="1" t="s">
        <v>1462</v>
      </c>
      <c r="G471" s="1" t="s">
        <v>1813</v>
      </c>
      <c r="H471" s="1" t="s">
        <v>907</v>
      </c>
      <c r="I471" s="1" t="s">
        <v>120</v>
      </c>
      <c r="J471" s="1" t="s">
        <v>75</v>
      </c>
      <c r="K471" s="1" t="s">
        <v>2507</v>
      </c>
      <c r="L471" s="1" t="s">
        <v>193</v>
      </c>
      <c r="M471" s="1" t="s">
        <v>139</v>
      </c>
      <c r="N471" s="1" t="s">
        <v>124</v>
      </c>
      <c r="O471" s="1" t="s">
        <v>2670</v>
      </c>
      <c r="P471" s="1" t="s">
        <v>126</v>
      </c>
      <c r="Q471" s="1" t="s">
        <v>127</v>
      </c>
      <c r="S471" s="1" t="s">
        <v>78</v>
      </c>
      <c r="T471" s="1">
        <v>32000</v>
      </c>
      <c r="U471" s="1" t="s">
        <v>166</v>
      </c>
      <c r="V471" s="1" t="s">
        <v>1457</v>
      </c>
    </row>
    <row r="472" spans="1:26" ht="15.75" customHeight="1" x14ac:dyDescent="0.35">
      <c r="A472" s="1" t="s">
        <v>30</v>
      </c>
      <c r="B472" s="1" t="s">
        <v>2671</v>
      </c>
      <c r="C472" s="1" t="s">
        <v>1756</v>
      </c>
      <c r="D472" s="1" t="s">
        <v>2672</v>
      </c>
      <c r="E472" s="1" t="s">
        <v>410</v>
      </c>
      <c r="F472" s="1" t="s">
        <v>2673</v>
      </c>
      <c r="G472" s="1" t="s">
        <v>2674</v>
      </c>
      <c r="H472" s="1" t="s">
        <v>2675</v>
      </c>
      <c r="J472" s="1" t="s">
        <v>1518</v>
      </c>
      <c r="K472" s="1" t="s">
        <v>90</v>
      </c>
      <c r="L472" s="1" t="s">
        <v>2676</v>
      </c>
      <c r="M472" s="1" t="s">
        <v>2677</v>
      </c>
      <c r="N472" s="1" t="s">
        <v>373</v>
      </c>
      <c r="O472" s="1" t="s">
        <v>2678</v>
      </c>
      <c r="P472" s="1" t="s">
        <v>2063</v>
      </c>
      <c r="Q472" s="1" t="s">
        <v>2064</v>
      </c>
      <c r="R472" s="1" t="s">
        <v>47</v>
      </c>
      <c r="S472" s="1" t="s">
        <v>78</v>
      </c>
      <c r="T472" s="1">
        <v>79999</v>
      </c>
      <c r="U472" s="1" t="s">
        <v>166</v>
      </c>
    </row>
    <row r="473" spans="1:26" ht="15.75" customHeight="1" x14ac:dyDescent="0.35">
      <c r="A473" s="1" t="s">
        <v>81</v>
      </c>
      <c r="B473" s="1" t="s">
        <v>2679</v>
      </c>
      <c r="C473" s="1" t="s">
        <v>1118</v>
      </c>
      <c r="D473" s="1" t="s">
        <v>1453</v>
      </c>
      <c r="E473" s="1" t="s">
        <v>70</v>
      </c>
      <c r="F473" s="1" t="s">
        <v>553</v>
      </c>
      <c r="G473" s="1" t="s">
        <v>2680</v>
      </c>
      <c r="H473" s="1" t="s">
        <v>2681</v>
      </c>
      <c r="I473" s="1" t="s">
        <v>1493</v>
      </c>
      <c r="J473" s="1" t="s">
        <v>256</v>
      </c>
      <c r="K473" s="1" t="s">
        <v>555</v>
      </c>
      <c r="L473" s="1" t="s">
        <v>2682</v>
      </c>
      <c r="M473" s="1" t="s">
        <v>2683</v>
      </c>
      <c r="O473" s="1" t="s">
        <v>1660</v>
      </c>
      <c r="P473" s="1" t="s">
        <v>2684</v>
      </c>
      <c r="Q473" s="1" t="s">
        <v>2685</v>
      </c>
      <c r="S473" s="1" t="s">
        <v>129</v>
      </c>
      <c r="T473" s="1">
        <v>69999</v>
      </c>
      <c r="U473" s="1" t="s">
        <v>166</v>
      </c>
      <c r="V473" s="1" t="s">
        <v>1663</v>
      </c>
    </row>
    <row r="474" spans="1:26" ht="15.75" customHeight="1" x14ac:dyDescent="0.35">
      <c r="A474" s="1" t="s">
        <v>81</v>
      </c>
      <c r="B474" s="1" t="s">
        <v>2686</v>
      </c>
      <c r="C474" s="1" t="s">
        <v>1118</v>
      </c>
      <c r="D474" s="1" t="s">
        <v>1519</v>
      </c>
      <c r="E474" s="1" t="s">
        <v>1584</v>
      </c>
      <c r="F474" s="1" t="s">
        <v>1657</v>
      </c>
      <c r="G474" s="1" t="s">
        <v>2687</v>
      </c>
      <c r="H474" s="1" t="s">
        <v>2688</v>
      </c>
      <c r="I474" s="1" t="s">
        <v>120</v>
      </c>
      <c r="J474" s="1" t="s">
        <v>39</v>
      </c>
      <c r="K474" s="1" t="s">
        <v>90</v>
      </c>
      <c r="L474" s="1" t="s">
        <v>1801</v>
      </c>
      <c r="M474" s="1" t="s">
        <v>420</v>
      </c>
      <c r="O474" s="1" t="s">
        <v>1660</v>
      </c>
      <c r="P474" s="1" t="s">
        <v>1661</v>
      </c>
      <c r="Q474" s="1" t="s">
        <v>1662</v>
      </c>
      <c r="R474" s="1" t="s">
        <v>1688</v>
      </c>
      <c r="S474" s="1" t="s">
        <v>129</v>
      </c>
      <c r="T474" s="1">
        <v>44499</v>
      </c>
      <c r="U474" s="1" t="s">
        <v>166</v>
      </c>
      <c r="V474" s="1" t="s">
        <v>1663</v>
      </c>
    </row>
    <row r="475" spans="1:26" ht="15.75" customHeight="1" x14ac:dyDescent="0.35">
      <c r="A475" s="1" t="s">
        <v>81</v>
      </c>
      <c r="B475" s="1" t="s">
        <v>2686</v>
      </c>
      <c r="C475" s="1" t="s">
        <v>1118</v>
      </c>
      <c r="D475" s="1" t="s">
        <v>982</v>
      </c>
      <c r="E475" s="1" t="s">
        <v>507</v>
      </c>
      <c r="F475" s="1" t="s">
        <v>1657</v>
      </c>
      <c r="G475" s="1" t="s">
        <v>2687</v>
      </c>
      <c r="H475" s="1" t="s">
        <v>2688</v>
      </c>
      <c r="I475" s="1" t="s">
        <v>120</v>
      </c>
      <c r="J475" s="1" t="s">
        <v>39</v>
      </c>
      <c r="K475" s="1" t="s">
        <v>555</v>
      </c>
      <c r="L475" s="1" t="s">
        <v>1801</v>
      </c>
      <c r="M475" s="1" t="s">
        <v>420</v>
      </c>
      <c r="O475" s="1" t="s">
        <v>2689</v>
      </c>
      <c r="P475" s="1" t="s">
        <v>1661</v>
      </c>
      <c r="Q475" s="1" t="s">
        <v>1662</v>
      </c>
      <c r="R475" s="1" t="s">
        <v>1688</v>
      </c>
      <c r="S475" s="1" t="s">
        <v>129</v>
      </c>
      <c r="T475" s="1">
        <v>37500</v>
      </c>
      <c r="U475" s="1" t="s">
        <v>166</v>
      </c>
      <c r="V475" s="1" t="s">
        <v>1663</v>
      </c>
    </row>
    <row r="476" spans="1:26" ht="15.75" customHeight="1" x14ac:dyDescent="0.35">
      <c r="A476" s="1" t="s">
        <v>81</v>
      </c>
      <c r="B476" s="1" t="s">
        <v>2462</v>
      </c>
      <c r="C476" s="1" t="s">
        <v>2504</v>
      </c>
      <c r="D476" s="1" t="s">
        <v>2381</v>
      </c>
      <c r="E476" s="1" t="s">
        <v>507</v>
      </c>
      <c r="F476" s="1" t="s">
        <v>2690</v>
      </c>
      <c r="G476" s="1" t="s">
        <v>1604</v>
      </c>
      <c r="H476" s="1" t="s">
        <v>2691</v>
      </c>
      <c r="I476" s="1" t="s">
        <v>120</v>
      </c>
      <c r="J476" s="1" t="s">
        <v>39</v>
      </c>
      <c r="K476" s="1" t="s">
        <v>555</v>
      </c>
      <c r="L476" s="1" t="s">
        <v>2692</v>
      </c>
      <c r="M476" s="1" t="s">
        <v>2693</v>
      </c>
      <c r="N476" s="1" t="s">
        <v>2468</v>
      </c>
      <c r="O476" s="1" t="s">
        <v>2694</v>
      </c>
      <c r="P476" s="1" t="s">
        <v>2695</v>
      </c>
      <c r="Q476" s="1" t="s">
        <v>2696</v>
      </c>
      <c r="R476" s="1" t="s">
        <v>64</v>
      </c>
      <c r="S476" s="1" t="s">
        <v>129</v>
      </c>
      <c r="T476" s="1">
        <v>29399</v>
      </c>
      <c r="U476" s="1" t="s">
        <v>1082</v>
      </c>
      <c r="V476" s="1" t="s">
        <v>2697</v>
      </c>
    </row>
    <row r="477" spans="1:26" ht="15.75" customHeight="1" x14ac:dyDescent="0.35">
      <c r="A477" s="1" t="s">
        <v>81</v>
      </c>
      <c r="B477" s="1" t="s">
        <v>2462</v>
      </c>
      <c r="C477" s="1" t="s">
        <v>1075</v>
      </c>
      <c r="D477" s="1" t="s">
        <v>1602</v>
      </c>
      <c r="E477" s="1" t="s">
        <v>507</v>
      </c>
      <c r="F477" s="1" t="s">
        <v>2690</v>
      </c>
      <c r="G477" s="1" t="s">
        <v>1604</v>
      </c>
      <c r="H477" s="1" t="s">
        <v>2691</v>
      </c>
      <c r="I477" s="1" t="s">
        <v>120</v>
      </c>
      <c r="J477" s="1" t="s">
        <v>39</v>
      </c>
      <c r="K477" s="1" t="s">
        <v>90</v>
      </c>
      <c r="L477" s="1" t="s">
        <v>2692</v>
      </c>
      <c r="M477" s="1" t="s">
        <v>2693</v>
      </c>
      <c r="N477" s="1" t="s">
        <v>2468</v>
      </c>
      <c r="O477" s="1" t="s">
        <v>2694</v>
      </c>
      <c r="P477" s="1" t="s">
        <v>2695</v>
      </c>
      <c r="Q477" s="1" t="s">
        <v>2696</v>
      </c>
      <c r="R477" s="1" t="s">
        <v>64</v>
      </c>
      <c r="S477" s="1" t="s">
        <v>78</v>
      </c>
      <c r="T477" s="1">
        <v>36499</v>
      </c>
      <c r="U477" s="1" t="s">
        <v>1082</v>
      </c>
      <c r="V477" s="1" t="s">
        <v>2697</v>
      </c>
    </row>
    <row r="478" spans="1:26" ht="15.75" customHeight="1" x14ac:dyDescent="0.35">
      <c r="A478" s="1" t="s">
        <v>81</v>
      </c>
      <c r="B478" s="1" t="s">
        <v>2698</v>
      </c>
      <c r="C478" s="1" t="s">
        <v>1613</v>
      </c>
      <c r="D478" s="1" t="s">
        <v>2109</v>
      </c>
      <c r="E478" s="1" t="s">
        <v>507</v>
      </c>
      <c r="F478" s="1" t="s">
        <v>2464</v>
      </c>
      <c r="G478" s="1" t="s">
        <v>2465</v>
      </c>
      <c r="H478" s="1" t="s">
        <v>2699</v>
      </c>
      <c r="I478" s="1" t="s">
        <v>120</v>
      </c>
      <c r="J478" s="1" t="s">
        <v>57</v>
      </c>
      <c r="K478" s="1" t="s">
        <v>1722</v>
      </c>
      <c r="L478" s="1" t="s">
        <v>1317</v>
      </c>
      <c r="M478" s="1" t="s">
        <v>420</v>
      </c>
      <c r="N478" s="1" t="s">
        <v>2468</v>
      </c>
      <c r="O478" s="1" t="s">
        <v>2469</v>
      </c>
      <c r="P478" s="1" t="s">
        <v>2470</v>
      </c>
      <c r="Q478" s="1" t="s">
        <v>2471</v>
      </c>
      <c r="S478" s="1" t="s">
        <v>129</v>
      </c>
      <c r="T478" s="1">
        <v>25199</v>
      </c>
      <c r="U478" s="1" t="s">
        <v>1082</v>
      </c>
      <c r="V478" s="1" t="s">
        <v>2472</v>
      </c>
    </row>
    <row r="479" spans="1:26" ht="15.75" customHeight="1" x14ac:dyDescent="0.35">
      <c r="A479" s="1" t="s">
        <v>30</v>
      </c>
      <c r="B479" s="1" t="s">
        <v>2700</v>
      </c>
      <c r="C479" s="1" t="s">
        <v>1118</v>
      </c>
      <c r="D479" s="1" t="s">
        <v>2701</v>
      </c>
      <c r="E479" s="1" t="s">
        <v>410</v>
      </c>
      <c r="F479" s="1" t="s">
        <v>2702</v>
      </c>
      <c r="G479" s="1" t="s">
        <v>322</v>
      </c>
      <c r="H479" s="1" t="s">
        <v>2703</v>
      </c>
      <c r="I479" s="1" t="s">
        <v>1371</v>
      </c>
      <c r="J479" s="1" t="s">
        <v>57</v>
      </c>
      <c r="K479" s="1" t="s">
        <v>2704</v>
      </c>
      <c r="L479" s="1" t="s">
        <v>2705</v>
      </c>
      <c r="M479" s="1" t="s">
        <v>2706</v>
      </c>
      <c r="N479" s="1" t="s">
        <v>373</v>
      </c>
      <c r="O479" s="1" t="s">
        <v>2707</v>
      </c>
      <c r="P479" s="1" t="s">
        <v>2708</v>
      </c>
      <c r="Q479" s="1" t="s">
        <v>2709</v>
      </c>
      <c r="R479" s="1" t="s">
        <v>64</v>
      </c>
      <c r="S479" s="1" t="s">
        <v>78</v>
      </c>
      <c r="T479" s="1">
        <v>49999</v>
      </c>
      <c r="U479" s="1" t="s">
        <v>166</v>
      </c>
      <c r="V479" s="1" t="s">
        <v>2277</v>
      </c>
    </row>
    <row r="480" spans="1:26" ht="15.75" customHeight="1" x14ac:dyDescent="0.35">
      <c r="A480" s="1" t="s">
        <v>81</v>
      </c>
      <c r="B480" s="1" t="s">
        <v>2519</v>
      </c>
      <c r="C480" s="1" t="s">
        <v>2519</v>
      </c>
      <c r="D480" s="1" t="s">
        <v>2572</v>
      </c>
      <c r="E480" s="1" t="s">
        <v>507</v>
      </c>
      <c r="F480" s="1" t="s">
        <v>491</v>
      </c>
      <c r="G480" s="1" t="s">
        <v>2710</v>
      </c>
      <c r="H480" s="1" t="s">
        <v>2699</v>
      </c>
      <c r="I480" s="1" t="s">
        <v>120</v>
      </c>
      <c r="J480" s="1" t="s">
        <v>57</v>
      </c>
      <c r="K480" s="1" t="s">
        <v>1722</v>
      </c>
      <c r="O480" s="1" t="s">
        <v>2469</v>
      </c>
      <c r="P480" s="1" t="s">
        <v>2470</v>
      </c>
      <c r="Q480" s="1" t="s">
        <v>2471</v>
      </c>
      <c r="S480" s="1" t="s">
        <v>78</v>
      </c>
      <c r="T480" s="1">
        <v>22999</v>
      </c>
      <c r="U480" s="1" t="s">
        <v>1082</v>
      </c>
      <c r="V480" s="1" t="s">
        <v>2295</v>
      </c>
      <c r="W480" s="1" t="s">
        <v>2698</v>
      </c>
      <c r="Y480" s="1" t="s">
        <v>64</v>
      </c>
    </row>
    <row r="481" spans="1:26" ht="15.75" customHeight="1" x14ac:dyDescent="0.35">
      <c r="A481" s="1" t="s">
        <v>151</v>
      </c>
      <c r="B481" s="1" t="s">
        <v>826</v>
      </c>
      <c r="C481" s="1" t="s">
        <v>1500</v>
      </c>
      <c r="D481" s="1" t="s">
        <v>2486</v>
      </c>
      <c r="E481" s="1" t="s">
        <v>507</v>
      </c>
      <c r="F481" s="1" t="s">
        <v>1448</v>
      </c>
      <c r="G481" s="1" t="s">
        <v>829</v>
      </c>
      <c r="H481" s="1" t="s">
        <v>830</v>
      </c>
      <c r="I481" s="1" t="s">
        <v>120</v>
      </c>
      <c r="J481" s="1" t="s">
        <v>39</v>
      </c>
      <c r="K481" s="1" t="s">
        <v>2711</v>
      </c>
      <c r="L481" s="1" t="s">
        <v>158</v>
      </c>
      <c r="M481" s="1" t="s">
        <v>831</v>
      </c>
      <c r="N481" s="1" t="s">
        <v>832</v>
      </c>
      <c r="O481" s="1" t="s">
        <v>833</v>
      </c>
      <c r="P481" s="1" t="s">
        <v>834</v>
      </c>
      <c r="Q481" s="1" t="s">
        <v>652</v>
      </c>
      <c r="R481" s="1" t="s">
        <v>217</v>
      </c>
      <c r="S481" s="1" t="s">
        <v>78</v>
      </c>
      <c r="T481" s="1">
        <v>26500</v>
      </c>
      <c r="V481" s="1" t="s">
        <v>2712</v>
      </c>
      <c r="W481" s="1" t="s">
        <v>2713</v>
      </c>
      <c r="X481" s="1" t="s">
        <v>2714</v>
      </c>
      <c r="Z481" s="1" t="s">
        <v>837</v>
      </c>
    </row>
    <row r="482" spans="1:26" ht="15.75" customHeight="1" x14ac:dyDescent="0.35">
      <c r="A482" s="1" t="s">
        <v>112</v>
      </c>
      <c r="B482" s="1" t="s">
        <v>2715</v>
      </c>
      <c r="C482" s="1" t="s">
        <v>2716</v>
      </c>
      <c r="D482" s="1" t="s">
        <v>2109</v>
      </c>
      <c r="E482" s="1" t="s">
        <v>2342</v>
      </c>
      <c r="F482" s="1" t="s">
        <v>2717</v>
      </c>
      <c r="G482" s="1" t="s">
        <v>2718</v>
      </c>
      <c r="H482" s="1" t="s">
        <v>2719</v>
      </c>
      <c r="I482" s="1" t="s">
        <v>120</v>
      </c>
      <c r="J482" s="1" t="s">
        <v>75</v>
      </c>
      <c r="K482" s="1" t="s">
        <v>2507</v>
      </c>
      <c r="M482" s="1" t="s">
        <v>123</v>
      </c>
      <c r="N482" s="1" t="s">
        <v>1841</v>
      </c>
      <c r="O482" s="1" t="s">
        <v>2628</v>
      </c>
      <c r="P482" s="1" t="s">
        <v>2720</v>
      </c>
      <c r="Q482" s="1" t="s">
        <v>2721</v>
      </c>
      <c r="S482" s="1" t="s">
        <v>78</v>
      </c>
      <c r="T482" s="1">
        <v>25999</v>
      </c>
      <c r="U482" s="1" t="s">
        <v>1082</v>
      </c>
      <c r="V482" s="1" t="s">
        <v>2722</v>
      </c>
      <c r="X482" s="1" t="s">
        <v>1459</v>
      </c>
    </row>
    <row r="483" spans="1:26" ht="15.75" customHeight="1" x14ac:dyDescent="0.35">
      <c r="A483" s="1" t="s">
        <v>151</v>
      </c>
      <c r="B483" s="1" t="s">
        <v>1730</v>
      </c>
      <c r="C483" s="1" t="s">
        <v>2504</v>
      </c>
      <c r="D483" s="1" t="s">
        <v>2723</v>
      </c>
      <c r="E483" s="1" t="s">
        <v>410</v>
      </c>
      <c r="F483" s="1" t="s">
        <v>1077</v>
      </c>
      <c r="G483" s="1" t="s">
        <v>2505</v>
      </c>
      <c r="H483" s="1" t="s">
        <v>2724</v>
      </c>
      <c r="I483" s="1" t="s">
        <v>224</v>
      </c>
      <c r="J483" s="1" t="s">
        <v>57</v>
      </c>
      <c r="K483" s="1" t="s">
        <v>2725</v>
      </c>
      <c r="L483" s="1" t="s">
        <v>2726</v>
      </c>
      <c r="M483" s="1" t="s">
        <v>799</v>
      </c>
      <c r="N483" s="1" t="s">
        <v>2727</v>
      </c>
      <c r="O483" s="1" t="s">
        <v>2728</v>
      </c>
      <c r="P483" s="1" t="s">
        <v>2729</v>
      </c>
      <c r="Q483" s="1" t="s">
        <v>944</v>
      </c>
      <c r="R483" s="1" t="s">
        <v>802</v>
      </c>
      <c r="S483" s="1" t="s">
        <v>78</v>
      </c>
      <c r="T483" s="1">
        <v>64999</v>
      </c>
      <c r="U483" s="1" t="s">
        <v>1082</v>
      </c>
      <c r="V483" s="1" t="s">
        <v>1083</v>
      </c>
      <c r="W483" s="1" t="s">
        <v>2730</v>
      </c>
      <c r="Z483" s="1" t="s">
        <v>837</v>
      </c>
    </row>
    <row r="484" spans="1:26" ht="15.75" customHeight="1" x14ac:dyDescent="0.35">
      <c r="A484" s="1" t="s">
        <v>151</v>
      </c>
      <c r="B484" s="1" t="s">
        <v>826</v>
      </c>
      <c r="C484" s="1" t="s">
        <v>827</v>
      </c>
      <c r="D484" s="1" t="s">
        <v>2731</v>
      </c>
      <c r="E484" s="1" t="s">
        <v>507</v>
      </c>
      <c r="F484" s="1" t="s">
        <v>1077</v>
      </c>
      <c r="G484" s="1" t="s">
        <v>829</v>
      </c>
      <c r="H484" s="1" t="s">
        <v>2732</v>
      </c>
      <c r="I484" s="1" t="s">
        <v>120</v>
      </c>
      <c r="J484" s="1" t="s">
        <v>39</v>
      </c>
      <c r="K484" s="1" t="s">
        <v>2725</v>
      </c>
      <c r="L484" s="1" t="s">
        <v>158</v>
      </c>
      <c r="M484" s="1" t="s">
        <v>831</v>
      </c>
      <c r="N484" s="1" t="s">
        <v>832</v>
      </c>
      <c r="O484" s="1" t="s">
        <v>833</v>
      </c>
      <c r="P484" s="1" t="s">
        <v>834</v>
      </c>
      <c r="Q484" s="1" t="s">
        <v>652</v>
      </c>
      <c r="R484" s="1" t="s">
        <v>217</v>
      </c>
      <c r="S484" s="1" t="s">
        <v>78</v>
      </c>
      <c r="T484" s="1">
        <v>22999</v>
      </c>
      <c r="V484" s="1" t="s">
        <v>835</v>
      </c>
      <c r="W484" s="1" t="s">
        <v>2733</v>
      </c>
      <c r="Z484" s="1" t="s">
        <v>837</v>
      </c>
    </row>
    <row r="485" spans="1:26" ht="15.75" customHeight="1" x14ac:dyDescent="0.35">
      <c r="A485" s="1" t="s">
        <v>30</v>
      </c>
      <c r="B485" s="1" t="s">
        <v>2734</v>
      </c>
      <c r="C485" s="1" t="s">
        <v>1075</v>
      </c>
      <c r="D485" s="1" t="s">
        <v>2735</v>
      </c>
      <c r="E485" s="1" t="s">
        <v>552</v>
      </c>
      <c r="F485" s="1" t="s">
        <v>553</v>
      </c>
      <c r="G485" s="1" t="s">
        <v>322</v>
      </c>
      <c r="H485" s="1" t="s">
        <v>2736</v>
      </c>
      <c r="I485" s="1" t="s">
        <v>120</v>
      </c>
      <c r="J485" s="1" t="s">
        <v>1518</v>
      </c>
      <c r="K485" s="1" t="s">
        <v>1722</v>
      </c>
      <c r="L485" s="1" t="s">
        <v>2676</v>
      </c>
      <c r="M485" s="1" t="s">
        <v>526</v>
      </c>
      <c r="N485" s="1" t="s">
        <v>1364</v>
      </c>
      <c r="O485" s="1" t="s">
        <v>2737</v>
      </c>
      <c r="P485" s="1" t="s">
        <v>2738</v>
      </c>
      <c r="Q485" s="1" t="s">
        <v>2517</v>
      </c>
      <c r="R485" s="1" t="s">
        <v>47</v>
      </c>
      <c r="S485" s="1" t="s">
        <v>78</v>
      </c>
      <c r="T485" s="1">
        <v>53399</v>
      </c>
      <c r="U485" s="1" t="s">
        <v>1082</v>
      </c>
      <c r="V485" s="1" t="s">
        <v>2046</v>
      </c>
    </row>
    <row r="486" spans="1:26" ht="15.75" customHeight="1" x14ac:dyDescent="0.35">
      <c r="A486" s="1" t="s">
        <v>151</v>
      </c>
      <c r="B486" s="1" t="s">
        <v>2379</v>
      </c>
      <c r="C486" s="1" t="s">
        <v>2739</v>
      </c>
      <c r="D486" s="1" t="s">
        <v>2572</v>
      </c>
      <c r="E486" s="1" t="s">
        <v>507</v>
      </c>
      <c r="F486" s="1" t="s">
        <v>1674</v>
      </c>
      <c r="G486" s="1" t="s">
        <v>2634</v>
      </c>
      <c r="H486" s="1" t="s">
        <v>830</v>
      </c>
      <c r="I486" s="1" t="s">
        <v>120</v>
      </c>
      <c r="J486" s="1" t="s">
        <v>39</v>
      </c>
      <c r="K486" s="1" t="s">
        <v>101</v>
      </c>
      <c r="L486" s="1" t="s">
        <v>158</v>
      </c>
      <c r="M486" s="1" t="s">
        <v>831</v>
      </c>
      <c r="N486" s="1" t="s">
        <v>832</v>
      </c>
      <c r="O486" s="1" t="s">
        <v>833</v>
      </c>
      <c r="P486" s="1" t="s">
        <v>834</v>
      </c>
      <c r="Q486" s="1" t="s">
        <v>652</v>
      </c>
      <c r="R486" s="1" t="s">
        <v>217</v>
      </c>
      <c r="S486" s="1" t="s">
        <v>78</v>
      </c>
      <c r="T486" s="1">
        <v>28777</v>
      </c>
      <c r="U486" s="1" t="s">
        <v>1082</v>
      </c>
      <c r="V486" s="1" t="s">
        <v>2740</v>
      </c>
      <c r="W486" s="1" t="s">
        <v>2741</v>
      </c>
      <c r="Z486" s="1" t="s">
        <v>837</v>
      </c>
    </row>
    <row r="487" spans="1:26" ht="15.75" customHeight="1" x14ac:dyDescent="0.35">
      <c r="A487" s="1" t="s">
        <v>151</v>
      </c>
      <c r="B487" s="1" t="s">
        <v>1108</v>
      </c>
      <c r="C487" s="1" t="s">
        <v>827</v>
      </c>
      <c r="D487" s="1" t="s">
        <v>1109</v>
      </c>
      <c r="E487" s="1" t="s">
        <v>410</v>
      </c>
      <c r="F487" s="1" t="s">
        <v>1077</v>
      </c>
      <c r="G487" s="1" t="s">
        <v>2545</v>
      </c>
      <c r="H487" s="1" t="s">
        <v>2742</v>
      </c>
      <c r="I487" s="1" t="s">
        <v>120</v>
      </c>
      <c r="J487" s="1" t="s">
        <v>57</v>
      </c>
      <c r="K487" s="1" t="s">
        <v>2711</v>
      </c>
      <c r="L487" s="1" t="s">
        <v>1112</v>
      </c>
      <c r="M487" s="1" t="s">
        <v>799</v>
      </c>
      <c r="N487" s="1" t="s">
        <v>2727</v>
      </c>
      <c r="O487" s="1" t="s">
        <v>2515</v>
      </c>
      <c r="P487" s="1" t="s">
        <v>1080</v>
      </c>
      <c r="Q487" s="1" t="s">
        <v>63</v>
      </c>
      <c r="R487" s="1" t="s">
        <v>1114</v>
      </c>
      <c r="S487" s="1" t="s">
        <v>78</v>
      </c>
      <c r="T487" s="1">
        <v>55299</v>
      </c>
      <c r="V487" s="1" t="s">
        <v>1824</v>
      </c>
      <c r="W487" s="1" t="s">
        <v>2743</v>
      </c>
      <c r="Z487" s="1" t="s">
        <v>837</v>
      </c>
    </row>
    <row r="488" spans="1:26" ht="15.75" customHeight="1" x14ac:dyDescent="0.35">
      <c r="A488" s="1" t="s">
        <v>151</v>
      </c>
      <c r="B488" s="1" t="s">
        <v>1499</v>
      </c>
      <c r="C488" s="1" t="s">
        <v>827</v>
      </c>
      <c r="D488" s="1" t="s">
        <v>2723</v>
      </c>
      <c r="E488" s="1" t="s">
        <v>410</v>
      </c>
      <c r="F488" s="1" t="s">
        <v>1077</v>
      </c>
      <c r="G488" s="1" t="s">
        <v>2545</v>
      </c>
      <c r="H488" s="1" t="s">
        <v>2744</v>
      </c>
      <c r="I488" s="1" t="s">
        <v>120</v>
      </c>
      <c r="J488" s="1" t="s">
        <v>57</v>
      </c>
      <c r="K488" s="1" t="s">
        <v>101</v>
      </c>
      <c r="L488" s="1" t="s">
        <v>798</v>
      </c>
      <c r="M488" s="1" t="s">
        <v>799</v>
      </c>
      <c r="N488" s="1" t="s">
        <v>2727</v>
      </c>
      <c r="O488" s="1" t="s">
        <v>2515</v>
      </c>
      <c r="P488" s="1" t="s">
        <v>1080</v>
      </c>
      <c r="Q488" s="1" t="s">
        <v>63</v>
      </c>
      <c r="R488" s="1" t="s">
        <v>1081</v>
      </c>
      <c r="S488" s="1" t="s">
        <v>78</v>
      </c>
      <c r="T488" s="1">
        <v>45999</v>
      </c>
      <c r="V488" s="1" t="s">
        <v>835</v>
      </c>
      <c r="W488" s="1" t="s">
        <v>2745</v>
      </c>
      <c r="Z488" s="1" t="s">
        <v>837</v>
      </c>
    </row>
    <row r="489" spans="1:26" ht="15.75" customHeight="1" x14ac:dyDescent="0.35">
      <c r="A489" s="1" t="s">
        <v>151</v>
      </c>
      <c r="B489" s="1" t="s">
        <v>2746</v>
      </c>
      <c r="C489" s="1" t="s">
        <v>2747</v>
      </c>
      <c r="D489" s="1" t="s">
        <v>2748</v>
      </c>
      <c r="E489" s="1" t="s">
        <v>552</v>
      </c>
      <c r="F489" s="1" t="s">
        <v>2749</v>
      </c>
      <c r="G489" s="1" t="s">
        <v>2750</v>
      </c>
      <c r="H489" s="1" t="s">
        <v>2751</v>
      </c>
      <c r="I489" s="1" t="s">
        <v>89</v>
      </c>
      <c r="J489" s="1" t="s">
        <v>57</v>
      </c>
      <c r="K489" s="1" t="s">
        <v>2711</v>
      </c>
      <c r="L489" s="1" t="s">
        <v>2726</v>
      </c>
      <c r="M489" s="1" t="s">
        <v>799</v>
      </c>
      <c r="N489" s="1" t="s">
        <v>2727</v>
      </c>
      <c r="O489" s="1" t="s">
        <v>2752</v>
      </c>
      <c r="P489" s="1" t="s">
        <v>1738</v>
      </c>
      <c r="Q489" s="1" t="s">
        <v>944</v>
      </c>
      <c r="R489" s="1" t="s">
        <v>802</v>
      </c>
      <c r="S489" s="1" t="s">
        <v>78</v>
      </c>
      <c r="T489" s="1">
        <v>111249</v>
      </c>
      <c r="V489" s="1" t="s">
        <v>2753</v>
      </c>
      <c r="W489" s="1" t="s">
        <v>2754</v>
      </c>
      <c r="Z489" s="1" t="s">
        <v>837</v>
      </c>
    </row>
    <row r="490" spans="1:26" ht="15.75" customHeight="1" x14ac:dyDescent="0.35">
      <c r="A490" s="1" t="s">
        <v>151</v>
      </c>
      <c r="B490" s="1" t="s">
        <v>826</v>
      </c>
      <c r="C490" s="1" t="s">
        <v>1500</v>
      </c>
      <c r="D490" s="1" t="s">
        <v>2572</v>
      </c>
      <c r="E490" s="1" t="s">
        <v>507</v>
      </c>
      <c r="F490" s="1" t="s">
        <v>1913</v>
      </c>
      <c r="G490" s="1" t="s">
        <v>829</v>
      </c>
      <c r="H490" s="1" t="s">
        <v>830</v>
      </c>
      <c r="I490" s="1" t="s">
        <v>120</v>
      </c>
      <c r="J490" s="1" t="s">
        <v>39</v>
      </c>
      <c r="K490" s="1" t="s">
        <v>2755</v>
      </c>
      <c r="L490" s="1" t="s">
        <v>158</v>
      </c>
      <c r="M490" s="1" t="s">
        <v>831</v>
      </c>
      <c r="N490" s="1" t="s">
        <v>832</v>
      </c>
      <c r="O490" s="1" t="s">
        <v>833</v>
      </c>
      <c r="P490" s="1" t="s">
        <v>834</v>
      </c>
      <c r="Q490" s="1" t="s">
        <v>652</v>
      </c>
      <c r="R490" s="1" t="s">
        <v>217</v>
      </c>
      <c r="S490" s="1" t="s">
        <v>78</v>
      </c>
      <c r="T490" s="1">
        <v>27999</v>
      </c>
      <c r="V490" s="1" t="s">
        <v>1503</v>
      </c>
      <c r="W490" s="1" t="s">
        <v>2756</v>
      </c>
    </row>
    <row r="491" spans="1:26" ht="15.75" customHeight="1" x14ac:dyDescent="0.35">
      <c r="A491" s="1" t="s">
        <v>151</v>
      </c>
      <c r="B491" s="1" t="s">
        <v>826</v>
      </c>
      <c r="C491" s="1" t="s">
        <v>827</v>
      </c>
      <c r="D491" s="1" t="s">
        <v>2617</v>
      </c>
      <c r="E491" s="1" t="s">
        <v>70</v>
      </c>
      <c r="F491" s="1" t="s">
        <v>513</v>
      </c>
      <c r="G491" s="1" t="s">
        <v>829</v>
      </c>
      <c r="H491" s="1" t="s">
        <v>830</v>
      </c>
      <c r="I491" s="1" t="s">
        <v>120</v>
      </c>
      <c r="J491" s="1" t="s">
        <v>39</v>
      </c>
      <c r="K491" s="1" t="s">
        <v>2757</v>
      </c>
      <c r="L491" s="1" t="s">
        <v>508</v>
      </c>
      <c r="M491" s="1" t="s">
        <v>617</v>
      </c>
      <c r="N491" s="1" t="s">
        <v>832</v>
      </c>
      <c r="O491" s="1" t="s">
        <v>833</v>
      </c>
      <c r="P491" s="1" t="s">
        <v>834</v>
      </c>
      <c r="Q491" s="1" t="s">
        <v>652</v>
      </c>
      <c r="R491" s="1" t="s">
        <v>217</v>
      </c>
      <c r="S491" s="1" t="s">
        <v>78</v>
      </c>
      <c r="T491" s="1">
        <v>38999</v>
      </c>
      <c r="V491" s="1" t="s">
        <v>1824</v>
      </c>
      <c r="W491" s="1" t="s">
        <v>1768</v>
      </c>
    </row>
    <row r="492" spans="1:26" ht="15.75" customHeight="1" x14ac:dyDescent="0.35">
      <c r="A492" s="1" t="s">
        <v>151</v>
      </c>
      <c r="B492" s="1" t="s">
        <v>2379</v>
      </c>
      <c r="C492" s="1" t="s">
        <v>2716</v>
      </c>
      <c r="D492" s="1" t="s">
        <v>2149</v>
      </c>
      <c r="E492" s="1" t="s">
        <v>507</v>
      </c>
      <c r="F492" s="1" t="s">
        <v>1077</v>
      </c>
      <c r="G492" s="1" t="s">
        <v>2573</v>
      </c>
      <c r="H492" s="1" t="s">
        <v>830</v>
      </c>
      <c r="I492" s="1" t="s">
        <v>120</v>
      </c>
      <c r="J492" s="1" t="s">
        <v>39</v>
      </c>
      <c r="K492" s="1" t="s">
        <v>101</v>
      </c>
      <c r="L492" s="1" t="s">
        <v>798</v>
      </c>
      <c r="M492" s="1" t="s">
        <v>831</v>
      </c>
      <c r="N492" s="1" t="s">
        <v>832</v>
      </c>
      <c r="O492" s="1" t="s">
        <v>833</v>
      </c>
      <c r="P492" s="1" t="s">
        <v>834</v>
      </c>
      <c r="Q492" s="1" t="s">
        <v>652</v>
      </c>
      <c r="R492" s="1" t="s">
        <v>217</v>
      </c>
      <c r="S492" s="1" t="s">
        <v>78</v>
      </c>
      <c r="T492" s="1">
        <v>43777</v>
      </c>
      <c r="U492" s="1" t="s">
        <v>1082</v>
      </c>
      <c r="V492" s="1" t="s">
        <v>2758</v>
      </c>
      <c r="W492" s="1" t="s">
        <v>2759</v>
      </c>
      <c r="Z492" s="1" t="s">
        <v>837</v>
      </c>
    </row>
    <row r="493" spans="1:26" ht="15.75" customHeight="1" x14ac:dyDescent="0.35">
      <c r="A493" s="1" t="s">
        <v>151</v>
      </c>
      <c r="B493" s="1" t="s">
        <v>826</v>
      </c>
      <c r="C493" s="1" t="s">
        <v>827</v>
      </c>
      <c r="D493" s="1" t="s">
        <v>2572</v>
      </c>
      <c r="E493" s="1" t="s">
        <v>507</v>
      </c>
      <c r="F493" s="1" t="s">
        <v>1077</v>
      </c>
      <c r="G493" s="1" t="s">
        <v>2573</v>
      </c>
      <c r="H493" s="1" t="s">
        <v>2760</v>
      </c>
      <c r="I493" s="1" t="s">
        <v>120</v>
      </c>
      <c r="J493" s="1" t="s">
        <v>57</v>
      </c>
      <c r="K493" s="1" t="s">
        <v>101</v>
      </c>
      <c r="L493" s="1" t="s">
        <v>798</v>
      </c>
      <c r="M493" s="1" t="s">
        <v>831</v>
      </c>
      <c r="N493" s="1" t="s">
        <v>832</v>
      </c>
      <c r="O493" s="1" t="s">
        <v>833</v>
      </c>
      <c r="P493" s="1" t="s">
        <v>834</v>
      </c>
      <c r="Q493" s="1" t="s">
        <v>652</v>
      </c>
      <c r="R493" s="1" t="s">
        <v>217</v>
      </c>
      <c r="S493" s="1" t="s">
        <v>78</v>
      </c>
      <c r="T493" s="1">
        <v>23099</v>
      </c>
      <c r="V493" s="1" t="s">
        <v>1824</v>
      </c>
      <c r="W493" s="1" t="s">
        <v>2761</v>
      </c>
    </row>
    <row r="494" spans="1:26" ht="15.75" customHeight="1" x14ac:dyDescent="0.35">
      <c r="A494" s="1" t="s">
        <v>112</v>
      </c>
      <c r="B494" s="1" t="s">
        <v>2762</v>
      </c>
      <c r="C494" s="1" t="s">
        <v>1533</v>
      </c>
      <c r="D494" s="1" t="s">
        <v>2763</v>
      </c>
      <c r="E494" s="1" t="s">
        <v>439</v>
      </c>
      <c r="F494" s="1" t="s">
        <v>1525</v>
      </c>
      <c r="G494" s="1" t="s">
        <v>1813</v>
      </c>
      <c r="H494" s="1" t="s">
        <v>2764</v>
      </c>
      <c r="I494" s="1" t="s">
        <v>120</v>
      </c>
      <c r="J494" s="1" t="s">
        <v>75</v>
      </c>
      <c r="K494" s="1" t="s">
        <v>90</v>
      </c>
      <c r="L494" s="1" t="s">
        <v>186</v>
      </c>
      <c r="M494" s="1" t="s">
        <v>123</v>
      </c>
      <c r="N494" s="1" t="s">
        <v>124</v>
      </c>
      <c r="O494" s="1" t="s">
        <v>2765</v>
      </c>
      <c r="P494" s="1" t="s">
        <v>126</v>
      </c>
      <c r="Q494" s="1" t="s">
        <v>127</v>
      </c>
      <c r="R494" s="1" t="s">
        <v>128</v>
      </c>
      <c r="S494" s="1" t="s">
        <v>78</v>
      </c>
      <c r="T494" s="1">
        <v>28888</v>
      </c>
      <c r="U494" s="1" t="s">
        <v>166</v>
      </c>
      <c r="V494" s="1" t="s">
        <v>1416</v>
      </c>
    </row>
    <row r="495" spans="1:26" ht="15.75" customHeight="1" x14ac:dyDescent="0.35">
      <c r="A495" s="1" t="s">
        <v>81</v>
      </c>
      <c r="B495" s="1" t="s">
        <v>2462</v>
      </c>
      <c r="C495" s="1" t="s">
        <v>2504</v>
      </c>
      <c r="D495" s="1" t="s">
        <v>2766</v>
      </c>
      <c r="E495" s="1" t="s">
        <v>70</v>
      </c>
      <c r="F495" s="1" t="s">
        <v>2767</v>
      </c>
      <c r="G495" s="1" t="s">
        <v>2521</v>
      </c>
      <c r="H495" s="1" t="s">
        <v>1800</v>
      </c>
      <c r="I495" s="1" t="s">
        <v>120</v>
      </c>
      <c r="J495" s="1" t="s">
        <v>39</v>
      </c>
      <c r="K495" s="1" t="s">
        <v>90</v>
      </c>
      <c r="L495" s="1" t="s">
        <v>2523</v>
      </c>
      <c r="M495" s="1" t="s">
        <v>715</v>
      </c>
      <c r="N495" s="1" t="s">
        <v>2468</v>
      </c>
      <c r="O495" s="1" t="s">
        <v>2694</v>
      </c>
      <c r="P495" s="1" t="s">
        <v>2470</v>
      </c>
      <c r="Q495" s="1" t="s">
        <v>2696</v>
      </c>
      <c r="S495" s="1" t="s">
        <v>78</v>
      </c>
      <c r="T495" s="1">
        <v>44199</v>
      </c>
      <c r="U495" s="1" t="s">
        <v>1082</v>
      </c>
      <c r="V495" s="1" t="s">
        <v>2697</v>
      </c>
    </row>
    <row r="496" spans="1:26" ht="15.75" customHeight="1" x14ac:dyDescent="0.35">
      <c r="A496" s="1" t="s">
        <v>81</v>
      </c>
      <c r="B496" s="1" t="s">
        <v>2768</v>
      </c>
      <c r="C496" s="1" t="s">
        <v>2504</v>
      </c>
      <c r="D496" s="1" t="s">
        <v>2769</v>
      </c>
      <c r="E496" s="1" t="s">
        <v>410</v>
      </c>
      <c r="F496" s="1" t="s">
        <v>2770</v>
      </c>
      <c r="G496" s="1" t="s">
        <v>2771</v>
      </c>
      <c r="H496" s="1" t="s">
        <v>2772</v>
      </c>
      <c r="I496" s="1" t="s">
        <v>120</v>
      </c>
      <c r="J496" s="1" t="s">
        <v>1518</v>
      </c>
      <c r="K496" s="1" t="s">
        <v>1722</v>
      </c>
      <c r="L496" s="1" t="s">
        <v>2773</v>
      </c>
      <c r="M496" s="1" t="s">
        <v>2774</v>
      </c>
      <c r="N496" s="1" t="s">
        <v>2775</v>
      </c>
      <c r="O496" s="1" t="s">
        <v>2776</v>
      </c>
      <c r="P496" s="1" t="s">
        <v>2777</v>
      </c>
      <c r="Q496" s="1" t="s">
        <v>1127</v>
      </c>
      <c r="S496" s="1" t="s">
        <v>78</v>
      </c>
      <c r="T496" s="1">
        <v>49849</v>
      </c>
      <c r="U496" s="1" t="s">
        <v>1082</v>
      </c>
      <c r="V496" s="1" t="s">
        <v>2778</v>
      </c>
    </row>
    <row r="497" spans="1:26" ht="15.75" customHeight="1" x14ac:dyDescent="0.35">
      <c r="A497" s="1" t="s">
        <v>2779</v>
      </c>
      <c r="B497" s="1" t="s">
        <v>2780</v>
      </c>
      <c r="C497" s="1" t="s">
        <v>2781</v>
      </c>
      <c r="D497" s="1" t="s">
        <v>2748</v>
      </c>
      <c r="E497" s="1" t="s">
        <v>552</v>
      </c>
      <c r="F497" s="1" t="s">
        <v>2782</v>
      </c>
      <c r="G497" s="1" t="s">
        <v>2783</v>
      </c>
      <c r="H497" s="1" t="s">
        <v>2784</v>
      </c>
      <c r="I497" s="1" t="s">
        <v>1890</v>
      </c>
      <c r="J497" s="1" t="s">
        <v>971</v>
      </c>
      <c r="K497" s="1" t="s">
        <v>1722</v>
      </c>
      <c r="L497" s="1" t="s">
        <v>2785</v>
      </c>
      <c r="M497" s="1" t="s">
        <v>2786</v>
      </c>
      <c r="N497" s="1" t="s">
        <v>2787</v>
      </c>
      <c r="O497" s="1" t="s">
        <v>2788</v>
      </c>
      <c r="P497" s="1" t="s">
        <v>2789</v>
      </c>
      <c r="Q497" s="1" t="s">
        <v>2790</v>
      </c>
      <c r="S497" s="1" t="s">
        <v>78</v>
      </c>
      <c r="T497" s="1">
        <v>49999</v>
      </c>
      <c r="U497" s="1" t="s">
        <v>2181</v>
      </c>
      <c r="V497" s="1" t="s">
        <v>2791</v>
      </c>
      <c r="X497" s="1" t="s">
        <v>2792</v>
      </c>
    </row>
    <row r="498" spans="1:26" ht="15.75" customHeight="1" x14ac:dyDescent="0.35">
      <c r="A498" s="1" t="s">
        <v>151</v>
      </c>
      <c r="B498" s="1" t="s">
        <v>826</v>
      </c>
      <c r="C498" s="1" t="s">
        <v>1500</v>
      </c>
      <c r="D498" s="1" t="s">
        <v>2793</v>
      </c>
      <c r="E498" s="1" t="s">
        <v>507</v>
      </c>
      <c r="F498" s="1" t="s">
        <v>1077</v>
      </c>
      <c r="G498" s="1" t="s">
        <v>2573</v>
      </c>
      <c r="H498" s="1" t="s">
        <v>830</v>
      </c>
      <c r="I498" s="1" t="s">
        <v>120</v>
      </c>
      <c r="J498" s="1" t="s">
        <v>39</v>
      </c>
      <c r="K498" s="1" t="s">
        <v>101</v>
      </c>
      <c r="L498" s="1" t="s">
        <v>158</v>
      </c>
      <c r="M498" s="1" t="s">
        <v>831</v>
      </c>
      <c r="N498" s="1" t="s">
        <v>832</v>
      </c>
      <c r="O498" s="1" t="s">
        <v>833</v>
      </c>
      <c r="P498" s="1" t="s">
        <v>2794</v>
      </c>
      <c r="Q498" s="1" t="s">
        <v>652</v>
      </c>
      <c r="R498" s="1" t="s">
        <v>217</v>
      </c>
      <c r="S498" s="1" t="s">
        <v>78</v>
      </c>
      <c r="T498" s="1">
        <v>18399</v>
      </c>
      <c r="V498" s="1" t="s">
        <v>2712</v>
      </c>
      <c r="W498" s="1" t="s">
        <v>2795</v>
      </c>
      <c r="Z498" s="1" t="s">
        <v>837</v>
      </c>
    </row>
    <row r="499" spans="1:26" ht="15.75" customHeight="1" x14ac:dyDescent="0.35">
      <c r="A499" s="1" t="s">
        <v>151</v>
      </c>
      <c r="B499" s="1" t="s">
        <v>2796</v>
      </c>
      <c r="C499" s="1" t="s">
        <v>2184</v>
      </c>
      <c r="D499" s="1" t="s">
        <v>2731</v>
      </c>
      <c r="E499" s="1" t="s">
        <v>507</v>
      </c>
      <c r="F499" s="1" t="s">
        <v>2797</v>
      </c>
      <c r="G499" s="1" t="s">
        <v>829</v>
      </c>
      <c r="H499" s="1" t="s">
        <v>2798</v>
      </c>
      <c r="I499" s="1" t="s">
        <v>120</v>
      </c>
      <c r="J499" s="1" t="s">
        <v>57</v>
      </c>
      <c r="K499" s="1" t="s">
        <v>101</v>
      </c>
      <c r="L499" s="1" t="s">
        <v>158</v>
      </c>
      <c r="M499" s="1" t="s">
        <v>617</v>
      </c>
      <c r="N499" s="1" t="s">
        <v>832</v>
      </c>
      <c r="O499" s="1" t="s">
        <v>2799</v>
      </c>
      <c r="P499" s="1" t="s">
        <v>2800</v>
      </c>
      <c r="Q499" s="1" t="s">
        <v>503</v>
      </c>
      <c r="R499" s="1" t="s">
        <v>2801</v>
      </c>
      <c r="S499" s="1" t="s">
        <v>78</v>
      </c>
      <c r="T499" s="1">
        <v>24249</v>
      </c>
      <c r="U499" s="1" t="s">
        <v>2181</v>
      </c>
      <c r="V499" s="1" t="s">
        <v>2802</v>
      </c>
      <c r="W499" s="1" t="s">
        <v>2803</v>
      </c>
      <c r="Z499" s="1" t="s">
        <v>837</v>
      </c>
    </row>
    <row r="500" spans="1:26" ht="15.75" customHeight="1" x14ac:dyDescent="0.35">
      <c r="A500" s="1" t="s">
        <v>112</v>
      </c>
      <c r="B500" s="1" t="s">
        <v>2804</v>
      </c>
      <c r="C500" s="1" t="s">
        <v>2739</v>
      </c>
      <c r="D500" s="1" t="s">
        <v>2805</v>
      </c>
      <c r="E500" s="1" t="s">
        <v>507</v>
      </c>
      <c r="F500" s="1" t="s">
        <v>1462</v>
      </c>
      <c r="G500" s="1" t="s">
        <v>2806</v>
      </c>
      <c r="H500" s="1" t="s">
        <v>2807</v>
      </c>
      <c r="I500" s="1" t="s">
        <v>120</v>
      </c>
      <c r="J500" s="1" t="s">
        <v>75</v>
      </c>
      <c r="K500" s="1" t="s">
        <v>101</v>
      </c>
      <c r="L500" s="1" t="s">
        <v>1317</v>
      </c>
      <c r="M500" s="1" t="s">
        <v>123</v>
      </c>
      <c r="N500" s="1" t="s">
        <v>1841</v>
      </c>
      <c r="O500" s="1" t="s">
        <v>2628</v>
      </c>
      <c r="P500" s="1" t="s">
        <v>2629</v>
      </c>
      <c r="Q500" s="1" t="s">
        <v>2630</v>
      </c>
      <c r="R500" s="1" t="s">
        <v>64</v>
      </c>
      <c r="S500" s="1" t="s">
        <v>78</v>
      </c>
      <c r="T500" s="1">
        <v>19115</v>
      </c>
      <c r="U500" s="1" t="s">
        <v>1082</v>
      </c>
      <c r="V500" s="1" t="s">
        <v>2631</v>
      </c>
      <c r="W500" s="1" t="s">
        <v>2808</v>
      </c>
      <c r="X500" s="1" t="s">
        <v>1243</v>
      </c>
    </row>
    <row r="501" spans="1:26" ht="15.75" customHeight="1" x14ac:dyDescent="0.35">
      <c r="A501" s="1" t="s">
        <v>112</v>
      </c>
      <c r="B501" s="1" t="s">
        <v>2809</v>
      </c>
      <c r="C501" s="1" t="s">
        <v>2739</v>
      </c>
      <c r="D501" s="1" t="s">
        <v>1130</v>
      </c>
      <c r="E501" s="1" t="s">
        <v>507</v>
      </c>
      <c r="F501" s="1" t="s">
        <v>1429</v>
      </c>
      <c r="G501" s="1" t="s">
        <v>2810</v>
      </c>
      <c r="H501" s="1" t="s">
        <v>2811</v>
      </c>
      <c r="I501" s="1" t="s">
        <v>120</v>
      </c>
      <c r="J501" s="1" t="s">
        <v>75</v>
      </c>
      <c r="K501" s="1" t="s">
        <v>101</v>
      </c>
      <c r="L501" s="1" t="s">
        <v>1317</v>
      </c>
      <c r="M501" s="1" t="s">
        <v>123</v>
      </c>
      <c r="N501" s="1" t="s">
        <v>1841</v>
      </c>
      <c r="O501" s="1" t="s">
        <v>2628</v>
      </c>
      <c r="P501" s="1" t="s">
        <v>2629</v>
      </c>
      <c r="Q501" s="1" t="s">
        <v>2630</v>
      </c>
      <c r="R501" s="1" t="s">
        <v>64</v>
      </c>
      <c r="S501" s="1" t="s">
        <v>78</v>
      </c>
      <c r="T501" s="1">
        <v>20999</v>
      </c>
      <c r="U501" s="1" t="s">
        <v>1082</v>
      </c>
      <c r="V501" s="1" t="s">
        <v>2631</v>
      </c>
      <c r="W501" s="1" t="s">
        <v>2812</v>
      </c>
      <c r="X501" s="1" t="s">
        <v>1459</v>
      </c>
    </row>
    <row r="502" spans="1:26" ht="15.75" customHeight="1" x14ac:dyDescent="0.35">
      <c r="B502" s="1" t="s">
        <v>2813</v>
      </c>
      <c r="C502" s="1" t="s">
        <v>2527</v>
      </c>
      <c r="D502" s="1" t="s">
        <v>2814</v>
      </c>
      <c r="F502" s="1" t="s">
        <v>513</v>
      </c>
      <c r="G502" s="1" t="s">
        <v>2815</v>
      </c>
      <c r="H502" s="1" t="s">
        <v>2816</v>
      </c>
      <c r="I502" s="1" t="s">
        <v>120</v>
      </c>
      <c r="J502" s="1" t="s">
        <v>75</v>
      </c>
      <c r="K502" s="1" t="s">
        <v>90</v>
      </c>
      <c r="L502" s="1" t="s">
        <v>2541</v>
      </c>
      <c r="M502" s="1" t="s">
        <v>464</v>
      </c>
      <c r="N502" s="1" t="s">
        <v>2468</v>
      </c>
      <c r="O502" s="1" t="s">
        <v>2817</v>
      </c>
      <c r="P502" s="1" t="s">
        <v>2818</v>
      </c>
      <c r="Q502" s="1" t="s">
        <v>2819</v>
      </c>
      <c r="R502" s="1" t="s">
        <v>64</v>
      </c>
      <c r="S502" s="1" t="s">
        <v>48</v>
      </c>
      <c r="T502" s="1">
        <v>31870</v>
      </c>
      <c r="V502" s="1" t="s">
        <v>2820</v>
      </c>
      <c r="X502" s="1" t="s">
        <v>2503</v>
      </c>
    </row>
    <row r="503" spans="1:26" ht="15.75" customHeight="1" x14ac:dyDescent="0.35">
      <c r="B503" s="1" t="s">
        <v>2821</v>
      </c>
      <c r="C503" s="1" t="s">
        <v>1075</v>
      </c>
      <c r="D503" s="1" t="s">
        <v>1697</v>
      </c>
      <c r="E503" s="1" t="s">
        <v>507</v>
      </c>
      <c r="F503" s="1" t="s">
        <v>1698</v>
      </c>
      <c r="G503" s="1" t="s">
        <v>1936</v>
      </c>
      <c r="H503" s="1" t="s">
        <v>2822</v>
      </c>
      <c r="I503" s="1" t="s">
        <v>120</v>
      </c>
      <c r="J503" s="1" t="s">
        <v>75</v>
      </c>
      <c r="K503" s="1" t="s">
        <v>1722</v>
      </c>
      <c r="L503" s="1" t="s">
        <v>1971</v>
      </c>
      <c r="N503" s="1" t="s">
        <v>465</v>
      </c>
      <c r="O503" s="1" t="s">
        <v>2823</v>
      </c>
      <c r="P503" s="1" t="s">
        <v>2824</v>
      </c>
      <c r="Q503" s="1" t="s">
        <v>1400</v>
      </c>
      <c r="R503" s="1" t="s">
        <v>281</v>
      </c>
      <c r="S503" s="1" t="s">
        <v>48</v>
      </c>
      <c r="T503" s="1">
        <v>31535</v>
      </c>
      <c r="U503" s="1" t="s">
        <v>1082</v>
      </c>
      <c r="V503" s="1" t="s">
        <v>1703</v>
      </c>
    </row>
    <row r="504" spans="1:26" ht="15.75" customHeight="1" x14ac:dyDescent="0.35">
      <c r="B504" s="1" t="s">
        <v>2825</v>
      </c>
      <c r="C504" s="1" t="s">
        <v>2380</v>
      </c>
      <c r="D504" s="1" t="s">
        <v>1130</v>
      </c>
      <c r="E504" s="1" t="s">
        <v>507</v>
      </c>
      <c r="F504" s="1" t="s">
        <v>965</v>
      </c>
      <c r="G504" s="1" t="s">
        <v>2718</v>
      </c>
      <c r="H504" s="1" t="s">
        <v>2826</v>
      </c>
      <c r="I504" s="1" t="s">
        <v>120</v>
      </c>
      <c r="J504" s="1" t="s">
        <v>75</v>
      </c>
      <c r="K504" s="1" t="s">
        <v>1722</v>
      </c>
      <c r="L504" s="1" t="s">
        <v>315</v>
      </c>
      <c r="M504" s="1" t="s">
        <v>1876</v>
      </c>
      <c r="N504" s="1" t="s">
        <v>2468</v>
      </c>
      <c r="O504" s="1" t="s">
        <v>2112</v>
      </c>
      <c r="P504" s="1" t="s">
        <v>2113</v>
      </c>
      <c r="Q504" s="1" t="s">
        <v>1670</v>
      </c>
      <c r="R504" s="1" t="s">
        <v>281</v>
      </c>
      <c r="S504" s="1" t="s">
        <v>48</v>
      </c>
      <c r="T504" s="1">
        <v>27770</v>
      </c>
      <c r="U504" s="1" t="s">
        <v>1082</v>
      </c>
      <c r="V504" s="1" t="s">
        <v>2164</v>
      </c>
      <c r="W504" s="1" t="s">
        <v>2827</v>
      </c>
      <c r="X504" s="1" t="s">
        <v>2544</v>
      </c>
    </row>
    <row r="505" spans="1:26" ht="15.75" customHeight="1" x14ac:dyDescent="0.35">
      <c r="B505" s="1" t="s">
        <v>2828</v>
      </c>
      <c r="C505" s="1" t="s">
        <v>2829</v>
      </c>
      <c r="D505" s="1" t="s">
        <v>1732</v>
      </c>
      <c r="E505" s="1" t="s">
        <v>552</v>
      </c>
      <c r="F505" s="1" t="s">
        <v>553</v>
      </c>
      <c r="G505" s="1" t="s">
        <v>1944</v>
      </c>
      <c r="H505" s="1" t="s">
        <v>2830</v>
      </c>
      <c r="I505" s="1" t="s">
        <v>120</v>
      </c>
      <c r="J505" s="1" t="s">
        <v>2323</v>
      </c>
      <c r="K505" s="1" t="s">
        <v>1722</v>
      </c>
      <c r="L505" s="1" t="s">
        <v>2831</v>
      </c>
      <c r="M505" s="1" t="s">
        <v>241</v>
      </c>
      <c r="N505" s="1" t="s">
        <v>2468</v>
      </c>
      <c r="O505" s="1" t="s">
        <v>2832</v>
      </c>
      <c r="P505" s="1" t="s">
        <v>2833</v>
      </c>
      <c r="Q505" s="1" t="s">
        <v>1400</v>
      </c>
      <c r="R505" s="1" t="s">
        <v>64</v>
      </c>
      <c r="S505" s="1" t="s">
        <v>48</v>
      </c>
      <c r="T505" s="1">
        <v>68570</v>
      </c>
      <c r="V505" s="1" t="s">
        <v>2834</v>
      </c>
      <c r="W505" s="1" t="s">
        <v>2835</v>
      </c>
      <c r="X505" s="1" t="s">
        <v>2836</v>
      </c>
    </row>
    <row r="506" spans="1:26" ht="15.75" customHeight="1" x14ac:dyDescent="0.35">
      <c r="B506" s="1" t="s">
        <v>2837</v>
      </c>
      <c r="C506" s="1" t="s">
        <v>2747</v>
      </c>
      <c r="D506" s="1" t="s">
        <v>1732</v>
      </c>
      <c r="E506" s="1" t="s">
        <v>552</v>
      </c>
      <c r="F506" s="1" t="s">
        <v>553</v>
      </c>
      <c r="G506" s="1" t="s">
        <v>1944</v>
      </c>
      <c r="H506" s="1" t="s">
        <v>2830</v>
      </c>
      <c r="I506" s="1" t="s">
        <v>120</v>
      </c>
      <c r="J506" s="1" t="s">
        <v>2323</v>
      </c>
      <c r="K506" s="1" t="s">
        <v>1722</v>
      </c>
      <c r="L506" s="1" t="s">
        <v>2831</v>
      </c>
      <c r="M506" s="1" t="s">
        <v>241</v>
      </c>
      <c r="N506" s="1" t="s">
        <v>1866</v>
      </c>
      <c r="O506" s="1" t="s">
        <v>2832</v>
      </c>
      <c r="P506" s="1" t="s">
        <v>2838</v>
      </c>
      <c r="Q506" s="1" t="s">
        <v>1400</v>
      </c>
      <c r="R506" s="1" t="s">
        <v>64</v>
      </c>
      <c r="S506" s="1" t="s">
        <v>48</v>
      </c>
      <c r="T506" s="1">
        <v>71830</v>
      </c>
      <c r="V506" s="1" t="s">
        <v>2243</v>
      </c>
      <c r="W506" s="1" t="s">
        <v>2839</v>
      </c>
      <c r="X506" s="1" t="s">
        <v>2836</v>
      </c>
    </row>
    <row r="507" spans="1:26" ht="15.75" customHeight="1" x14ac:dyDescent="0.35">
      <c r="B507" s="1" t="s">
        <v>2840</v>
      </c>
      <c r="C507" s="1" t="s">
        <v>2841</v>
      </c>
      <c r="D507" s="1" t="s">
        <v>1453</v>
      </c>
      <c r="E507" s="1" t="s">
        <v>1789</v>
      </c>
      <c r="F507" s="1" t="s">
        <v>1603</v>
      </c>
      <c r="G507" s="1" t="s">
        <v>1944</v>
      </c>
      <c r="H507" s="1" t="s">
        <v>2842</v>
      </c>
      <c r="I507" s="1" t="s">
        <v>120</v>
      </c>
      <c r="K507" s="1" t="s">
        <v>1722</v>
      </c>
      <c r="L507" s="1" t="s">
        <v>2221</v>
      </c>
      <c r="M507" s="1" t="s">
        <v>1876</v>
      </c>
      <c r="N507" s="1" t="s">
        <v>2468</v>
      </c>
      <c r="O507" s="1" t="s">
        <v>1930</v>
      </c>
      <c r="P507" s="1" t="s">
        <v>1931</v>
      </c>
      <c r="Q507" s="1" t="s">
        <v>1932</v>
      </c>
      <c r="R507" s="1" t="s">
        <v>281</v>
      </c>
      <c r="S507" s="1" t="s">
        <v>48</v>
      </c>
      <c r="T507" s="1">
        <v>58349</v>
      </c>
      <c r="V507" s="1" t="s">
        <v>2843</v>
      </c>
      <c r="W507" s="1" t="s">
        <v>2844</v>
      </c>
      <c r="X507" s="1" t="s">
        <v>2544</v>
      </c>
    </row>
    <row r="508" spans="1:26" ht="15.75" customHeight="1" x14ac:dyDescent="0.35">
      <c r="B508" s="1" t="s">
        <v>2845</v>
      </c>
      <c r="C508" s="1" t="s">
        <v>1886</v>
      </c>
      <c r="D508" s="1" t="s">
        <v>1732</v>
      </c>
      <c r="E508" s="1" t="s">
        <v>552</v>
      </c>
      <c r="F508" s="1" t="s">
        <v>2846</v>
      </c>
      <c r="G508" s="1" t="s">
        <v>576</v>
      </c>
      <c r="H508" s="1" t="s">
        <v>2847</v>
      </c>
      <c r="I508" s="1" t="s">
        <v>1890</v>
      </c>
      <c r="J508" s="1" t="s">
        <v>39</v>
      </c>
      <c r="K508" s="1" t="s">
        <v>1722</v>
      </c>
      <c r="L508" s="1" t="s">
        <v>1317</v>
      </c>
      <c r="M508" s="1" t="s">
        <v>241</v>
      </c>
      <c r="N508" s="1" t="s">
        <v>465</v>
      </c>
      <c r="O508" s="1" t="s">
        <v>1892</v>
      </c>
      <c r="P508" s="1" t="s">
        <v>1893</v>
      </c>
      <c r="Q508" s="1" t="s">
        <v>1894</v>
      </c>
      <c r="R508" s="1" t="s">
        <v>64</v>
      </c>
      <c r="S508" s="1" t="s">
        <v>48</v>
      </c>
      <c r="T508" s="1">
        <v>93300</v>
      </c>
      <c r="U508" s="1" t="s">
        <v>1082</v>
      </c>
      <c r="V508" s="1" t="s">
        <v>1895</v>
      </c>
      <c r="W508" s="1" t="s">
        <v>2848</v>
      </c>
      <c r="X508" s="1" t="s">
        <v>2849</v>
      </c>
    </row>
    <row r="509" spans="1:26" ht="15.75" customHeight="1" x14ac:dyDescent="0.35">
      <c r="B509" s="1" t="s">
        <v>2850</v>
      </c>
      <c r="C509" s="1" t="s">
        <v>2851</v>
      </c>
      <c r="D509" s="1" t="s">
        <v>2852</v>
      </c>
      <c r="E509" s="1" t="s">
        <v>512</v>
      </c>
      <c r="F509" s="1" t="s">
        <v>2853</v>
      </c>
      <c r="G509" s="1" t="s">
        <v>2253</v>
      </c>
      <c r="H509" s="1" t="s">
        <v>2854</v>
      </c>
      <c r="I509" s="1" t="s">
        <v>1890</v>
      </c>
      <c r="K509" s="1" t="s">
        <v>90</v>
      </c>
      <c r="L509" s="1" t="s">
        <v>2855</v>
      </c>
      <c r="M509" s="1" t="s">
        <v>2256</v>
      </c>
      <c r="N509" s="1" t="s">
        <v>2257</v>
      </c>
      <c r="O509" s="1" t="s">
        <v>2258</v>
      </c>
      <c r="P509" s="1" t="s">
        <v>2259</v>
      </c>
      <c r="Q509" s="1" t="s">
        <v>766</v>
      </c>
      <c r="R509" s="1" t="s">
        <v>2260</v>
      </c>
      <c r="S509" s="1" t="s">
        <v>48</v>
      </c>
      <c r="T509" s="1">
        <v>84870</v>
      </c>
      <c r="U509" s="1" t="s">
        <v>1082</v>
      </c>
      <c r="V509" s="1" t="s">
        <v>2856</v>
      </c>
      <c r="W509" s="1" t="s">
        <v>2857</v>
      </c>
    </row>
    <row r="510" spans="1:26" ht="15.75" customHeight="1" x14ac:dyDescent="0.35">
      <c r="A510" s="1" t="s">
        <v>151</v>
      </c>
      <c r="B510" s="1" t="s">
        <v>2379</v>
      </c>
      <c r="C510" s="1" t="s">
        <v>2716</v>
      </c>
      <c r="D510" s="1" t="s">
        <v>2858</v>
      </c>
      <c r="E510" s="1" t="s">
        <v>507</v>
      </c>
      <c r="F510" s="1" t="s">
        <v>2859</v>
      </c>
      <c r="G510" s="1" t="s">
        <v>2573</v>
      </c>
      <c r="H510" s="1" t="s">
        <v>830</v>
      </c>
      <c r="I510" s="1" t="s">
        <v>120</v>
      </c>
      <c r="J510" s="1" t="s">
        <v>39</v>
      </c>
      <c r="K510" s="1" t="s">
        <v>2757</v>
      </c>
      <c r="L510" s="1" t="s">
        <v>508</v>
      </c>
      <c r="M510" s="1" t="s">
        <v>831</v>
      </c>
      <c r="N510" s="1" t="s">
        <v>832</v>
      </c>
      <c r="O510" s="1" t="s">
        <v>833</v>
      </c>
      <c r="P510" s="1" t="s">
        <v>834</v>
      </c>
      <c r="Q510" s="1" t="s">
        <v>652</v>
      </c>
      <c r="R510" s="1" t="s">
        <v>217</v>
      </c>
      <c r="S510" s="1" t="s">
        <v>78</v>
      </c>
      <c r="T510" s="1">
        <v>28888</v>
      </c>
      <c r="U510" s="1" t="s">
        <v>1082</v>
      </c>
      <c r="V510" s="1" t="s">
        <v>2574</v>
      </c>
      <c r="W510" s="1" t="s">
        <v>2860</v>
      </c>
    </row>
    <row r="511" spans="1:26" ht="15.75" customHeight="1" x14ac:dyDescent="0.35">
      <c r="A511" s="1" t="s">
        <v>151</v>
      </c>
      <c r="B511" s="1" t="s">
        <v>1074</v>
      </c>
      <c r="C511" s="1" t="s">
        <v>1075</v>
      </c>
      <c r="D511" s="1" t="s">
        <v>2348</v>
      </c>
      <c r="E511" s="1" t="s">
        <v>1584</v>
      </c>
      <c r="F511" s="1" t="s">
        <v>1077</v>
      </c>
      <c r="G511" s="1" t="s">
        <v>2861</v>
      </c>
      <c r="H511" s="1" t="s">
        <v>2798</v>
      </c>
      <c r="I511" s="1" t="s">
        <v>120</v>
      </c>
      <c r="J511" s="1" t="s">
        <v>57</v>
      </c>
      <c r="K511" s="1" t="s">
        <v>121</v>
      </c>
      <c r="L511" s="1" t="s">
        <v>798</v>
      </c>
      <c r="M511" s="1" t="s">
        <v>799</v>
      </c>
      <c r="N511" s="1" t="s">
        <v>2862</v>
      </c>
      <c r="O511" s="1" t="s">
        <v>2508</v>
      </c>
      <c r="P511" s="1" t="s">
        <v>2509</v>
      </c>
      <c r="Q511" s="1" t="s">
        <v>2460</v>
      </c>
      <c r="R511" s="1" t="s">
        <v>1081</v>
      </c>
      <c r="S511" s="1" t="s">
        <v>78</v>
      </c>
      <c r="T511" s="1">
        <v>33999</v>
      </c>
      <c r="U511" s="1" t="s">
        <v>1082</v>
      </c>
      <c r="V511" s="1" t="s">
        <v>2863</v>
      </c>
      <c r="W511" s="1" t="s">
        <v>2864</v>
      </c>
    </row>
    <row r="512" spans="1:26" ht="15.75" customHeight="1" x14ac:dyDescent="0.35">
      <c r="A512" s="1" t="s">
        <v>151</v>
      </c>
      <c r="B512" s="1" t="s">
        <v>2865</v>
      </c>
      <c r="C512" s="1" t="s">
        <v>1075</v>
      </c>
      <c r="D512" s="1" t="s">
        <v>2161</v>
      </c>
      <c r="E512" s="1" t="s">
        <v>1584</v>
      </c>
      <c r="F512" s="1" t="s">
        <v>1830</v>
      </c>
      <c r="G512" s="1" t="s">
        <v>2505</v>
      </c>
      <c r="H512" s="1" t="s">
        <v>2866</v>
      </c>
      <c r="I512" s="1" t="s">
        <v>89</v>
      </c>
      <c r="J512" s="1" t="s">
        <v>57</v>
      </c>
      <c r="K512" s="1" t="s">
        <v>121</v>
      </c>
      <c r="L512" s="1" t="s">
        <v>1112</v>
      </c>
      <c r="M512" s="1" t="s">
        <v>799</v>
      </c>
      <c r="N512" s="1" t="s">
        <v>2862</v>
      </c>
      <c r="O512" s="1" t="s">
        <v>2508</v>
      </c>
      <c r="P512" s="1" t="s">
        <v>2867</v>
      </c>
      <c r="Q512" s="1" t="s">
        <v>2868</v>
      </c>
      <c r="R512" s="1" t="s">
        <v>1114</v>
      </c>
      <c r="S512" s="1" t="s">
        <v>78</v>
      </c>
      <c r="T512" s="1">
        <v>37799</v>
      </c>
      <c r="U512" s="1" t="s">
        <v>1082</v>
      </c>
      <c r="V512" s="1" t="s">
        <v>2863</v>
      </c>
      <c r="W512" s="1" t="s">
        <v>2869</v>
      </c>
    </row>
    <row r="513" spans="1:26" ht="15.75" customHeight="1" x14ac:dyDescent="0.35">
      <c r="A513" s="1" t="s">
        <v>81</v>
      </c>
      <c r="B513" s="1" t="s">
        <v>2686</v>
      </c>
      <c r="C513" s="1" t="s">
        <v>1118</v>
      </c>
      <c r="D513" s="1" t="s">
        <v>1519</v>
      </c>
      <c r="E513" s="1" t="s">
        <v>2870</v>
      </c>
      <c r="F513" s="1" t="s">
        <v>1657</v>
      </c>
      <c r="G513" s="1" t="s">
        <v>2687</v>
      </c>
      <c r="H513" s="1" t="s">
        <v>2688</v>
      </c>
      <c r="I513" s="1" t="s">
        <v>120</v>
      </c>
      <c r="J513" s="1" t="s">
        <v>39</v>
      </c>
      <c r="K513" s="1" t="s">
        <v>121</v>
      </c>
      <c r="L513" s="1" t="s">
        <v>2523</v>
      </c>
      <c r="M513" s="1" t="s">
        <v>420</v>
      </c>
      <c r="O513" s="1" t="s">
        <v>1660</v>
      </c>
      <c r="P513" s="1" t="s">
        <v>1661</v>
      </c>
      <c r="Q513" s="1" t="s">
        <v>1662</v>
      </c>
      <c r="R513" s="1" t="s">
        <v>1688</v>
      </c>
      <c r="S513" s="1" t="s">
        <v>78</v>
      </c>
      <c r="T513" s="1">
        <v>51899</v>
      </c>
      <c r="U513" s="1" t="s">
        <v>166</v>
      </c>
      <c r="V513" s="1" t="s">
        <v>1663</v>
      </c>
    </row>
    <row r="514" spans="1:26" ht="15.75" customHeight="1" x14ac:dyDescent="0.35">
      <c r="A514" s="1" t="s">
        <v>81</v>
      </c>
      <c r="B514" s="1" t="s">
        <v>2686</v>
      </c>
      <c r="C514" s="1" t="s">
        <v>1118</v>
      </c>
      <c r="D514" s="1" t="s">
        <v>461</v>
      </c>
      <c r="E514" s="1" t="s">
        <v>507</v>
      </c>
      <c r="F514" s="1" t="s">
        <v>1657</v>
      </c>
      <c r="G514" s="1" t="s">
        <v>2687</v>
      </c>
      <c r="H514" s="1" t="s">
        <v>2688</v>
      </c>
      <c r="I514" s="1" t="s">
        <v>120</v>
      </c>
      <c r="J514" s="1" t="s">
        <v>39</v>
      </c>
      <c r="K514" s="1" t="s">
        <v>121</v>
      </c>
      <c r="L514" s="1" t="s">
        <v>2523</v>
      </c>
      <c r="M514" s="1" t="s">
        <v>420</v>
      </c>
      <c r="O514" s="1" t="s">
        <v>2689</v>
      </c>
      <c r="P514" s="1" t="s">
        <v>1661</v>
      </c>
      <c r="Q514" s="1" t="s">
        <v>1662</v>
      </c>
      <c r="R514" s="1" t="s">
        <v>1688</v>
      </c>
      <c r="S514" s="1" t="s">
        <v>78</v>
      </c>
      <c r="T514" s="1">
        <v>42999</v>
      </c>
      <c r="U514" s="1" t="s">
        <v>166</v>
      </c>
      <c r="V514" s="1" t="s">
        <v>1663</v>
      </c>
    </row>
    <row r="515" spans="1:26" ht="15.75" customHeight="1" x14ac:dyDescent="0.35">
      <c r="A515" s="1" t="s">
        <v>151</v>
      </c>
      <c r="B515" s="1" t="s">
        <v>2871</v>
      </c>
      <c r="C515" s="1" t="s">
        <v>2872</v>
      </c>
      <c r="D515" s="1" t="s">
        <v>2873</v>
      </c>
      <c r="E515" s="1" t="s">
        <v>507</v>
      </c>
      <c r="F515" s="1" t="s">
        <v>2874</v>
      </c>
      <c r="G515" s="1" t="s">
        <v>829</v>
      </c>
      <c r="H515" s="1" t="s">
        <v>2875</v>
      </c>
      <c r="I515" s="1" t="s">
        <v>120</v>
      </c>
      <c r="J515" s="1" t="s">
        <v>39</v>
      </c>
      <c r="K515" s="1" t="s">
        <v>101</v>
      </c>
      <c r="L515" s="1" t="s">
        <v>1112</v>
      </c>
      <c r="M515" s="1" t="s">
        <v>831</v>
      </c>
      <c r="N515" s="1" t="s">
        <v>2876</v>
      </c>
      <c r="O515" s="1" t="s">
        <v>833</v>
      </c>
      <c r="P515" s="1" t="s">
        <v>2877</v>
      </c>
      <c r="Q515" s="1" t="s">
        <v>2878</v>
      </c>
      <c r="R515" s="1" t="s">
        <v>2879</v>
      </c>
      <c r="S515" s="1" t="s">
        <v>78</v>
      </c>
      <c r="T515" s="1">
        <v>22999</v>
      </c>
      <c r="U515" s="1" t="s">
        <v>2181</v>
      </c>
      <c r="V515" s="1" t="s">
        <v>2880</v>
      </c>
      <c r="W515" s="1" t="s">
        <v>2881</v>
      </c>
    </row>
    <row r="516" spans="1:26" ht="15.75" customHeight="1" x14ac:dyDescent="0.35">
      <c r="A516" s="1" t="s">
        <v>151</v>
      </c>
      <c r="B516" s="1" t="s">
        <v>826</v>
      </c>
      <c r="C516" s="1" t="s">
        <v>2142</v>
      </c>
      <c r="D516" s="1" t="s">
        <v>2882</v>
      </c>
      <c r="E516" s="1" t="s">
        <v>70</v>
      </c>
      <c r="F516" s="1" t="s">
        <v>2883</v>
      </c>
      <c r="G516" s="1" t="s">
        <v>829</v>
      </c>
      <c r="H516" s="1" t="s">
        <v>2760</v>
      </c>
      <c r="I516" s="1" t="s">
        <v>74</v>
      </c>
      <c r="K516" s="1" t="s">
        <v>121</v>
      </c>
      <c r="L516" s="1" t="s">
        <v>798</v>
      </c>
      <c r="M516" s="1" t="s">
        <v>617</v>
      </c>
      <c r="N516" s="1" t="s">
        <v>2884</v>
      </c>
      <c r="O516" s="1" t="s">
        <v>2885</v>
      </c>
      <c r="P516" s="1" t="s">
        <v>834</v>
      </c>
      <c r="Q516" s="1" t="s">
        <v>652</v>
      </c>
      <c r="R516" s="1" t="s">
        <v>217</v>
      </c>
      <c r="S516" s="1" t="s">
        <v>78</v>
      </c>
      <c r="T516" s="1">
        <v>21649</v>
      </c>
      <c r="V516" s="1" t="s">
        <v>2886</v>
      </c>
      <c r="W516" s="1" t="s">
        <v>2887</v>
      </c>
      <c r="X516" s="1" t="s">
        <v>2888</v>
      </c>
    </row>
    <row r="517" spans="1:26" ht="15.75" customHeight="1" x14ac:dyDescent="0.35">
      <c r="B517" s="1" t="s">
        <v>2889</v>
      </c>
      <c r="C517" s="1" t="s">
        <v>2380</v>
      </c>
      <c r="D517" s="1" t="s">
        <v>2890</v>
      </c>
      <c r="E517" s="1" t="s">
        <v>2342</v>
      </c>
      <c r="F517" s="1" t="s">
        <v>656</v>
      </c>
      <c r="G517" s="1" t="s">
        <v>1604</v>
      </c>
      <c r="H517" s="1" t="s">
        <v>2891</v>
      </c>
      <c r="I517" s="1" t="s">
        <v>120</v>
      </c>
      <c r="J517" s="1" t="s">
        <v>75</v>
      </c>
      <c r="K517" s="1" t="s">
        <v>2892</v>
      </c>
      <c r="L517" s="1" t="s">
        <v>2560</v>
      </c>
      <c r="M517" s="1" t="s">
        <v>1876</v>
      </c>
      <c r="O517" s="1" t="s">
        <v>2112</v>
      </c>
      <c r="P517" s="1" t="s">
        <v>2113</v>
      </c>
      <c r="Q517" s="1" t="s">
        <v>814</v>
      </c>
      <c r="R517" s="1" t="s">
        <v>2542</v>
      </c>
      <c r="S517" s="1" t="s">
        <v>165</v>
      </c>
      <c r="T517" s="1">
        <v>31500</v>
      </c>
      <c r="U517" s="1" t="s">
        <v>1082</v>
      </c>
      <c r="V517" s="1" t="s">
        <v>2893</v>
      </c>
      <c r="W517" s="1" t="s">
        <v>2894</v>
      </c>
    </row>
    <row r="518" spans="1:26" ht="15.75" customHeight="1" x14ac:dyDescent="0.35">
      <c r="A518" s="1" t="s">
        <v>151</v>
      </c>
      <c r="B518" s="1" t="s">
        <v>1074</v>
      </c>
      <c r="C518" s="1" t="s">
        <v>2504</v>
      </c>
      <c r="D518" s="1" t="s">
        <v>2617</v>
      </c>
      <c r="E518" s="1" t="s">
        <v>70</v>
      </c>
      <c r="F518" s="1" t="s">
        <v>1077</v>
      </c>
      <c r="G518" s="1" t="s">
        <v>2505</v>
      </c>
      <c r="H518" s="1" t="s">
        <v>2798</v>
      </c>
      <c r="I518" s="1" t="s">
        <v>120</v>
      </c>
      <c r="J518" s="1" t="s">
        <v>57</v>
      </c>
      <c r="K518" s="1" t="s">
        <v>101</v>
      </c>
      <c r="L518" s="1" t="s">
        <v>798</v>
      </c>
      <c r="M518" s="1" t="s">
        <v>799</v>
      </c>
      <c r="N518" s="1" t="s">
        <v>2862</v>
      </c>
      <c r="O518" s="1" t="s">
        <v>2508</v>
      </c>
      <c r="P518" s="1" t="s">
        <v>1080</v>
      </c>
      <c r="Q518" s="1" t="s">
        <v>63</v>
      </c>
      <c r="R518" s="1" t="s">
        <v>1081</v>
      </c>
      <c r="S518" s="1" t="s">
        <v>78</v>
      </c>
      <c r="T518" s="1">
        <v>34720</v>
      </c>
      <c r="U518" s="1" t="s">
        <v>1082</v>
      </c>
      <c r="V518" s="1" t="s">
        <v>2895</v>
      </c>
      <c r="W518" s="1" t="s">
        <v>2896</v>
      </c>
      <c r="Z518" s="1" t="s">
        <v>837</v>
      </c>
    </row>
    <row r="519" spans="1:26" ht="15.75" customHeight="1" x14ac:dyDescent="0.35">
      <c r="A519" s="1" t="s">
        <v>151</v>
      </c>
      <c r="B519" s="1" t="s">
        <v>2746</v>
      </c>
      <c r="C519" s="1" t="s">
        <v>827</v>
      </c>
      <c r="D519" s="1" t="s">
        <v>2723</v>
      </c>
      <c r="E519" s="1" t="s">
        <v>410</v>
      </c>
      <c r="F519" s="1" t="s">
        <v>1077</v>
      </c>
      <c r="G519" s="1" t="s">
        <v>2545</v>
      </c>
      <c r="H519" s="1" t="s">
        <v>2897</v>
      </c>
      <c r="I519" s="1" t="s">
        <v>224</v>
      </c>
      <c r="J519" s="1" t="s">
        <v>57</v>
      </c>
      <c r="K519" s="1" t="s">
        <v>2725</v>
      </c>
      <c r="L519" s="1" t="s">
        <v>2726</v>
      </c>
      <c r="M519" s="1" t="s">
        <v>799</v>
      </c>
      <c r="N519" s="1" t="s">
        <v>2862</v>
      </c>
      <c r="O519" s="1" t="s">
        <v>2752</v>
      </c>
      <c r="P519" s="1" t="s">
        <v>1738</v>
      </c>
      <c r="Q519" s="1" t="s">
        <v>944</v>
      </c>
      <c r="R519" s="1" t="s">
        <v>802</v>
      </c>
      <c r="S519" s="1" t="s">
        <v>78</v>
      </c>
      <c r="T519" s="1">
        <v>73249</v>
      </c>
      <c r="V519" s="1" t="s">
        <v>1824</v>
      </c>
      <c r="W519" s="1" t="s">
        <v>2898</v>
      </c>
      <c r="Z519" s="1" t="s">
        <v>837</v>
      </c>
    </row>
    <row r="520" spans="1:26" ht="15.75" customHeight="1" x14ac:dyDescent="0.35">
      <c r="A520" s="1" t="s">
        <v>151</v>
      </c>
      <c r="B520" s="1" t="s">
        <v>1730</v>
      </c>
      <c r="C520" s="1" t="s">
        <v>2504</v>
      </c>
      <c r="D520" s="1" t="s">
        <v>2899</v>
      </c>
      <c r="E520" s="1" t="s">
        <v>552</v>
      </c>
      <c r="F520" s="1" t="s">
        <v>2749</v>
      </c>
      <c r="G520" s="1" t="s">
        <v>2900</v>
      </c>
      <c r="H520" s="1" t="s">
        <v>2901</v>
      </c>
      <c r="I520" s="1" t="s">
        <v>224</v>
      </c>
      <c r="J520" s="1" t="s">
        <v>57</v>
      </c>
      <c r="K520" s="1" t="s">
        <v>2725</v>
      </c>
      <c r="L520" s="1" t="s">
        <v>2726</v>
      </c>
      <c r="M520" s="1" t="s">
        <v>799</v>
      </c>
      <c r="N520" s="1" t="s">
        <v>2862</v>
      </c>
      <c r="O520" s="1" t="s">
        <v>2728</v>
      </c>
      <c r="P520" s="1" t="s">
        <v>1738</v>
      </c>
      <c r="Q520" s="1" t="s">
        <v>944</v>
      </c>
      <c r="R520" s="1" t="s">
        <v>802</v>
      </c>
      <c r="S520" s="1" t="s">
        <v>78</v>
      </c>
      <c r="T520" s="1">
        <v>69500</v>
      </c>
      <c r="U520" s="1" t="s">
        <v>1082</v>
      </c>
      <c r="V520" s="1" t="s">
        <v>2895</v>
      </c>
      <c r="W520" s="1" t="s">
        <v>1740</v>
      </c>
      <c r="Z520" s="1" t="s">
        <v>837</v>
      </c>
    </row>
    <row r="521" spans="1:26" ht="15.75" customHeight="1" x14ac:dyDescent="0.35">
      <c r="B521" s="1" t="s">
        <v>2902</v>
      </c>
      <c r="C521" s="1" t="s">
        <v>1118</v>
      </c>
      <c r="D521" s="1" t="s">
        <v>461</v>
      </c>
      <c r="E521" s="1" t="s">
        <v>2903</v>
      </c>
      <c r="F521" s="1" t="s">
        <v>656</v>
      </c>
      <c r="G521" s="1" t="s">
        <v>1604</v>
      </c>
      <c r="H521" s="1" t="s">
        <v>2904</v>
      </c>
      <c r="I521" s="1" t="s">
        <v>120</v>
      </c>
      <c r="J521" s="1" t="s">
        <v>75</v>
      </c>
      <c r="K521" s="1" t="s">
        <v>2425</v>
      </c>
      <c r="L521" s="1" t="s">
        <v>1405</v>
      </c>
      <c r="M521" s="1" t="s">
        <v>464</v>
      </c>
      <c r="N521" s="1" t="s">
        <v>2905</v>
      </c>
      <c r="O521" s="1" t="s">
        <v>2906</v>
      </c>
      <c r="P521" s="1" t="s">
        <v>2002</v>
      </c>
      <c r="Q521" s="1" t="s">
        <v>300</v>
      </c>
      <c r="R521" s="1" t="s">
        <v>467</v>
      </c>
      <c r="S521" s="1" t="s">
        <v>165</v>
      </c>
      <c r="T521" s="1">
        <v>42300</v>
      </c>
      <c r="U521" s="1" t="s">
        <v>166</v>
      </c>
      <c r="V521" s="1" t="s">
        <v>1976</v>
      </c>
      <c r="W521" s="1" t="s">
        <v>2907</v>
      </c>
    </row>
    <row r="522" spans="1:26" ht="15.75" customHeight="1" x14ac:dyDescent="0.35">
      <c r="B522" s="1" t="s">
        <v>2908</v>
      </c>
      <c r="C522" s="1" t="s">
        <v>1075</v>
      </c>
      <c r="D522" s="1" t="s">
        <v>2109</v>
      </c>
      <c r="E522" s="1" t="s">
        <v>2909</v>
      </c>
      <c r="F522" s="1" t="s">
        <v>2910</v>
      </c>
      <c r="G522" s="1" t="s">
        <v>2088</v>
      </c>
      <c r="H522" s="1" t="s">
        <v>2911</v>
      </c>
      <c r="I522" s="1" t="s">
        <v>120</v>
      </c>
      <c r="J522" s="1" t="s">
        <v>75</v>
      </c>
      <c r="K522" s="1" t="s">
        <v>2892</v>
      </c>
      <c r="L522" s="1" t="s">
        <v>1405</v>
      </c>
      <c r="M522" s="1" t="s">
        <v>1397</v>
      </c>
      <c r="N522" s="1" t="s">
        <v>2905</v>
      </c>
      <c r="O522" s="1" t="s">
        <v>2912</v>
      </c>
      <c r="P522" s="1" t="s">
        <v>2913</v>
      </c>
      <c r="Q522" s="1" t="s">
        <v>1894</v>
      </c>
      <c r="R522" s="1" t="s">
        <v>281</v>
      </c>
      <c r="S522" s="1" t="s">
        <v>165</v>
      </c>
      <c r="T522" s="1">
        <v>33749</v>
      </c>
      <c r="U522" s="1" t="s">
        <v>1082</v>
      </c>
      <c r="V522" s="1" t="s">
        <v>1703</v>
      </c>
      <c r="W522" s="1" t="s">
        <v>2914</v>
      </c>
    </row>
    <row r="523" spans="1:26" ht="15.75" customHeight="1" x14ac:dyDescent="0.35">
      <c r="A523" s="1" t="s">
        <v>30</v>
      </c>
      <c r="B523" s="1" t="s">
        <v>2915</v>
      </c>
      <c r="C523" s="1" t="s">
        <v>2137</v>
      </c>
      <c r="D523" s="1" t="s">
        <v>2348</v>
      </c>
      <c r="E523" s="1" t="s">
        <v>1584</v>
      </c>
      <c r="F523" s="1" t="s">
        <v>2916</v>
      </c>
      <c r="G523" s="1" t="s">
        <v>2917</v>
      </c>
      <c r="H523" s="1" t="s">
        <v>2918</v>
      </c>
      <c r="I523" s="1" t="s">
        <v>120</v>
      </c>
      <c r="J523" s="1" t="s">
        <v>75</v>
      </c>
      <c r="K523" s="1" t="s">
        <v>90</v>
      </c>
      <c r="L523" s="1" t="s">
        <v>2919</v>
      </c>
      <c r="M523" s="1" t="s">
        <v>2920</v>
      </c>
      <c r="N523" s="1" t="s">
        <v>373</v>
      </c>
      <c r="O523" s="1" t="s">
        <v>2921</v>
      </c>
      <c r="P523" s="1" t="s">
        <v>651</v>
      </c>
      <c r="Q523" s="1" t="s">
        <v>2922</v>
      </c>
      <c r="R523" s="1" t="s">
        <v>2923</v>
      </c>
      <c r="S523" s="1" t="s">
        <v>78</v>
      </c>
      <c r="T523" s="1">
        <v>32699</v>
      </c>
      <c r="U523" s="1" t="s">
        <v>166</v>
      </c>
      <c r="V523" s="1" t="s">
        <v>2924</v>
      </c>
    </row>
    <row r="524" spans="1:26" ht="15.75" customHeight="1" x14ac:dyDescent="0.35">
      <c r="A524" s="1" t="s">
        <v>81</v>
      </c>
      <c r="B524" s="1" t="s">
        <v>2925</v>
      </c>
      <c r="C524" s="1" t="s">
        <v>2616</v>
      </c>
      <c r="D524" s="1" t="s">
        <v>2534</v>
      </c>
      <c r="E524" s="1" t="s">
        <v>70</v>
      </c>
      <c r="F524" s="1" t="s">
        <v>2926</v>
      </c>
      <c r="G524" s="1" t="s">
        <v>1120</v>
      </c>
      <c r="H524" s="1" t="s">
        <v>2927</v>
      </c>
      <c r="I524" s="1" t="s">
        <v>2928</v>
      </c>
      <c r="K524" s="1" t="s">
        <v>121</v>
      </c>
      <c r="M524" s="1" t="s">
        <v>2929</v>
      </c>
      <c r="N524" s="1" t="s">
        <v>2930</v>
      </c>
      <c r="O524" s="1" t="s">
        <v>2931</v>
      </c>
      <c r="P524" s="1" t="s">
        <v>2932</v>
      </c>
      <c r="Q524" s="1" t="s">
        <v>2696</v>
      </c>
      <c r="R524" s="1" t="s">
        <v>1688</v>
      </c>
      <c r="S524" s="1" t="s">
        <v>78</v>
      </c>
      <c r="T524" s="1">
        <v>32999</v>
      </c>
      <c r="U524" s="1" t="s">
        <v>2181</v>
      </c>
      <c r="V524" s="1" t="s">
        <v>2933</v>
      </c>
      <c r="X524" s="1" t="s">
        <v>1591</v>
      </c>
    </row>
    <row r="525" spans="1:26" ht="15.75" customHeight="1" x14ac:dyDescent="0.35">
      <c r="B525" s="1" t="s">
        <v>2934</v>
      </c>
      <c r="C525" s="1" t="s">
        <v>2935</v>
      </c>
      <c r="D525" s="1" t="s">
        <v>1505</v>
      </c>
      <c r="E525" s="1" t="s">
        <v>2342</v>
      </c>
      <c r="F525" s="1" t="s">
        <v>2936</v>
      </c>
      <c r="G525" s="1" t="s">
        <v>1120</v>
      </c>
      <c r="H525" s="1" t="s">
        <v>2937</v>
      </c>
      <c r="I525" s="1" t="s">
        <v>275</v>
      </c>
      <c r="J525" s="1" t="s">
        <v>39</v>
      </c>
      <c r="K525" s="1" t="s">
        <v>1722</v>
      </c>
      <c r="M525" s="1" t="s">
        <v>1960</v>
      </c>
      <c r="N525" s="1" t="s">
        <v>465</v>
      </c>
      <c r="O525" s="1" t="s">
        <v>2938</v>
      </c>
      <c r="Q525" s="1" t="s">
        <v>1963</v>
      </c>
      <c r="R525" s="1" t="s">
        <v>64</v>
      </c>
      <c r="S525" s="1" t="s">
        <v>78</v>
      </c>
      <c r="T525" s="1">
        <v>52000</v>
      </c>
      <c r="V525" s="1" t="s">
        <v>2939</v>
      </c>
      <c r="X525" s="1" t="s">
        <v>2940</v>
      </c>
    </row>
    <row r="526" spans="1:26" ht="15.75" customHeight="1" x14ac:dyDescent="0.35">
      <c r="A526" s="1" t="s">
        <v>151</v>
      </c>
      <c r="B526" s="1" t="s">
        <v>2941</v>
      </c>
      <c r="C526" s="1" t="s">
        <v>2942</v>
      </c>
      <c r="D526" s="1" t="s">
        <v>1706</v>
      </c>
      <c r="E526" s="1" t="s">
        <v>2342</v>
      </c>
      <c r="F526" s="1" t="s">
        <v>2943</v>
      </c>
      <c r="G526" s="1" t="s">
        <v>2388</v>
      </c>
      <c r="H526" s="1" t="s">
        <v>2944</v>
      </c>
      <c r="I526" s="1" t="s">
        <v>74</v>
      </c>
      <c r="J526" s="1" t="s">
        <v>39</v>
      </c>
      <c r="K526" s="1" t="s">
        <v>90</v>
      </c>
      <c r="L526" s="1" t="s">
        <v>508</v>
      </c>
      <c r="M526" s="1" t="s">
        <v>831</v>
      </c>
      <c r="N526" s="1" t="s">
        <v>2884</v>
      </c>
      <c r="O526" s="1" t="s">
        <v>833</v>
      </c>
      <c r="P526" s="1" t="s">
        <v>834</v>
      </c>
      <c r="Q526" s="1" t="s">
        <v>2922</v>
      </c>
      <c r="R526" s="1" t="s">
        <v>217</v>
      </c>
      <c r="S526" s="1" t="s">
        <v>78</v>
      </c>
      <c r="T526" s="1">
        <v>19549</v>
      </c>
      <c r="U526" s="1" t="s">
        <v>1082</v>
      </c>
      <c r="V526" s="1" t="s">
        <v>2945</v>
      </c>
      <c r="W526" s="1" t="s">
        <v>2946</v>
      </c>
      <c r="X526" s="1" t="s">
        <v>2714</v>
      </c>
    </row>
    <row r="527" spans="1:26" ht="15.75" customHeight="1" x14ac:dyDescent="0.35">
      <c r="A527" s="1" t="s">
        <v>30</v>
      </c>
      <c r="B527" s="1" t="s">
        <v>2947</v>
      </c>
      <c r="C527" s="1" t="s">
        <v>2948</v>
      </c>
      <c r="D527" s="1" t="s">
        <v>2949</v>
      </c>
      <c r="E527" s="1" t="s">
        <v>656</v>
      </c>
      <c r="F527" s="1" t="s">
        <v>2950</v>
      </c>
      <c r="G527" s="1" t="s">
        <v>322</v>
      </c>
      <c r="H527" s="1" t="s">
        <v>2951</v>
      </c>
      <c r="I527" s="1" t="s">
        <v>1371</v>
      </c>
      <c r="J527" s="1" t="s">
        <v>256</v>
      </c>
      <c r="K527" s="1" t="s">
        <v>1722</v>
      </c>
      <c r="L527" s="1" t="s">
        <v>2676</v>
      </c>
      <c r="M527" s="1" t="s">
        <v>526</v>
      </c>
      <c r="N527" s="1" t="s">
        <v>2952</v>
      </c>
      <c r="O527" s="1" t="s">
        <v>2953</v>
      </c>
      <c r="P527" s="1" t="s">
        <v>2068</v>
      </c>
      <c r="Q527" s="1" t="s">
        <v>398</v>
      </c>
      <c r="R527" s="1" t="s">
        <v>2036</v>
      </c>
      <c r="S527" s="1" t="s">
        <v>78</v>
      </c>
      <c r="T527" s="1">
        <v>69455</v>
      </c>
      <c r="U527" s="1" t="s">
        <v>1082</v>
      </c>
    </row>
    <row r="528" spans="1:26" ht="15.75" customHeight="1" x14ac:dyDescent="0.35">
      <c r="A528" s="1" t="s">
        <v>151</v>
      </c>
      <c r="B528" s="1" t="s">
        <v>2954</v>
      </c>
      <c r="C528" s="1" t="s">
        <v>2504</v>
      </c>
      <c r="D528" s="1" t="s">
        <v>2955</v>
      </c>
      <c r="E528" s="1" t="s">
        <v>507</v>
      </c>
      <c r="F528" s="1" t="s">
        <v>1077</v>
      </c>
      <c r="G528" s="1" t="s">
        <v>2505</v>
      </c>
      <c r="H528" s="1" t="s">
        <v>2798</v>
      </c>
      <c r="I528" s="1" t="s">
        <v>120</v>
      </c>
      <c r="J528" s="1" t="s">
        <v>57</v>
      </c>
      <c r="K528" s="1" t="s">
        <v>101</v>
      </c>
      <c r="L528" s="1" t="s">
        <v>1112</v>
      </c>
      <c r="M528" s="1" t="s">
        <v>617</v>
      </c>
      <c r="N528" s="1" t="s">
        <v>2862</v>
      </c>
      <c r="O528" s="1" t="s">
        <v>2508</v>
      </c>
      <c r="P528" s="1" t="s">
        <v>2509</v>
      </c>
      <c r="Q528" s="1" t="s">
        <v>63</v>
      </c>
      <c r="R528" s="1" t="s">
        <v>2956</v>
      </c>
      <c r="S528" s="1" t="s">
        <v>78</v>
      </c>
      <c r="T528" s="1">
        <v>27699</v>
      </c>
      <c r="U528" s="1" t="s">
        <v>1082</v>
      </c>
      <c r="V528" s="1" t="s">
        <v>1083</v>
      </c>
      <c r="W528" s="1" t="s">
        <v>2957</v>
      </c>
      <c r="Z528" s="1" t="s">
        <v>837</v>
      </c>
    </row>
    <row r="529" spans="1:27" ht="15.75" customHeight="1" x14ac:dyDescent="0.35">
      <c r="A529" s="1" t="s">
        <v>30</v>
      </c>
      <c r="B529" s="1" t="s">
        <v>2958</v>
      </c>
      <c r="C529" s="1" t="s">
        <v>2948</v>
      </c>
      <c r="D529" s="1" t="s">
        <v>2748</v>
      </c>
      <c r="E529" s="1" t="s">
        <v>2959</v>
      </c>
      <c r="F529" s="1" t="s">
        <v>2960</v>
      </c>
      <c r="G529" s="1" t="s">
        <v>1575</v>
      </c>
      <c r="H529" s="1" t="s">
        <v>2961</v>
      </c>
      <c r="I529" s="1" t="s">
        <v>120</v>
      </c>
      <c r="J529" s="1" t="s">
        <v>2323</v>
      </c>
      <c r="K529" s="1" t="s">
        <v>1722</v>
      </c>
      <c r="L529" s="1" t="s">
        <v>2676</v>
      </c>
      <c r="M529" s="1" t="s">
        <v>526</v>
      </c>
      <c r="N529" s="1" t="s">
        <v>2952</v>
      </c>
      <c r="O529" s="1" t="s">
        <v>2953</v>
      </c>
      <c r="P529" s="1" t="s">
        <v>2063</v>
      </c>
      <c r="Q529" s="1" t="s">
        <v>2962</v>
      </c>
      <c r="R529" s="1" t="s">
        <v>2036</v>
      </c>
      <c r="S529" s="1" t="s">
        <v>78</v>
      </c>
      <c r="T529" s="1">
        <v>75549</v>
      </c>
      <c r="U529" s="1" t="s">
        <v>1082</v>
      </c>
      <c r="V529" s="1" t="s">
        <v>2963</v>
      </c>
      <c r="W529" s="1" t="s">
        <v>2964</v>
      </c>
    </row>
    <row r="530" spans="1:27" ht="15.75" customHeight="1" x14ac:dyDescent="0.35">
      <c r="B530" s="1" t="s">
        <v>2965</v>
      </c>
      <c r="C530" s="1" t="s">
        <v>2966</v>
      </c>
      <c r="D530" s="1" t="s">
        <v>1440</v>
      </c>
      <c r="E530" s="1" t="s">
        <v>2342</v>
      </c>
      <c r="F530" s="1" t="s">
        <v>2967</v>
      </c>
      <c r="G530" s="1" t="s">
        <v>2968</v>
      </c>
      <c r="H530" s="1" t="s">
        <v>2969</v>
      </c>
      <c r="I530" s="1" t="s">
        <v>120</v>
      </c>
      <c r="J530" s="1" t="s">
        <v>75</v>
      </c>
      <c r="K530" s="1" t="s">
        <v>2892</v>
      </c>
      <c r="L530" s="1" t="s">
        <v>2580</v>
      </c>
      <c r="M530" s="1" t="s">
        <v>2970</v>
      </c>
      <c r="N530" s="1" t="s">
        <v>2971</v>
      </c>
      <c r="O530" s="1" t="s">
        <v>2972</v>
      </c>
      <c r="P530" s="1" t="s">
        <v>2973</v>
      </c>
      <c r="Q530" s="1" t="s">
        <v>1400</v>
      </c>
      <c r="R530" s="1" t="s">
        <v>281</v>
      </c>
      <c r="S530" s="1" t="s">
        <v>1471</v>
      </c>
      <c r="T530" s="1">
        <v>41199</v>
      </c>
      <c r="U530" s="1" t="s">
        <v>1082</v>
      </c>
      <c r="V530" s="1" t="s">
        <v>2974</v>
      </c>
    </row>
    <row r="531" spans="1:27" ht="15.75" customHeight="1" x14ac:dyDescent="0.35">
      <c r="B531" s="1" t="s">
        <v>2975</v>
      </c>
      <c r="C531" s="1" t="s">
        <v>2207</v>
      </c>
      <c r="D531" s="1" t="s">
        <v>1505</v>
      </c>
      <c r="E531" s="1" t="s">
        <v>507</v>
      </c>
      <c r="F531" s="1" t="s">
        <v>2976</v>
      </c>
      <c r="G531" s="1" t="s">
        <v>1927</v>
      </c>
      <c r="H531" s="1" t="s">
        <v>2977</v>
      </c>
      <c r="I531" s="1" t="s">
        <v>120</v>
      </c>
      <c r="K531" s="1" t="s">
        <v>1722</v>
      </c>
      <c r="L531" s="1" t="s">
        <v>276</v>
      </c>
      <c r="M531" s="1" t="s">
        <v>464</v>
      </c>
      <c r="O531" s="1" t="s">
        <v>1946</v>
      </c>
      <c r="P531" s="1" t="s">
        <v>2978</v>
      </c>
      <c r="Q531" s="1" t="s">
        <v>2233</v>
      </c>
      <c r="R531" s="1" t="s">
        <v>64</v>
      </c>
      <c r="S531" s="1" t="s">
        <v>165</v>
      </c>
      <c r="T531" s="1">
        <v>28900</v>
      </c>
      <c r="V531" s="1" t="s">
        <v>1948</v>
      </c>
      <c r="X531" s="1" t="s">
        <v>2979</v>
      </c>
    </row>
    <row r="532" spans="1:27" ht="15.75" customHeight="1" x14ac:dyDescent="0.35">
      <c r="B532" s="1" t="s">
        <v>2980</v>
      </c>
      <c r="C532" s="1" t="s">
        <v>2207</v>
      </c>
      <c r="D532" s="1" t="s">
        <v>1505</v>
      </c>
      <c r="E532" s="1" t="s">
        <v>507</v>
      </c>
      <c r="F532" s="1" t="s">
        <v>2976</v>
      </c>
      <c r="G532" s="1" t="s">
        <v>1927</v>
      </c>
      <c r="H532" s="1" t="s">
        <v>2977</v>
      </c>
      <c r="I532" s="1" t="s">
        <v>120</v>
      </c>
      <c r="K532" s="1" t="s">
        <v>1722</v>
      </c>
      <c r="L532" s="1" t="s">
        <v>276</v>
      </c>
      <c r="M532" s="1" t="s">
        <v>464</v>
      </c>
      <c r="N532" s="1" t="s">
        <v>1866</v>
      </c>
      <c r="O532" s="1" t="s">
        <v>1946</v>
      </c>
      <c r="P532" s="1" t="s">
        <v>2978</v>
      </c>
      <c r="Q532" s="1" t="s">
        <v>2233</v>
      </c>
      <c r="R532" s="1" t="s">
        <v>64</v>
      </c>
      <c r="S532" s="1" t="s">
        <v>165</v>
      </c>
      <c r="T532" s="1">
        <v>28900</v>
      </c>
      <c r="V532" s="1" t="s">
        <v>1948</v>
      </c>
      <c r="X532" s="1" t="s">
        <v>2979</v>
      </c>
    </row>
    <row r="533" spans="1:27" ht="15.75" customHeight="1" x14ac:dyDescent="0.35">
      <c r="B533" s="1" t="s">
        <v>2981</v>
      </c>
      <c r="C533" s="1" t="s">
        <v>2982</v>
      </c>
      <c r="D533" s="1" t="s">
        <v>1501</v>
      </c>
      <c r="E533" s="1" t="s">
        <v>70</v>
      </c>
      <c r="F533" s="1" t="s">
        <v>2983</v>
      </c>
      <c r="G533" s="1" t="s">
        <v>1604</v>
      </c>
      <c r="H533" s="1" t="s">
        <v>2984</v>
      </c>
      <c r="I533" s="1" t="s">
        <v>120</v>
      </c>
      <c r="J533" s="1" t="s">
        <v>75</v>
      </c>
      <c r="K533" s="1" t="s">
        <v>555</v>
      </c>
      <c r="L533" s="1" t="s">
        <v>972</v>
      </c>
      <c r="M533" s="1" t="s">
        <v>1876</v>
      </c>
      <c r="O533" s="1" t="s">
        <v>2112</v>
      </c>
      <c r="P533" s="1" t="s">
        <v>2113</v>
      </c>
      <c r="Q533" s="1" t="s">
        <v>2078</v>
      </c>
      <c r="R533" s="1" t="s">
        <v>64</v>
      </c>
      <c r="S533" s="1" t="s">
        <v>165</v>
      </c>
      <c r="T533" s="1">
        <v>35050</v>
      </c>
      <c r="U533" s="1" t="s">
        <v>1082</v>
      </c>
      <c r="V533" s="1" t="s">
        <v>2985</v>
      </c>
      <c r="X533" s="1" t="s">
        <v>2986</v>
      </c>
    </row>
    <row r="534" spans="1:27" ht="15.75" customHeight="1" x14ac:dyDescent="0.35">
      <c r="B534" s="1" t="s">
        <v>2987</v>
      </c>
      <c r="C534" s="1" t="s">
        <v>2988</v>
      </c>
      <c r="D534" s="1" t="s">
        <v>2572</v>
      </c>
      <c r="E534" s="1" t="s">
        <v>507</v>
      </c>
      <c r="F534" s="1" t="s">
        <v>2989</v>
      </c>
      <c r="G534" s="1" t="s">
        <v>2168</v>
      </c>
      <c r="H534" s="1" t="s">
        <v>2990</v>
      </c>
      <c r="I534" s="1" t="s">
        <v>275</v>
      </c>
      <c r="K534" s="1" t="s">
        <v>2991</v>
      </c>
      <c r="L534" s="1" t="s">
        <v>1929</v>
      </c>
      <c r="M534" s="1" t="s">
        <v>1960</v>
      </c>
      <c r="N534" s="1" t="s">
        <v>465</v>
      </c>
      <c r="O534" s="1" t="s">
        <v>2992</v>
      </c>
      <c r="P534" s="1" t="s">
        <v>2993</v>
      </c>
      <c r="Q534" s="1" t="s">
        <v>1963</v>
      </c>
      <c r="R534" s="1" t="s">
        <v>2994</v>
      </c>
      <c r="S534" s="1" t="s">
        <v>165</v>
      </c>
      <c r="T534" s="1">
        <v>40999</v>
      </c>
      <c r="V534" s="1" t="s">
        <v>2995</v>
      </c>
    </row>
    <row r="535" spans="1:27" ht="15.75" customHeight="1" x14ac:dyDescent="0.35">
      <c r="B535" s="1" t="s">
        <v>2996</v>
      </c>
      <c r="C535" s="1" t="s">
        <v>1926</v>
      </c>
      <c r="D535" s="1" t="s">
        <v>2348</v>
      </c>
      <c r="E535" s="1" t="s">
        <v>1584</v>
      </c>
      <c r="F535" s="1" t="s">
        <v>599</v>
      </c>
      <c r="G535" s="1" t="s">
        <v>1944</v>
      </c>
      <c r="H535" s="1" t="s">
        <v>2997</v>
      </c>
      <c r="J535" s="1" t="s">
        <v>75</v>
      </c>
      <c r="K535" s="1" t="s">
        <v>2991</v>
      </c>
      <c r="M535" s="1" t="s">
        <v>2998</v>
      </c>
      <c r="R535" s="1" t="s">
        <v>64</v>
      </c>
      <c r="S535" s="1" t="s">
        <v>165</v>
      </c>
      <c r="T535" s="1">
        <v>61999</v>
      </c>
      <c r="V535" s="1" t="s">
        <v>2999</v>
      </c>
    </row>
    <row r="536" spans="1:27" ht="15.75" customHeight="1" x14ac:dyDescent="0.35">
      <c r="B536" s="1" t="s">
        <v>3000</v>
      </c>
      <c r="C536" s="1" t="s">
        <v>1886</v>
      </c>
      <c r="D536" s="1" t="s">
        <v>1501</v>
      </c>
      <c r="E536" s="1" t="s">
        <v>70</v>
      </c>
      <c r="F536" s="1" t="s">
        <v>3001</v>
      </c>
      <c r="G536" s="1" t="s">
        <v>1936</v>
      </c>
      <c r="H536" s="1" t="s">
        <v>3002</v>
      </c>
      <c r="I536" s="1" t="s">
        <v>89</v>
      </c>
      <c r="J536" s="1" t="s">
        <v>57</v>
      </c>
      <c r="K536" s="1" t="s">
        <v>1722</v>
      </c>
      <c r="L536" s="1" t="s">
        <v>1971</v>
      </c>
      <c r="M536" s="1" t="s">
        <v>241</v>
      </c>
      <c r="N536" s="1" t="s">
        <v>465</v>
      </c>
      <c r="O536" s="1" t="s">
        <v>3003</v>
      </c>
      <c r="P536" s="1" t="s">
        <v>1922</v>
      </c>
      <c r="Q536" s="1" t="s">
        <v>1923</v>
      </c>
      <c r="R536" s="1" t="s">
        <v>64</v>
      </c>
      <c r="S536" s="1" t="s">
        <v>165</v>
      </c>
      <c r="T536" s="1">
        <v>51949</v>
      </c>
      <c r="U536" s="1" t="s">
        <v>1082</v>
      </c>
      <c r="V536" s="1" t="s">
        <v>3004</v>
      </c>
      <c r="W536" s="1" t="s">
        <v>3005</v>
      </c>
      <c r="X536" s="1" t="s">
        <v>1591</v>
      </c>
    </row>
    <row r="537" spans="1:27" ht="15.75" customHeight="1" x14ac:dyDescent="0.35">
      <c r="B537" s="1" t="s">
        <v>3006</v>
      </c>
      <c r="C537" s="1" t="s">
        <v>2988</v>
      </c>
      <c r="D537" s="1" t="s">
        <v>2735</v>
      </c>
      <c r="E537" s="1" t="s">
        <v>512</v>
      </c>
      <c r="F537" s="1" t="s">
        <v>599</v>
      </c>
      <c r="G537" s="1" t="s">
        <v>1944</v>
      </c>
      <c r="H537" s="1" t="s">
        <v>2399</v>
      </c>
      <c r="J537" s="1" t="s">
        <v>57</v>
      </c>
      <c r="K537" s="1" t="s">
        <v>2991</v>
      </c>
      <c r="L537" s="1" t="s">
        <v>972</v>
      </c>
      <c r="M537" s="1" t="s">
        <v>2998</v>
      </c>
      <c r="O537" s="1" t="s">
        <v>3007</v>
      </c>
      <c r="Q537" s="1" t="s">
        <v>230</v>
      </c>
      <c r="R537" s="1" t="s">
        <v>64</v>
      </c>
      <c r="S537" s="1" t="s">
        <v>78</v>
      </c>
      <c r="T537" s="1">
        <v>64200</v>
      </c>
      <c r="V537" s="1" t="s">
        <v>3008</v>
      </c>
      <c r="W537" s="1" t="s">
        <v>3009</v>
      </c>
      <c r="Z537" s="1" t="s">
        <v>2439</v>
      </c>
    </row>
    <row r="538" spans="1:27" ht="15.75" customHeight="1" x14ac:dyDescent="0.35">
      <c r="A538" s="1" t="s">
        <v>2779</v>
      </c>
      <c r="B538" s="1" t="s">
        <v>2780</v>
      </c>
      <c r="C538" s="1" t="s">
        <v>2851</v>
      </c>
      <c r="D538" s="1" t="s">
        <v>3010</v>
      </c>
      <c r="E538" s="1" t="s">
        <v>3011</v>
      </c>
      <c r="F538" s="1" t="s">
        <v>3012</v>
      </c>
      <c r="G538" s="1" t="s">
        <v>3013</v>
      </c>
      <c r="H538" s="1" t="s">
        <v>3014</v>
      </c>
      <c r="I538" s="1" t="s">
        <v>1890</v>
      </c>
      <c r="J538" s="1" t="s">
        <v>971</v>
      </c>
      <c r="K538" s="1" t="s">
        <v>1722</v>
      </c>
      <c r="L538" s="1" t="s">
        <v>3015</v>
      </c>
      <c r="M538" s="1" t="s">
        <v>3016</v>
      </c>
      <c r="N538" s="1" t="s">
        <v>3017</v>
      </c>
      <c r="O538" s="1" t="s">
        <v>3018</v>
      </c>
      <c r="P538" s="1" t="s">
        <v>2789</v>
      </c>
      <c r="Q538" s="1" t="s">
        <v>3019</v>
      </c>
      <c r="S538" s="1" t="s">
        <v>78</v>
      </c>
      <c r="T538" s="1">
        <v>64422</v>
      </c>
      <c r="U538" s="1" t="s">
        <v>1082</v>
      </c>
      <c r="V538" s="1" t="s">
        <v>3020</v>
      </c>
      <c r="W538" s="1" t="s">
        <v>3021</v>
      </c>
      <c r="X538" s="1" t="s">
        <v>2792</v>
      </c>
    </row>
    <row r="539" spans="1:27" ht="15.75" customHeight="1" x14ac:dyDescent="0.35">
      <c r="A539" s="1" t="s">
        <v>151</v>
      </c>
      <c r="B539" s="1" t="s">
        <v>3022</v>
      </c>
      <c r="C539" s="1" t="s">
        <v>3023</v>
      </c>
      <c r="D539" s="1" t="s">
        <v>2602</v>
      </c>
      <c r="E539" s="1" t="s">
        <v>2342</v>
      </c>
      <c r="F539" s="1" t="s">
        <v>2859</v>
      </c>
      <c r="G539" s="1" t="s">
        <v>3024</v>
      </c>
      <c r="H539" s="1" t="s">
        <v>3025</v>
      </c>
      <c r="I539" s="1" t="s">
        <v>74</v>
      </c>
      <c r="J539" s="1" t="s">
        <v>57</v>
      </c>
      <c r="K539" s="1" t="s">
        <v>121</v>
      </c>
      <c r="M539" s="1" t="s">
        <v>226</v>
      </c>
      <c r="N539" s="1" t="s">
        <v>2862</v>
      </c>
      <c r="O539" s="1" t="s">
        <v>2508</v>
      </c>
      <c r="P539" s="1" t="s">
        <v>3026</v>
      </c>
      <c r="Q539" s="1" t="s">
        <v>63</v>
      </c>
      <c r="S539" s="1" t="s">
        <v>129</v>
      </c>
      <c r="T539" s="1">
        <v>30199</v>
      </c>
      <c r="U539" s="1" t="s">
        <v>1082</v>
      </c>
      <c r="V539" s="1" t="s">
        <v>2895</v>
      </c>
      <c r="W539" s="1" t="s">
        <v>3027</v>
      </c>
      <c r="X539" s="1" t="s">
        <v>3028</v>
      </c>
    </row>
    <row r="540" spans="1:27" ht="15.75" customHeight="1" x14ac:dyDescent="0.35">
      <c r="A540" s="1" t="s">
        <v>151</v>
      </c>
      <c r="B540" s="1" t="s">
        <v>3029</v>
      </c>
      <c r="C540" s="1" t="s">
        <v>2527</v>
      </c>
      <c r="D540" s="1" t="s">
        <v>2793</v>
      </c>
      <c r="E540" s="1" t="s">
        <v>507</v>
      </c>
      <c r="F540" s="1" t="s">
        <v>3030</v>
      </c>
      <c r="G540" s="1" t="s">
        <v>2573</v>
      </c>
      <c r="H540" s="1" t="s">
        <v>3031</v>
      </c>
      <c r="I540" s="1" t="s">
        <v>74</v>
      </c>
      <c r="J540" s="1" t="s">
        <v>39</v>
      </c>
      <c r="K540" s="1" t="s">
        <v>101</v>
      </c>
      <c r="L540" s="1" t="s">
        <v>1112</v>
      </c>
      <c r="M540" s="1" t="s">
        <v>831</v>
      </c>
      <c r="N540" s="1" t="s">
        <v>2876</v>
      </c>
      <c r="O540" s="1" t="s">
        <v>3032</v>
      </c>
      <c r="P540" s="1" t="s">
        <v>2877</v>
      </c>
      <c r="Q540" s="1" t="s">
        <v>2878</v>
      </c>
      <c r="R540" s="1" t="s">
        <v>3033</v>
      </c>
      <c r="S540" s="1" t="s">
        <v>78</v>
      </c>
      <c r="T540" s="1">
        <v>19149</v>
      </c>
      <c r="V540" s="1" t="s">
        <v>3034</v>
      </c>
      <c r="W540" s="1" t="s">
        <v>3035</v>
      </c>
      <c r="Z540" s="1" t="s">
        <v>837</v>
      </c>
    </row>
    <row r="541" spans="1:27" ht="15.75" customHeight="1" x14ac:dyDescent="0.35">
      <c r="A541" s="1" t="s">
        <v>30</v>
      </c>
      <c r="B541" s="1" t="s">
        <v>3036</v>
      </c>
      <c r="C541" s="1" t="s">
        <v>1075</v>
      </c>
      <c r="D541" s="1" t="s">
        <v>3037</v>
      </c>
      <c r="E541" s="1" t="s">
        <v>512</v>
      </c>
      <c r="F541" s="1" t="s">
        <v>1698</v>
      </c>
      <c r="G541" s="1" t="s">
        <v>322</v>
      </c>
      <c r="H541" s="1" t="s">
        <v>3038</v>
      </c>
      <c r="I541" s="1" t="s">
        <v>120</v>
      </c>
      <c r="J541" s="1" t="s">
        <v>256</v>
      </c>
      <c r="K541" s="1" t="s">
        <v>2892</v>
      </c>
      <c r="L541" s="1" t="s">
        <v>2676</v>
      </c>
      <c r="M541" s="1" t="s">
        <v>500</v>
      </c>
      <c r="N541" s="1" t="s">
        <v>373</v>
      </c>
      <c r="O541" s="1" t="s">
        <v>3039</v>
      </c>
      <c r="P541" s="1" t="s">
        <v>2068</v>
      </c>
      <c r="Q541" s="1" t="s">
        <v>398</v>
      </c>
      <c r="R541" s="1" t="s">
        <v>47</v>
      </c>
      <c r="S541" s="1" t="s">
        <v>78</v>
      </c>
      <c r="T541" s="1">
        <v>45249</v>
      </c>
      <c r="U541" s="1" t="s">
        <v>1082</v>
      </c>
      <c r="V541" s="1" t="s">
        <v>2046</v>
      </c>
    </row>
    <row r="542" spans="1:27" ht="15.75" customHeight="1" x14ac:dyDescent="0.35">
      <c r="A542" s="1" t="s">
        <v>30</v>
      </c>
      <c r="B542" s="1" t="s">
        <v>3040</v>
      </c>
      <c r="C542" s="1" t="s">
        <v>1075</v>
      </c>
      <c r="D542" s="1" t="s">
        <v>1076</v>
      </c>
      <c r="E542" s="1" t="s">
        <v>512</v>
      </c>
      <c r="F542" s="1" t="s">
        <v>513</v>
      </c>
      <c r="G542" s="1" t="s">
        <v>322</v>
      </c>
      <c r="K542" s="1" t="s">
        <v>2892</v>
      </c>
      <c r="L542" s="1" t="s">
        <v>2676</v>
      </c>
      <c r="M542" s="1" t="s">
        <v>526</v>
      </c>
      <c r="N542" s="1" t="s">
        <v>1364</v>
      </c>
      <c r="O542" s="1" t="s">
        <v>3041</v>
      </c>
      <c r="P542" s="1" t="s">
        <v>2044</v>
      </c>
      <c r="Q542" s="1" t="s">
        <v>2045</v>
      </c>
      <c r="R542" s="1" t="s">
        <v>47</v>
      </c>
      <c r="S542" s="1" t="s">
        <v>78</v>
      </c>
      <c r="T542" s="1">
        <v>65999</v>
      </c>
      <c r="U542" s="1" t="s">
        <v>1082</v>
      </c>
      <c r="V542" s="1" t="s">
        <v>2046</v>
      </c>
    </row>
    <row r="543" spans="1:27" ht="15.75" customHeight="1" x14ac:dyDescent="0.35">
      <c r="A543" s="1" t="s">
        <v>30</v>
      </c>
      <c r="B543" s="1" t="s">
        <v>3042</v>
      </c>
      <c r="C543" s="1" t="s">
        <v>1756</v>
      </c>
      <c r="D543" s="1" t="s">
        <v>2059</v>
      </c>
      <c r="E543" s="1" t="s">
        <v>512</v>
      </c>
      <c r="F543" s="1" t="s">
        <v>3043</v>
      </c>
      <c r="G543" s="1" t="s">
        <v>3044</v>
      </c>
      <c r="H543" s="1" t="s">
        <v>3045</v>
      </c>
      <c r="I543" s="1" t="s">
        <v>120</v>
      </c>
      <c r="J543" s="1" t="s">
        <v>1518</v>
      </c>
      <c r="K543" s="1" t="s">
        <v>2704</v>
      </c>
      <c r="L543" s="1" t="s">
        <v>2676</v>
      </c>
      <c r="M543" s="1" t="s">
        <v>3046</v>
      </c>
      <c r="N543" s="1" t="s">
        <v>373</v>
      </c>
      <c r="O543" s="1" t="s">
        <v>3047</v>
      </c>
      <c r="P543" s="1" t="s">
        <v>2068</v>
      </c>
      <c r="Q543" s="1" t="s">
        <v>398</v>
      </c>
      <c r="R543" s="1" t="s">
        <v>47</v>
      </c>
      <c r="S543" s="1" t="s">
        <v>78</v>
      </c>
      <c r="T543" s="1">
        <v>98000</v>
      </c>
      <c r="U543" s="1" t="s">
        <v>166</v>
      </c>
      <c r="V543" s="1" t="s">
        <v>3048</v>
      </c>
      <c r="W543" s="1" t="s">
        <v>3049</v>
      </c>
      <c r="AA543" s="1" t="s">
        <v>3050</v>
      </c>
    </row>
    <row r="544" spans="1:27" ht="15.75" customHeight="1" x14ac:dyDescent="0.35">
      <c r="A544" s="1" t="s">
        <v>30</v>
      </c>
      <c r="B544" s="1" t="s">
        <v>3051</v>
      </c>
      <c r="C544" s="1" t="s">
        <v>3052</v>
      </c>
      <c r="D544" s="1" t="s">
        <v>3037</v>
      </c>
      <c r="E544" s="1" t="s">
        <v>512</v>
      </c>
      <c r="F544" s="1" t="s">
        <v>553</v>
      </c>
      <c r="G544" s="1" t="s">
        <v>322</v>
      </c>
      <c r="H544" s="1" t="s">
        <v>3053</v>
      </c>
      <c r="I544" s="1" t="s">
        <v>120</v>
      </c>
      <c r="J544" s="1" t="s">
        <v>1518</v>
      </c>
      <c r="K544" s="1" t="s">
        <v>2892</v>
      </c>
      <c r="L544" s="1" t="s">
        <v>2676</v>
      </c>
      <c r="M544" s="1" t="s">
        <v>526</v>
      </c>
      <c r="N544" s="1" t="s">
        <v>1364</v>
      </c>
      <c r="O544" s="1" t="s">
        <v>3041</v>
      </c>
      <c r="P544" s="1" t="s">
        <v>3054</v>
      </c>
      <c r="Q544" s="1" t="s">
        <v>2045</v>
      </c>
      <c r="R544" s="1" t="s">
        <v>47</v>
      </c>
      <c r="S544" s="1" t="s">
        <v>78</v>
      </c>
      <c r="T544" s="1">
        <v>64899</v>
      </c>
      <c r="U544" s="1" t="s">
        <v>1082</v>
      </c>
      <c r="V544" s="1" t="s">
        <v>1581</v>
      </c>
    </row>
    <row r="545" spans="1:28" ht="15.75" customHeight="1" x14ac:dyDescent="0.35">
      <c r="A545" s="1" t="s">
        <v>30</v>
      </c>
      <c r="B545" s="1" t="s">
        <v>3040</v>
      </c>
      <c r="C545" s="1" t="s">
        <v>1075</v>
      </c>
      <c r="D545" s="1" t="s">
        <v>3055</v>
      </c>
      <c r="E545" s="1" t="s">
        <v>512</v>
      </c>
      <c r="F545" s="1" t="s">
        <v>3056</v>
      </c>
      <c r="G545" s="1" t="s">
        <v>322</v>
      </c>
      <c r="H545" s="1" t="s">
        <v>3057</v>
      </c>
      <c r="I545" s="1" t="s">
        <v>120</v>
      </c>
      <c r="J545" s="1" t="s">
        <v>2323</v>
      </c>
      <c r="K545" s="1" t="s">
        <v>1722</v>
      </c>
      <c r="L545" s="1" t="s">
        <v>2676</v>
      </c>
      <c r="M545" s="1" t="s">
        <v>3058</v>
      </c>
      <c r="N545" s="1" t="s">
        <v>1364</v>
      </c>
      <c r="O545" s="1" t="s">
        <v>3041</v>
      </c>
      <c r="P545" s="1" t="s">
        <v>2044</v>
      </c>
      <c r="Q545" s="1" t="s">
        <v>2045</v>
      </c>
      <c r="R545" s="1" t="s">
        <v>47</v>
      </c>
      <c r="S545" s="1" t="s">
        <v>78</v>
      </c>
      <c r="T545" s="1">
        <v>54499</v>
      </c>
      <c r="U545" s="1" t="s">
        <v>1082</v>
      </c>
      <c r="V545" s="1" t="s">
        <v>3059</v>
      </c>
      <c r="W545" s="1" t="s">
        <v>3060</v>
      </c>
    </row>
    <row r="546" spans="1:28" ht="15.75" customHeight="1" x14ac:dyDescent="0.35">
      <c r="A546" s="1" t="s">
        <v>30</v>
      </c>
      <c r="B546" s="1" t="s">
        <v>3061</v>
      </c>
      <c r="C546" s="1" t="s">
        <v>3062</v>
      </c>
      <c r="D546" s="1" t="s">
        <v>1076</v>
      </c>
      <c r="E546" s="1" t="s">
        <v>512</v>
      </c>
      <c r="F546" s="1" t="s">
        <v>3056</v>
      </c>
      <c r="G546" s="1" t="s">
        <v>322</v>
      </c>
      <c r="H546" s="1" t="s">
        <v>3063</v>
      </c>
      <c r="I546" s="1" t="s">
        <v>120</v>
      </c>
      <c r="J546" s="1" t="s">
        <v>75</v>
      </c>
      <c r="K546" s="1" t="s">
        <v>1722</v>
      </c>
      <c r="L546" s="1" t="s">
        <v>2676</v>
      </c>
      <c r="M546" s="1" t="s">
        <v>1194</v>
      </c>
      <c r="N546" s="1" t="s">
        <v>373</v>
      </c>
      <c r="O546" s="1" t="s">
        <v>3039</v>
      </c>
      <c r="P546" s="1" t="s">
        <v>2068</v>
      </c>
      <c r="Q546" s="1" t="s">
        <v>398</v>
      </c>
      <c r="R546" s="1" t="s">
        <v>47</v>
      </c>
      <c r="S546" s="1" t="s">
        <v>78</v>
      </c>
      <c r="T546" s="1">
        <v>48365</v>
      </c>
      <c r="U546" s="1" t="s">
        <v>1082</v>
      </c>
      <c r="V546" s="1" t="s">
        <v>3059</v>
      </c>
      <c r="W546" s="1" t="s">
        <v>3064</v>
      </c>
    </row>
    <row r="547" spans="1:28" ht="15.75" customHeight="1" x14ac:dyDescent="0.35">
      <c r="A547" s="1" t="s">
        <v>30</v>
      </c>
      <c r="B547" s="1" t="s">
        <v>2958</v>
      </c>
      <c r="C547" s="1" t="s">
        <v>2948</v>
      </c>
      <c r="D547" s="1" t="s">
        <v>2748</v>
      </c>
      <c r="E547" s="1" t="s">
        <v>2959</v>
      </c>
      <c r="F547" s="1" t="s">
        <v>3065</v>
      </c>
      <c r="G547" s="1" t="s">
        <v>1575</v>
      </c>
      <c r="H547" s="1" t="s">
        <v>2961</v>
      </c>
      <c r="I547" s="1" t="s">
        <v>120</v>
      </c>
      <c r="J547" s="1" t="s">
        <v>2323</v>
      </c>
      <c r="K547" s="1" t="s">
        <v>1722</v>
      </c>
      <c r="L547" s="1" t="s">
        <v>2676</v>
      </c>
      <c r="M547" s="1" t="s">
        <v>526</v>
      </c>
      <c r="N547" s="1" t="s">
        <v>2952</v>
      </c>
      <c r="O547" s="1" t="s">
        <v>2953</v>
      </c>
      <c r="P547" s="1" t="s">
        <v>2063</v>
      </c>
      <c r="Q547" s="1" t="s">
        <v>2962</v>
      </c>
      <c r="R547" s="1" t="s">
        <v>2036</v>
      </c>
      <c r="S547" s="1" t="s">
        <v>78</v>
      </c>
      <c r="T547" s="1">
        <v>82699</v>
      </c>
      <c r="U547" s="1" t="s">
        <v>1082</v>
      </c>
      <c r="V547" s="1" t="s">
        <v>2037</v>
      </c>
      <c r="W547" s="1" t="s">
        <v>2964</v>
      </c>
    </row>
    <row r="548" spans="1:28" ht="15.75" customHeight="1" x14ac:dyDescent="0.35">
      <c r="A548" s="1" t="s">
        <v>112</v>
      </c>
      <c r="B548" s="1" t="s">
        <v>3066</v>
      </c>
      <c r="C548" s="1" t="s">
        <v>1613</v>
      </c>
      <c r="D548" s="1" t="s">
        <v>982</v>
      </c>
      <c r="E548" s="1" t="s">
        <v>2342</v>
      </c>
      <c r="F548" s="1" t="s">
        <v>3067</v>
      </c>
      <c r="G548" s="1" t="s">
        <v>3068</v>
      </c>
      <c r="H548" s="1" t="s">
        <v>3069</v>
      </c>
      <c r="I548" s="1" t="s">
        <v>120</v>
      </c>
      <c r="K548" s="1" t="s">
        <v>3070</v>
      </c>
      <c r="M548" s="1" t="s">
        <v>139</v>
      </c>
      <c r="N548" s="1" t="s">
        <v>1841</v>
      </c>
      <c r="O548" s="1" t="s">
        <v>3071</v>
      </c>
      <c r="P548" s="1" t="s">
        <v>1819</v>
      </c>
      <c r="Q548" s="1" t="s">
        <v>1899</v>
      </c>
      <c r="R548" s="1" t="s">
        <v>868</v>
      </c>
      <c r="S548" s="1" t="s">
        <v>78</v>
      </c>
      <c r="T548" s="1">
        <v>21000</v>
      </c>
      <c r="U548" s="1" t="s">
        <v>1082</v>
      </c>
      <c r="V548" s="1" t="s">
        <v>1617</v>
      </c>
      <c r="W548" s="1" t="s">
        <v>3072</v>
      </c>
    </row>
    <row r="549" spans="1:28" ht="15.75" customHeight="1" x14ac:dyDescent="0.35">
      <c r="B549" s="1" t="s">
        <v>3073</v>
      </c>
      <c r="C549" s="1" t="s">
        <v>2207</v>
      </c>
      <c r="D549" s="1" t="s">
        <v>3074</v>
      </c>
      <c r="E549" s="1" t="s">
        <v>507</v>
      </c>
      <c r="F549" s="1" t="s">
        <v>3075</v>
      </c>
      <c r="G549" s="1" t="s">
        <v>3076</v>
      </c>
      <c r="H549" s="1" t="s">
        <v>3077</v>
      </c>
      <c r="I549" s="1" t="s">
        <v>3078</v>
      </c>
      <c r="K549" s="1" t="s">
        <v>90</v>
      </c>
      <c r="L549" s="1" t="s">
        <v>3079</v>
      </c>
      <c r="M549" s="1" t="s">
        <v>919</v>
      </c>
      <c r="N549" s="1" t="s">
        <v>633</v>
      </c>
      <c r="O549" s="1" t="s">
        <v>3080</v>
      </c>
      <c r="P549" s="1" t="s">
        <v>2553</v>
      </c>
      <c r="Q549" s="1" t="s">
        <v>1879</v>
      </c>
      <c r="R549" s="1" t="s">
        <v>1610</v>
      </c>
      <c r="S549" s="1" t="s">
        <v>165</v>
      </c>
      <c r="T549" s="1">
        <v>48999</v>
      </c>
      <c r="V549" s="1" t="s">
        <v>1948</v>
      </c>
      <c r="W549" s="1" t="s">
        <v>3081</v>
      </c>
      <c r="X549" s="1" t="s">
        <v>3082</v>
      </c>
    </row>
    <row r="550" spans="1:28" ht="15.75" customHeight="1" x14ac:dyDescent="0.35">
      <c r="B550" s="1" t="s">
        <v>3083</v>
      </c>
      <c r="C550" s="1" t="s">
        <v>2988</v>
      </c>
      <c r="D550" s="1" t="s">
        <v>461</v>
      </c>
      <c r="E550" s="1" t="s">
        <v>507</v>
      </c>
      <c r="F550" s="1" t="s">
        <v>3084</v>
      </c>
      <c r="G550" s="1" t="s">
        <v>3085</v>
      </c>
      <c r="H550" s="1" t="s">
        <v>3086</v>
      </c>
      <c r="I550" s="1" t="s">
        <v>345</v>
      </c>
      <c r="J550" s="1" t="s">
        <v>39</v>
      </c>
      <c r="K550" s="1" t="s">
        <v>121</v>
      </c>
      <c r="L550" s="1" t="s">
        <v>972</v>
      </c>
      <c r="M550" s="1" t="s">
        <v>1960</v>
      </c>
      <c r="N550" s="1" t="s">
        <v>2905</v>
      </c>
      <c r="O550" s="1" t="s">
        <v>3087</v>
      </c>
      <c r="P550" s="1" t="s">
        <v>2993</v>
      </c>
      <c r="Q550" s="1" t="s">
        <v>3088</v>
      </c>
      <c r="R550" s="1" t="s">
        <v>1034</v>
      </c>
      <c r="S550" s="1" t="s">
        <v>165</v>
      </c>
      <c r="T550" s="1">
        <v>45200</v>
      </c>
      <c r="V550" s="1" t="s">
        <v>2243</v>
      </c>
      <c r="W550" s="1" t="s">
        <v>3089</v>
      </c>
      <c r="X550" s="1" t="s">
        <v>3090</v>
      </c>
      <c r="Z550" s="1" t="s">
        <v>2439</v>
      </c>
    </row>
    <row r="551" spans="1:28" ht="15.75" customHeight="1" x14ac:dyDescent="0.35">
      <c r="A551" s="1" t="s">
        <v>151</v>
      </c>
      <c r="B551" s="1" t="s">
        <v>3091</v>
      </c>
      <c r="C551" s="1" t="s">
        <v>3092</v>
      </c>
      <c r="D551" s="1" t="s">
        <v>2572</v>
      </c>
      <c r="E551" s="1" t="s">
        <v>3093</v>
      </c>
      <c r="F551" s="1" t="s">
        <v>1448</v>
      </c>
      <c r="G551" s="1" t="s">
        <v>1604</v>
      </c>
      <c r="H551" s="1" t="s">
        <v>3094</v>
      </c>
      <c r="I551" s="1" t="s">
        <v>120</v>
      </c>
      <c r="J551" s="1" t="s">
        <v>39</v>
      </c>
      <c r="K551" s="1" t="s">
        <v>121</v>
      </c>
      <c r="L551" s="1" t="s">
        <v>508</v>
      </c>
      <c r="M551" s="1" t="s">
        <v>831</v>
      </c>
      <c r="N551" s="1" t="s">
        <v>2876</v>
      </c>
      <c r="O551" s="1" t="s">
        <v>833</v>
      </c>
      <c r="P551" s="1" t="s">
        <v>834</v>
      </c>
      <c r="Q551" s="1" t="s">
        <v>2922</v>
      </c>
      <c r="R551" s="1" t="s">
        <v>217</v>
      </c>
      <c r="S551" s="1" t="s">
        <v>78</v>
      </c>
      <c r="T551" s="1">
        <v>27999</v>
      </c>
      <c r="V551" s="1" t="s">
        <v>3095</v>
      </c>
      <c r="W551" s="1" t="s">
        <v>836</v>
      </c>
      <c r="AA551" s="1" t="s">
        <v>2439</v>
      </c>
      <c r="AB551" s="1" t="s">
        <v>3096</v>
      </c>
    </row>
    <row r="552" spans="1:28" ht="15.75" customHeight="1" x14ac:dyDescent="0.35">
      <c r="B552" s="1" t="s">
        <v>3097</v>
      </c>
      <c r="C552" s="1" t="s">
        <v>1075</v>
      </c>
      <c r="D552" s="1" t="s">
        <v>1519</v>
      </c>
      <c r="E552" s="1" t="s">
        <v>1584</v>
      </c>
      <c r="F552" s="1" t="s">
        <v>3098</v>
      </c>
      <c r="G552" s="1" t="s">
        <v>3076</v>
      </c>
      <c r="H552" s="1" t="s">
        <v>2399</v>
      </c>
      <c r="I552" s="1" t="s">
        <v>120</v>
      </c>
      <c r="J552" s="1" t="s">
        <v>75</v>
      </c>
      <c r="K552" s="1" t="s">
        <v>121</v>
      </c>
      <c r="L552" s="1" t="s">
        <v>1405</v>
      </c>
      <c r="M552" s="1" t="s">
        <v>241</v>
      </c>
      <c r="N552" s="1" t="s">
        <v>2905</v>
      </c>
      <c r="O552" s="1" t="s">
        <v>3099</v>
      </c>
      <c r="P552" s="1" t="s">
        <v>1470</v>
      </c>
      <c r="Q552" s="1" t="s">
        <v>2868</v>
      </c>
      <c r="R552" s="1" t="s">
        <v>1409</v>
      </c>
      <c r="S552" s="1" t="s">
        <v>165</v>
      </c>
      <c r="T552" s="1">
        <v>35050</v>
      </c>
      <c r="U552" s="1" t="s">
        <v>1082</v>
      </c>
      <c r="V552" s="1" t="s">
        <v>3100</v>
      </c>
      <c r="W552" s="1" t="s">
        <v>3101</v>
      </c>
    </row>
    <row r="553" spans="1:28" ht="15.75" customHeight="1" x14ac:dyDescent="0.35">
      <c r="B553" s="1" t="s">
        <v>3102</v>
      </c>
      <c r="C553" s="1" t="s">
        <v>2238</v>
      </c>
      <c r="D553" s="1" t="s">
        <v>3103</v>
      </c>
      <c r="E553" s="1" t="s">
        <v>410</v>
      </c>
      <c r="F553" s="1" t="s">
        <v>3104</v>
      </c>
      <c r="G553" s="1" t="s">
        <v>3105</v>
      </c>
      <c r="H553" s="1" t="s">
        <v>3106</v>
      </c>
      <c r="I553" s="1" t="s">
        <v>3107</v>
      </c>
      <c r="J553" s="1" t="s">
        <v>57</v>
      </c>
      <c r="K553" s="1" t="s">
        <v>1722</v>
      </c>
      <c r="L553" s="1" t="s">
        <v>1865</v>
      </c>
      <c r="M553" s="1" t="s">
        <v>241</v>
      </c>
      <c r="N553" s="1" t="s">
        <v>1866</v>
      </c>
      <c r="O553" s="1" t="s">
        <v>1946</v>
      </c>
      <c r="P553" s="1" t="s">
        <v>2646</v>
      </c>
      <c r="Q553" s="1" t="s">
        <v>3108</v>
      </c>
      <c r="R553" s="1" t="s">
        <v>281</v>
      </c>
      <c r="S553" s="1" t="s">
        <v>165</v>
      </c>
      <c r="T553" s="1">
        <v>52000</v>
      </c>
      <c r="V553" s="1" t="s">
        <v>3109</v>
      </c>
      <c r="W553" s="1" t="s">
        <v>3110</v>
      </c>
      <c r="X553" s="1" t="s">
        <v>1591</v>
      </c>
    </row>
    <row r="554" spans="1:28" ht="15.75" customHeight="1" x14ac:dyDescent="0.35">
      <c r="B554" s="1" t="s">
        <v>3111</v>
      </c>
      <c r="C554" s="1" t="s">
        <v>2238</v>
      </c>
      <c r="D554" s="1" t="s">
        <v>3103</v>
      </c>
      <c r="E554" s="1" t="s">
        <v>552</v>
      </c>
      <c r="F554" s="1" t="s">
        <v>3112</v>
      </c>
      <c r="G554" s="1" t="s">
        <v>1944</v>
      </c>
      <c r="H554" s="1" t="s">
        <v>3113</v>
      </c>
      <c r="I554" s="1" t="s">
        <v>120</v>
      </c>
      <c r="J554" s="1" t="s">
        <v>2323</v>
      </c>
      <c r="K554" s="1" t="s">
        <v>1722</v>
      </c>
      <c r="L554" s="1" t="s">
        <v>288</v>
      </c>
      <c r="M554" s="1" t="s">
        <v>241</v>
      </c>
      <c r="N554" s="1" t="s">
        <v>1866</v>
      </c>
      <c r="O554" s="1" t="s">
        <v>3114</v>
      </c>
      <c r="P554" s="1" t="s">
        <v>2171</v>
      </c>
      <c r="Q554" s="1" t="s">
        <v>2868</v>
      </c>
      <c r="R554" s="1" t="s">
        <v>281</v>
      </c>
      <c r="S554" s="1" t="s">
        <v>165</v>
      </c>
      <c r="T554" s="1">
        <v>48649</v>
      </c>
      <c r="V554" s="1" t="s">
        <v>3109</v>
      </c>
      <c r="W554" s="1" t="s">
        <v>3115</v>
      </c>
    </row>
    <row r="555" spans="1:28" ht="15.75" customHeight="1" x14ac:dyDescent="0.35">
      <c r="B555" s="1" t="s">
        <v>3116</v>
      </c>
      <c r="C555" s="1" t="s">
        <v>2380</v>
      </c>
      <c r="D555" s="1" t="s">
        <v>3117</v>
      </c>
      <c r="E555" s="1" t="s">
        <v>1584</v>
      </c>
      <c r="F555" s="1" t="s">
        <v>3118</v>
      </c>
      <c r="G555" s="1" t="s">
        <v>3105</v>
      </c>
      <c r="H555" s="1" t="s">
        <v>3119</v>
      </c>
      <c r="I555" s="1" t="s">
        <v>120</v>
      </c>
      <c r="J555" s="1" t="s">
        <v>75</v>
      </c>
      <c r="K555" s="1" t="s">
        <v>121</v>
      </c>
      <c r="L555" s="1" t="s">
        <v>972</v>
      </c>
      <c r="M555" s="1" t="s">
        <v>1876</v>
      </c>
      <c r="O555" s="1" t="s">
        <v>3120</v>
      </c>
      <c r="P555" s="1" t="s">
        <v>2113</v>
      </c>
      <c r="Q555" s="1" t="s">
        <v>2078</v>
      </c>
      <c r="R555" s="1" t="s">
        <v>2542</v>
      </c>
      <c r="S555" s="1" t="s">
        <v>165</v>
      </c>
      <c r="T555" s="1">
        <v>36999</v>
      </c>
      <c r="U555" s="1" t="s">
        <v>1082</v>
      </c>
      <c r="V555" s="1" t="s">
        <v>3121</v>
      </c>
      <c r="W555" s="1" t="s">
        <v>3122</v>
      </c>
    </row>
    <row r="556" spans="1:28" ht="15.75" customHeight="1" x14ac:dyDescent="0.35">
      <c r="B556" s="1" t="s">
        <v>3123</v>
      </c>
      <c r="C556" s="1" t="s">
        <v>1731</v>
      </c>
      <c r="D556" s="1" t="s">
        <v>3124</v>
      </c>
      <c r="E556" s="1" t="s">
        <v>507</v>
      </c>
      <c r="F556" s="1" t="s">
        <v>1138</v>
      </c>
      <c r="G556" s="1" t="s">
        <v>1604</v>
      </c>
      <c r="H556" s="1" t="s">
        <v>3125</v>
      </c>
      <c r="I556" s="1" t="s">
        <v>120</v>
      </c>
      <c r="J556" s="1" t="s">
        <v>971</v>
      </c>
      <c r="K556" s="1" t="s">
        <v>3126</v>
      </c>
      <c r="L556" s="1" t="s">
        <v>1405</v>
      </c>
      <c r="M556" s="1" t="s">
        <v>1397</v>
      </c>
      <c r="N556" s="1" t="s">
        <v>2905</v>
      </c>
      <c r="O556" s="1" t="s">
        <v>3127</v>
      </c>
      <c r="P556" s="1" t="s">
        <v>1470</v>
      </c>
      <c r="Q556" s="1" t="s">
        <v>2868</v>
      </c>
      <c r="R556" s="1" t="s">
        <v>281</v>
      </c>
      <c r="S556" s="1" t="s">
        <v>165</v>
      </c>
      <c r="T556" s="1">
        <v>32450</v>
      </c>
      <c r="U556" s="1" t="s">
        <v>1082</v>
      </c>
      <c r="V556" s="1" t="s">
        <v>3128</v>
      </c>
      <c r="W556" s="1" t="s">
        <v>3129</v>
      </c>
      <c r="X556" s="1" t="s">
        <v>2986</v>
      </c>
      <c r="Z556" s="1" t="s">
        <v>2439</v>
      </c>
      <c r="AA556" s="1" t="s">
        <v>2439</v>
      </c>
      <c r="AB556" s="1" t="s">
        <v>3096</v>
      </c>
    </row>
    <row r="557" spans="1:28" ht="15.75" customHeight="1" x14ac:dyDescent="0.35">
      <c r="B557" s="1" t="s">
        <v>3130</v>
      </c>
      <c r="C557" s="1" t="s">
        <v>3131</v>
      </c>
      <c r="D557" s="1" t="s">
        <v>3132</v>
      </c>
      <c r="E557" s="1" t="s">
        <v>599</v>
      </c>
      <c r="F557" s="1" t="s">
        <v>3133</v>
      </c>
      <c r="G557" s="1" t="s">
        <v>1156</v>
      </c>
      <c r="H557" s="1" t="s">
        <v>3134</v>
      </c>
      <c r="I557" s="1" t="s">
        <v>1493</v>
      </c>
      <c r="J557" s="1" t="s">
        <v>57</v>
      </c>
      <c r="K557" s="1" t="s">
        <v>1722</v>
      </c>
      <c r="L557" s="1" t="s">
        <v>1891</v>
      </c>
      <c r="M557" s="1" t="s">
        <v>241</v>
      </c>
      <c r="N557" s="1" t="s">
        <v>2905</v>
      </c>
      <c r="O557" s="1" t="s">
        <v>1892</v>
      </c>
      <c r="P557" s="1" t="s">
        <v>1893</v>
      </c>
      <c r="Q557" s="1" t="s">
        <v>1894</v>
      </c>
      <c r="R557" s="1" t="s">
        <v>3135</v>
      </c>
      <c r="S557" s="1" t="s">
        <v>165</v>
      </c>
      <c r="T557" s="1">
        <v>95800</v>
      </c>
      <c r="U557" s="1" t="s">
        <v>1082</v>
      </c>
      <c r="V557" s="1" t="s">
        <v>2554</v>
      </c>
      <c r="W557" s="1" t="s">
        <v>3136</v>
      </c>
      <c r="X557" s="1" t="s">
        <v>2849</v>
      </c>
      <c r="Z557" s="1" t="s">
        <v>2439</v>
      </c>
      <c r="AA557" s="1" t="s">
        <v>2439</v>
      </c>
      <c r="AB557" s="1" t="s">
        <v>3096</v>
      </c>
    </row>
    <row r="558" spans="1:28" ht="15.75" customHeight="1" x14ac:dyDescent="0.35">
      <c r="A558" s="1" t="s">
        <v>30</v>
      </c>
      <c r="B558" s="1" t="s">
        <v>2345</v>
      </c>
      <c r="C558" s="1" t="s">
        <v>1731</v>
      </c>
      <c r="D558" s="1" t="s">
        <v>1501</v>
      </c>
      <c r="E558" s="1" t="s">
        <v>3137</v>
      </c>
      <c r="F558" s="1" t="s">
        <v>3138</v>
      </c>
      <c r="G558" s="1" t="s">
        <v>1721</v>
      </c>
      <c r="H558" s="1" t="s">
        <v>3139</v>
      </c>
      <c r="I558" s="1" t="s">
        <v>120</v>
      </c>
      <c r="J558" s="1" t="s">
        <v>75</v>
      </c>
      <c r="K558" s="1" t="s">
        <v>3140</v>
      </c>
      <c r="L558" s="1" t="s">
        <v>3141</v>
      </c>
      <c r="M558" s="1" t="s">
        <v>649</v>
      </c>
      <c r="N558" s="1" t="s">
        <v>373</v>
      </c>
      <c r="O558" s="1" t="s">
        <v>2921</v>
      </c>
      <c r="P558" s="1" t="s">
        <v>651</v>
      </c>
      <c r="Q558" s="1" t="s">
        <v>652</v>
      </c>
      <c r="R558" s="1" t="s">
        <v>64</v>
      </c>
      <c r="S558" s="1" t="s">
        <v>78</v>
      </c>
      <c r="T558" s="1">
        <v>31949</v>
      </c>
      <c r="U558" s="1" t="s">
        <v>1082</v>
      </c>
      <c r="V558" s="1" t="s">
        <v>2046</v>
      </c>
      <c r="Z558" s="1" t="s">
        <v>2439</v>
      </c>
      <c r="AA558" s="1" t="s">
        <v>2439</v>
      </c>
      <c r="AB558" s="1" t="s">
        <v>3096</v>
      </c>
    </row>
    <row r="559" spans="1:28" ht="15.75" customHeight="1" x14ac:dyDescent="0.35">
      <c r="A559" s="1" t="s">
        <v>30</v>
      </c>
      <c r="B559" s="1" t="s">
        <v>3142</v>
      </c>
      <c r="C559" s="1" t="s">
        <v>1075</v>
      </c>
      <c r="D559" s="1" t="s">
        <v>2348</v>
      </c>
      <c r="E559" s="1" t="s">
        <v>70</v>
      </c>
      <c r="F559" s="1" t="s">
        <v>2110</v>
      </c>
      <c r="G559" s="1" t="s">
        <v>1120</v>
      </c>
      <c r="H559" s="1" t="s">
        <v>2399</v>
      </c>
      <c r="I559" s="1" t="s">
        <v>120</v>
      </c>
      <c r="K559" s="1" t="s">
        <v>101</v>
      </c>
      <c r="M559" s="1" t="s">
        <v>649</v>
      </c>
      <c r="N559" s="1" t="s">
        <v>373</v>
      </c>
      <c r="O559" s="1" t="s">
        <v>2051</v>
      </c>
      <c r="P559" s="1" t="s">
        <v>651</v>
      </c>
      <c r="Q559" s="1" t="s">
        <v>652</v>
      </c>
      <c r="R559" s="1" t="s">
        <v>64</v>
      </c>
      <c r="S559" s="1" t="s">
        <v>129</v>
      </c>
      <c r="T559" s="1">
        <v>27999</v>
      </c>
      <c r="U559" s="1" t="s">
        <v>1082</v>
      </c>
      <c r="V559" s="1" t="s">
        <v>2046</v>
      </c>
    </row>
    <row r="560" spans="1:28" ht="15.75" customHeight="1" x14ac:dyDescent="0.35">
      <c r="B560" s="1" t="s">
        <v>3143</v>
      </c>
      <c r="C560" s="1" t="s">
        <v>3144</v>
      </c>
      <c r="D560" s="1" t="s">
        <v>3145</v>
      </c>
      <c r="E560" s="1" t="s">
        <v>3146</v>
      </c>
      <c r="F560" s="1" t="s">
        <v>2950</v>
      </c>
      <c r="G560" s="1" t="s">
        <v>1944</v>
      </c>
      <c r="H560" s="1" t="s">
        <v>3147</v>
      </c>
      <c r="I560" s="1" t="s">
        <v>3148</v>
      </c>
      <c r="J560" s="1" t="s">
        <v>57</v>
      </c>
      <c r="K560" s="1" t="s">
        <v>3149</v>
      </c>
      <c r="L560" s="1" t="s">
        <v>3150</v>
      </c>
      <c r="M560" s="1" t="s">
        <v>241</v>
      </c>
      <c r="N560" s="2" t="s">
        <v>3151</v>
      </c>
      <c r="O560" s="1" t="s">
        <v>3152</v>
      </c>
      <c r="P560" s="1" t="s">
        <v>2833</v>
      </c>
      <c r="Q560" s="1" t="s">
        <v>1400</v>
      </c>
      <c r="R560" s="1" t="s">
        <v>2994</v>
      </c>
      <c r="S560" s="1" t="s">
        <v>165</v>
      </c>
      <c r="T560" s="1">
        <v>72280</v>
      </c>
      <c r="V560" s="1" t="s">
        <v>2243</v>
      </c>
      <c r="W560" s="1" t="s">
        <v>3153</v>
      </c>
      <c r="X560" s="1" t="s">
        <v>1591</v>
      </c>
      <c r="AA560" s="2" t="s">
        <v>3154</v>
      </c>
    </row>
    <row r="561" spans="1:28" ht="15.75" customHeight="1" x14ac:dyDescent="0.35">
      <c r="B561" s="1" t="s">
        <v>3155</v>
      </c>
      <c r="C561" s="1" t="s">
        <v>3156</v>
      </c>
      <c r="D561" s="1" t="s">
        <v>3157</v>
      </c>
      <c r="E561" s="1" t="s">
        <v>507</v>
      </c>
      <c r="F561" s="1" t="s">
        <v>462</v>
      </c>
      <c r="G561" s="1" t="s">
        <v>1604</v>
      </c>
      <c r="H561" s="1" t="s">
        <v>3158</v>
      </c>
      <c r="I561" s="1" t="s">
        <v>120</v>
      </c>
      <c r="J561" s="1" t="s">
        <v>75</v>
      </c>
      <c r="K561" s="1" t="s">
        <v>3159</v>
      </c>
      <c r="L561" s="1" t="s">
        <v>1317</v>
      </c>
      <c r="N561" s="1" t="s">
        <v>2468</v>
      </c>
      <c r="R561" s="1" t="s">
        <v>2542</v>
      </c>
      <c r="S561" s="1" t="s">
        <v>78</v>
      </c>
      <c r="T561" s="1">
        <v>24100</v>
      </c>
      <c r="U561" s="1" t="s">
        <v>1082</v>
      </c>
      <c r="V561" s="1" t="s">
        <v>3160</v>
      </c>
      <c r="AA561" s="1" t="s">
        <v>2439</v>
      </c>
      <c r="AB561" s="1" t="s">
        <v>3096</v>
      </c>
    </row>
    <row r="562" spans="1:28" ht="15.75" customHeight="1" x14ac:dyDescent="0.35">
      <c r="B562" s="1" t="s">
        <v>3161</v>
      </c>
      <c r="C562" s="1" t="s">
        <v>2504</v>
      </c>
      <c r="D562" s="1" t="s">
        <v>1501</v>
      </c>
      <c r="E562" s="1" t="s">
        <v>70</v>
      </c>
      <c r="F562" s="1" t="s">
        <v>3162</v>
      </c>
      <c r="G562" s="1" t="s">
        <v>322</v>
      </c>
      <c r="H562" s="1" t="s">
        <v>3163</v>
      </c>
      <c r="I562" s="1" t="s">
        <v>120</v>
      </c>
      <c r="J562" s="1" t="s">
        <v>75</v>
      </c>
      <c r="K562" s="1" t="s">
        <v>3164</v>
      </c>
      <c r="L562" s="1" t="s">
        <v>3165</v>
      </c>
      <c r="M562" s="1" t="s">
        <v>241</v>
      </c>
      <c r="N562" s="1" t="s">
        <v>2468</v>
      </c>
      <c r="O562" s="1" t="s">
        <v>3166</v>
      </c>
      <c r="P562" s="1" t="s">
        <v>1470</v>
      </c>
      <c r="Q562" s="1" t="s">
        <v>1400</v>
      </c>
      <c r="R562" s="1" t="s">
        <v>3167</v>
      </c>
      <c r="S562" s="1" t="s">
        <v>78</v>
      </c>
      <c r="T562" s="1">
        <v>36550</v>
      </c>
      <c r="U562" s="1" t="s">
        <v>1082</v>
      </c>
      <c r="V562" s="1" t="s">
        <v>3168</v>
      </c>
      <c r="X562" s="1" t="s">
        <v>3169</v>
      </c>
      <c r="AA562" s="1" t="s">
        <v>2439</v>
      </c>
      <c r="AB562" s="1" t="s">
        <v>3096</v>
      </c>
    </row>
    <row r="563" spans="1:28" ht="15.75" customHeight="1" x14ac:dyDescent="0.35">
      <c r="B563" s="1" t="s">
        <v>3170</v>
      </c>
      <c r="C563" s="1" t="s">
        <v>3131</v>
      </c>
      <c r="D563" s="1" t="s">
        <v>3171</v>
      </c>
      <c r="E563" s="1" t="s">
        <v>410</v>
      </c>
      <c r="F563" s="1" t="s">
        <v>3172</v>
      </c>
      <c r="G563" s="1" t="s">
        <v>1936</v>
      </c>
      <c r="H563" s="1" t="s">
        <v>3173</v>
      </c>
      <c r="I563" s="1" t="s">
        <v>3174</v>
      </c>
      <c r="J563" s="1" t="s">
        <v>57</v>
      </c>
      <c r="K563" s="1" t="s">
        <v>1722</v>
      </c>
      <c r="L563" s="1" t="s">
        <v>1405</v>
      </c>
      <c r="M563" s="1" t="s">
        <v>241</v>
      </c>
      <c r="N563" s="1" t="s">
        <v>2905</v>
      </c>
      <c r="O563" s="1" t="s">
        <v>2112</v>
      </c>
      <c r="P563" s="1" t="s">
        <v>2113</v>
      </c>
      <c r="Q563" s="1" t="s">
        <v>2078</v>
      </c>
      <c r="R563" s="1" t="s">
        <v>64</v>
      </c>
      <c r="S563" s="1" t="s">
        <v>165</v>
      </c>
      <c r="T563" s="1">
        <v>99000</v>
      </c>
      <c r="U563" s="1" t="s">
        <v>1082</v>
      </c>
      <c r="V563" s="1" t="s">
        <v>3175</v>
      </c>
      <c r="W563" s="1" t="s">
        <v>3176</v>
      </c>
      <c r="X563" s="1" t="s">
        <v>2979</v>
      </c>
      <c r="AA563" s="1" t="s">
        <v>2439</v>
      </c>
    </row>
    <row r="564" spans="1:28" ht="15.75" customHeight="1" x14ac:dyDescent="0.35">
      <c r="A564" s="1" t="s">
        <v>30</v>
      </c>
      <c r="B564" s="1" t="s">
        <v>3177</v>
      </c>
      <c r="C564" s="1" t="s">
        <v>3178</v>
      </c>
      <c r="D564" s="1" t="s">
        <v>2735</v>
      </c>
      <c r="E564" s="1" t="s">
        <v>552</v>
      </c>
      <c r="F564" s="1" t="s">
        <v>2950</v>
      </c>
      <c r="G564" s="1" t="s">
        <v>3179</v>
      </c>
      <c r="H564" s="1" t="s">
        <v>3180</v>
      </c>
      <c r="I564" s="1" t="s">
        <v>1890</v>
      </c>
      <c r="K564" s="1" t="s">
        <v>1722</v>
      </c>
      <c r="L564" s="1" t="s">
        <v>2676</v>
      </c>
      <c r="M564" s="1" t="s">
        <v>526</v>
      </c>
      <c r="N564" s="1" t="s">
        <v>2952</v>
      </c>
      <c r="O564" s="1" t="s">
        <v>3181</v>
      </c>
      <c r="P564" s="1" t="s">
        <v>2068</v>
      </c>
      <c r="Q564" s="1" t="s">
        <v>398</v>
      </c>
      <c r="R564" s="1" t="s">
        <v>2036</v>
      </c>
      <c r="S564" s="1" t="s">
        <v>129</v>
      </c>
      <c r="T564" s="1">
        <v>105000</v>
      </c>
      <c r="U564" s="1" t="s">
        <v>1082</v>
      </c>
      <c r="V564" s="1" t="s">
        <v>2037</v>
      </c>
      <c r="AA564" s="1" t="s">
        <v>2439</v>
      </c>
      <c r="AB564" s="1" t="s">
        <v>3096</v>
      </c>
    </row>
    <row r="565" spans="1:28" ht="15.75" customHeight="1" x14ac:dyDescent="0.35">
      <c r="B565" s="1" t="s">
        <v>3182</v>
      </c>
      <c r="C565" s="1" t="s">
        <v>3183</v>
      </c>
      <c r="D565" s="1" t="s">
        <v>3184</v>
      </c>
      <c r="E565" s="1" t="s">
        <v>410</v>
      </c>
      <c r="F565" s="1" t="s">
        <v>3185</v>
      </c>
      <c r="G565" s="1" t="s">
        <v>1936</v>
      </c>
      <c r="H565" s="1" t="s">
        <v>3173</v>
      </c>
      <c r="I565" s="1" t="s">
        <v>3186</v>
      </c>
      <c r="J565" s="1" t="s">
        <v>57</v>
      </c>
      <c r="K565" s="1" t="s">
        <v>1722</v>
      </c>
      <c r="L565" s="1" t="s">
        <v>972</v>
      </c>
      <c r="M565" s="1" t="s">
        <v>241</v>
      </c>
      <c r="O565" s="1" t="s">
        <v>3187</v>
      </c>
      <c r="P565" s="1" t="s">
        <v>2113</v>
      </c>
      <c r="Q565" s="1" t="s">
        <v>814</v>
      </c>
      <c r="R565" s="1" t="s">
        <v>281</v>
      </c>
      <c r="S565" s="1" t="s">
        <v>165</v>
      </c>
      <c r="T565" s="1">
        <v>100000</v>
      </c>
      <c r="V565" s="1" t="s">
        <v>3188</v>
      </c>
      <c r="W565" s="1" t="s">
        <v>3189</v>
      </c>
      <c r="X565" s="1" t="s">
        <v>2503</v>
      </c>
      <c r="AA565" s="1" t="s">
        <v>2439</v>
      </c>
    </row>
    <row r="566" spans="1:28" ht="15.75" customHeight="1" x14ac:dyDescent="0.35">
      <c r="B566" s="1" t="s">
        <v>3190</v>
      </c>
      <c r="C566" s="1" t="s">
        <v>3191</v>
      </c>
      <c r="D566" s="1" t="s">
        <v>3192</v>
      </c>
      <c r="E566" s="1" t="s">
        <v>70</v>
      </c>
      <c r="F566" s="1" t="s">
        <v>3193</v>
      </c>
      <c r="G566" s="1" t="s">
        <v>1604</v>
      </c>
      <c r="H566" s="1" t="s">
        <v>3173</v>
      </c>
      <c r="I566" s="1" t="s">
        <v>3174</v>
      </c>
      <c r="J566" s="1" t="s">
        <v>75</v>
      </c>
      <c r="K566" s="1" t="s">
        <v>1722</v>
      </c>
      <c r="L566" s="1" t="s">
        <v>3165</v>
      </c>
      <c r="M566" s="1" t="s">
        <v>1876</v>
      </c>
      <c r="N566" s="1" t="s">
        <v>2468</v>
      </c>
      <c r="O566" s="1" t="s">
        <v>3194</v>
      </c>
      <c r="P566" s="1" t="s">
        <v>2113</v>
      </c>
      <c r="Q566" s="1" t="s">
        <v>2078</v>
      </c>
      <c r="R566" s="1" t="s">
        <v>3167</v>
      </c>
      <c r="S566" s="1" t="s">
        <v>48</v>
      </c>
      <c r="T566" s="1">
        <v>48000</v>
      </c>
      <c r="U566" s="1" t="s">
        <v>1082</v>
      </c>
      <c r="V566" s="1" t="s">
        <v>3195</v>
      </c>
      <c r="W566" s="1" t="s">
        <v>3196</v>
      </c>
      <c r="X566" s="1" t="s">
        <v>3197</v>
      </c>
      <c r="AA566" s="1" t="s">
        <v>2439</v>
      </c>
      <c r="AB566" s="1" t="s">
        <v>3096</v>
      </c>
    </row>
    <row r="567" spans="1:28" ht="15.75" customHeight="1" x14ac:dyDescent="0.35">
      <c r="B567" s="1" t="s">
        <v>3198</v>
      </c>
      <c r="C567" s="1" t="s">
        <v>2623</v>
      </c>
      <c r="D567" s="1" t="s">
        <v>3199</v>
      </c>
      <c r="E567" s="1" t="s">
        <v>507</v>
      </c>
      <c r="F567" s="1" t="s">
        <v>3200</v>
      </c>
      <c r="G567" s="1" t="s">
        <v>1604</v>
      </c>
      <c r="H567" s="1" t="s">
        <v>3201</v>
      </c>
      <c r="I567" s="1" t="s">
        <v>3202</v>
      </c>
      <c r="J567" s="1" t="s">
        <v>75</v>
      </c>
      <c r="K567" s="1" t="s">
        <v>3164</v>
      </c>
      <c r="L567" s="1" t="s">
        <v>3165</v>
      </c>
      <c r="M567" s="1" t="s">
        <v>1876</v>
      </c>
      <c r="N567" s="1" t="s">
        <v>2468</v>
      </c>
      <c r="O567" s="1" t="s">
        <v>3203</v>
      </c>
      <c r="P567" s="1" t="s">
        <v>3204</v>
      </c>
      <c r="Q567" s="1" t="s">
        <v>1400</v>
      </c>
      <c r="R567" s="1" t="s">
        <v>281</v>
      </c>
      <c r="S567" s="1" t="s">
        <v>48</v>
      </c>
      <c r="T567" s="1">
        <v>38000</v>
      </c>
      <c r="U567" s="1" t="s">
        <v>1082</v>
      </c>
      <c r="V567" s="1" t="s">
        <v>3205</v>
      </c>
      <c r="W567" s="1" t="s">
        <v>3206</v>
      </c>
      <c r="X567" s="1" t="s">
        <v>3197</v>
      </c>
      <c r="AA567" s="1" t="s">
        <v>2439</v>
      </c>
      <c r="AB567" s="1" t="s">
        <v>3096</v>
      </c>
    </row>
    <row r="568" spans="1:28" ht="15.75" customHeight="1" x14ac:dyDescent="0.35">
      <c r="B568" s="1" t="s">
        <v>3207</v>
      </c>
      <c r="C568" s="1" t="s">
        <v>3191</v>
      </c>
      <c r="D568" s="1" t="s">
        <v>3157</v>
      </c>
      <c r="E568" s="1" t="s">
        <v>507</v>
      </c>
      <c r="F568" s="1" t="s">
        <v>3208</v>
      </c>
      <c r="G568" s="1" t="s">
        <v>1604</v>
      </c>
      <c r="H568" s="1" t="s">
        <v>3209</v>
      </c>
      <c r="I568" s="1" t="s">
        <v>120</v>
      </c>
      <c r="J568" s="1" t="s">
        <v>75</v>
      </c>
      <c r="K568" s="1" t="s">
        <v>1722</v>
      </c>
      <c r="L568" s="1" t="s">
        <v>3165</v>
      </c>
      <c r="M568" s="1" t="s">
        <v>1397</v>
      </c>
      <c r="O568" s="1" t="s">
        <v>3210</v>
      </c>
      <c r="P568" s="1" t="s">
        <v>2113</v>
      </c>
      <c r="Q568" s="1" t="s">
        <v>2078</v>
      </c>
      <c r="R568" s="1" t="s">
        <v>2542</v>
      </c>
      <c r="S568" s="1" t="s">
        <v>48</v>
      </c>
      <c r="T568" s="1">
        <v>42000</v>
      </c>
      <c r="U568" s="1" t="s">
        <v>1082</v>
      </c>
      <c r="V568" s="1" t="s">
        <v>3195</v>
      </c>
      <c r="W568" s="1" t="s">
        <v>3211</v>
      </c>
      <c r="X568" s="1" t="s">
        <v>3197</v>
      </c>
      <c r="AA568" s="1" t="s">
        <v>2439</v>
      </c>
      <c r="AB568" s="1" t="s">
        <v>3096</v>
      </c>
    </row>
    <row r="569" spans="1:28" ht="15.75" customHeight="1" x14ac:dyDescent="0.35">
      <c r="B569" s="1" t="s">
        <v>3212</v>
      </c>
      <c r="C569" s="1" t="s">
        <v>3213</v>
      </c>
      <c r="D569" s="1" t="s">
        <v>3157</v>
      </c>
      <c r="E569" s="1" t="s">
        <v>507</v>
      </c>
      <c r="F569" s="1" t="s">
        <v>1119</v>
      </c>
      <c r="G569" s="1" t="s">
        <v>1604</v>
      </c>
      <c r="H569" s="1" t="s">
        <v>3214</v>
      </c>
      <c r="I569" s="1" t="s">
        <v>3174</v>
      </c>
      <c r="J569" s="1" t="s">
        <v>75</v>
      </c>
      <c r="K569" s="1" t="s">
        <v>1722</v>
      </c>
      <c r="L569" s="1" t="s">
        <v>3165</v>
      </c>
      <c r="M569" s="1" t="s">
        <v>1397</v>
      </c>
      <c r="N569" s="1" t="s">
        <v>2468</v>
      </c>
      <c r="O569" s="1" t="s">
        <v>3215</v>
      </c>
      <c r="P569" s="1" t="s">
        <v>2824</v>
      </c>
      <c r="Q569" s="1" t="s">
        <v>1400</v>
      </c>
      <c r="S569" s="1" t="s">
        <v>165</v>
      </c>
      <c r="T569" s="1">
        <v>40000</v>
      </c>
      <c r="V569" s="1" t="s">
        <v>3216</v>
      </c>
      <c r="W569" s="1" t="s">
        <v>3217</v>
      </c>
      <c r="X569" s="1" t="s">
        <v>3197</v>
      </c>
      <c r="AA569" s="1" t="s">
        <v>2439</v>
      </c>
      <c r="AB569" s="1" t="s">
        <v>3096</v>
      </c>
    </row>
    <row r="570" spans="1:28" ht="15.75" customHeight="1" x14ac:dyDescent="0.35">
      <c r="A570" s="1" t="s">
        <v>81</v>
      </c>
      <c r="B570" s="1" t="s">
        <v>2148</v>
      </c>
      <c r="C570" s="1" t="s">
        <v>3218</v>
      </c>
      <c r="D570" s="1" t="s">
        <v>2528</v>
      </c>
      <c r="E570" s="1" t="s">
        <v>507</v>
      </c>
      <c r="F570" s="1" t="s">
        <v>2316</v>
      </c>
      <c r="G570" s="1" t="s">
        <v>2521</v>
      </c>
      <c r="H570" s="1" t="s">
        <v>2522</v>
      </c>
      <c r="I570" s="1" t="s">
        <v>616</v>
      </c>
      <c r="J570" s="1" t="s">
        <v>39</v>
      </c>
      <c r="K570" s="1" t="s">
        <v>1735</v>
      </c>
      <c r="L570" s="1" t="s">
        <v>1317</v>
      </c>
      <c r="M570" s="1" t="s">
        <v>2151</v>
      </c>
      <c r="N570" s="1" t="s">
        <v>465</v>
      </c>
      <c r="O570" s="1" t="s">
        <v>2152</v>
      </c>
      <c r="P570" s="1" t="s">
        <v>2153</v>
      </c>
      <c r="Q570" s="1" t="s">
        <v>262</v>
      </c>
      <c r="R570" s="1" t="s">
        <v>1805</v>
      </c>
      <c r="S570" s="1" t="s">
        <v>78</v>
      </c>
      <c r="T570" s="1">
        <v>40500</v>
      </c>
      <c r="V570" s="1" t="s">
        <v>3219</v>
      </c>
      <c r="X570" s="1" t="s">
        <v>3197</v>
      </c>
      <c r="Y570" s="1" t="s">
        <v>1105</v>
      </c>
      <c r="AA570" s="1" t="s">
        <v>2439</v>
      </c>
      <c r="AB570" s="1" t="s">
        <v>3096</v>
      </c>
    </row>
    <row r="571" spans="1:28" ht="15.75" customHeight="1" x14ac:dyDescent="0.35">
      <c r="A571" s="1" t="s">
        <v>151</v>
      </c>
      <c r="B571" s="1" t="s">
        <v>3091</v>
      </c>
      <c r="C571" s="1" t="s">
        <v>3220</v>
      </c>
      <c r="D571" s="1" t="s">
        <v>3221</v>
      </c>
      <c r="E571" s="1" t="s">
        <v>2342</v>
      </c>
      <c r="F571" s="1" t="s">
        <v>3222</v>
      </c>
      <c r="G571" s="1" t="s">
        <v>3223</v>
      </c>
      <c r="H571" s="1" t="s">
        <v>3031</v>
      </c>
      <c r="I571" s="1" t="s">
        <v>616</v>
      </c>
      <c r="J571" s="1" t="s">
        <v>39</v>
      </c>
      <c r="K571" s="1" t="s">
        <v>3224</v>
      </c>
      <c r="L571" s="1" t="s">
        <v>1317</v>
      </c>
      <c r="M571" s="1" t="s">
        <v>831</v>
      </c>
      <c r="N571" s="1" t="s">
        <v>2876</v>
      </c>
      <c r="O571" s="1" t="s">
        <v>833</v>
      </c>
      <c r="P571" s="1" t="s">
        <v>2877</v>
      </c>
      <c r="Q571" s="1" t="s">
        <v>2878</v>
      </c>
      <c r="R571" s="1" t="s">
        <v>3225</v>
      </c>
      <c r="S571" s="1" t="s">
        <v>78</v>
      </c>
      <c r="T571" s="1">
        <v>40000</v>
      </c>
      <c r="U571" s="1" t="s">
        <v>2181</v>
      </c>
      <c r="V571" s="1" t="s">
        <v>2186</v>
      </c>
      <c r="AA571" s="1" t="s">
        <v>2439</v>
      </c>
      <c r="AB571" s="1" t="s">
        <v>3096</v>
      </c>
    </row>
    <row r="572" spans="1:28" ht="15.75" customHeight="1" x14ac:dyDescent="0.35">
      <c r="A572" s="1" t="s">
        <v>81</v>
      </c>
      <c r="B572" s="1" t="s">
        <v>2698</v>
      </c>
      <c r="C572" s="1" t="s">
        <v>2504</v>
      </c>
      <c r="D572" s="1" t="s">
        <v>3226</v>
      </c>
      <c r="E572" s="1" t="s">
        <v>116</v>
      </c>
      <c r="F572" s="1" t="s">
        <v>2690</v>
      </c>
      <c r="G572" s="1" t="s">
        <v>3227</v>
      </c>
      <c r="H572" s="1" t="s">
        <v>3228</v>
      </c>
      <c r="I572" s="1" t="s">
        <v>616</v>
      </c>
      <c r="J572" s="1" t="s">
        <v>39</v>
      </c>
      <c r="K572" s="1" t="s">
        <v>121</v>
      </c>
      <c r="L572" s="1" t="s">
        <v>2692</v>
      </c>
      <c r="M572" s="1" t="s">
        <v>2693</v>
      </c>
      <c r="N572" s="1" t="s">
        <v>2468</v>
      </c>
      <c r="O572" s="1" t="s">
        <v>2694</v>
      </c>
      <c r="P572" s="1" t="s">
        <v>2470</v>
      </c>
      <c r="Q572" s="1" t="s">
        <v>2696</v>
      </c>
      <c r="S572" s="1" t="s">
        <v>129</v>
      </c>
      <c r="T572" s="1">
        <v>48000</v>
      </c>
      <c r="U572" s="1" t="s">
        <v>1082</v>
      </c>
      <c r="V572" s="1" t="s">
        <v>3229</v>
      </c>
      <c r="AB572" s="1" t="s">
        <v>3096</v>
      </c>
    </row>
    <row r="573" spans="1:28" ht="15.75" customHeight="1" x14ac:dyDescent="0.35">
      <c r="A573" s="1" t="s">
        <v>151</v>
      </c>
      <c r="B573" s="1" t="s">
        <v>2379</v>
      </c>
      <c r="C573" s="1" t="s">
        <v>2623</v>
      </c>
      <c r="D573" s="1" t="s">
        <v>3230</v>
      </c>
      <c r="E573" s="1" t="s">
        <v>3231</v>
      </c>
      <c r="F573" s="1" t="s">
        <v>1674</v>
      </c>
      <c r="G573" s="1" t="s">
        <v>3232</v>
      </c>
      <c r="H573" s="1" t="s">
        <v>1521</v>
      </c>
      <c r="I573" s="1" t="s">
        <v>616</v>
      </c>
      <c r="J573" s="1" t="s">
        <v>39</v>
      </c>
      <c r="K573" s="1" t="s">
        <v>121</v>
      </c>
      <c r="L573" s="1" t="s">
        <v>158</v>
      </c>
      <c r="M573" s="1" t="s">
        <v>831</v>
      </c>
      <c r="N573" s="1" t="s">
        <v>3233</v>
      </c>
      <c r="O573" s="1" t="s">
        <v>833</v>
      </c>
      <c r="P573" s="1" t="s">
        <v>834</v>
      </c>
      <c r="Q573" s="1" t="s">
        <v>652</v>
      </c>
      <c r="R573" s="1" t="s">
        <v>64</v>
      </c>
      <c r="S573" s="1" t="s">
        <v>78</v>
      </c>
      <c r="T573" s="1">
        <v>33000</v>
      </c>
      <c r="U573" s="1" t="s">
        <v>1082</v>
      </c>
      <c r="V573" s="1" t="s">
        <v>3234</v>
      </c>
      <c r="W573" s="1" t="s">
        <v>3235</v>
      </c>
    </row>
    <row r="574" spans="1:28" ht="15.75" customHeight="1" x14ac:dyDescent="0.35">
      <c r="A574" s="1" t="s">
        <v>81</v>
      </c>
      <c r="B574" s="1" t="s">
        <v>2698</v>
      </c>
      <c r="C574" s="1" t="s">
        <v>2504</v>
      </c>
      <c r="D574" s="1" t="s">
        <v>3236</v>
      </c>
      <c r="E574" s="1" t="s">
        <v>439</v>
      </c>
      <c r="F574" s="1" t="s">
        <v>2690</v>
      </c>
      <c r="G574" s="1" t="s">
        <v>1604</v>
      </c>
      <c r="H574" s="1" t="s">
        <v>1586</v>
      </c>
      <c r="I574" s="1" t="s">
        <v>120</v>
      </c>
      <c r="J574" s="1" t="s">
        <v>39</v>
      </c>
      <c r="K574" s="1" t="s">
        <v>121</v>
      </c>
      <c r="L574" s="1" t="s">
        <v>2692</v>
      </c>
      <c r="M574" s="1" t="s">
        <v>2693</v>
      </c>
      <c r="N574" s="1" t="s">
        <v>2468</v>
      </c>
      <c r="O574" s="1" t="s">
        <v>3237</v>
      </c>
      <c r="P574" s="1" t="s">
        <v>2695</v>
      </c>
      <c r="Q574" s="1" t="s">
        <v>2696</v>
      </c>
      <c r="R574" s="1" t="s">
        <v>64</v>
      </c>
      <c r="S574" s="1" t="s">
        <v>129</v>
      </c>
      <c r="T574" s="1">
        <v>45149</v>
      </c>
      <c r="U574" s="1" t="s">
        <v>1082</v>
      </c>
      <c r="V574" s="1" t="s">
        <v>3229</v>
      </c>
      <c r="AA574" s="1" t="s">
        <v>2439</v>
      </c>
      <c r="AB574" s="1" t="s">
        <v>3096</v>
      </c>
    </row>
    <row r="575" spans="1:28" ht="15.75" customHeight="1" x14ac:dyDescent="0.35">
      <c r="A575" s="1" t="s">
        <v>112</v>
      </c>
      <c r="B575" s="1" t="s">
        <v>3238</v>
      </c>
      <c r="C575" s="1" t="s">
        <v>3239</v>
      </c>
      <c r="D575" s="1" t="s">
        <v>3240</v>
      </c>
      <c r="E575" s="1" t="s">
        <v>439</v>
      </c>
      <c r="F575" s="1" t="s">
        <v>3241</v>
      </c>
      <c r="G575" s="1" t="s">
        <v>3242</v>
      </c>
      <c r="H575" s="1" t="s">
        <v>3243</v>
      </c>
      <c r="I575" s="1" t="s">
        <v>120</v>
      </c>
      <c r="J575" s="1" t="s">
        <v>971</v>
      </c>
      <c r="K575" s="1" t="s">
        <v>101</v>
      </c>
      <c r="L575" s="1" t="s">
        <v>3244</v>
      </c>
      <c r="M575" s="1" t="s">
        <v>3245</v>
      </c>
      <c r="N575" s="1" t="s">
        <v>2971</v>
      </c>
      <c r="O575" s="1" t="s">
        <v>3246</v>
      </c>
      <c r="P575" s="1" t="s">
        <v>3247</v>
      </c>
      <c r="Q575" s="1" t="s">
        <v>976</v>
      </c>
      <c r="R575" s="1" t="s">
        <v>64</v>
      </c>
      <c r="S575" s="1" t="s">
        <v>78</v>
      </c>
      <c r="T575" s="1">
        <v>39000</v>
      </c>
      <c r="V575" s="1" t="s">
        <v>3034</v>
      </c>
      <c r="AB575" s="1" t="s">
        <v>3096</v>
      </c>
    </row>
    <row r="576" spans="1:28" ht="15.75" customHeight="1" x14ac:dyDescent="0.35">
      <c r="A576" s="1" t="s">
        <v>30</v>
      </c>
      <c r="B576" s="1" t="s">
        <v>3248</v>
      </c>
      <c r="C576" s="1" t="s">
        <v>3249</v>
      </c>
      <c r="D576" s="1" t="s">
        <v>3250</v>
      </c>
      <c r="E576" s="1" t="s">
        <v>3251</v>
      </c>
      <c r="F576" s="1" t="s">
        <v>3252</v>
      </c>
      <c r="G576" s="1" t="s">
        <v>3253</v>
      </c>
      <c r="H576" s="1" t="s">
        <v>3254</v>
      </c>
      <c r="I576" s="1" t="s">
        <v>1890</v>
      </c>
      <c r="J576" s="1" t="s">
        <v>75</v>
      </c>
      <c r="K576" s="1" t="s">
        <v>3255</v>
      </c>
      <c r="L576" s="1" t="s">
        <v>2434</v>
      </c>
      <c r="M576" s="1" t="s">
        <v>3256</v>
      </c>
      <c r="N576" s="1" t="s">
        <v>373</v>
      </c>
      <c r="O576" s="1" t="s">
        <v>3257</v>
      </c>
      <c r="P576" s="1" t="s">
        <v>375</v>
      </c>
      <c r="Q576" s="1" t="s">
        <v>376</v>
      </c>
      <c r="S576" s="1" t="s">
        <v>129</v>
      </c>
      <c r="T576" s="1">
        <v>60000</v>
      </c>
      <c r="U576" s="1" t="s">
        <v>2181</v>
      </c>
      <c r="V576" s="1" t="s">
        <v>3258</v>
      </c>
      <c r="X576" s="1" t="s">
        <v>3197</v>
      </c>
      <c r="Z576" s="1" t="s">
        <v>2439</v>
      </c>
      <c r="AA576" s="1" t="s">
        <v>2439</v>
      </c>
    </row>
    <row r="577" spans="1:29" ht="15.75" customHeight="1" x14ac:dyDescent="0.35">
      <c r="A577" s="1" t="s">
        <v>151</v>
      </c>
      <c r="B577" s="1" t="s">
        <v>2871</v>
      </c>
      <c r="C577" s="1" t="s">
        <v>3220</v>
      </c>
      <c r="D577" s="1" t="s">
        <v>3259</v>
      </c>
      <c r="E577" s="1" t="s">
        <v>1836</v>
      </c>
      <c r="F577" s="1" t="s">
        <v>3260</v>
      </c>
      <c r="G577" s="1" t="s">
        <v>2573</v>
      </c>
      <c r="H577" s="1" t="s">
        <v>3261</v>
      </c>
      <c r="I577" s="1" t="s">
        <v>120</v>
      </c>
      <c r="J577" s="1" t="s">
        <v>39</v>
      </c>
      <c r="K577" s="1" t="s">
        <v>3262</v>
      </c>
      <c r="L577" s="1" t="s">
        <v>3263</v>
      </c>
      <c r="M577" s="1" t="s">
        <v>3264</v>
      </c>
      <c r="N577" s="1" t="s">
        <v>2876</v>
      </c>
      <c r="O577" s="1" t="s">
        <v>3265</v>
      </c>
      <c r="P577" s="1" t="s">
        <v>2877</v>
      </c>
      <c r="Q577" s="1" t="s">
        <v>2878</v>
      </c>
      <c r="R577" s="1" t="s">
        <v>2879</v>
      </c>
      <c r="S577" s="1" t="s">
        <v>78</v>
      </c>
      <c r="T577" s="1">
        <v>28888</v>
      </c>
      <c r="U577" s="1" t="s">
        <v>2181</v>
      </c>
      <c r="V577" s="1" t="s">
        <v>2186</v>
      </c>
      <c r="W577" s="1" t="s">
        <v>3266</v>
      </c>
      <c r="X577" s="1" t="s">
        <v>3267</v>
      </c>
      <c r="Z577" s="1" t="s">
        <v>2438</v>
      </c>
      <c r="AA577" s="1" t="s">
        <v>2439</v>
      </c>
      <c r="AC577" s="1" t="s">
        <v>2438</v>
      </c>
    </row>
    <row r="578" spans="1:29" ht="15.75" customHeight="1" x14ac:dyDescent="0.35">
      <c r="A578" s="1" t="s">
        <v>81</v>
      </c>
      <c r="B578" s="1" t="s">
        <v>3268</v>
      </c>
      <c r="C578" s="1" t="s">
        <v>3269</v>
      </c>
      <c r="D578" s="1" t="s">
        <v>3270</v>
      </c>
      <c r="F578" s="1" t="s">
        <v>3271</v>
      </c>
      <c r="G578" s="1" t="s">
        <v>1120</v>
      </c>
      <c r="H578" s="1" t="s">
        <v>3272</v>
      </c>
      <c r="I578" s="1" t="s">
        <v>275</v>
      </c>
      <c r="J578" s="1" t="s">
        <v>971</v>
      </c>
      <c r="K578" s="1" t="s">
        <v>90</v>
      </c>
      <c r="M578" s="1" t="s">
        <v>3273</v>
      </c>
      <c r="O578" s="1" t="s">
        <v>3274</v>
      </c>
      <c r="P578" s="1" t="s">
        <v>3275</v>
      </c>
      <c r="Q578" s="1" t="s">
        <v>3276</v>
      </c>
      <c r="R578" s="1" t="s">
        <v>3277</v>
      </c>
      <c r="S578" s="1" t="s">
        <v>78</v>
      </c>
      <c r="T578" s="1">
        <v>40999</v>
      </c>
      <c r="V578" s="1" t="s">
        <v>3278</v>
      </c>
    </row>
    <row r="579" spans="1:29" ht="15.75" customHeight="1" x14ac:dyDescent="0.35">
      <c r="A579" s="1" t="s">
        <v>151</v>
      </c>
      <c r="B579" s="1" t="s">
        <v>3279</v>
      </c>
      <c r="C579" s="1" t="s">
        <v>3280</v>
      </c>
      <c r="D579" s="1" t="s">
        <v>3281</v>
      </c>
      <c r="F579" s="1" t="s">
        <v>3282</v>
      </c>
      <c r="G579" s="1" t="s">
        <v>156</v>
      </c>
      <c r="H579" s="1" t="s">
        <v>3283</v>
      </c>
      <c r="I579" s="1" t="s">
        <v>1015</v>
      </c>
      <c r="J579" s="1" t="s">
        <v>971</v>
      </c>
      <c r="K579" s="1" t="s">
        <v>90</v>
      </c>
      <c r="L579" s="1" t="s">
        <v>3284</v>
      </c>
      <c r="M579" s="1" t="s">
        <v>3285</v>
      </c>
      <c r="N579" s="1" t="s">
        <v>160</v>
      </c>
      <c r="O579" s="1" t="s">
        <v>3286</v>
      </c>
      <c r="P579" s="1" t="s">
        <v>3287</v>
      </c>
      <c r="Q579" s="1" t="s">
        <v>3288</v>
      </c>
      <c r="R579" s="1" t="s">
        <v>164</v>
      </c>
      <c r="S579" s="1" t="s">
        <v>165</v>
      </c>
      <c r="T579" s="1">
        <v>30999</v>
      </c>
      <c r="U579" s="1" t="s">
        <v>79</v>
      </c>
      <c r="V579" s="1" t="s">
        <v>783</v>
      </c>
      <c r="W579" s="1" t="s">
        <v>3289</v>
      </c>
    </row>
    <row r="580" spans="1:29" ht="15.75" customHeight="1" x14ac:dyDescent="0.35">
      <c r="A580" s="1" t="s">
        <v>151</v>
      </c>
      <c r="B580" s="1" t="s">
        <v>3279</v>
      </c>
      <c r="C580" s="1" t="s">
        <v>3290</v>
      </c>
      <c r="D580" s="1" t="s">
        <v>3281</v>
      </c>
      <c r="F580" s="1" t="s">
        <v>3282</v>
      </c>
      <c r="G580" s="1" t="s">
        <v>156</v>
      </c>
      <c r="H580" s="1" t="s">
        <v>3283</v>
      </c>
      <c r="I580" s="1" t="s">
        <v>1015</v>
      </c>
      <c r="J580" s="1" t="s">
        <v>971</v>
      </c>
      <c r="K580" s="1" t="s">
        <v>101</v>
      </c>
      <c r="L580" s="1" t="s">
        <v>3284</v>
      </c>
      <c r="M580" s="1" t="s">
        <v>3285</v>
      </c>
      <c r="N580" s="1" t="s">
        <v>160</v>
      </c>
      <c r="O580" s="1" t="s">
        <v>3286</v>
      </c>
      <c r="P580" s="1" t="s">
        <v>3287</v>
      </c>
      <c r="Q580" s="1" t="s">
        <v>3288</v>
      </c>
      <c r="R580" s="1" t="s">
        <v>3291</v>
      </c>
      <c r="S580" s="1" t="s">
        <v>78</v>
      </c>
      <c r="T580" s="1">
        <v>26199</v>
      </c>
      <c r="U580" s="1" t="s">
        <v>79</v>
      </c>
      <c r="V580" s="1" t="s">
        <v>80</v>
      </c>
      <c r="W580" s="1" t="s">
        <v>3292</v>
      </c>
    </row>
    <row r="581" spans="1:29" ht="15.75" customHeight="1" x14ac:dyDescent="0.35">
      <c r="A581" s="1" t="s">
        <v>151</v>
      </c>
      <c r="B581" s="1" t="s">
        <v>3293</v>
      </c>
      <c r="C581" s="1" t="s">
        <v>3294</v>
      </c>
      <c r="D581" s="1" t="s">
        <v>3295</v>
      </c>
      <c r="F581" s="1" t="s">
        <v>3296</v>
      </c>
      <c r="G581" s="1" t="s">
        <v>156</v>
      </c>
      <c r="H581" s="1" t="s">
        <v>3297</v>
      </c>
      <c r="I581" s="1" t="s">
        <v>1015</v>
      </c>
      <c r="J581" s="1" t="s">
        <v>971</v>
      </c>
      <c r="K581" s="1" t="s">
        <v>90</v>
      </c>
      <c r="L581" s="1" t="s">
        <v>1175</v>
      </c>
      <c r="M581" s="1" t="s">
        <v>3298</v>
      </c>
      <c r="N581" s="1" t="s">
        <v>3299</v>
      </c>
      <c r="O581" s="1" t="s">
        <v>3300</v>
      </c>
      <c r="P581" s="1" t="s">
        <v>3301</v>
      </c>
      <c r="Q581" s="1" t="s">
        <v>3302</v>
      </c>
      <c r="R581" s="1" t="s">
        <v>1105</v>
      </c>
      <c r="S581" s="1" t="s">
        <v>78</v>
      </c>
      <c r="T581" s="1">
        <v>38888</v>
      </c>
      <c r="V581" s="1" t="s">
        <v>3303</v>
      </c>
      <c r="W581" s="1" t="s">
        <v>3304</v>
      </c>
    </row>
    <row r="582" spans="1:29" ht="15.75" customHeight="1" x14ac:dyDescent="0.35">
      <c r="A582" s="1" t="s">
        <v>151</v>
      </c>
      <c r="B582" s="1" t="s">
        <v>3305</v>
      </c>
      <c r="C582" s="1" t="s">
        <v>3280</v>
      </c>
      <c r="D582" s="1" t="s">
        <v>3306</v>
      </c>
      <c r="F582" s="1" t="s">
        <v>3307</v>
      </c>
      <c r="G582" s="1" t="s">
        <v>156</v>
      </c>
      <c r="H582" s="1" t="s">
        <v>3308</v>
      </c>
      <c r="I582" s="1" t="s">
        <v>1015</v>
      </c>
      <c r="J582" s="1" t="s">
        <v>971</v>
      </c>
      <c r="K582" s="1" t="s">
        <v>90</v>
      </c>
      <c r="L582" s="1" t="s">
        <v>1099</v>
      </c>
      <c r="M582" s="1" t="s">
        <v>856</v>
      </c>
      <c r="N582" s="1" t="s">
        <v>941</v>
      </c>
      <c r="O582" s="1" t="s">
        <v>3309</v>
      </c>
      <c r="P582" s="1" t="s">
        <v>3310</v>
      </c>
      <c r="Q582" s="1" t="s">
        <v>2584</v>
      </c>
      <c r="R582" s="1" t="s">
        <v>164</v>
      </c>
      <c r="S582" s="1" t="s">
        <v>165</v>
      </c>
      <c r="T582" s="1">
        <v>37777</v>
      </c>
      <c r="U582" s="1" t="s">
        <v>79</v>
      </c>
      <c r="V582" s="1" t="s">
        <v>783</v>
      </c>
      <c r="W582" s="1" t="s">
        <v>3311</v>
      </c>
    </row>
    <row r="583" spans="1:29" ht="15.75" customHeight="1" x14ac:dyDescent="0.35">
      <c r="A583" s="1" t="s">
        <v>151</v>
      </c>
      <c r="B583" s="1" t="s">
        <v>3279</v>
      </c>
      <c r="C583" s="1" t="s">
        <v>3280</v>
      </c>
      <c r="D583" s="1" t="s">
        <v>3306</v>
      </c>
      <c r="F583" s="1" t="s">
        <v>3282</v>
      </c>
      <c r="G583" s="1" t="s">
        <v>156</v>
      </c>
      <c r="H583" s="1" t="s">
        <v>3283</v>
      </c>
      <c r="I583" s="1" t="s">
        <v>1015</v>
      </c>
      <c r="J583" s="1" t="s">
        <v>971</v>
      </c>
      <c r="K583" s="1" t="s">
        <v>101</v>
      </c>
      <c r="L583" s="1" t="s">
        <v>3284</v>
      </c>
      <c r="M583" s="1" t="s">
        <v>3285</v>
      </c>
      <c r="N583" s="1" t="s">
        <v>160</v>
      </c>
      <c r="O583" s="1" t="s">
        <v>3286</v>
      </c>
      <c r="P583" s="1" t="s">
        <v>3287</v>
      </c>
      <c r="Q583" s="1" t="s">
        <v>3288</v>
      </c>
      <c r="R583" s="1" t="s">
        <v>164</v>
      </c>
      <c r="S583" s="1" t="s">
        <v>78</v>
      </c>
      <c r="T583" s="1">
        <v>29999</v>
      </c>
      <c r="U583" s="1" t="s">
        <v>79</v>
      </c>
      <c r="V583" s="1" t="s">
        <v>783</v>
      </c>
      <c r="W583" s="1" t="s">
        <v>3312</v>
      </c>
    </row>
    <row r="584" spans="1:29" ht="15.75" customHeight="1" x14ac:dyDescent="0.35">
      <c r="A584" s="1" t="s">
        <v>30</v>
      </c>
      <c r="B584" s="1" t="s">
        <v>3313</v>
      </c>
      <c r="C584" s="1" t="s">
        <v>3314</v>
      </c>
      <c r="D584" s="1" t="s">
        <v>3315</v>
      </c>
      <c r="F584" s="1" t="s">
        <v>2110</v>
      </c>
      <c r="G584" s="1" t="s">
        <v>1120</v>
      </c>
      <c r="H584" s="1" t="s">
        <v>3316</v>
      </c>
      <c r="I584" s="1" t="s">
        <v>120</v>
      </c>
      <c r="K584" s="1" t="s">
        <v>101</v>
      </c>
      <c r="L584" s="1" t="s">
        <v>3317</v>
      </c>
      <c r="M584" s="1" t="s">
        <v>3318</v>
      </c>
      <c r="N584" s="1" t="s">
        <v>373</v>
      </c>
      <c r="O584" s="1" t="s">
        <v>3319</v>
      </c>
      <c r="P584" s="1" t="s">
        <v>3320</v>
      </c>
      <c r="Q584" s="1" t="s">
        <v>3321</v>
      </c>
      <c r="R584" s="1" t="s">
        <v>3322</v>
      </c>
      <c r="S584" s="1" t="s">
        <v>129</v>
      </c>
      <c r="T584" s="1">
        <v>19999</v>
      </c>
      <c r="U584" s="1" t="s">
        <v>79</v>
      </c>
      <c r="W584" s="1" t="s">
        <v>3323</v>
      </c>
    </row>
    <row r="585" spans="1:29" ht="15.75" customHeight="1" x14ac:dyDescent="0.35">
      <c r="A585" s="1" t="s">
        <v>151</v>
      </c>
      <c r="B585" s="1" t="s">
        <v>3324</v>
      </c>
      <c r="C585" s="1" t="s">
        <v>3325</v>
      </c>
      <c r="D585" s="1" t="s">
        <v>3326</v>
      </c>
      <c r="F585" s="1" t="s">
        <v>3327</v>
      </c>
      <c r="G585" s="1" t="s">
        <v>156</v>
      </c>
      <c r="H585" s="1" t="s">
        <v>3328</v>
      </c>
      <c r="I585" s="1" t="s">
        <v>120</v>
      </c>
      <c r="K585" s="1" t="s">
        <v>101</v>
      </c>
      <c r="L585" s="1" t="s">
        <v>3329</v>
      </c>
      <c r="M585" s="1" t="s">
        <v>3330</v>
      </c>
      <c r="N585" s="1" t="s">
        <v>160</v>
      </c>
      <c r="O585" s="1" t="s">
        <v>3331</v>
      </c>
      <c r="P585" s="1" t="s">
        <v>3332</v>
      </c>
      <c r="Q585" s="1" t="s">
        <v>3302</v>
      </c>
      <c r="R585" s="1" t="s">
        <v>3333</v>
      </c>
      <c r="S585" s="1" t="s">
        <v>129</v>
      </c>
      <c r="T585" s="1">
        <v>17999</v>
      </c>
      <c r="V585" s="1" t="s">
        <v>3334</v>
      </c>
      <c r="W585" s="1" t="s">
        <v>3335</v>
      </c>
    </row>
    <row r="586" spans="1:29" ht="15.75" customHeight="1" x14ac:dyDescent="0.35">
      <c r="A586" s="1" t="s">
        <v>151</v>
      </c>
      <c r="B586" s="1" t="s">
        <v>3305</v>
      </c>
      <c r="C586" s="1" t="s">
        <v>687</v>
      </c>
      <c r="D586" s="1" t="s">
        <v>3315</v>
      </c>
      <c r="F586" s="1" t="s">
        <v>3336</v>
      </c>
      <c r="G586" s="1" t="s">
        <v>156</v>
      </c>
      <c r="H586" s="1" t="s">
        <v>3337</v>
      </c>
      <c r="I586" s="1" t="s">
        <v>1015</v>
      </c>
      <c r="J586" s="1" t="s">
        <v>971</v>
      </c>
      <c r="K586" s="1" t="s">
        <v>90</v>
      </c>
      <c r="L586" s="1" t="s">
        <v>1099</v>
      </c>
      <c r="M586" s="1" t="s">
        <v>856</v>
      </c>
      <c r="N586" s="1" t="s">
        <v>941</v>
      </c>
      <c r="O586" s="1" t="s">
        <v>3309</v>
      </c>
      <c r="P586" s="1" t="s">
        <v>3310</v>
      </c>
      <c r="Q586" s="1" t="s">
        <v>3338</v>
      </c>
      <c r="R586" s="1" t="s">
        <v>164</v>
      </c>
      <c r="S586" s="1" t="s">
        <v>78</v>
      </c>
      <c r="T586" s="1">
        <v>31999</v>
      </c>
      <c r="U586" s="1" t="s">
        <v>79</v>
      </c>
      <c r="V586" s="1" t="s">
        <v>80</v>
      </c>
      <c r="W586" s="1" t="s">
        <v>3339</v>
      </c>
    </row>
    <row r="587" spans="1:29" ht="15.75" customHeight="1" x14ac:dyDescent="0.35">
      <c r="A587" s="1" t="s">
        <v>151</v>
      </c>
      <c r="B587" s="1" t="s">
        <v>3340</v>
      </c>
      <c r="C587" s="1" t="s">
        <v>349</v>
      </c>
      <c r="D587" s="1" t="s">
        <v>3341</v>
      </c>
      <c r="F587" s="1" t="s">
        <v>3327</v>
      </c>
      <c r="G587" s="1" t="s">
        <v>156</v>
      </c>
      <c r="H587" s="1" t="s">
        <v>3342</v>
      </c>
      <c r="I587" s="1" t="s">
        <v>74</v>
      </c>
      <c r="K587" s="1" t="s">
        <v>101</v>
      </c>
      <c r="L587" s="1" t="s">
        <v>3284</v>
      </c>
      <c r="M587" s="1" t="s">
        <v>3343</v>
      </c>
      <c r="N587" s="1" t="s">
        <v>160</v>
      </c>
      <c r="O587" s="1" t="s">
        <v>3344</v>
      </c>
      <c r="P587" s="1" t="s">
        <v>3345</v>
      </c>
      <c r="Q587" s="1" t="s">
        <v>3346</v>
      </c>
      <c r="R587" s="1" t="s">
        <v>1105</v>
      </c>
      <c r="S587" s="1" t="s">
        <v>339</v>
      </c>
      <c r="T587" s="1">
        <v>18888</v>
      </c>
      <c r="U587" s="1" t="s">
        <v>166</v>
      </c>
      <c r="V587" s="1" t="s">
        <v>3347</v>
      </c>
      <c r="W587" s="1" t="s">
        <v>3348</v>
      </c>
    </row>
    <row r="588" spans="1:29" ht="15.75" customHeight="1" x14ac:dyDescent="0.35">
      <c r="A588" s="1" t="s">
        <v>112</v>
      </c>
      <c r="B588" s="1" t="s">
        <v>3349</v>
      </c>
      <c r="C588" s="1" t="s">
        <v>3350</v>
      </c>
      <c r="D588" s="1" t="s">
        <v>3306</v>
      </c>
      <c r="F588" s="1" t="s">
        <v>3351</v>
      </c>
      <c r="G588" s="1" t="s">
        <v>3352</v>
      </c>
      <c r="H588" s="1" t="s">
        <v>3353</v>
      </c>
      <c r="I588" s="1" t="s">
        <v>120</v>
      </c>
      <c r="K588" s="1" t="s">
        <v>101</v>
      </c>
      <c r="L588" s="1" t="s">
        <v>3354</v>
      </c>
      <c r="M588" s="1" t="s">
        <v>3355</v>
      </c>
      <c r="N588" s="1" t="s">
        <v>3356</v>
      </c>
      <c r="O588" s="1" t="s">
        <v>3357</v>
      </c>
      <c r="P588" s="1" t="s">
        <v>3358</v>
      </c>
      <c r="Q588" s="1" t="s">
        <v>3288</v>
      </c>
      <c r="R588" s="1" t="s">
        <v>2022</v>
      </c>
      <c r="S588" s="1" t="s">
        <v>78</v>
      </c>
      <c r="T588" s="1">
        <v>15999</v>
      </c>
      <c r="U588" s="1" t="s">
        <v>79</v>
      </c>
      <c r="V588" s="1" t="s">
        <v>3359</v>
      </c>
      <c r="W588" s="1" t="s">
        <v>3360</v>
      </c>
    </row>
    <row r="589" spans="1:29" ht="15.75" customHeight="1" x14ac:dyDescent="0.35">
      <c r="A589" s="1" t="s">
        <v>151</v>
      </c>
      <c r="B589" s="1" t="s">
        <v>3361</v>
      </c>
      <c r="C589" s="1" t="s">
        <v>3280</v>
      </c>
      <c r="D589" s="1" t="s">
        <v>3281</v>
      </c>
      <c r="F589" s="1" t="s">
        <v>3282</v>
      </c>
      <c r="G589" s="1" t="s">
        <v>156</v>
      </c>
      <c r="H589" s="1" t="s">
        <v>3283</v>
      </c>
      <c r="I589" s="1" t="s">
        <v>1015</v>
      </c>
      <c r="J589" s="1" t="s">
        <v>971</v>
      </c>
      <c r="K589" s="1" t="s">
        <v>101</v>
      </c>
      <c r="L589" s="1" t="s">
        <v>3284</v>
      </c>
      <c r="M589" s="1" t="s">
        <v>3285</v>
      </c>
      <c r="O589" s="1" t="s">
        <v>3286</v>
      </c>
      <c r="P589" s="1" t="s">
        <v>3287</v>
      </c>
      <c r="Q589" s="1" t="s">
        <v>3288</v>
      </c>
      <c r="R589" s="1" t="s">
        <v>164</v>
      </c>
      <c r="S589" s="1" t="s">
        <v>165</v>
      </c>
      <c r="T589" s="1">
        <v>28888</v>
      </c>
      <c r="U589" s="1" t="s">
        <v>79</v>
      </c>
      <c r="V589" s="1" t="s">
        <v>783</v>
      </c>
      <c r="W589" s="1" t="s">
        <v>3312</v>
      </c>
    </row>
    <row r="590" spans="1:29" ht="15.75" customHeight="1" x14ac:dyDescent="0.35">
      <c r="A590" s="1" t="s">
        <v>66</v>
      </c>
      <c r="B590" s="1" t="s">
        <v>3362</v>
      </c>
      <c r="C590" s="1" t="s">
        <v>3325</v>
      </c>
      <c r="D590" s="1" t="s">
        <v>3363</v>
      </c>
      <c r="F590" s="1" t="s">
        <v>462</v>
      </c>
      <c r="G590" s="1" t="s">
        <v>3364</v>
      </c>
      <c r="H590" s="1" t="s">
        <v>3365</v>
      </c>
      <c r="I590" s="1" t="s">
        <v>120</v>
      </c>
      <c r="J590" s="1" t="s">
        <v>971</v>
      </c>
      <c r="K590" s="1" t="s">
        <v>101</v>
      </c>
      <c r="O590" s="1" t="s">
        <v>3366</v>
      </c>
      <c r="Q590" s="1" t="s">
        <v>3367</v>
      </c>
      <c r="R590" s="1" t="s">
        <v>985</v>
      </c>
      <c r="S590" s="1" t="s">
        <v>165</v>
      </c>
      <c r="T590" s="1">
        <v>16777</v>
      </c>
      <c r="W590" s="1" t="s">
        <v>3368</v>
      </c>
    </row>
    <row r="591" spans="1:29" ht="15.75" customHeight="1" x14ac:dyDescent="0.35">
      <c r="A591" s="1" t="s">
        <v>151</v>
      </c>
      <c r="B591" s="1" t="s">
        <v>3361</v>
      </c>
      <c r="C591" s="1" t="s">
        <v>687</v>
      </c>
      <c r="D591" s="1" t="s">
        <v>3369</v>
      </c>
      <c r="F591" s="1" t="s">
        <v>3370</v>
      </c>
      <c r="G591" s="1" t="s">
        <v>3371</v>
      </c>
      <c r="H591" s="1" t="s">
        <v>3372</v>
      </c>
      <c r="I591" s="1" t="s">
        <v>1015</v>
      </c>
      <c r="J591" s="1" t="s">
        <v>971</v>
      </c>
      <c r="K591" s="1" t="s">
        <v>90</v>
      </c>
      <c r="L591" s="1" t="s">
        <v>3284</v>
      </c>
      <c r="M591" s="1" t="s">
        <v>3285</v>
      </c>
      <c r="N591" s="1" t="s">
        <v>160</v>
      </c>
      <c r="O591" s="1" t="s">
        <v>3286</v>
      </c>
      <c r="P591" s="1" t="s">
        <v>3287</v>
      </c>
      <c r="Q591" s="1" t="s">
        <v>3288</v>
      </c>
      <c r="R591" s="1" t="s">
        <v>164</v>
      </c>
      <c r="S591" s="1" t="s">
        <v>2139</v>
      </c>
      <c r="T591" s="1">
        <v>25999</v>
      </c>
      <c r="U591" s="1" t="s">
        <v>79</v>
      </c>
      <c r="V591" s="1" t="s">
        <v>80</v>
      </c>
      <c r="W591" s="1" t="s">
        <v>3373</v>
      </c>
      <c r="X591" s="1" t="s">
        <v>3374</v>
      </c>
    </row>
    <row r="592" spans="1:29" ht="15.75" customHeight="1" x14ac:dyDescent="0.35">
      <c r="A592" s="1" t="s">
        <v>112</v>
      </c>
      <c r="B592" s="1" t="s">
        <v>3375</v>
      </c>
      <c r="C592" s="1" t="s">
        <v>3376</v>
      </c>
      <c r="D592" s="1" t="s">
        <v>3270</v>
      </c>
      <c r="F592" s="1" t="s">
        <v>3377</v>
      </c>
      <c r="G592" s="1" t="s">
        <v>118</v>
      </c>
      <c r="H592" s="1" t="s">
        <v>3378</v>
      </c>
      <c r="K592" s="1" t="s">
        <v>40</v>
      </c>
      <c r="L592" s="1" t="s">
        <v>3379</v>
      </c>
      <c r="M592" s="1" t="s">
        <v>3380</v>
      </c>
      <c r="O592" s="1" t="s">
        <v>3381</v>
      </c>
      <c r="P592" s="1" t="s">
        <v>3382</v>
      </c>
      <c r="Q592" s="1" t="s">
        <v>3383</v>
      </c>
      <c r="R592" s="1" t="s">
        <v>3384</v>
      </c>
      <c r="S592" s="1" t="s">
        <v>129</v>
      </c>
      <c r="T592" s="1">
        <v>32999</v>
      </c>
      <c r="V592" s="1" t="s">
        <v>3385</v>
      </c>
      <c r="W592" s="1" t="s">
        <v>3386</v>
      </c>
    </row>
    <row r="593" spans="1:23" ht="15.75" customHeight="1" x14ac:dyDescent="0.35">
      <c r="A593" s="1" t="s">
        <v>112</v>
      </c>
      <c r="B593" s="1" t="s">
        <v>3387</v>
      </c>
      <c r="C593" s="1" t="s">
        <v>3269</v>
      </c>
      <c r="D593" s="1" t="s">
        <v>3270</v>
      </c>
      <c r="F593" s="1" t="s">
        <v>3388</v>
      </c>
      <c r="G593" s="1" t="s">
        <v>118</v>
      </c>
      <c r="H593" s="1" t="s">
        <v>3378</v>
      </c>
      <c r="K593" s="1" t="s">
        <v>40</v>
      </c>
      <c r="L593" s="1" t="s">
        <v>3379</v>
      </c>
      <c r="M593" s="1" t="s">
        <v>3380</v>
      </c>
      <c r="O593" s="1" t="s">
        <v>3381</v>
      </c>
      <c r="P593" s="1" t="s">
        <v>3382</v>
      </c>
      <c r="Q593" s="1" t="s">
        <v>3383</v>
      </c>
      <c r="R593" s="1" t="s">
        <v>3384</v>
      </c>
      <c r="S593" s="1" t="s">
        <v>129</v>
      </c>
      <c r="T593" s="1">
        <v>42999</v>
      </c>
      <c r="V593" s="1" t="s">
        <v>3389</v>
      </c>
      <c r="W593" s="1" t="s">
        <v>3390</v>
      </c>
    </row>
    <row r="594" spans="1:23" ht="15.75" customHeight="1" x14ac:dyDescent="0.35">
      <c r="A594" s="1" t="s">
        <v>234</v>
      </c>
      <c r="B594" s="1" t="s">
        <v>3391</v>
      </c>
      <c r="C594" s="1" t="s">
        <v>3392</v>
      </c>
      <c r="D594" s="1" t="s">
        <v>3393</v>
      </c>
      <c r="F594" s="1" t="s">
        <v>3394</v>
      </c>
      <c r="G594" s="1" t="s">
        <v>3395</v>
      </c>
      <c r="H594" s="1" t="s">
        <v>3396</v>
      </c>
      <c r="I594" s="1" t="s">
        <v>275</v>
      </c>
      <c r="J594" s="1" t="s">
        <v>971</v>
      </c>
      <c r="K594" s="1" t="s">
        <v>40</v>
      </c>
      <c r="L594" s="1" t="s">
        <v>3397</v>
      </c>
      <c r="M594" s="1" t="s">
        <v>632</v>
      </c>
      <c r="N594" s="1" t="s">
        <v>3398</v>
      </c>
      <c r="O594" s="1" t="s">
        <v>3399</v>
      </c>
      <c r="P594" s="1" t="s">
        <v>3400</v>
      </c>
      <c r="Q594" s="1" t="s">
        <v>3401</v>
      </c>
      <c r="R594" s="1" t="s">
        <v>3402</v>
      </c>
      <c r="S594" s="1" t="s">
        <v>129</v>
      </c>
      <c r="T594" s="1">
        <v>36999</v>
      </c>
      <c r="V594" s="1" t="s">
        <v>3403</v>
      </c>
      <c r="W594" s="1" t="s">
        <v>3404</v>
      </c>
    </row>
    <row r="595" spans="1:23" ht="15.75" customHeight="1" x14ac:dyDescent="0.35">
      <c r="A595" s="1" t="s">
        <v>234</v>
      </c>
      <c r="B595" s="1" t="s">
        <v>3405</v>
      </c>
      <c r="C595" s="1" t="s">
        <v>3406</v>
      </c>
      <c r="D595" s="1" t="s">
        <v>3393</v>
      </c>
      <c r="F595" s="1" t="s">
        <v>3394</v>
      </c>
      <c r="G595" s="1" t="s">
        <v>629</v>
      </c>
      <c r="H595" s="1" t="s">
        <v>3407</v>
      </c>
      <c r="I595" s="1" t="s">
        <v>2201</v>
      </c>
      <c r="J595" s="1" t="s">
        <v>39</v>
      </c>
      <c r="K595" s="1" t="s">
        <v>40</v>
      </c>
      <c r="L595" s="1" t="s">
        <v>3408</v>
      </c>
      <c r="M595" s="1" t="s">
        <v>1258</v>
      </c>
      <c r="N595" s="1" t="s">
        <v>3398</v>
      </c>
      <c r="O595" s="1" t="s">
        <v>3409</v>
      </c>
      <c r="P595" s="1" t="s">
        <v>3410</v>
      </c>
      <c r="Q595" s="1" t="s">
        <v>3411</v>
      </c>
      <c r="R595" s="1" t="s">
        <v>3402</v>
      </c>
      <c r="S595" s="1" t="s">
        <v>129</v>
      </c>
      <c r="T595" s="1">
        <v>50999</v>
      </c>
      <c r="V595" s="1" t="s">
        <v>3412</v>
      </c>
      <c r="W595" s="1" t="s">
        <v>3413</v>
      </c>
    </row>
    <row r="596" spans="1:23" ht="15.75" customHeight="1" x14ac:dyDescent="0.35">
      <c r="A596" s="1" t="s">
        <v>234</v>
      </c>
      <c r="B596" s="1" t="s">
        <v>3414</v>
      </c>
      <c r="C596" s="1" t="s">
        <v>648</v>
      </c>
      <c r="D596" s="1" t="s">
        <v>3363</v>
      </c>
      <c r="F596" s="1" t="s">
        <v>3394</v>
      </c>
      <c r="G596" s="1" t="s">
        <v>629</v>
      </c>
      <c r="H596" s="1" t="s">
        <v>3415</v>
      </c>
      <c r="I596" s="1" t="s">
        <v>275</v>
      </c>
      <c r="J596" s="1" t="s">
        <v>971</v>
      </c>
      <c r="K596" s="1" t="s">
        <v>40</v>
      </c>
      <c r="L596" s="1" t="s">
        <v>3416</v>
      </c>
      <c r="M596" s="1" t="s">
        <v>3417</v>
      </c>
      <c r="N596" s="1" t="s">
        <v>3398</v>
      </c>
      <c r="O596" s="1" t="s">
        <v>3418</v>
      </c>
      <c r="P596" s="1" t="s">
        <v>3419</v>
      </c>
      <c r="Q596" s="1" t="s">
        <v>3420</v>
      </c>
      <c r="R596" s="1" t="s">
        <v>3402</v>
      </c>
      <c r="S596" s="1" t="s">
        <v>129</v>
      </c>
      <c r="T596" s="1">
        <v>53777</v>
      </c>
      <c r="V596" s="1" t="s">
        <v>3421</v>
      </c>
      <c r="W596" s="1" t="s">
        <v>3422</v>
      </c>
    </row>
    <row r="597" spans="1:23" ht="15.75" customHeight="1" x14ac:dyDescent="0.35">
      <c r="A597" s="1" t="s">
        <v>151</v>
      </c>
      <c r="B597" s="1" t="s">
        <v>3423</v>
      </c>
      <c r="C597" s="1" t="s">
        <v>687</v>
      </c>
      <c r="D597" s="1" t="s">
        <v>3315</v>
      </c>
      <c r="F597" s="1" t="s">
        <v>3327</v>
      </c>
      <c r="G597" s="1" t="s">
        <v>156</v>
      </c>
      <c r="H597" s="1" t="s">
        <v>3424</v>
      </c>
      <c r="I597" s="1" t="s">
        <v>120</v>
      </c>
      <c r="K597" s="1" t="s">
        <v>101</v>
      </c>
      <c r="L597" s="1" t="s">
        <v>3425</v>
      </c>
      <c r="M597" s="1" t="s">
        <v>3343</v>
      </c>
      <c r="N597" s="1" t="s">
        <v>160</v>
      </c>
      <c r="O597" s="1" t="s">
        <v>3426</v>
      </c>
      <c r="P597" s="1" t="s">
        <v>3427</v>
      </c>
      <c r="Q597" s="1" t="s">
        <v>1609</v>
      </c>
      <c r="R597" s="1" t="s">
        <v>3428</v>
      </c>
      <c r="S597" s="1" t="s">
        <v>129</v>
      </c>
      <c r="T597" s="1">
        <v>23999</v>
      </c>
      <c r="U597" s="1" t="s">
        <v>79</v>
      </c>
      <c r="V597" s="1" t="s">
        <v>80</v>
      </c>
      <c r="W597" s="1" t="s">
        <v>3429</v>
      </c>
    </row>
    <row r="598" spans="1:23" ht="15.75" customHeight="1" x14ac:dyDescent="0.35">
      <c r="A598" s="1" t="s">
        <v>151</v>
      </c>
      <c r="B598" s="1" t="s">
        <v>3430</v>
      </c>
      <c r="C598" s="1" t="s">
        <v>114</v>
      </c>
      <c r="D598" s="1" t="s">
        <v>3306</v>
      </c>
      <c r="F598" s="1" t="s">
        <v>3431</v>
      </c>
      <c r="G598" s="1" t="s">
        <v>156</v>
      </c>
      <c r="H598" s="1" t="s">
        <v>3432</v>
      </c>
      <c r="I598" s="1" t="s">
        <v>74</v>
      </c>
      <c r="K598" s="1" t="s">
        <v>101</v>
      </c>
      <c r="L598" s="1" t="s">
        <v>3284</v>
      </c>
      <c r="M598" s="1" t="s">
        <v>3433</v>
      </c>
      <c r="N598" s="1" t="s">
        <v>941</v>
      </c>
      <c r="O598" s="1" t="s">
        <v>3434</v>
      </c>
      <c r="P598" s="1" t="s">
        <v>3435</v>
      </c>
      <c r="Q598" s="1" t="s">
        <v>3383</v>
      </c>
      <c r="R598" s="1" t="s">
        <v>1105</v>
      </c>
      <c r="S598" s="1" t="s">
        <v>165</v>
      </c>
      <c r="T598" s="1">
        <v>29999</v>
      </c>
      <c r="U598" s="1" t="s">
        <v>79</v>
      </c>
      <c r="V598" s="1" t="s">
        <v>783</v>
      </c>
    </row>
    <row r="599" spans="1:23" ht="15.75" customHeight="1" x14ac:dyDescent="0.35">
      <c r="A599" s="1" t="s">
        <v>234</v>
      </c>
      <c r="B599" s="1" t="s">
        <v>3436</v>
      </c>
      <c r="C599" s="1" t="s">
        <v>3437</v>
      </c>
      <c r="D599" s="1" t="s">
        <v>3438</v>
      </c>
      <c r="F599" s="1" t="s">
        <v>3439</v>
      </c>
      <c r="G599" s="1" t="s">
        <v>3395</v>
      </c>
      <c r="H599" s="1" t="s">
        <v>3440</v>
      </c>
      <c r="I599" s="1" t="s">
        <v>1021</v>
      </c>
      <c r="J599" s="1" t="s">
        <v>39</v>
      </c>
      <c r="K599" s="1" t="s">
        <v>40</v>
      </c>
      <c r="L599" s="1" t="s">
        <v>3441</v>
      </c>
      <c r="M599" s="1" t="s">
        <v>3417</v>
      </c>
      <c r="N599" s="1" t="s">
        <v>973</v>
      </c>
      <c r="O599" s="1" t="s">
        <v>3442</v>
      </c>
      <c r="P599" s="1" t="s">
        <v>3443</v>
      </c>
      <c r="Q599" s="1" t="s">
        <v>1609</v>
      </c>
      <c r="R599" s="1" t="s">
        <v>3444</v>
      </c>
      <c r="S599" s="1" t="s">
        <v>129</v>
      </c>
      <c r="T599" s="1">
        <v>89999</v>
      </c>
      <c r="V599" s="1" t="s">
        <v>3445</v>
      </c>
      <c r="W599" s="1" t="s">
        <v>3446</v>
      </c>
    </row>
    <row r="600" spans="1:23" ht="15.75" customHeight="1" x14ac:dyDescent="0.35">
      <c r="A600" s="1" t="s">
        <v>234</v>
      </c>
      <c r="B600" s="1" t="s">
        <v>3447</v>
      </c>
      <c r="C600" s="1" t="s">
        <v>1018</v>
      </c>
      <c r="D600" s="1" t="s">
        <v>734</v>
      </c>
      <c r="E600" s="1" t="s">
        <v>410</v>
      </c>
      <c r="F600" s="1" t="s">
        <v>968</v>
      </c>
      <c r="G600" s="1" t="s">
        <v>1156</v>
      </c>
      <c r="H600" s="1" t="s">
        <v>3448</v>
      </c>
      <c r="I600" s="1" t="s">
        <v>345</v>
      </c>
      <c r="J600" s="1" t="s">
        <v>971</v>
      </c>
      <c r="K600" s="1" t="s">
        <v>201</v>
      </c>
      <c r="L600" s="1" t="s">
        <v>972</v>
      </c>
      <c r="M600" s="1" t="s">
        <v>241</v>
      </c>
      <c r="N600" s="1" t="s">
        <v>973</v>
      </c>
      <c r="O600" s="1" t="s">
        <v>1159</v>
      </c>
      <c r="P600" s="1" t="s">
        <v>3449</v>
      </c>
      <c r="Q600" s="1" t="s">
        <v>976</v>
      </c>
      <c r="R600" s="1" t="s">
        <v>977</v>
      </c>
      <c r="S600" s="1" t="s">
        <v>78</v>
      </c>
      <c r="T600" s="1">
        <v>136666</v>
      </c>
      <c r="V600" s="1" t="s">
        <v>3450</v>
      </c>
      <c r="W600" s="1" t="s">
        <v>3451</v>
      </c>
    </row>
    <row r="601" spans="1:23" ht="15.75" customHeight="1" x14ac:dyDescent="0.35">
      <c r="A601" s="1" t="s">
        <v>81</v>
      </c>
      <c r="B601" s="1" t="s">
        <v>3452</v>
      </c>
      <c r="C601" s="1" t="s">
        <v>3314</v>
      </c>
      <c r="D601" s="1" t="s">
        <v>3315</v>
      </c>
      <c r="F601" s="1" t="s">
        <v>3453</v>
      </c>
      <c r="G601" s="1" t="s">
        <v>2521</v>
      </c>
      <c r="H601" s="1" t="s">
        <v>1800</v>
      </c>
      <c r="I601" s="1" t="s">
        <v>120</v>
      </c>
      <c r="J601" s="1" t="s">
        <v>39</v>
      </c>
      <c r="K601" s="1" t="s">
        <v>101</v>
      </c>
      <c r="L601" s="1" t="s">
        <v>3454</v>
      </c>
      <c r="M601" s="1" t="s">
        <v>3455</v>
      </c>
      <c r="O601" s="1" t="s">
        <v>3456</v>
      </c>
      <c r="P601" s="1" t="s">
        <v>3457</v>
      </c>
      <c r="Q601" s="1" t="s">
        <v>3458</v>
      </c>
      <c r="R601" s="1" t="s">
        <v>3459</v>
      </c>
      <c r="S601" s="1" t="s">
        <v>78</v>
      </c>
      <c r="T601" s="1">
        <v>21499</v>
      </c>
      <c r="U601" s="1" t="s">
        <v>79</v>
      </c>
    </row>
    <row r="602" spans="1:23" ht="15.75" customHeight="1" x14ac:dyDescent="0.35">
      <c r="A602" s="1" t="s">
        <v>81</v>
      </c>
      <c r="B602" s="1" t="s">
        <v>3268</v>
      </c>
      <c r="C602" s="1" t="s">
        <v>3269</v>
      </c>
      <c r="D602" s="1" t="s">
        <v>3460</v>
      </c>
      <c r="F602" s="1" t="s">
        <v>1436</v>
      </c>
      <c r="G602" s="1" t="s">
        <v>322</v>
      </c>
      <c r="H602" s="1" t="s">
        <v>3272</v>
      </c>
      <c r="I602" s="1" t="s">
        <v>275</v>
      </c>
      <c r="J602" s="1" t="s">
        <v>971</v>
      </c>
      <c r="K602" s="1" t="s">
        <v>90</v>
      </c>
      <c r="M602" s="1" t="s">
        <v>3273</v>
      </c>
      <c r="O602" s="1" t="s">
        <v>3274</v>
      </c>
      <c r="P602" s="1" t="s">
        <v>3275</v>
      </c>
      <c r="Q602" s="1" t="s">
        <v>3276</v>
      </c>
      <c r="R602" s="1" t="s">
        <v>3277</v>
      </c>
      <c r="S602" s="1" t="s">
        <v>78</v>
      </c>
      <c r="T602" s="1">
        <v>44444</v>
      </c>
      <c r="V602" s="1" t="s">
        <v>3278</v>
      </c>
    </row>
    <row r="603" spans="1:23" ht="15.75" customHeight="1" x14ac:dyDescent="0.35">
      <c r="A603" s="1" t="s">
        <v>234</v>
      </c>
      <c r="B603" s="1" t="s">
        <v>3461</v>
      </c>
      <c r="C603" s="1" t="s">
        <v>1018</v>
      </c>
      <c r="D603" s="1" t="s">
        <v>3462</v>
      </c>
      <c r="F603" s="1" t="s">
        <v>3463</v>
      </c>
      <c r="G603" s="1" t="s">
        <v>1156</v>
      </c>
      <c r="H603" s="1" t="s">
        <v>3464</v>
      </c>
      <c r="I603" s="1" t="s">
        <v>1021</v>
      </c>
      <c r="J603" s="1" t="s">
        <v>39</v>
      </c>
      <c r="K603" s="1" t="s">
        <v>201</v>
      </c>
      <c r="L603" s="1" t="s">
        <v>972</v>
      </c>
      <c r="M603" s="1" t="s">
        <v>3465</v>
      </c>
      <c r="N603" s="1" t="s">
        <v>973</v>
      </c>
      <c r="O603" s="1" t="s">
        <v>3466</v>
      </c>
      <c r="P603" s="1" t="s">
        <v>3467</v>
      </c>
      <c r="Q603" s="1" t="s">
        <v>3468</v>
      </c>
      <c r="R603" s="1" t="s">
        <v>3469</v>
      </c>
      <c r="S603" s="1" t="s">
        <v>78</v>
      </c>
      <c r="T603" s="1">
        <v>95999</v>
      </c>
      <c r="V603" s="1" t="s">
        <v>671</v>
      </c>
      <c r="W603" s="1" t="s">
        <v>3470</v>
      </c>
    </row>
    <row r="604" spans="1:23" ht="15.75" customHeight="1" x14ac:dyDescent="0.35">
      <c r="A604" s="1" t="s">
        <v>234</v>
      </c>
      <c r="B604" s="1" t="s">
        <v>3471</v>
      </c>
      <c r="C604" s="1" t="s">
        <v>586</v>
      </c>
      <c r="D604" s="1" t="s">
        <v>3438</v>
      </c>
      <c r="F604" s="1" t="s">
        <v>3439</v>
      </c>
      <c r="G604" s="1" t="s">
        <v>1156</v>
      </c>
      <c r="H604" s="1" t="s">
        <v>3440</v>
      </c>
      <c r="I604" s="1" t="s">
        <v>1021</v>
      </c>
      <c r="J604" s="1" t="s">
        <v>39</v>
      </c>
      <c r="K604" s="1" t="s">
        <v>201</v>
      </c>
      <c r="L604" s="1" t="s">
        <v>3441</v>
      </c>
      <c r="M604" s="1" t="s">
        <v>3417</v>
      </c>
      <c r="N604" s="1" t="s">
        <v>973</v>
      </c>
      <c r="O604" s="1" t="s">
        <v>3442</v>
      </c>
      <c r="P604" s="1" t="s">
        <v>3472</v>
      </c>
      <c r="Q604" s="1" t="s">
        <v>1609</v>
      </c>
      <c r="R604" s="1" t="s">
        <v>3444</v>
      </c>
      <c r="S604" s="1" t="s">
        <v>78</v>
      </c>
      <c r="T604" s="1">
        <v>109000</v>
      </c>
      <c r="V604" s="1" t="s">
        <v>3473</v>
      </c>
      <c r="W604" s="1" t="s">
        <v>3474</v>
      </c>
    </row>
    <row r="605" spans="1:23" ht="15.75" customHeight="1" x14ac:dyDescent="0.35">
      <c r="A605" s="1" t="s">
        <v>81</v>
      </c>
      <c r="B605" s="1" t="s">
        <v>3475</v>
      </c>
      <c r="C605" s="1" t="s">
        <v>3476</v>
      </c>
      <c r="D605" s="1" t="s">
        <v>3315</v>
      </c>
      <c r="F605" s="1" t="s">
        <v>3453</v>
      </c>
      <c r="G605" s="1" t="s">
        <v>2521</v>
      </c>
      <c r="H605" s="1" t="s">
        <v>3477</v>
      </c>
      <c r="I605" s="1" t="s">
        <v>120</v>
      </c>
      <c r="J605" s="1" t="s">
        <v>39</v>
      </c>
      <c r="K605" s="1" t="s">
        <v>101</v>
      </c>
      <c r="L605" s="1" t="s">
        <v>3454</v>
      </c>
      <c r="M605" s="1" t="s">
        <v>3455</v>
      </c>
      <c r="O605" s="1" t="s">
        <v>3456</v>
      </c>
      <c r="P605" s="1" t="s">
        <v>3457</v>
      </c>
      <c r="Q605" s="1" t="s">
        <v>3458</v>
      </c>
      <c r="R605" s="1" t="s">
        <v>3459</v>
      </c>
      <c r="S605" s="1" t="s">
        <v>78</v>
      </c>
      <c r="T605" s="1">
        <v>25499</v>
      </c>
      <c r="U605" s="1" t="s">
        <v>79</v>
      </c>
      <c r="V605" s="1" t="s">
        <v>3478</v>
      </c>
    </row>
    <row r="606" spans="1:23" ht="15.75" customHeight="1" x14ac:dyDescent="0.35">
      <c r="A606" s="1" t="s">
        <v>81</v>
      </c>
      <c r="B606" s="1" t="s">
        <v>3268</v>
      </c>
      <c r="C606" s="1" t="s">
        <v>3376</v>
      </c>
      <c r="D606" s="1" t="s">
        <v>3270</v>
      </c>
      <c r="F606" s="1" t="s">
        <v>3479</v>
      </c>
      <c r="G606" s="1" t="s">
        <v>2521</v>
      </c>
      <c r="H606" s="1" t="s">
        <v>3272</v>
      </c>
      <c r="I606" s="1" t="s">
        <v>275</v>
      </c>
      <c r="J606" s="1" t="s">
        <v>971</v>
      </c>
      <c r="K606" s="1" t="s">
        <v>90</v>
      </c>
      <c r="M606" s="1" t="s">
        <v>3480</v>
      </c>
      <c r="O606" s="1" t="s">
        <v>3274</v>
      </c>
      <c r="P606" s="1" t="s">
        <v>3275</v>
      </c>
      <c r="Q606" s="1" t="s">
        <v>3276</v>
      </c>
      <c r="R606" s="1" t="s">
        <v>3277</v>
      </c>
      <c r="S606" s="1" t="s">
        <v>78</v>
      </c>
      <c r="T606" s="1">
        <v>33999</v>
      </c>
      <c r="V606" s="1" t="s">
        <v>3481</v>
      </c>
    </row>
    <row r="607" spans="1:23" ht="15.75" customHeight="1" x14ac:dyDescent="0.35">
      <c r="A607" s="1" t="s">
        <v>112</v>
      </c>
      <c r="B607" s="1" t="s">
        <v>3482</v>
      </c>
      <c r="C607" s="1" t="s">
        <v>3314</v>
      </c>
      <c r="D607" s="1" t="s">
        <v>3483</v>
      </c>
      <c r="E607" s="1" t="s">
        <v>3484</v>
      </c>
      <c r="F607" s="1" t="s">
        <v>3485</v>
      </c>
      <c r="G607" s="1" t="s">
        <v>2718</v>
      </c>
      <c r="H607" s="1" t="s">
        <v>3486</v>
      </c>
      <c r="I607" s="1" t="s">
        <v>120</v>
      </c>
      <c r="K607" s="1" t="s">
        <v>101</v>
      </c>
      <c r="L607" s="1" t="s">
        <v>3487</v>
      </c>
      <c r="M607" s="1" t="s">
        <v>3355</v>
      </c>
      <c r="N607" s="1" t="s">
        <v>3356</v>
      </c>
      <c r="O607" s="1" t="s">
        <v>3357</v>
      </c>
      <c r="P607" s="1" t="s">
        <v>3488</v>
      </c>
      <c r="Q607" s="1" t="s">
        <v>3288</v>
      </c>
      <c r="R607" s="1" t="s">
        <v>767</v>
      </c>
      <c r="S607" s="1" t="s">
        <v>78</v>
      </c>
      <c r="T607" s="1">
        <v>24499</v>
      </c>
      <c r="U607" s="1" t="s">
        <v>79</v>
      </c>
      <c r="V607" s="1" t="s">
        <v>3489</v>
      </c>
      <c r="W607" s="1" t="s">
        <v>3490</v>
      </c>
    </row>
    <row r="608" spans="1:23" ht="15.75" customHeight="1" x14ac:dyDescent="0.35">
      <c r="A608" s="1" t="s">
        <v>81</v>
      </c>
      <c r="B608" s="1" t="s">
        <v>3491</v>
      </c>
      <c r="C608" s="1" t="s">
        <v>3492</v>
      </c>
      <c r="D608" s="1" t="s">
        <v>3493</v>
      </c>
      <c r="F608" s="1" t="s">
        <v>3494</v>
      </c>
      <c r="G608" s="1" t="s">
        <v>3495</v>
      </c>
      <c r="H608" s="1" t="s">
        <v>3496</v>
      </c>
      <c r="I608" s="1" t="s">
        <v>616</v>
      </c>
      <c r="K608" s="1" t="s">
        <v>101</v>
      </c>
      <c r="L608" s="1" t="s">
        <v>3497</v>
      </c>
      <c r="M608" s="1" t="s">
        <v>3498</v>
      </c>
      <c r="P608" s="1" t="s">
        <v>3499</v>
      </c>
      <c r="Q608" s="1" t="s">
        <v>3500</v>
      </c>
      <c r="R608" s="1" t="s">
        <v>3459</v>
      </c>
      <c r="S608" s="1" t="s">
        <v>129</v>
      </c>
      <c r="T608" s="1">
        <v>17777</v>
      </c>
      <c r="V608" s="1" t="s">
        <v>3501</v>
      </c>
    </row>
    <row r="609" spans="1:23" ht="15.75" customHeight="1" x14ac:dyDescent="0.35">
      <c r="A609" s="1" t="s">
        <v>151</v>
      </c>
      <c r="B609" s="1" t="s">
        <v>3430</v>
      </c>
      <c r="C609" s="1" t="s">
        <v>183</v>
      </c>
      <c r="D609" s="1" t="s">
        <v>3281</v>
      </c>
      <c r="F609" s="1" t="s">
        <v>3502</v>
      </c>
      <c r="G609" s="1" t="s">
        <v>156</v>
      </c>
      <c r="H609" s="1" t="s">
        <v>3432</v>
      </c>
      <c r="I609" s="1" t="s">
        <v>74</v>
      </c>
      <c r="K609" s="1" t="s">
        <v>101</v>
      </c>
      <c r="L609" s="1" t="s">
        <v>1099</v>
      </c>
      <c r="M609" s="1" t="s">
        <v>3433</v>
      </c>
      <c r="N609" s="1" t="s">
        <v>941</v>
      </c>
      <c r="O609" s="1" t="s">
        <v>3434</v>
      </c>
      <c r="P609" s="1" t="s">
        <v>3435</v>
      </c>
      <c r="Q609" s="1" t="s">
        <v>3383</v>
      </c>
      <c r="R609" s="1" t="s">
        <v>1105</v>
      </c>
      <c r="S609" s="1" t="s">
        <v>78</v>
      </c>
      <c r="T609" s="1">
        <v>20999</v>
      </c>
      <c r="U609" s="1" t="s">
        <v>79</v>
      </c>
      <c r="V609" s="1" t="s">
        <v>80</v>
      </c>
      <c r="W609" s="1" t="s">
        <v>3503</v>
      </c>
    </row>
    <row r="610" spans="1:23" ht="15.75" customHeight="1" x14ac:dyDescent="0.35">
      <c r="A610" s="1" t="s">
        <v>151</v>
      </c>
      <c r="B610" s="1" t="s">
        <v>3430</v>
      </c>
      <c r="C610" s="1" t="s">
        <v>183</v>
      </c>
      <c r="D610" s="1" t="s">
        <v>3306</v>
      </c>
      <c r="F610" s="1" t="s">
        <v>3282</v>
      </c>
      <c r="G610" s="1" t="s">
        <v>156</v>
      </c>
      <c r="H610" s="1" t="s">
        <v>3504</v>
      </c>
      <c r="I610" s="1" t="s">
        <v>74</v>
      </c>
      <c r="K610" s="1" t="s">
        <v>101</v>
      </c>
      <c r="L610" s="1" t="s">
        <v>3284</v>
      </c>
      <c r="M610" s="1" t="s">
        <v>3433</v>
      </c>
      <c r="N610" s="1" t="s">
        <v>160</v>
      </c>
      <c r="O610" s="1" t="s">
        <v>3434</v>
      </c>
      <c r="P610" s="1" t="s">
        <v>3435</v>
      </c>
      <c r="Q610" s="1" t="s">
        <v>3383</v>
      </c>
      <c r="R610" s="1" t="s">
        <v>1105</v>
      </c>
      <c r="S610" s="1" t="s">
        <v>165</v>
      </c>
      <c r="T610" s="1">
        <v>25499</v>
      </c>
      <c r="U610" s="1" t="s">
        <v>79</v>
      </c>
      <c r="V610" s="1" t="s">
        <v>80</v>
      </c>
      <c r="W610" s="1" t="s">
        <v>3505</v>
      </c>
    </row>
    <row r="611" spans="1:23" ht="15.75" customHeight="1" x14ac:dyDescent="0.35">
      <c r="A611" s="1" t="s">
        <v>112</v>
      </c>
      <c r="B611" s="1" t="s">
        <v>3506</v>
      </c>
      <c r="C611" s="1" t="s">
        <v>3376</v>
      </c>
      <c r="D611" s="1" t="s">
        <v>3460</v>
      </c>
      <c r="F611" s="1" t="s">
        <v>3507</v>
      </c>
      <c r="G611" s="1" t="s">
        <v>118</v>
      </c>
      <c r="H611" s="1" t="s">
        <v>3508</v>
      </c>
      <c r="I611" s="1" t="s">
        <v>275</v>
      </c>
      <c r="K611" s="1" t="s">
        <v>201</v>
      </c>
      <c r="L611" s="1" t="s">
        <v>3509</v>
      </c>
      <c r="M611" s="1" t="s">
        <v>3510</v>
      </c>
      <c r="N611" s="1" t="s">
        <v>3511</v>
      </c>
      <c r="O611" s="1" t="s">
        <v>3512</v>
      </c>
      <c r="R611" s="1" t="s">
        <v>767</v>
      </c>
      <c r="S611" s="1" t="s">
        <v>78</v>
      </c>
      <c r="T611" s="1">
        <v>32999</v>
      </c>
      <c r="V611" s="1" t="s">
        <v>3513</v>
      </c>
      <c r="W611" s="1" t="s">
        <v>3514</v>
      </c>
    </row>
    <row r="612" spans="1:23" ht="15.75" customHeight="1" x14ac:dyDescent="0.35">
      <c r="A612" s="1" t="s">
        <v>81</v>
      </c>
      <c r="B612" s="1" t="s">
        <v>3515</v>
      </c>
      <c r="C612" s="1" t="s">
        <v>3516</v>
      </c>
      <c r="D612" s="1" t="s">
        <v>3315</v>
      </c>
      <c r="F612" s="1" t="s">
        <v>3517</v>
      </c>
      <c r="G612" s="1" t="s">
        <v>3495</v>
      </c>
      <c r="H612" s="1" t="s">
        <v>3477</v>
      </c>
      <c r="I612" s="1" t="s">
        <v>120</v>
      </c>
      <c r="J612" s="1" t="s">
        <v>39</v>
      </c>
      <c r="K612" s="1" t="s">
        <v>101</v>
      </c>
      <c r="L612" s="1" t="s">
        <v>3518</v>
      </c>
      <c r="M612" s="1" t="s">
        <v>3498</v>
      </c>
      <c r="O612" s="1" t="s">
        <v>3519</v>
      </c>
      <c r="P612" s="1" t="s">
        <v>3457</v>
      </c>
      <c r="Q612" s="1" t="s">
        <v>3458</v>
      </c>
      <c r="R612" s="1" t="s">
        <v>3459</v>
      </c>
      <c r="S612" s="1" t="s">
        <v>78</v>
      </c>
      <c r="T612" s="1">
        <v>19499</v>
      </c>
      <c r="U612" s="1" t="s">
        <v>166</v>
      </c>
      <c r="V612" s="1" t="s">
        <v>3520</v>
      </c>
    </row>
    <row r="613" spans="1:23" ht="15.75" customHeight="1" x14ac:dyDescent="0.35">
      <c r="A613" s="1" t="s">
        <v>30</v>
      </c>
      <c r="B613" s="1" t="s">
        <v>3521</v>
      </c>
      <c r="C613" s="1" t="s">
        <v>806</v>
      </c>
      <c r="D613" s="1" t="s">
        <v>3522</v>
      </c>
      <c r="F613" s="1" t="s">
        <v>1134</v>
      </c>
      <c r="G613" s="1" t="s">
        <v>1437</v>
      </c>
      <c r="H613" s="1" t="s">
        <v>3316</v>
      </c>
      <c r="I613" s="1" t="s">
        <v>120</v>
      </c>
      <c r="K613" s="1" t="s">
        <v>101</v>
      </c>
      <c r="L613" s="1" t="s">
        <v>3523</v>
      </c>
      <c r="M613" s="1" t="s">
        <v>3524</v>
      </c>
      <c r="N613" s="1" t="s">
        <v>373</v>
      </c>
      <c r="O613" s="1" t="s">
        <v>3525</v>
      </c>
      <c r="P613" s="1" t="s">
        <v>3526</v>
      </c>
      <c r="Q613" s="1" t="s">
        <v>230</v>
      </c>
      <c r="R613" s="1" t="s">
        <v>3527</v>
      </c>
      <c r="S613" s="1" t="s">
        <v>78</v>
      </c>
      <c r="T613" s="1">
        <v>30499</v>
      </c>
      <c r="U613" s="1" t="s">
        <v>79</v>
      </c>
      <c r="V613" s="1" t="s">
        <v>783</v>
      </c>
    </row>
    <row r="614" spans="1:23" ht="15.75" customHeight="1" x14ac:dyDescent="0.35">
      <c r="A614" s="1" t="s">
        <v>112</v>
      </c>
      <c r="B614" s="1" t="s">
        <v>3528</v>
      </c>
      <c r="C614" s="1" t="s">
        <v>3269</v>
      </c>
      <c r="D614" s="1" t="s">
        <v>3522</v>
      </c>
      <c r="F614" s="1" t="s">
        <v>3529</v>
      </c>
      <c r="G614" s="1" t="s">
        <v>118</v>
      </c>
      <c r="H614" s="1" t="s">
        <v>3508</v>
      </c>
      <c r="I614" s="1" t="s">
        <v>120</v>
      </c>
      <c r="K614" s="1" t="s">
        <v>90</v>
      </c>
      <c r="L614" s="1" t="s">
        <v>3509</v>
      </c>
      <c r="M614" s="1" t="s">
        <v>3530</v>
      </c>
      <c r="N614" s="1" t="s">
        <v>3511</v>
      </c>
      <c r="O614" s="1" t="s">
        <v>3512</v>
      </c>
      <c r="P614" s="1" t="s">
        <v>3531</v>
      </c>
      <c r="Q614" s="1" t="s">
        <v>3532</v>
      </c>
      <c r="R614" s="1" t="s">
        <v>767</v>
      </c>
      <c r="S614" s="1" t="s">
        <v>78</v>
      </c>
      <c r="T614" s="1">
        <v>42888</v>
      </c>
      <c r="V614" s="1" t="s">
        <v>3389</v>
      </c>
      <c r="W614" s="1" t="s">
        <v>3533</v>
      </c>
    </row>
    <row r="615" spans="1:23" ht="15.75" customHeight="1" x14ac:dyDescent="0.35">
      <c r="A615" s="1" t="s">
        <v>81</v>
      </c>
      <c r="B615" s="1" t="s">
        <v>3515</v>
      </c>
      <c r="C615" s="1" t="s">
        <v>3534</v>
      </c>
      <c r="D615" s="1" t="s">
        <v>3315</v>
      </c>
      <c r="F615" s="1" t="s">
        <v>3453</v>
      </c>
      <c r="G615" s="1" t="s">
        <v>3535</v>
      </c>
      <c r="H615" s="1" t="s">
        <v>3536</v>
      </c>
      <c r="I615" s="1" t="s">
        <v>120</v>
      </c>
      <c r="J615" s="1" t="s">
        <v>39</v>
      </c>
      <c r="K615" s="1" t="s">
        <v>101</v>
      </c>
      <c r="L615" s="1" t="s">
        <v>3537</v>
      </c>
      <c r="O615" s="1" t="s">
        <v>3519</v>
      </c>
      <c r="P615" s="1" t="s">
        <v>3457</v>
      </c>
      <c r="Q615" s="1" t="s">
        <v>3458</v>
      </c>
      <c r="R615" s="1" t="s">
        <v>3459</v>
      </c>
      <c r="S615" s="1" t="s">
        <v>78</v>
      </c>
      <c r="T615" s="1">
        <v>15999</v>
      </c>
      <c r="U615" s="1" t="s">
        <v>166</v>
      </c>
      <c r="V615" s="1" t="s">
        <v>3538</v>
      </c>
    </row>
    <row r="616" spans="1:23" ht="15.75" customHeight="1" x14ac:dyDescent="0.35">
      <c r="A616" s="1" t="s">
        <v>112</v>
      </c>
      <c r="B616" s="1" t="s">
        <v>3539</v>
      </c>
      <c r="C616" s="1" t="s">
        <v>3540</v>
      </c>
      <c r="D616" s="1" t="s">
        <v>3541</v>
      </c>
      <c r="F616" s="1" t="s">
        <v>1429</v>
      </c>
      <c r="G616" s="1" t="s">
        <v>2718</v>
      </c>
      <c r="H616" s="1" t="s">
        <v>3542</v>
      </c>
      <c r="I616" s="1" t="s">
        <v>120</v>
      </c>
      <c r="K616" s="1" t="s">
        <v>201</v>
      </c>
      <c r="L616" s="1" t="s">
        <v>3543</v>
      </c>
      <c r="M616" s="1" t="s">
        <v>3544</v>
      </c>
      <c r="N616" s="1" t="s">
        <v>763</v>
      </c>
      <c r="O616" s="1" t="s">
        <v>3545</v>
      </c>
      <c r="P616" s="1" t="s">
        <v>3546</v>
      </c>
      <c r="Q616" s="1" t="s">
        <v>3547</v>
      </c>
      <c r="R616" s="1" t="s">
        <v>3548</v>
      </c>
      <c r="S616" s="1" t="s">
        <v>78</v>
      </c>
      <c r="T616" s="1">
        <v>29999</v>
      </c>
      <c r="U616" s="1" t="s">
        <v>79</v>
      </c>
      <c r="V616" s="1" t="s">
        <v>3549</v>
      </c>
      <c r="W616" s="1" t="s">
        <v>3550</v>
      </c>
    </row>
    <row r="617" spans="1:23" ht="15.75" customHeight="1" x14ac:dyDescent="0.35">
      <c r="A617" s="1" t="s">
        <v>81</v>
      </c>
      <c r="B617" s="1" t="s">
        <v>3515</v>
      </c>
      <c r="C617" s="1" t="s">
        <v>3516</v>
      </c>
      <c r="D617" s="1" t="s">
        <v>3315</v>
      </c>
      <c r="F617" s="1" t="s">
        <v>3453</v>
      </c>
      <c r="G617" s="1" t="s">
        <v>3495</v>
      </c>
      <c r="H617" s="1" t="s">
        <v>3477</v>
      </c>
      <c r="I617" s="1" t="s">
        <v>120</v>
      </c>
      <c r="J617" s="1" t="s">
        <v>39</v>
      </c>
      <c r="K617" s="1" t="s">
        <v>101</v>
      </c>
      <c r="L617" s="1" t="s">
        <v>3518</v>
      </c>
      <c r="M617" s="1" t="s">
        <v>3498</v>
      </c>
      <c r="O617" s="1" t="s">
        <v>3519</v>
      </c>
      <c r="P617" s="1" t="s">
        <v>3457</v>
      </c>
      <c r="Q617" s="1" t="s">
        <v>3458</v>
      </c>
      <c r="R617" s="1" t="s">
        <v>3459</v>
      </c>
      <c r="S617" s="1" t="s">
        <v>78</v>
      </c>
      <c r="T617" s="1">
        <v>19999</v>
      </c>
      <c r="U617" s="1" t="s">
        <v>166</v>
      </c>
      <c r="V617" s="1" t="s">
        <v>3520</v>
      </c>
    </row>
    <row r="618" spans="1:23" ht="15.75" customHeight="1" x14ac:dyDescent="0.35">
      <c r="A618" s="1" t="s">
        <v>30</v>
      </c>
      <c r="B618" s="1" t="s">
        <v>3551</v>
      </c>
      <c r="C618" s="1" t="s">
        <v>1095</v>
      </c>
      <c r="D618" s="1" t="s">
        <v>3438</v>
      </c>
      <c r="F618" s="1" t="s">
        <v>3552</v>
      </c>
      <c r="G618" s="1" t="s">
        <v>644</v>
      </c>
      <c r="H618" s="1" t="s">
        <v>3553</v>
      </c>
      <c r="I618" s="1" t="s">
        <v>1021</v>
      </c>
      <c r="K618" s="1" t="s">
        <v>90</v>
      </c>
      <c r="L618" s="1" t="s">
        <v>3523</v>
      </c>
      <c r="M618" s="1" t="s">
        <v>59</v>
      </c>
      <c r="N618" s="1" t="s">
        <v>43</v>
      </c>
      <c r="O618" s="1" t="s">
        <v>3554</v>
      </c>
      <c r="P618" s="1" t="s">
        <v>3555</v>
      </c>
      <c r="Q618" s="1" t="s">
        <v>3556</v>
      </c>
      <c r="R618" s="1" t="s">
        <v>3557</v>
      </c>
      <c r="S618" s="1" t="s">
        <v>165</v>
      </c>
      <c r="T618" s="1">
        <v>44999</v>
      </c>
      <c r="V618" s="1" t="s">
        <v>1581</v>
      </c>
    </row>
    <row r="619" spans="1:23" ht="15.75" customHeight="1" x14ac:dyDescent="0.35">
      <c r="A619" s="1" t="s">
        <v>234</v>
      </c>
      <c r="B619" s="1" t="s">
        <v>3558</v>
      </c>
      <c r="C619" s="1" t="s">
        <v>349</v>
      </c>
      <c r="D619" s="1" t="s">
        <v>3315</v>
      </c>
      <c r="F619" s="1" t="s">
        <v>628</v>
      </c>
      <c r="G619" s="1" t="s">
        <v>629</v>
      </c>
      <c r="H619" s="1" t="s">
        <v>3559</v>
      </c>
      <c r="I619" s="1" t="s">
        <v>616</v>
      </c>
      <c r="K619" s="1" t="s">
        <v>90</v>
      </c>
      <c r="L619" s="1" t="s">
        <v>3560</v>
      </c>
      <c r="M619" s="1" t="s">
        <v>3561</v>
      </c>
      <c r="N619" s="1" t="s">
        <v>633</v>
      </c>
      <c r="O619" s="1" t="s">
        <v>3562</v>
      </c>
      <c r="P619" s="1" t="s">
        <v>3563</v>
      </c>
      <c r="Q619" s="1" t="s">
        <v>3500</v>
      </c>
      <c r="R619" s="1" t="s">
        <v>1610</v>
      </c>
      <c r="S619" s="1" t="s">
        <v>165</v>
      </c>
      <c r="T619" s="1">
        <v>24499</v>
      </c>
      <c r="U619" s="1" t="s">
        <v>166</v>
      </c>
      <c r="V619" s="1" t="s">
        <v>3564</v>
      </c>
      <c r="W619" s="1" t="s">
        <v>3565</v>
      </c>
    </row>
    <row r="620" spans="1:23" ht="15.75" customHeight="1" x14ac:dyDescent="0.35">
      <c r="A620" s="1" t="s">
        <v>234</v>
      </c>
      <c r="B620" s="1" t="s">
        <v>3566</v>
      </c>
      <c r="C620" s="1" t="s">
        <v>1798</v>
      </c>
      <c r="D620" s="1" t="s">
        <v>3363</v>
      </c>
      <c r="F620" s="1" t="s">
        <v>3552</v>
      </c>
      <c r="G620" s="1" t="s">
        <v>295</v>
      </c>
      <c r="H620" s="1" t="s">
        <v>3567</v>
      </c>
      <c r="I620" s="1" t="s">
        <v>345</v>
      </c>
      <c r="K620" s="1" t="s">
        <v>90</v>
      </c>
      <c r="L620" s="1" t="s">
        <v>972</v>
      </c>
      <c r="N620" s="1" t="s">
        <v>3568</v>
      </c>
      <c r="O620" s="1" t="s">
        <v>1961</v>
      </c>
      <c r="P620" s="1" t="s">
        <v>3569</v>
      </c>
      <c r="Q620" s="1" t="s">
        <v>3420</v>
      </c>
      <c r="R620" s="1" t="s">
        <v>1034</v>
      </c>
      <c r="S620" s="1" t="s">
        <v>165</v>
      </c>
      <c r="T620" s="1">
        <v>50999</v>
      </c>
      <c r="V620" s="1" t="s">
        <v>1795</v>
      </c>
      <c r="W620" s="1" t="s">
        <v>3570</v>
      </c>
    </row>
    <row r="621" spans="1:23" ht="15.75" customHeight="1" x14ac:dyDescent="0.35">
      <c r="A621" s="1" t="s">
        <v>151</v>
      </c>
      <c r="B621" s="1" t="s">
        <v>3571</v>
      </c>
      <c r="C621" s="1" t="s">
        <v>3572</v>
      </c>
      <c r="D621" s="1" t="s">
        <v>3306</v>
      </c>
      <c r="F621" s="1" t="s">
        <v>3573</v>
      </c>
      <c r="G621" s="1" t="s">
        <v>156</v>
      </c>
      <c r="H621" s="1" t="s">
        <v>3574</v>
      </c>
      <c r="I621" s="1" t="s">
        <v>74</v>
      </c>
      <c r="K621" s="1" t="s">
        <v>101</v>
      </c>
      <c r="L621" s="1" t="s">
        <v>3284</v>
      </c>
      <c r="M621" s="1" t="s">
        <v>3575</v>
      </c>
      <c r="N621" s="1" t="s">
        <v>160</v>
      </c>
      <c r="O621" s="1" t="s">
        <v>3434</v>
      </c>
      <c r="P621" s="1" t="s">
        <v>3435</v>
      </c>
      <c r="Q621" s="1" t="s">
        <v>3383</v>
      </c>
      <c r="R621" s="1" t="s">
        <v>1105</v>
      </c>
      <c r="S621" s="1" t="s">
        <v>78</v>
      </c>
      <c r="T621" s="1">
        <v>16999</v>
      </c>
      <c r="U621" s="1" t="s">
        <v>79</v>
      </c>
      <c r="V621" s="1" t="s">
        <v>3576</v>
      </c>
      <c r="W621" s="1" t="s">
        <v>3577</v>
      </c>
    </row>
    <row r="622" spans="1:23" ht="15.75" customHeight="1" x14ac:dyDescent="0.35">
      <c r="A622" s="1" t="s">
        <v>151</v>
      </c>
      <c r="B622" s="1" t="s">
        <v>3578</v>
      </c>
      <c r="C622" s="1" t="s">
        <v>3534</v>
      </c>
      <c r="D622" s="1" t="s">
        <v>3315</v>
      </c>
      <c r="F622" s="1" t="s">
        <v>3579</v>
      </c>
      <c r="G622" s="1" t="s">
        <v>3580</v>
      </c>
      <c r="H622" s="1" t="s">
        <v>3337</v>
      </c>
      <c r="I622" s="1" t="s">
        <v>1015</v>
      </c>
      <c r="J622" s="1" t="s">
        <v>971</v>
      </c>
      <c r="K622" s="1" t="s">
        <v>40</v>
      </c>
      <c r="L622" s="1" t="s">
        <v>1175</v>
      </c>
      <c r="M622" s="1" t="s">
        <v>3581</v>
      </c>
      <c r="N622" s="1" t="s">
        <v>941</v>
      </c>
      <c r="O622" s="1" t="s">
        <v>3582</v>
      </c>
      <c r="P622" s="1" t="s">
        <v>3583</v>
      </c>
      <c r="Q622" s="1" t="s">
        <v>3584</v>
      </c>
      <c r="R622" s="1" t="s">
        <v>802</v>
      </c>
      <c r="S622" s="1" t="s">
        <v>78</v>
      </c>
      <c r="T622" s="1">
        <v>19999</v>
      </c>
      <c r="U622" s="1" t="s">
        <v>79</v>
      </c>
      <c r="V622" s="1" t="s">
        <v>3585</v>
      </c>
      <c r="W622" s="1" t="s">
        <v>3586</v>
      </c>
    </row>
    <row r="623" spans="1:23" ht="15.75" customHeight="1" x14ac:dyDescent="0.35">
      <c r="A623" s="1" t="s">
        <v>112</v>
      </c>
      <c r="B623" s="1" t="s">
        <v>3587</v>
      </c>
      <c r="C623" s="1" t="s">
        <v>3588</v>
      </c>
      <c r="D623" s="1" t="s">
        <v>3589</v>
      </c>
      <c r="F623" s="1" t="s">
        <v>1429</v>
      </c>
      <c r="G623" s="1" t="s">
        <v>2718</v>
      </c>
      <c r="H623" s="1" t="s">
        <v>3590</v>
      </c>
      <c r="I623" s="1" t="s">
        <v>120</v>
      </c>
      <c r="K623" s="1" t="s">
        <v>101</v>
      </c>
      <c r="L623" s="1" t="s">
        <v>3354</v>
      </c>
      <c r="M623" s="1" t="s">
        <v>3355</v>
      </c>
      <c r="N623" s="1" t="s">
        <v>3356</v>
      </c>
      <c r="O623" s="1" t="s">
        <v>3357</v>
      </c>
      <c r="P623" s="1" t="s">
        <v>3358</v>
      </c>
      <c r="Q623" s="1" t="s">
        <v>3288</v>
      </c>
      <c r="R623" s="1" t="s">
        <v>985</v>
      </c>
      <c r="S623" s="1" t="s">
        <v>78</v>
      </c>
      <c r="T623" s="1">
        <v>21888</v>
      </c>
      <c r="U623" s="1" t="s">
        <v>79</v>
      </c>
      <c r="V623" s="1" t="s">
        <v>3591</v>
      </c>
      <c r="W623" s="1" t="s">
        <v>3592</v>
      </c>
    </row>
    <row r="624" spans="1:23" ht="15.75" customHeight="1" x14ac:dyDescent="0.35">
      <c r="A624" s="1" t="s">
        <v>81</v>
      </c>
      <c r="B624" s="1" t="s">
        <v>3268</v>
      </c>
      <c r="C624" s="1" t="s">
        <v>3376</v>
      </c>
      <c r="D624" s="1" t="s">
        <v>3270</v>
      </c>
      <c r="F624" s="1" t="s">
        <v>491</v>
      </c>
      <c r="G624" s="1" t="s">
        <v>2521</v>
      </c>
      <c r="H624" s="1" t="s">
        <v>3272</v>
      </c>
      <c r="I624" s="1" t="s">
        <v>1015</v>
      </c>
      <c r="J624" s="1" t="s">
        <v>971</v>
      </c>
      <c r="K624" s="1" t="s">
        <v>90</v>
      </c>
      <c r="M624" s="1" t="s">
        <v>3480</v>
      </c>
      <c r="O624" s="1" t="s">
        <v>3274</v>
      </c>
      <c r="P624" s="1" t="s">
        <v>3275</v>
      </c>
      <c r="Q624" s="1" t="s">
        <v>3276</v>
      </c>
      <c r="R624" s="1" t="s">
        <v>3277</v>
      </c>
      <c r="S624" s="1" t="s">
        <v>78</v>
      </c>
      <c r="T624" s="1">
        <v>34999</v>
      </c>
      <c r="V624" s="1" t="s">
        <v>3481</v>
      </c>
    </row>
    <row r="625" spans="1:23" ht="15.75" customHeight="1" x14ac:dyDescent="0.35">
      <c r="A625" s="1" t="s">
        <v>112</v>
      </c>
      <c r="B625" s="1" t="s">
        <v>3593</v>
      </c>
      <c r="C625" s="1" t="s">
        <v>3594</v>
      </c>
      <c r="D625" s="1" t="s">
        <v>3270</v>
      </c>
      <c r="F625" s="1" t="s">
        <v>3595</v>
      </c>
      <c r="G625" s="1" t="s">
        <v>2718</v>
      </c>
      <c r="H625" s="1" t="s">
        <v>3596</v>
      </c>
      <c r="I625" s="1" t="s">
        <v>120</v>
      </c>
      <c r="K625" s="1" t="s">
        <v>40</v>
      </c>
      <c r="L625" s="1" t="s">
        <v>3543</v>
      </c>
      <c r="M625" s="1" t="s">
        <v>3597</v>
      </c>
      <c r="N625" s="1" t="s">
        <v>3598</v>
      </c>
      <c r="O625" s="1" t="s">
        <v>3599</v>
      </c>
      <c r="P625" s="1" t="s">
        <v>3600</v>
      </c>
      <c r="Q625" s="1" t="s">
        <v>3601</v>
      </c>
      <c r="R625" s="1" t="s">
        <v>3548</v>
      </c>
      <c r="S625" s="1" t="s">
        <v>129</v>
      </c>
      <c r="T625" s="1">
        <v>43999</v>
      </c>
      <c r="V625" s="1" t="s">
        <v>3602</v>
      </c>
      <c r="W625" s="1" t="s">
        <v>3603</v>
      </c>
    </row>
    <row r="626" spans="1:23" ht="15.75" customHeight="1" x14ac:dyDescent="0.35">
      <c r="A626" s="1" t="s">
        <v>151</v>
      </c>
      <c r="B626" s="1" t="s">
        <v>3604</v>
      </c>
      <c r="C626" s="1" t="s">
        <v>3376</v>
      </c>
      <c r="D626" s="1" t="s">
        <v>3270</v>
      </c>
      <c r="F626" s="1" t="s">
        <v>3605</v>
      </c>
      <c r="G626" s="1" t="s">
        <v>156</v>
      </c>
      <c r="H626" s="1" t="s">
        <v>3337</v>
      </c>
      <c r="I626" s="1" t="s">
        <v>275</v>
      </c>
      <c r="J626" s="1" t="s">
        <v>971</v>
      </c>
      <c r="K626" s="1" t="s">
        <v>40</v>
      </c>
      <c r="L626" s="1" t="s">
        <v>1175</v>
      </c>
      <c r="M626" s="1" t="s">
        <v>856</v>
      </c>
      <c r="N626" s="1" t="s">
        <v>941</v>
      </c>
      <c r="O626" s="1" t="s">
        <v>3309</v>
      </c>
      <c r="P626" s="1" t="s">
        <v>3310</v>
      </c>
      <c r="Q626" s="1" t="s">
        <v>3338</v>
      </c>
      <c r="R626" s="1" t="s">
        <v>3291</v>
      </c>
      <c r="S626" s="1" t="s">
        <v>129</v>
      </c>
      <c r="T626" s="1">
        <v>29999</v>
      </c>
      <c r="V626" s="1" t="s">
        <v>3606</v>
      </c>
      <c r="W626" s="1" t="s">
        <v>3607</v>
      </c>
    </row>
    <row r="627" spans="1:23" ht="15.75" customHeight="1" x14ac:dyDescent="0.35">
      <c r="A627" s="1" t="s">
        <v>30</v>
      </c>
      <c r="B627" s="1" t="s">
        <v>3608</v>
      </c>
      <c r="C627" s="1" t="s">
        <v>3609</v>
      </c>
      <c r="D627" s="1" t="s">
        <v>3438</v>
      </c>
      <c r="F627" s="1" t="s">
        <v>53</v>
      </c>
      <c r="G627" s="1" t="s">
        <v>644</v>
      </c>
      <c r="H627" s="1" t="s">
        <v>2056</v>
      </c>
      <c r="I627" s="1" t="s">
        <v>120</v>
      </c>
      <c r="J627" s="1" t="s">
        <v>971</v>
      </c>
      <c r="K627" s="1" t="s">
        <v>40</v>
      </c>
      <c r="L627" s="1" t="s">
        <v>3317</v>
      </c>
      <c r="M627" s="1" t="s">
        <v>3610</v>
      </c>
      <c r="N627" s="1" t="s">
        <v>326</v>
      </c>
      <c r="O627" s="1" t="s">
        <v>3611</v>
      </c>
      <c r="P627" s="1" t="s">
        <v>3612</v>
      </c>
      <c r="Q627" s="1" t="s">
        <v>230</v>
      </c>
      <c r="R627" s="1" t="s">
        <v>3527</v>
      </c>
      <c r="S627" s="1" t="s">
        <v>129</v>
      </c>
      <c r="T627" s="1">
        <v>36850</v>
      </c>
    </row>
    <row r="628" spans="1:23" ht="15.75" customHeight="1" x14ac:dyDescent="0.35">
      <c r="A628" s="1" t="s">
        <v>30</v>
      </c>
      <c r="B628" s="1" t="s">
        <v>3608</v>
      </c>
      <c r="C628" s="1" t="s">
        <v>3437</v>
      </c>
      <c r="D628" s="1" t="s">
        <v>3438</v>
      </c>
      <c r="F628" s="1" t="s">
        <v>53</v>
      </c>
      <c r="G628" s="1" t="s">
        <v>644</v>
      </c>
      <c r="H628" s="1" t="s">
        <v>2056</v>
      </c>
      <c r="I628" s="1" t="s">
        <v>120</v>
      </c>
      <c r="J628" s="1" t="s">
        <v>971</v>
      </c>
      <c r="K628" s="1" t="s">
        <v>40</v>
      </c>
      <c r="L628" s="1" t="s">
        <v>3317</v>
      </c>
      <c r="M628" s="1" t="s">
        <v>3610</v>
      </c>
      <c r="N628" s="1" t="s">
        <v>326</v>
      </c>
      <c r="O628" s="1" t="s">
        <v>3611</v>
      </c>
      <c r="P628" s="1" t="s">
        <v>3612</v>
      </c>
      <c r="Q628" s="1" t="s">
        <v>230</v>
      </c>
      <c r="R628" s="1" t="s">
        <v>3527</v>
      </c>
      <c r="S628" s="1" t="s">
        <v>129</v>
      </c>
      <c r="T628" s="1">
        <v>41850</v>
      </c>
    </row>
    <row r="629" spans="1:23" ht="15.75" customHeight="1" x14ac:dyDescent="0.35">
      <c r="A629" s="1" t="s">
        <v>30</v>
      </c>
      <c r="B629" s="1" t="s">
        <v>3608</v>
      </c>
      <c r="C629" s="1" t="s">
        <v>586</v>
      </c>
      <c r="D629" s="1" t="s">
        <v>3438</v>
      </c>
      <c r="F629" s="1" t="s">
        <v>53</v>
      </c>
      <c r="G629" s="1" t="s">
        <v>54</v>
      </c>
      <c r="H629" s="1" t="s">
        <v>2056</v>
      </c>
      <c r="I629" s="1" t="s">
        <v>120</v>
      </c>
      <c r="J629" s="1" t="s">
        <v>971</v>
      </c>
      <c r="K629" s="1" t="s">
        <v>40</v>
      </c>
      <c r="L629" s="1" t="s">
        <v>3317</v>
      </c>
      <c r="M629" s="1" t="s">
        <v>3613</v>
      </c>
      <c r="N629" s="1" t="s">
        <v>326</v>
      </c>
      <c r="O629" s="1" t="s">
        <v>3611</v>
      </c>
      <c r="P629" s="1" t="s">
        <v>3612</v>
      </c>
      <c r="Q629" s="1" t="s">
        <v>230</v>
      </c>
      <c r="R629" s="1" t="s">
        <v>3527</v>
      </c>
      <c r="S629" s="1" t="s">
        <v>129</v>
      </c>
      <c r="T629" s="1">
        <v>48950</v>
      </c>
    </row>
    <row r="630" spans="1:23" ht="15.75" customHeight="1" x14ac:dyDescent="0.35">
      <c r="A630" s="1" t="s">
        <v>234</v>
      </c>
      <c r="B630" s="1" t="s">
        <v>3614</v>
      </c>
      <c r="C630" s="1" t="s">
        <v>3615</v>
      </c>
      <c r="D630" s="1" t="s">
        <v>3363</v>
      </c>
      <c r="F630" s="1" t="s">
        <v>3616</v>
      </c>
      <c r="G630" s="1" t="s">
        <v>3395</v>
      </c>
      <c r="H630" s="1" t="s">
        <v>3617</v>
      </c>
      <c r="I630" s="1" t="s">
        <v>1021</v>
      </c>
      <c r="J630" s="1" t="s">
        <v>111</v>
      </c>
      <c r="K630" s="1" t="s">
        <v>40</v>
      </c>
      <c r="L630" s="1" t="s">
        <v>3408</v>
      </c>
      <c r="M630" s="1" t="s">
        <v>3417</v>
      </c>
      <c r="N630" s="1" t="s">
        <v>3398</v>
      </c>
      <c r="O630" s="1" t="s">
        <v>3418</v>
      </c>
      <c r="P630" s="1" t="s">
        <v>3618</v>
      </c>
      <c r="Q630" s="1" t="s">
        <v>3468</v>
      </c>
      <c r="R630" s="1" t="s">
        <v>3402</v>
      </c>
      <c r="S630" s="1" t="s">
        <v>129</v>
      </c>
      <c r="T630" s="1">
        <v>61999</v>
      </c>
      <c r="V630" s="1" t="s">
        <v>247</v>
      </c>
      <c r="W630" s="1" t="s">
        <v>3619</v>
      </c>
    </row>
    <row r="631" spans="1:23" ht="15.75" customHeight="1" x14ac:dyDescent="0.35">
      <c r="A631" s="1" t="s">
        <v>234</v>
      </c>
      <c r="B631" s="1" t="s">
        <v>967</v>
      </c>
      <c r="C631" s="1" t="s">
        <v>668</v>
      </c>
      <c r="D631" s="1" t="s">
        <v>51</v>
      </c>
      <c r="E631" s="1" t="s">
        <v>52</v>
      </c>
      <c r="F631" s="1" t="s">
        <v>968</v>
      </c>
      <c r="G631" s="1" t="s">
        <v>969</v>
      </c>
      <c r="H631" s="1" t="s">
        <v>970</v>
      </c>
      <c r="I631" s="1" t="s">
        <v>345</v>
      </c>
      <c r="J631" s="1" t="s">
        <v>971</v>
      </c>
      <c r="K631" s="1" t="s">
        <v>40</v>
      </c>
      <c r="L631" s="1" t="s">
        <v>972</v>
      </c>
      <c r="M631" s="1" t="s">
        <v>241</v>
      </c>
      <c r="N631" s="1" t="s">
        <v>973</v>
      </c>
      <c r="O631" s="1" t="s">
        <v>974</v>
      </c>
      <c r="P631" s="1" t="s">
        <v>975</v>
      </c>
      <c r="Q631" s="1" t="s">
        <v>976</v>
      </c>
      <c r="R631" s="1" t="s">
        <v>977</v>
      </c>
      <c r="S631" s="1" t="s">
        <v>129</v>
      </c>
      <c r="T631" s="1">
        <v>152000</v>
      </c>
      <c r="V631" s="1" t="s">
        <v>978</v>
      </c>
      <c r="W631" s="1" t="s">
        <v>979</v>
      </c>
    </row>
    <row r="632" spans="1:23" ht="15.75" customHeight="1" x14ac:dyDescent="0.35">
      <c r="A632" s="1" t="s">
        <v>234</v>
      </c>
      <c r="B632" s="1" t="s">
        <v>3620</v>
      </c>
      <c r="C632" s="1" t="s">
        <v>668</v>
      </c>
      <c r="D632" s="1" t="s">
        <v>3621</v>
      </c>
      <c r="F632" s="1" t="s">
        <v>3439</v>
      </c>
      <c r="G632" s="1" t="s">
        <v>1156</v>
      </c>
      <c r="H632" s="1" t="s">
        <v>3622</v>
      </c>
      <c r="I632" s="1" t="s">
        <v>1021</v>
      </c>
      <c r="J632" s="1" t="s">
        <v>39</v>
      </c>
      <c r="K632" s="1" t="s">
        <v>40</v>
      </c>
      <c r="L632" s="1" t="s">
        <v>3623</v>
      </c>
      <c r="M632" s="1" t="s">
        <v>3465</v>
      </c>
      <c r="N632" s="1" t="s">
        <v>973</v>
      </c>
      <c r="O632" s="1" t="s">
        <v>3466</v>
      </c>
      <c r="P632" s="1" t="s">
        <v>3624</v>
      </c>
      <c r="Q632" s="1" t="s">
        <v>3468</v>
      </c>
      <c r="R632" s="1" t="s">
        <v>3469</v>
      </c>
      <c r="S632" s="1" t="s">
        <v>129</v>
      </c>
      <c r="T632" s="1">
        <v>97777</v>
      </c>
      <c r="V632" s="1" t="s">
        <v>671</v>
      </c>
      <c r="W632" s="1" t="s">
        <v>3625</v>
      </c>
    </row>
    <row r="633" spans="1:23" ht="15.75" customHeight="1" x14ac:dyDescent="0.35">
      <c r="A633" s="1" t="s">
        <v>234</v>
      </c>
      <c r="B633" s="1" t="s">
        <v>3626</v>
      </c>
      <c r="C633" s="1" t="s">
        <v>3627</v>
      </c>
      <c r="D633" s="1" t="s">
        <v>3363</v>
      </c>
      <c r="F633" s="1" t="s">
        <v>3628</v>
      </c>
      <c r="G633" s="1" t="s">
        <v>3629</v>
      </c>
      <c r="H633" s="1" t="s">
        <v>3630</v>
      </c>
      <c r="I633" s="1" t="s">
        <v>120</v>
      </c>
      <c r="J633" s="1" t="s">
        <v>971</v>
      </c>
      <c r="K633" s="1" t="s">
        <v>40</v>
      </c>
      <c r="L633" s="1" t="s">
        <v>3631</v>
      </c>
      <c r="M633" s="1" t="s">
        <v>3561</v>
      </c>
      <c r="N633" s="1" t="s">
        <v>633</v>
      </c>
      <c r="O633" s="1" t="s">
        <v>3632</v>
      </c>
      <c r="P633" s="1" t="s">
        <v>3633</v>
      </c>
      <c r="Q633" s="1" t="s">
        <v>3346</v>
      </c>
      <c r="R633" s="1" t="s">
        <v>3634</v>
      </c>
      <c r="S633" s="1" t="s">
        <v>165</v>
      </c>
      <c r="T633" s="1">
        <v>13499</v>
      </c>
      <c r="V633" s="1" t="s">
        <v>3635</v>
      </c>
      <c r="W633" s="1" t="s">
        <v>3636</v>
      </c>
    </row>
    <row r="634" spans="1:23" ht="15.75" customHeight="1" x14ac:dyDescent="0.35">
      <c r="A634" s="1" t="s">
        <v>234</v>
      </c>
      <c r="B634" s="1" t="s">
        <v>3637</v>
      </c>
      <c r="C634" s="1" t="s">
        <v>3638</v>
      </c>
      <c r="D634" s="1" t="s">
        <v>3522</v>
      </c>
      <c r="F634" s="1" t="s">
        <v>983</v>
      </c>
      <c r="G634" s="1" t="s">
        <v>629</v>
      </c>
      <c r="H634" s="1" t="s">
        <v>3639</v>
      </c>
      <c r="I634" s="1" t="s">
        <v>275</v>
      </c>
      <c r="J634" s="1" t="s">
        <v>971</v>
      </c>
      <c r="K634" s="1" t="s">
        <v>40</v>
      </c>
      <c r="L634" s="1" t="s">
        <v>3560</v>
      </c>
      <c r="M634" s="1" t="s">
        <v>632</v>
      </c>
      <c r="N634" s="1" t="s">
        <v>920</v>
      </c>
      <c r="O634" s="1" t="s">
        <v>3640</v>
      </c>
      <c r="P634" s="1" t="s">
        <v>3641</v>
      </c>
      <c r="Q634" s="1" t="s">
        <v>3468</v>
      </c>
      <c r="R634" s="1" t="s">
        <v>3402</v>
      </c>
      <c r="S634" s="1" t="s">
        <v>165</v>
      </c>
      <c r="T634" s="1">
        <v>42777</v>
      </c>
      <c r="U634" s="1" t="s">
        <v>79</v>
      </c>
      <c r="V634" s="1" t="s">
        <v>3642</v>
      </c>
      <c r="W634" s="1" t="s">
        <v>3643</v>
      </c>
    </row>
    <row r="635" spans="1:23" ht="15.75" customHeight="1" x14ac:dyDescent="0.35">
      <c r="A635" s="1" t="s">
        <v>151</v>
      </c>
      <c r="B635" s="1" t="s">
        <v>3430</v>
      </c>
      <c r="C635" s="1" t="s">
        <v>3290</v>
      </c>
      <c r="D635" s="1" t="s">
        <v>3306</v>
      </c>
      <c r="F635" s="1" t="s">
        <v>3644</v>
      </c>
      <c r="G635" s="1" t="s">
        <v>156</v>
      </c>
      <c r="H635" s="1" t="s">
        <v>3574</v>
      </c>
      <c r="I635" s="1" t="s">
        <v>74</v>
      </c>
      <c r="K635" s="1" t="s">
        <v>101</v>
      </c>
      <c r="L635" s="1" t="s">
        <v>3284</v>
      </c>
      <c r="M635" s="1" t="s">
        <v>3575</v>
      </c>
      <c r="N635" s="1" t="s">
        <v>160</v>
      </c>
      <c r="O635" s="1" t="s">
        <v>3434</v>
      </c>
      <c r="P635" s="1" t="s">
        <v>3435</v>
      </c>
      <c r="Q635" s="1" t="s">
        <v>3383</v>
      </c>
      <c r="R635" s="1" t="s">
        <v>1105</v>
      </c>
      <c r="S635" s="1" t="s">
        <v>78</v>
      </c>
      <c r="T635" s="1">
        <v>24444</v>
      </c>
      <c r="U635" s="1" t="s">
        <v>79</v>
      </c>
      <c r="V635" s="1" t="s">
        <v>80</v>
      </c>
      <c r="W635" s="1" t="s">
        <v>3505</v>
      </c>
    </row>
    <row r="636" spans="1:23" ht="15.75" customHeight="1" x14ac:dyDescent="0.35">
      <c r="A636" s="1" t="s">
        <v>112</v>
      </c>
      <c r="B636" s="1" t="s">
        <v>3645</v>
      </c>
      <c r="C636" s="1" t="s">
        <v>3476</v>
      </c>
      <c r="D636" s="1" t="s">
        <v>3522</v>
      </c>
      <c r="F636" s="1" t="s">
        <v>363</v>
      </c>
      <c r="G636" s="1" t="s">
        <v>2718</v>
      </c>
      <c r="H636" s="1" t="s">
        <v>989</v>
      </c>
      <c r="I636" s="1" t="s">
        <v>120</v>
      </c>
      <c r="K636" s="1" t="s">
        <v>101</v>
      </c>
      <c r="L636" s="1" t="s">
        <v>3354</v>
      </c>
      <c r="M636" s="1" t="s">
        <v>3355</v>
      </c>
      <c r="N636" s="1" t="s">
        <v>3356</v>
      </c>
      <c r="O636" s="1" t="s">
        <v>3357</v>
      </c>
      <c r="P636" s="1" t="s">
        <v>3646</v>
      </c>
      <c r="Q636" s="1" t="s">
        <v>3288</v>
      </c>
      <c r="R636" s="1" t="s">
        <v>767</v>
      </c>
      <c r="S636" s="1" t="s">
        <v>129</v>
      </c>
      <c r="T636" s="1">
        <v>27777</v>
      </c>
      <c r="U636" s="1" t="s">
        <v>79</v>
      </c>
      <c r="V636" s="1" t="s">
        <v>3385</v>
      </c>
      <c r="W636" s="1" t="s">
        <v>3647</v>
      </c>
    </row>
    <row r="637" spans="1:23" ht="15.75" customHeight="1" x14ac:dyDescent="0.35">
      <c r="A637" s="1" t="s">
        <v>234</v>
      </c>
      <c r="B637" s="1" t="s">
        <v>3648</v>
      </c>
      <c r="C637" s="1" t="s">
        <v>3649</v>
      </c>
      <c r="D637" s="1" t="s">
        <v>3315</v>
      </c>
      <c r="F637" s="1" t="s">
        <v>3650</v>
      </c>
      <c r="G637" s="1" t="s">
        <v>3651</v>
      </c>
      <c r="H637" s="1" t="s">
        <v>3652</v>
      </c>
      <c r="I637" s="1" t="s">
        <v>3653</v>
      </c>
      <c r="J637" s="1" t="s">
        <v>971</v>
      </c>
      <c r="K637" s="1" t="s">
        <v>40</v>
      </c>
      <c r="M637" s="1" t="s">
        <v>3561</v>
      </c>
      <c r="N637" s="1" t="s">
        <v>3654</v>
      </c>
      <c r="O637" s="1" t="s">
        <v>3655</v>
      </c>
      <c r="P637" s="1" t="s">
        <v>3656</v>
      </c>
      <c r="Q637" s="1" t="s">
        <v>3420</v>
      </c>
      <c r="R637" s="1" t="s">
        <v>3657</v>
      </c>
      <c r="S637" s="1" t="s">
        <v>129</v>
      </c>
      <c r="T637" s="1">
        <v>8888</v>
      </c>
      <c r="V637" s="1" t="s">
        <v>3658</v>
      </c>
      <c r="W637" s="1" t="s">
        <v>3659</v>
      </c>
    </row>
    <row r="638" spans="1:23" ht="15.75" customHeight="1" x14ac:dyDescent="0.35">
      <c r="A638" s="1" t="s">
        <v>151</v>
      </c>
      <c r="B638" s="1" t="s">
        <v>3660</v>
      </c>
      <c r="C638" s="1" t="s">
        <v>3661</v>
      </c>
      <c r="D638" s="1" t="s">
        <v>3662</v>
      </c>
      <c r="F638" s="1" t="s">
        <v>3327</v>
      </c>
      <c r="G638" s="1" t="s">
        <v>156</v>
      </c>
      <c r="H638" s="1" t="s">
        <v>3663</v>
      </c>
      <c r="I638" s="1" t="s">
        <v>120</v>
      </c>
      <c r="K638" s="1" t="s">
        <v>40</v>
      </c>
      <c r="L638" s="1" t="s">
        <v>3284</v>
      </c>
      <c r="M638" s="1" t="s">
        <v>3330</v>
      </c>
      <c r="N638" s="1" t="s">
        <v>160</v>
      </c>
      <c r="O638" s="1" t="s">
        <v>3331</v>
      </c>
      <c r="P638" s="1" t="s">
        <v>3332</v>
      </c>
      <c r="Q638" s="1" t="s">
        <v>3346</v>
      </c>
      <c r="R638" s="1" t="s">
        <v>3333</v>
      </c>
      <c r="S638" s="1" t="s">
        <v>165</v>
      </c>
      <c r="T638" s="1">
        <v>26666</v>
      </c>
      <c r="U638" s="1" t="s">
        <v>166</v>
      </c>
      <c r="V638" s="1" t="s">
        <v>3664</v>
      </c>
      <c r="W638" s="1" t="s">
        <v>3665</v>
      </c>
    </row>
    <row r="639" spans="1:23" ht="15.75" customHeight="1" x14ac:dyDescent="0.35">
      <c r="A639" s="1" t="s">
        <v>151</v>
      </c>
      <c r="B639" s="1" t="s">
        <v>3660</v>
      </c>
      <c r="C639" s="1" t="s">
        <v>3661</v>
      </c>
      <c r="D639" s="1" t="s">
        <v>3341</v>
      </c>
      <c r="F639" s="1" t="s">
        <v>3327</v>
      </c>
      <c r="G639" s="1" t="s">
        <v>829</v>
      </c>
      <c r="H639" s="1" t="s">
        <v>3663</v>
      </c>
      <c r="I639" s="1" t="s">
        <v>120</v>
      </c>
      <c r="K639" s="1" t="s">
        <v>40</v>
      </c>
      <c r="L639" s="1" t="s">
        <v>3284</v>
      </c>
      <c r="M639" s="1" t="s">
        <v>3330</v>
      </c>
      <c r="N639" s="1" t="s">
        <v>160</v>
      </c>
      <c r="O639" s="1" t="s">
        <v>3331</v>
      </c>
      <c r="P639" s="1" t="s">
        <v>3332</v>
      </c>
      <c r="Q639" s="1" t="s">
        <v>3346</v>
      </c>
      <c r="R639" s="1" t="s">
        <v>3333</v>
      </c>
      <c r="S639" s="1" t="s">
        <v>339</v>
      </c>
      <c r="T639" s="1">
        <v>24999</v>
      </c>
      <c r="U639" s="1" t="s">
        <v>166</v>
      </c>
      <c r="V639" s="1" t="s">
        <v>3664</v>
      </c>
      <c r="W639" s="1" t="s">
        <v>3666</v>
      </c>
    </row>
    <row r="640" spans="1:23" ht="15.75" customHeight="1" x14ac:dyDescent="0.35">
      <c r="A640" s="1" t="s">
        <v>151</v>
      </c>
      <c r="B640" s="1" t="s">
        <v>3667</v>
      </c>
      <c r="C640" s="1" t="s">
        <v>3668</v>
      </c>
      <c r="D640" s="1" t="s">
        <v>3669</v>
      </c>
      <c r="E640" s="1" t="s">
        <v>3670</v>
      </c>
      <c r="F640" s="1" t="s">
        <v>3296</v>
      </c>
      <c r="G640" s="1" t="s">
        <v>1506</v>
      </c>
      <c r="H640" s="1" t="s">
        <v>3671</v>
      </c>
      <c r="I640" s="1" t="s">
        <v>120</v>
      </c>
      <c r="K640" s="1" t="s">
        <v>101</v>
      </c>
      <c r="L640" s="1" t="s">
        <v>3284</v>
      </c>
      <c r="M640" s="1" t="s">
        <v>159</v>
      </c>
      <c r="N640" s="1" t="s">
        <v>160</v>
      </c>
      <c r="O640" s="1" t="s">
        <v>3672</v>
      </c>
      <c r="P640" s="1" t="s">
        <v>3673</v>
      </c>
      <c r="Q640" s="1" t="s">
        <v>3458</v>
      </c>
      <c r="R640" s="1" t="s">
        <v>3674</v>
      </c>
      <c r="S640" s="1" t="s">
        <v>129</v>
      </c>
      <c r="T640" s="1">
        <v>28999</v>
      </c>
      <c r="U640" s="1" t="s">
        <v>1082</v>
      </c>
      <c r="V640" s="1" t="s">
        <v>3675</v>
      </c>
      <c r="W640" s="1" t="s">
        <v>3676</v>
      </c>
    </row>
    <row r="641" spans="1:24" ht="15.75" customHeight="1" x14ac:dyDescent="0.35">
      <c r="A641" s="1" t="s">
        <v>112</v>
      </c>
      <c r="B641" s="1" t="s">
        <v>3677</v>
      </c>
      <c r="C641" s="1" t="s">
        <v>3678</v>
      </c>
      <c r="D641" s="1" t="s">
        <v>669</v>
      </c>
      <c r="E641" s="1" t="s">
        <v>540</v>
      </c>
      <c r="F641" s="1" t="s">
        <v>3679</v>
      </c>
      <c r="G641" s="1" t="s">
        <v>735</v>
      </c>
      <c r="H641" s="1" t="s">
        <v>3679</v>
      </c>
      <c r="I641" s="1" t="s">
        <v>224</v>
      </c>
      <c r="J641" s="1" t="s">
        <v>39</v>
      </c>
      <c r="K641" s="1" t="s">
        <v>201</v>
      </c>
      <c r="L641" s="1" t="s">
        <v>762</v>
      </c>
      <c r="M641" s="1" t="s">
        <v>213</v>
      </c>
      <c r="N641" s="1" t="s">
        <v>763</v>
      </c>
      <c r="O641" s="1" t="s">
        <v>764</v>
      </c>
      <c r="P641" s="1" t="s">
        <v>3680</v>
      </c>
      <c r="Q641" s="1" t="s">
        <v>3681</v>
      </c>
      <c r="R641" s="1" t="s">
        <v>767</v>
      </c>
      <c r="S641" s="1" t="s">
        <v>78</v>
      </c>
      <c r="T641" s="1">
        <v>89999</v>
      </c>
      <c r="U641" s="1" t="s">
        <v>79</v>
      </c>
      <c r="V641" s="1" t="s">
        <v>3682</v>
      </c>
      <c r="W641" s="1" t="s">
        <v>3683</v>
      </c>
    </row>
    <row r="642" spans="1:24" ht="15.75" customHeight="1" x14ac:dyDescent="0.35">
      <c r="A642" s="1" t="s">
        <v>234</v>
      </c>
      <c r="B642" s="1" t="s">
        <v>3684</v>
      </c>
      <c r="C642" s="1" t="s">
        <v>3392</v>
      </c>
      <c r="D642" s="1" t="s">
        <v>3393</v>
      </c>
      <c r="F642" s="1" t="s">
        <v>3394</v>
      </c>
      <c r="G642" s="1" t="s">
        <v>3395</v>
      </c>
      <c r="H642" s="1" t="s">
        <v>3685</v>
      </c>
      <c r="I642" s="1" t="s">
        <v>275</v>
      </c>
      <c r="J642" s="1" t="s">
        <v>971</v>
      </c>
      <c r="K642" s="1" t="s">
        <v>40</v>
      </c>
      <c r="L642" s="1" t="s">
        <v>3686</v>
      </c>
      <c r="M642" s="1" t="s">
        <v>1258</v>
      </c>
      <c r="N642" s="1" t="s">
        <v>973</v>
      </c>
      <c r="O642" s="1" t="s">
        <v>3687</v>
      </c>
      <c r="P642" s="1" t="s">
        <v>3688</v>
      </c>
      <c r="Q642" s="1" t="s">
        <v>3689</v>
      </c>
      <c r="R642" s="1" t="s">
        <v>3690</v>
      </c>
      <c r="S642" s="1" t="s">
        <v>129</v>
      </c>
      <c r="T642" s="1">
        <v>53999</v>
      </c>
      <c r="V642" s="1" t="s">
        <v>3691</v>
      </c>
      <c r="W642" s="1" t="s">
        <v>3692</v>
      </c>
    </row>
    <row r="643" spans="1:24" ht="15.75" customHeight="1" x14ac:dyDescent="0.35">
      <c r="A643" s="1" t="s">
        <v>234</v>
      </c>
      <c r="B643" s="1" t="s">
        <v>3693</v>
      </c>
      <c r="C643" s="1" t="s">
        <v>687</v>
      </c>
      <c r="D643" s="1" t="s">
        <v>3315</v>
      </c>
      <c r="F643" s="1" t="s">
        <v>2110</v>
      </c>
      <c r="G643" s="1" t="s">
        <v>629</v>
      </c>
      <c r="H643" s="1" t="s">
        <v>3694</v>
      </c>
      <c r="I643" s="1" t="s">
        <v>120</v>
      </c>
      <c r="J643" s="1" t="s">
        <v>971</v>
      </c>
      <c r="K643" s="1" t="s">
        <v>555</v>
      </c>
      <c r="L643" s="1" t="s">
        <v>3695</v>
      </c>
      <c r="M643" s="1" t="s">
        <v>3561</v>
      </c>
      <c r="N643" s="1" t="s">
        <v>465</v>
      </c>
      <c r="O643" s="1" t="s">
        <v>3696</v>
      </c>
      <c r="P643" s="1" t="s">
        <v>3697</v>
      </c>
      <c r="Q643" s="1" t="s">
        <v>3500</v>
      </c>
      <c r="R643" s="1" t="s">
        <v>1610</v>
      </c>
      <c r="S643" s="1" t="s">
        <v>129</v>
      </c>
      <c r="T643" s="1">
        <v>23199</v>
      </c>
      <c r="U643" s="1" t="s">
        <v>79</v>
      </c>
      <c r="V643" s="1" t="s">
        <v>986</v>
      </c>
    </row>
    <row r="644" spans="1:24" ht="15.75" customHeight="1" x14ac:dyDescent="0.35">
      <c r="A644" s="1" t="s">
        <v>234</v>
      </c>
      <c r="B644" s="1" t="s">
        <v>3698</v>
      </c>
      <c r="C644" s="1" t="s">
        <v>687</v>
      </c>
      <c r="D644" s="1" t="s">
        <v>3315</v>
      </c>
      <c r="F644" s="1" t="s">
        <v>983</v>
      </c>
      <c r="G644" s="1" t="s">
        <v>629</v>
      </c>
      <c r="H644" s="1" t="s">
        <v>3699</v>
      </c>
      <c r="I644" s="1" t="s">
        <v>120</v>
      </c>
      <c r="J644" s="1" t="s">
        <v>971</v>
      </c>
      <c r="K644" s="1" t="s">
        <v>555</v>
      </c>
      <c r="L644" s="1" t="s">
        <v>3695</v>
      </c>
      <c r="M644" s="1" t="s">
        <v>3561</v>
      </c>
      <c r="N644" s="1" t="s">
        <v>633</v>
      </c>
      <c r="O644" s="1" t="s">
        <v>3696</v>
      </c>
      <c r="P644" s="1" t="s">
        <v>3697</v>
      </c>
      <c r="Q644" s="1" t="s">
        <v>3500</v>
      </c>
      <c r="R644" s="1" t="s">
        <v>1610</v>
      </c>
      <c r="S644" s="1" t="s">
        <v>129</v>
      </c>
      <c r="T644" s="1">
        <v>24199</v>
      </c>
      <c r="U644" s="1" t="s">
        <v>79</v>
      </c>
      <c r="V644" s="1" t="s">
        <v>986</v>
      </c>
    </row>
    <row r="645" spans="1:24" ht="15.75" customHeight="1" x14ac:dyDescent="0.35">
      <c r="A645" s="1" t="s">
        <v>151</v>
      </c>
      <c r="B645" s="1" t="s">
        <v>3700</v>
      </c>
      <c r="C645" s="1" t="s">
        <v>3649</v>
      </c>
      <c r="D645" s="1" t="s">
        <v>3701</v>
      </c>
      <c r="F645" s="1" t="s">
        <v>3702</v>
      </c>
      <c r="G645" s="1" t="s">
        <v>3580</v>
      </c>
      <c r="H645" s="1" t="s">
        <v>3703</v>
      </c>
      <c r="I645" s="1" t="s">
        <v>3653</v>
      </c>
      <c r="K645" s="1" t="s">
        <v>101</v>
      </c>
      <c r="L645" s="1" t="s">
        <v>3284</v>
      </c>
      <c r="M645" s="1" t="s">
        <v>3330</v>
      </c>
      <c r="N645" s="1" t="s">
        <v>160</v>
      </c>
      <c r="O645" s="1" t="s">
        <v>3331</v>
      </c>
      <c r="P645" s="1" t="s">
        <v>3332</v>
      </c>
      <c r="Q645" s="1" t="s">
        <v>3704</v>
      </c>
      <c r="R645" s="1" t="s">
        <v>3705</v>
      </c>
      <c r="S645" s="1" t="s">
        <v>78</v>
      </c>
      <c r="T645" s="1">
        <v>11199</v>
      </c>
      <c r="V645" s="1" t="s">
        <v>3706</v>
      </c>
      <c r="W645" s="1" t="s">
        <v>3707</v>
      </c>
    </row>
    <row r="646" spans="1:24" ht="15.75" customHeight="1" x14ac:dyDescent="0.35">
      <c r="A646" s="1" t="s">
        <v>151</v>
      </c>
      <c r="B646" s="1" t="s">
        <v>3708</v>
      </c>
      <c r="C646" s="1" t="s">
        <v>3709</v>
      </c>
      <c r="D646" s="1" t="s">
        <v>3438</v>
      </c>
      <c r="F646" s="1" t="s">
        <v>1096</v>
      </c>
      <c r="G646" s="1" t="s">
        <v>156</v>
      </c>
      <c r="H646" s="1" t="s">
        <v>3710</v>
      </c>
      <c r="I646" s="1" t="s">
        <v>275</v>
      </c>
      <c r="J646" s="1" t="s">
        <v>971</v>
      </c>
      <c r="K646" s="1" t="s">
        <v>90</v>
      </c>
      <c r="L646" s="1" t="s">
        <v>1099</v>
      </c>
      <c r="M646" s="1" t="s">
        <v>856</v>
      </c>
      <c r="N646" s="1" t="s">
        <v>1101</v>
      </c>
      <c r="O646" s="1" t="s">
        <v>3711</v>
      </c>
      <c r="P646" s="1" t="s">
        <v>3712</v>
      </c>
      <c r="Q646" s="1" t="s">
        <v>3713</v>
      </c>
      <c r="R646" s="1" t="s">
        <v>3333</v>
      </c>
      <c r="S646" s="1" t="s">
        <v>78</v>
      </c>
      <c r="T646" s="1">
        <v>41999</v>
      </c>
      <c r="V646" s="1" t="s">
        <v>3714</v>
      </c>
      <c r="W646" s="1" t="s">
        <v>3715</v>
      </c>
    </row>
    <row r="647" spans="1:24" ht="15.75" customHeight="1" x14ac:dyDescent="0.35">
      <c r="A647" s="1" t="s">
        <v>151</v>
      </c>
      <c r="B647" s="1" t="s">
        <v>3708</v>
      </c>
      <c r="C647" s="1" t="s">
        <v>1095</v>
      </c>
      <c r="D647" s="1" t="s">
        <v>3438</v>
      </c>
      <c r="F647" s="1" t="s">
        <v>1096</v>
      </c>
      <c r="G647" s="1" t="s">
        <v>156</v>
      </c>
      <c r="H647" s="1" t="s">
        <v>3710</v>
      </c>
      <c r="I647" s="1" t="s">
        <v>275</v>
      </c>
      <c r="J647" s="1" t="s">
        <v>971</v>
      </c>
      <c r="K647" s="1" t="s">
        <v>90</v>
      </c>
      <c r="L647" s="1" t="s">
        <v>1099</v>
      </c>
      <c r="M647" s="1" t="s">
        <v>856</v>
      </c>
      <c r="N647" s="1" t="s">
        <v>1101</v>
      </c>
      <c r="O647" s="1" t="s">
        <v>3711</v>
      </c>
      <c r="P647" s="1" t="s">
        <v>3712</v>
      </c>
      <c r="Q647" s="1" t="s">
        <v>3713</v>
      </c>
      <c r="R647" s="1" t="s">
        <v>3333</v>
      </c>
      <c r="S647" s="1" t="s">
        <v>78</v>
      </c>
      <c r="T647" s="1">
        <v>44888</v>
      </c>
      <c r="V647" s="1" t="s">
        <v>1106</v>
      </c>
      <c r="W647" s="1" t="s">
        <v>3716</v>
      </c>
    </row>
    <row r="648" spans="1:24" ht="15.75" customHeight="1" x14ac:dyDescent="0.35">
      <c r="A648" s="1" t="s">
        <v>234</v>
      </c>
      <c r="B648" s="1" t="s">
        <v>3717</v>
      </c>
      <c r="C648" s="1" t="s">
        <v>655</v>
      </c>
      <c r="D648" s="1" t="s">
        <v>3522</v>
      </c>
      <c r="F648" s="1" t="s">
        <v>491</v>
      </c>
      <c r="G648" s="1" t="s">
        <v>629</v>
      </c>
      <c r="H648" s="1" t="s">
        <v>3718</v>
      </c>
      <c r="I648" s="1" t="s">
        <v>120</v>
      </c>
      <c r="J648" s="1" t="s">
        <v>971</v>
      </c>
      <c r="K648" s="1" t="s">
        <v>90</v>
      </c>
      <c r="L648" s="1" t="s">
        <v>3695</v>
      </c>
      <c r="M648" s="1" t="s">
        <v>3561</v>
      </c>
      <c r="N648" s="1" t="s">
        <v>633</v>
      </c>
      <c r="O648" s="1" t="s">
        <v>3719</v>
      </c>
      <c r="P648" s="1" t="s">
        <v>3697</v>
      </c>
      <c r="Q648" s="1" t="s">
        <v>3500</v>
      </c>
      <c r="R648" s="1" t="s">
        <v>1610</v>
      </c>
      <c r="S648" s="1" t="s">
        <v>78</v>
      </c>
      <c r="T648" s="1">
        <v>30999</v>
      </c>
      <c r="U648" s="1" t="s">
        <v>79</v>
      </c>
      <c r="V648" s="1" t="s">
        <v>3720</v>
      </c>
    </row>
    <row r="649" spans="1:24" ht="15.75" customHeight="1" x14ac:dyDescent="0.35">
      <c r="A649" s="1" t="s">
        <v>81</v>
      </c>
      <c r="B649" s="1" t="s">
        <v>3475</v>
      </c>
      <c r="C649" s="1" t="s">
        <v>3721</v>
      </c>
      <c r="D649" s="1" t="s">
        <v>3315</v>
      </c>
      <c r="F649" s="1" t="s">
        <v>3453</v>
      </c>
      <c r="G649" s="1" t="s">
        <v>2521</v>
      </c>
      <c r="H649" s="1" t="s">
        <v>2522</v>
      </c>
      <c r="I649" s="1" t="s">
        <v>120</v>
      </c>
      <c r="J649" s="1" t="s">
        <v>39</v>
      </c>
      <c r="K649" s="1" t="s">
        <v>101</v>
      </c>
      <c r="L649" s="1" t="s">
        <v>3454</v>
      </c>
      <c r="M649" s="1" t="s">
        <v>3498</v>
      </c>
      <c r="O649" s="1" t="s">
        <v>3456</v>
      </c>
      <c r="P649" s="1" t="s">
        <v>3457</v>
      </c>
      <c r="Q649" s="1" t="s">
        <v>3458</v>
      </c>
      <c r="R649" s="1" t="s">
        <v>3459</v>
      </c>
      <c r="S649" s="1" t="s">
        <v>78</v>
      </c>
      <c r="T649" s="1">
        <v>18599</v>
      </c>
      <c r="U649" s="1" t="s">
        <v>79</v>
      </c>
      <c r="V649" s="1" t="s">
        <v>3722</v>
      </c>
    </row>
    <row r="650" spans="1:24" ht="15.75" customHeight="1" x14ac:dyDescent="0.35">
      <c r="A650" s="1" t="s">
        <v>234</v>
      </c>
      <c r="B650" s="1" t="s">
        <v>3723</v>
      </c>
      <c r="C650" s="1" t="s">
        <v>3437</v>
      </c>
      <c r="D650" s="1" t="s">
        <v>3438</v>
      </c>
      <c r="F650" s="1" t="s">
        <v>3394</v>
      </c>
      <c r="G650" s="1" t="s">
        <v>3395</v>
      </c>
      <c r="K650" s="1" t="s">
        <v>90</v>
      </c>
      <c r="L650" s="1" t="s">
        <v>3560</v>
      </c>
      <c r="M650" s="1" t="s">
        <v>3724</v>
      </c>
      <c r="N650" s="1" t="s">
        <v>3398</v>
      </c>
      <c r="O650" s="1" t="s">
        <v>3442</v>
      </c>
      <c r="P650" s="1" t="s">
        <v>3725</v>
      </c>
      <c r="Q650" s="1" t="s">
        <v>3726</v>
      </c>
      <c r="R650" s="1" t="s">
        <v>3727</v>
      </c>
      <c r="S650" s="1" t="s">
        <v>78</v>
      </c>
      <c r="T650" s="1">
        <v>58888</v>
      </c>
      <c r="V650" s="1" t="s">
        <v>3728</v>
      </c>
    </row>
    <row r="651" spans="1:24" ht="15.75" customHeight="1" x14ac:dyDescent="0.35">
      <c r="A651" s="1" t="s">
        <v>3729</v>
      </c>
      <c r="B651" s="1" t="s">
        <v>3730</v>
      </c>
      <c r="C651" s="1" t="s">
        <v>3731</v>
      </c>
      <c r="D651" s="1" t="s">
        <v>3393</v>
      </c>
      <c r="F651" s="1" t="s">
        <v>3732</v>
      </c>
      <c r="G651" s="1" t="s">
        <v>322</v>
      </c>
      <c r="K651" s="1" t="s">
        <v>90</v>
      </c>
      <c r="O651" s="1" t="s">
        <v>3733</v>
      </c>
      <c r="P651" s="1" t="s">
        <v>3734</v>
      </c>
      <c r="Q651" s="1" t="s">
        <v>3735</v>
      </c>
      <c r="R651" s="1" t="s">
        <v>3736</v>
      </c>
      <c r="S651" s="1" t="s">
        <v>78</v>
      </c>
      <c r="T651" s="1">
        <v>154999</v>
      </c>
      <c r="V651" s="1" t="s">
        <v>3737</v>
      </c>
    </row>
    <row r="652" spans="1:24" ht="15.75" customHeight="1" x14ac:dyDescent="0.35">
      <c r="A652" s="1" t="s">
        <v>81</v>
      </c>
      <c r="B652" s="1" t="s">
        <v>3738</v>
      </c>
      <c r="C652" s="1" t="s">
        <v>3739</v>
      </c>
      <c r="D652" s="1" t="s">
        <v>3315</v>
      </c>
      <c r="F652" s="1" t="s">
        <v>3740</v>
      </c>
      <c r="G652" s="1" t="s">
        <v>2521</v>
      </c>
      <c r="H652" s="1" t="s">
        <v>2522</v>
      </c>
      <c r="I652" s="1" t="s">
        <v>120</v>
      </c>
      <c r="J652" s="1" t="s">
        <v>39</v>
      </c>
      <c r="K652" s="1" t="s">
        <v>101</v>
      </c>
      <c r="L652" s="1" t="s">
        <v>3518</v>
      </c>
      <c r="M652" s="1" t="s">
        <v>3498</v>
      </c>
      <c r="O652" s="1" t="s">
        <v>3741</v>
      </c>
      <c r="P652" s="1" t="s">
        <v>3742</v>
      </c>
      <c r="Q652" s="1" t="s">
        <v>1609</v>
      </c>
      <c r="R652" s="1" t="s">
        <v>3459</v>
      </c>
      <c r="S652" s="1" t="s">
        <v>78</v>
      </c>
      <c r="T652" s="1">
        <v>15999</v>
      </c>
      <c r="U652" s="1" t="s">
        <v>166</v>
      </c>
      <c r="V652" s="1" t="s">
        <v>3538</v>
      </c>
    </row>
    <row r="653" spans="1:24" ht="15.75" customHeight="1" x14ac:dyDescent="0.35">
      <c r="A653" s="1" t="s">
        <v>81</v>
      </c>
      <c r="B653" s="1" t="s">
        <v>3738</v>
      </c>
      <c r="C653" s="1" t="s">
        <v>3661</v>
      </c>
      <c r="D653" s="1" t="s">
        <v>3541</v>
      </c>
      <c r="F653" s="1" t="s">
        <v>3743</v>
      </c>
      <c r="G653" s="1" t="s">
        <v>2521</v>
      </c>
      <c r="H653" s="1" t="s">
        <v>2522</v>
      </c>
      <c r="I653" s="1" t="s">
        <v>120</v>
      </c>
      <c r="J653" s="1" t="s">
        <v>39</v>
      </c>
      <c r="K653" s="1" t="s">
        <v>101</v>
      </c>
      <c r="L653" s="1" t="s">
        <v>3744</v>
      </c>
      <c r="M653" s="1" t="s">
        <v>3455</v>
      </c>
      <c r="O653" s="1" t="s">
        <v>3741</v>
      </c>
      <c r="P653" s="1" t="s">
        <v>3742</v>
      </c>
      <c r="Q653" s="1" t="s">
        <v>1609</v>
      </c>
      <c r="R653" s="1" t="s">
        <v>3459</v>
      </c>
      <c r="S653" s="1" t="s">
        <v>78</v>
      </c>
      <c r="T653" s="1">
        <v>28999</v>
      </c>
      <c r="U653" s="1" t="s">
        <v>166</v>
      </c>
      <c r="V653" s="1" t="s">
        <v>3745</v>
      </c>
    </row>
    <row r="654" spans="1:24" ht="15.75" customHeight="1" x14ac:dyDescent="0.35">
      <c r="A654" s="1" t="s">
        <v>151</v>
      </c>
      <c r="B654" s="1" t="s">
        <v>3571</v>
      </c>
      <c r="C654" s="1" t="s">
        <v>3746</v>
      </c>
      <c r="D654" s="1" t="s">
        <v>3315</v>
      </c>
      <c r="F654" s="1" t="s">
        <v>3573</v>
      </c>
      <c r="G654" s="1" t="s">
        <v>3580</v>
      </c>
      <c r="H654" s="1" t="s">
        <v>3574</v>
      </c>
      <c r="I654" s="1" t="s">
        <v>120</v>
      </c>
      <c r="K654" s="1" t="s">
        <v>101</v>
      </c>
      <c r="L654" s="1" t="s">
        <v>3284</v>
      </c>
      <c r="M654" s="1" t="s">
        <v>3433</v>
      </c>
      <c r="N654" s="1" t="s">
        <v>160</v>
      </c>
      <c r="O654" s="1" t="s">
        <v>3434</v>
      </c>
      <c r="P654" s="1" t="s">
        <v>3435</v>
      </c>
      <c r="Q654" s="1" t="s">
        <v>3383</v>
      </c>
      <c r="R654" s="1" t="s">
        <v>1105</v>
      </c>
      <c r="S654" s="1" t="s">
        <v>165</v>
      </c>
      <c r="T654" s="1">
        <v>15999</v>
      </c>
      <c r="U654" s="1" t="s">
        <v>79</v>
      </c>
      <c r="V654" s="1" t="s">
        <v>3576</v>
      </c>
    </row>
    <row r="655" spans="1:24" ht="15.75" customHeight="1" x14ac:dyDescent="0.35">
      <c r="A655" s="1" t="s">
        <v>81</v>
      </c>
      <c r="B655" s="1" t="s">
        <v>3747</v>
      </c>
      <c r="C655" s="1" t="s">
        <v>3748</v>
      </c>
      <c r="D655" s="1" t="s">
        <v>3522</v>
      </c>
      <c r="F655" s="1" t="s">
        <v>3743</v>
      </c>
      <c r="G655" s="1" t="s">
        <v>2521</v>
      </c>
      <c r="H655" s="1" t="s">
        <v>3496</v>
      </c>
      <c r="I655" s="1" t="s">
        <v>616</v>
      </c>
      <c r="K655" s="1" t="s">
        <v>101</v>
      </c>
      <c r="L655" s="1" t="s">
        <v>3749</v>
      </c>
      <c r="M655" s="1" t="s">
        <v>3498</v>
      </c>
      <c r="O655" s="1" t="s">
        <v>3750</v>
      </c>
      <c r="P655" s="1" t="s">
        <v>3751</v>
      </c>
      <c r="Q655" s="1" t="s">
        <v>3752</v>
      </c>
      <c r="R655" s="1" t="s">
        <v>3459</v>
      </c>
      <c r="S655" s="1" t="s">
        <v>129</v>
      </c>
      <c r="T655" s="1">
        <v>24999</v>
      </c>
      <c r="U655" s="1" t="s">
        <v>1082</v>
      </c>
      <c r="V655" s="1" t="s">
        <v>3753</v>
      </c>
      <c r="X655" s="1" t="s">
        <v>3754</v>
      </c>
    </row>
    <row r="656" spans="1:24" ht="15.75" customHeight="1" x14ac:dyDescent="0.35">
      <c r="A656" s="1" t="s">
        <v>112</v>
      </c>
      <c r="B656" s="1" t="s">
        <v>3755</v>
      </c>
      <c r="C656" s="1" t="s">
        <v>3314</v>
      </c>
      <c r="D656" s="1" t="s">
        <v>3522</v>
      </c>
      <c r="F656" s="1" t="s">
        <v>363</v>
      </c>
      <c r="G656" s="1" t="s">
        <v>2718</v>
      </c>
      <c r="H656" s="1" t="s">
        <v>3756</v>
      </c>
      <c r="I656" s="1" t="s">
        <v>120</v>
      </c>
      <c r="K656" s="1" t="s">
        <v>101</v>
      </c>
      <c r="L656" s="1" t="s">
        <v>3487</v>
      </c>
      <c r="M656" s="1" t="s">
        <v>3355</v>
      </c>
      <c r="N656" s="1" t="s">
        <v>3356</v>
      </c>
      <c r="O656" s="1" t="s">
        <v>3357</v>
      </c>
      <c r="P656" s="1" t="s">
        <v>3646</v>
      </c>
      <c r="Q656" s="1" t="s">
        <v>3288</v>
      </c>
      <c r="R656" s="1" t="s">
        <v>767</v>
      </c>
      <c r="S656" s="1" t="s">
        <v>78</v>
      </c>
      <c r="T656" s="1">
        <v>24444</v>
      </c>
      <c r="U656" s="1" t="s">
        <v>79</v>
      </c>
      <c r="V656" s="1" t="s">
        <v>3591</v>
      </c>
      <c r="W656" s="1" t="s">
        <v>3757</v>
      </c>
    </row>
    <row r="657" spans="1:26" ht="15.75" customHeight="1" x14ac:dyDescent="0.35">
      <c r="A657" s="1" t="s">
        <v>30</v>
      </c>
      <c r="B657" s="1" t="s">
        <v>3313</v>
      </c>
      <c r="C657" s="1" t="s">
        <v>3758</v>
      </c>
      <c r="D657" s="1" t="s">
        <v>3522</v>
      </c>
      <c r="F657" s="1" t="s">
        <v>462</v>
      </c>
      <c r="G657" s="1" t="s">
        <v>1120</v>
      </c>
      <c r="H657" s="1" t="s">
        <v>3759</v>
      </c>
      <c r="I657" s="1" t="s">
        <v>120</v>
      </c>
      <c r="J657" s="1" t="s">
        <v>971</v>
      </c>
      <c r="K657" s="1" t="s">
        <v>101</v>
      </c>
      <c r="O657" s="1" t="s">
        <v>3760</v>
      </c>
      <c r="P657" s="1" t="s">
        <v>3320</v>
      </c>
      <c r="Q657" s="1" t="s">
        <v>3321</v>
      </c>
      <c r="R657" s="1" t="s">
        <v>3322</v>
      </c>
      <c r="S657" s="1" t="s">
        <v>78</v>
      </c>
      <c r="T657" s="1">
        <v>20999</v>
      </c>
      <c r="U657" s="1" t="s">
        <v>79</v>
      </c>
      <c r="V657" s="1" t="s">
        <v>3761</v>
      </c>
      <c r="W657" s="1" t="s">
        <v>3762</v>
      </c>
    </row>
    <row r="658" spans="1:26" ht="15.75" customHeight="1" x14ac:dyDescent="0.35">
      <c r="A658" s="1" t="s">
        <v>234</v>
      </c>
      <c r="B658" s="1" t="s">
        <v>3763</v>
      </c>
      <c r="C658" s="1" t="s">
        <v>3758</v>
      </c>
      <c r="D658" s="1" t="s">
        <v>3306</v>
      </c>
      <c r="F658" s="1" t="s">
        <v>462</v>
      </c>
      <c r="G658" s="1" t="s">
        <v>3764</v>
      </c>
      <c r="H658" s="1" t="s">
        <v>3765</v>
      </c>
      <c r="I658" s="1" t="s">
        <v>120</v>
      </c>
      <c r="J658" s="1" t="s">
        <v>971</v>
      </c>
      <c r="K658" s="1" t="s">
        <v>121</v>
      </c>
      <c r="L658" s="1" t="s">
        <v>972</v>
      </c>
      <c r="M658" s="1" t="s">
        <v>3561</v>
      </c>
      <c r="N658" s="1" t="s">
        <v>465</v>
      </c>
      <c r="O658" s="1" t="s">
        <v>3562</v>
      </c>
      <c r="P658" s="1" t="s">
        <v>3563</v>
      </c>
      <c r="Q658" s="1" t="s">
        <v>3500</v>
      </c>
      <c r="R658" s="1" t="s">
        <v>1610</v>
      </c>
      <c r="S658" s="1" t="s">
        <v>78</v>
      </c>
      <c r="T658" s="1">
        <v>20949</v>
      </c>
      <c r="U658" s="1" t="s">
        <v>79</v>
      </c>
      <c r="V658" s="1" t="s">
        <v>3766</v>
      </c>
      <c r="W658" s="1" t="s">
        <v>3767</v>
      </c>
    </row>
    <row r="659" spans="1:26" ht="15.75" customHeight="1" x14ac:dyDescent="0.35">
      <c r="A659" s="1" t="s">
        <v>234</v>
      </c>
      <c r="B659" s="1" t="s">
        <v>3768</v>
      </c>
      <c r="C659" s="1" t="s">
        <v>3769</v>
      </c>
      <c r="D659" s="1" t="s">
        <v>3363</v>
      </c>
      <c r="F659" s="1" t="s">
        <v>462</v>
      </c>
      <c r="G659" s="1" t="s">
        <v>1120</v>
      </c>
      <c r="H659" s="1" t="s">
        <v>3770</v>
      </c>
      <c r="I659" s="1" t="s">
        <v>275</v>
      </c>
      <c r="J659" s="1" t="s">
        <v>971</v>
      </c>
      <c r="K659" s="1" t="s">
        <v>90</v>
      </c>
      <c r="L659" s="1" t="s">
        <v>972</v>
      </c>
      <c r="M659" s="1" t="s">
        <v>632</v>
      </c>
      <c r="O659" s="1" t="s">
        <v>3771</v>
      </c>
      <c r="P659" s="1" t="s">
        <v>3641</v>
      </c>
      <c r="Q659" s="1" t="s">
        <v>3468</v>
      </c>
      <c r="R659" s="1" t="s">
        <v>3772</v>
      </c>
      <c r="S659" s="1" t="s">
        <v>78</v>
      </c>
      <c r="T659" s="1">
        <v>33999</v>
      </c>
      <c r="V659" s="1" t="s">
        <v>3773</v>
      </c>
      <c r="W659" s="1" t="s">
        <v>3774</v>
      </c>
    </row>
    <row r="660" spans="1:26" ht="15.75" customHeight="1" x14ac:dyDescent="0.35">
      <c r="A660" s="1" t="s">
        <v>234</v>
      </c>
      <c r="B660" s="1" t="s">
        <v>3775</v>
      </c>
      <c r="C660" s="1" t="s">
        <v>3776</v>
      </c>
      <c r="D660" s="1" t="s">
        <v>3363</v>
      </c>
      <c r="F660" s="1" t="s">
        <v>3777</v>
      </c>
      <c r="G660" s="1" t="s">
        <v>1120</v>
      </c>
      <c r="H660" s="1" t="s">
        <v>3770</v>
      </c>
      <c r="I660" s="1" t="s">
        <v>275</v>
      </c>
      <c r="J660" s="1" t="s">
        <v>971</v>
      </c>
      <c r="K660" s="1" t="s">
        <v>90</v>
      </c>
      <c r="L660" s="1" t="s">
        <v>972</v>
      </c>
      <c r="M660" s="1" t="s">
        <v>632</v>
      </c>
      <c r="O660" s="1" t="s">
        <v>3771</v>
      </c>
      <c r="P660" s="1" t="s">
        <v>3641</v>
      </c>
      <c r="Q660" s="1" t="s">
        <v>3468</v>
      </c>
      <c r="R660" s="1" t="s">
        <v>3778</v>
      </c>
      <c r="S660" s="1" t="s">
        <v>78</v>
      </c>
      <c r="T660" s="1">
        <v>28222</v>
      </c>
      <c r="V660" s="1" t="s">
        <v>3779</v>
      </c>
      <c r="W660" s="1" t="s">
        <v>3780</v>
      </c>
    </row>
    <row r="661" spans="1:26" ht="15.75" customHeight="1" x14ac:dyDescent="0.35">
      <c r="A661" s="1" t="s">
        <v>234</v>
      </c>
      <c r="B661" s="1" t="s">
        <v>3781</v>
      </c>
      <c r="C661" s="1" t="s">
        <v>3476</v>
      </c>
      <c r="D661" s="1" t="s">
        <v>3782</v>
      </c>
      <c r="F661" s="1" t="s">
        <v>965</v>
      </c>
      <c r="G661" s="1" t="s">
        <v>1120</v>
      </c>
      <c r="H661" s="1" t="s">
        <v>3783</v>
      </c>
      <c r="I661" s="1" t="s">
        <v>120</v>
      </c>
      <c r="J661" s="1" t="s">
        <v>971</v>
      </c>
      <c r="K661" s="1" t="s">
        <v>101</v>
      </c>
      <c r="L661" s="1" t="s">
        <v>3784</v>
      </c>
      <c r="M661" s="1" t="s">
        <v>3561</v>
      </c>
      <c r="O661" s="1" t="s">
        <v>3785</v>
      </c>
      <c r="P661" s="1" t="s">
        <v>3786</v>
      </c>
      <c r="Q661" s="1" t="s">
        <v>3500</v>
      </c>
      <c r="R661" s="1" t="s">
        <v>1610</v>
      </c>
      <c r="S661" s="1" t="s">
        <v>78</v>
      </c>
      <c r="T661" s="1">
        <v>27999</v>
      </c>
      <c r="U661" s="1" t="s">
        <v>79</v>
      </c>
      <c r="V661" s="1" t="s">
        <v>3787</v>
      </c>
      <c r="W661" s="1" t="s">
        <v>3788</v>
      </c>
    </row>
    <row r="662" spans="1:26" ht="15.75" customHeight="1" x14ac:dyDescent="0.35">
      <c r="A662" s="1" t="s">
        <v>234</v>
      </c>
      <c r="B662" s="1" t="s">
        <v>3789</v>
      </c>
      <c r="C662" s="1" t="s">
        <v>3790</v>
      </c>
      <c r="D662" s="1" t="s">
        <v>3306</v>
      </c>
      <c r="F662" s="1" t="s">
        <v>3650</v>
      </c>
      <c r="G662" s="1" t="s">
        <v>3791</v>
      </c>
      <c r="H662" s="1" t="s">
        <v>3792</v>
      </c>
      <c r="I662" s="1" t="s">
        <v>120</v>
      </c>
      <c r="K662" s="1" t="s">
        <v>90</v>
      </c>
      <c r="L662" s="1" t="s">
        <v>3560</v>
      </c>
      <c r="M662" s="1" t="s">
        <v>3561</v>
      </c>
      <c r="N662" s="1" t="s">
        <v>633</v>
      </c>
      <c r="O662" s="1" t="s">
        <v>3793</v>
      </c>
      <c r="P662" s="1" t="s">
        <v>3633</v>
      </c>
      <c r="Q662" s="1" t="s">
        <v>3346</v>
      </c>
      <c r="R662" s="1" t="s">
        <v>3794</v>
      </c>
      <c r="S662" s="1" t="s">
        <v>129</v>
      </c>
      <c r="T662" s="1">
        <v>12999</v>
      </c>
      <c r="V662" s="1" t="s">
        <v>3795</v>
      </c>
      <c r="W662" s="1" t="s">
        <v>3796</v>
      </c>
    </row>
    <row r="663" spans="1:26" ht="15.75" customHeight="1" x14ac:dyDescent="0.35">
      <c r="A663" s="1" t="s">
        <v>234</v>
      </c>
      <c r="B663" s="1" t="s">
        <v>3797</v>
      </c>
      <c r="C663" s="1" t="s">
        <v>3627</v>
      </c>
      <c r="D663" s="1" t="s">
        <v>3363</v>
      </c>
      <c r="F663" s="1" t="s">
        <v>3798</v>
      </c>
      <c r="G663" s="1" t="s">
        <v>3799</v>
      </c>
      <c r="H663" s="1" t="s">
        <v>3800</v>
      </c>
      <c r="I663" s="1" t="s">
        <v>616</v>
      </c>
      <c r="K663" s="1" t="s">
        <v>101</v>
      </c>
      <c r="L663" s="1" t="s">
        <v>3801</v>
      </c>
      <c r="M663" s="1" t="s">
        <v>3561</v>
      </c>
      <c r="O663" s="1" t="s">
        <v>3793</v>
      </c>
      <c r="P663" s="1" t="s">
        <v>3633</v>
      </c>
      <c r="R663" s="1" t="s">
        <v>3802</v>
      </c>
      <c r="S663" s="1" t="s">
        <v>78</v>
      </c>
      <c r="T663" s="1">
        <v>12499</v>
      </c>
      <c r="V663" s="1" t="s">
        <v>3803</v>
      </c>
      <c r="W663" s="1" t="s">
        <v>3804</v>
      </c>
    </row>
    <row r="664" spans="1:26" ht="15.75" customHeight="1" x14ac:dyDescent="0.35">
      <c r="A664" s="1" t="s">
        <v>112</v>
      </c>
      <c r="B664" s="1" t="s">
        <v>3805</v>
      </c>
      <c r="C664" s="1" t="s">
        <v>3294</v>
      </c>
      <c r="D664" s="1" t="s">
        <v>3806</v>
      </c>
      <c r="F664" s="1" t="s">
        <v>3807</v>
      </c>
      <c r="G664" s="1" t="s">
        <v>118</v>
      </c>
      <c r="H664" s="1" t="s">
        <v>3808</v>
      </c>
      <c r="K664" s="1" t="s">
        <v>90</v>
      </c>
      <c r="L664" s="1" t="s">
        <v>3509</v>
      </c>
      <c r="M664" s="1" t="s">
        <v>3380</v>
      </c>
      <c r="N664" s="1" t="s">
        <v>3598</v>
      </c>
      <c r="O664" s="1" t="s">
        <v>3809</v>
      </c>
      <c r="P664" s="1" t="s">
        <v>3810</v>
      </c>
      <c r="Q664" s="1" t="s">
        <v>3811</v>
      </c>
      <c r="R664" s="1" t="s">
        <v>548</v>
      </c>
      <c r="S664" s="1" t="s">
        <v>78</v>
      </c>
      <c r="T664" s="1">
        <v>33499</v>
      </c>
      <c r="V664" s="1" t="s">
        <v>3812</v>
      </c>
      <c r="W664" s="1" t="s">
        <v>3813</v>
      </c>
      <c r="X664" s="1" t="s">
        <v>3814</v>
      </c>
    </row>
    <row r="665" spans="1:26" ht="15.75" customHeight="1" x14ac:dyDescent="0.35">
      <c r="A665" s="1" t="s">
        <v>112</v>
      </c>
      <c r="B665" s="1" t="s">
        <v>3815</v>
      </c>
      <c r="C665" s="1" t="s">
        <v>3588</v>
      </c>
      <c r="D665" s="1" t="s">
        <v>3589</v>
      </c>
      <c r="F665" s="1" t="s">
        <v>3816</v>
      </c>
      <c r="G665" s="1" t="s">
        <v>2718</v>
      </c>
      <c r="H665" s="1" t="s">
        <v>3817</v>
      </c>
      <c r="I665" s="1" t="s">
        <v>120</v>
      </c>
      <c r="K665" s="1" t="s">
        <v>101</v>
      </c>
      <c r="L665" s="1" t="s">
        <v>3487</v>
      </c>
      <c r="M665" s="1" t="s">
        <v>3355</v>
      </c>
      <c r="N665" s="1" t="s">
        <v>3356</v>
      </c>
      <c r="O665" s="1" t="s">
        <v>3357</v>
      </c>
      <c r="P665" s="1" t="s">
        <v>3818</v>
      </c>
      <c r="Q665" s="1" t="s">
        <v>3288</v>
      </c>
      <c r="R665" s="1" t="s">
        <v>767</v>
      </c>
      <c r="S665" s="1" t="s">
        <v>78</v>
      </c>
      <c r="T665" s="1">
        <v>24499</v>
      </c>
      <c r="U665" s="1" t="s">
        <v>79</v>
      </c>
      <c r="V665" s="1" t="s">
        <v>3819</v>
      </c>
      <c r="W665" s="1" t="s">
        <v>3820</v>
      </c>
    </row>
    <row r="666" spans="1:26" ht="15.75" customHeight="1" x14ac:dyDescent="0.35">
      <c r="A666" s="1" t="s">
        <v>66</v>
      </c>
      <c r="B666" s="1" t="s">
        <v>3821</v>
      </c>
      <c r="C666" s="1" t="s">
        <v>349</v>
      </c>
      <c r="D666" s="1" t="s">
        <v>3522</v>
      </c>
      <c r="F666" s="1" t="s">
        <v>351</v>
      </c>
      <c r="G666" s="1" t="s">
        <v>3822</v>
      </c>
      <c r="H666" s="1" t="s">
        <v>3823</v>
      </c>
      <c r="I666" s="1" t="s">
        <v>616</v>
      </c>
      <c r="K666" s="1" t="s">
        <v>101</v>
      </c>
      <c r="O666" s="1" t="s">
        <v>3824</v>
      </c>
      <c r="R666" s="1" t="s">
        <v>985</v>
      </c>
      <c r="S666" s="1" t="s">
        <v>78</v>
      </c>
      <c r="T666" s="1">
        <v>19499</v>
      </c>
      <c r="U666" s="1" t="s">
        <v>166</v>
      </c>
      <c r="V666" s="1" t="s">
        <v>3825</v>
      </c>
    </row>
    <row r="667" spans="1:26" ht="15.75" customHeight="1" x14ac:dyDescent="0.35">
      <c r="A667" s="1" t="s">
        <v>66</v>
      </c>
      <c r="B667" s="1" t="s">
        <v>3826</v>
      </c>
      <c r="C667" s="1" t="s">
        <v>3534</v>
      </c>
      <c r="D667" s="1" t="s">
        <v>3315</v>
      </c>
      <c r="F667" s="1" t="s">
        <v>351</v>
      </c>
      <c r="G667" s="1" t="s">
        <v>1120</v>
      </c>
      <c r="H667" s="1" t="s">
        <v>3823</v>
      </c>
      <c r="I667" s="1" t="s">
        <v>616</v>
      </c>
      <c r="K667" s="1" t="s">
        <v>101</v>
      </c>
      <c r="O667" s="1" t="s">
        <v>3824</v>
      </c>
      <c r="R667" s="1" t="s">
        <v>985</v>
      </c>
      <c r="S667" s="1" t="s">
        <v>78</v>
      </c>
      <c r="T667" s="1">
        <v>14999</v>
      </c>
      <c r="U667" s="1" t="s">
        <v>166</v>
      </c>
      <c r="V667" s="1" t="s">
        <v>3827</v>
      </c>
    </row>
    <row r="668" spans="1:26" ht="15.75" customHeight="1" x14ac:dyDescent="0.35">
      <c r="A668" s="1" t="s">
        <v>151</v>
      </c>
      <c r="B668" s="1" t="s">
        <v>3660</v>
      </c>
      <c r="C668" s="1" t="s">
        <v>3828</v>
      </c>
      <c r="D668" s="1" t="s">
        <v>3281</v>
      </c>
      <c r="F668" s="1" t="s">
        <v>3327</v>
      </c>
      <c r="G668" s="1" t="s">
        <v>3580</v>
      </c>
      <c r="H668" s="1" t="s">
        <v>3703</v>
      </c>
      <c r="I668" s="1" t="s">
        <v>3829</v>
      </c>
      <c r="K668" s="1" t="s">
        <v>101</v>
      </c>
      <c r="L668" s="1" t="s">
        <v>3284</v>
      </c>
      <c r="M668" s="1" t="s">
        <v>3830</v>
      </c>
      <c r="N668" s="1" t="s">
        <v>160</v>
      </c>
      <c r="O668" s="1" t="s">
        <v>3331</v>
      </c>
      <c r="P668" s="1" t="s">
        <v>3332</v>
      </c>
      <c r="Q668" s="1" t="s">
        <v>3346</v>
      </c>
      <c r="R668" s="1" t="s">
        <v>3705</v>
      </c>
      <c r="S668" s="1" t="s">
        <v>78</v>
      </c>
      <c r="T668" s="1">
        <v>15899</v>
      </c>
      <c r="U668" s="1" t="s">
        <v>166</v>
      </c>
      <c r="V668" s="1" t="s">
        <v>3585</v>
      </c>
      <c r="W668" s="1" t="s">
        <v>3831</v>
      </c>
    </row>
    <row r="669" spans="1:26" ht="15.75" customHeight="1" x14ac:dyDescent="0.35">
      <c r="A669" s="1" t="s">
        <v>151</v>
      </c>
      <c r="B669" s="1" t="s">
        <v>3832</v>
      </c>
      <c r="C669" s="1" t="s">
        <v>3833</v>
      </c>
      <c r="D669" s="1" t="s">
        <v>3834</v>
      </c>
      <c r="F669" s="1" t="s">
        <v>1096</v>
      </c>
      <c r="G669" s="1" t="s">
        <v>222</v>
      </c>
      <c r="H669" s="1" t="s">
        <v>3835</v>
      </c>
      <c r="I669" s="1" t="s">
        <v>1015</v>
      </c>
      <c r="J669" s="1" t="s">
        <v>971</v>
      </c>
      <c r="K669" s="1" t="s">
        <v>201</v>
      </c>
      <c r="L669" s="1" t="s">
        <v>1175</v>
      </c>
      <c r="M669" s="1" t="s">
        <v>3836</v>
      </c>
      <c r="N669" s="1" t="s">
        <v>3299</v>
      </c>
      <c r="O669" s="1" t="s">
        <v>3837</v>
      </c>
      <c r="P669" s="1" t="s">
        <v>3838</v>
      </c>
      <c r="Q669" s="1" t="s">
        <v>529</v>
      </c>
      <c r="R669" s="1" t="s">
        <v>802</v>
      </c>
      <c r="S669" s="1" t="s">
        <v>78</v>
      </c>
      <c r="T669" s="1">
        <v>51999</v>
      </c>
      <c r="V669" s="1" t="s">
        <v>3839</v>
      </c>
      <c r="W669" s="1" t="s">
        <v>3840</v>
      </c>
      <c r="Z669" s="1" t="s">
        <v>3841</v>
      </c>
    </row>
    <row r="670" spans="1:26" ht="15.75" customHeight="1" x14ac:dyDescent="0.35">
      <c r="A670" s="1" t="s">
        <v>112</v>
      </c>
      <c r="B670" s="1" t="s">
        <v>3842</v>
      </c>
      <c r="C670" s="1" t="s">
        <v>3843</v>
      </c>
      <c r="D670" s="1" t="s">
        <v>3363</v>
      </c>
      <c r="F670" s="1" t="s">
        <v>3844</v>
      </c>
      <c r="G670" s="1" t="s">
        <v>3845</v>
      </c>
      <c r="H670" s="1" t="s">
        <v>3846</v>
      </c>
      <c r="I670" s="1" t="s">
        <v>3653</v>
      </c>
      <c r="K670" s="1" t="s">
        <v>101</v>
      </c>
      <c r="L670" s="1" t="s">
        <v>3847</v>
      </c>
      <c r="M670" s="1" t="s">
        <v>3245</v>
      </c>
      <c r="N670" s="1" t="s">
        <v>3848</v>
      </c>
      <c r="O670" s="1" t="s">
        <v>3849</v>
      </c>
      <c r="Q670" s="1" t="s">
        <v>3850</v>
      </c>
      <c r="R670" s="1" t="s">
        <v>3851</v>
      </c>
      <c r="S670" s="1" t="s">
        <v>78</v>
      </c>
      <c r="T670" s="1">
        <v>15999</v>
      </c>
      <c r="V670" s="1" t="s">
        <v>3852</v>
      </c>
      <c r="W670" s="1" t="s">
        <v>3853</v>
      </c>
    </row>
    <row r="671" spans="1:26" ht="15.75" customHeight="1" x14ac:dyDescent="0.35">
      <c r="A671" s="1" t="s">
        <v>151</v>
      </c>
      <c r="B671" s="1" t="s">
        <v>3854</v>
      </c>
      <c r="C671" s="1" t="s">
        <v>3769</v>
      </c>
      <c r="D671" s="1" t="s">
        <v>3363</v>
      </c>
      <c r="F671" s="1" t="s">
        <v>3327</v>
      </c>
      <c r="G671" s="1" t="s">
        <v>156</v>
      </c>
      <c r="H671" s="1" t="s">
        <v>3671</v>
      </c>
      <c r="I671" s="1" t="s">
        <v>120</v>
      </c>
      <c r="K671" s="1" t="s">
        <v>90</v>
      </c>
      <c r="L671" s="1" t="s">
        <v>3284</v>
      </c>
      <c r="M671" s="1" t="s">
        <v>3433</v>
      </c>
      <c r="N671" s="1" t="s">
        <v>941</v>
      </c>
      <c r="O671" s="1" t="s">
        <v>3434</v>
      </c>
      <c r="P671" s="1" t="s">
        <v>3435</v>
      </c>
      <c r="Q671" s="1" t="s">
        <v>3383</v>
      </c>
      <c r="R671" s="1" t="s">
        <v>1105</v>
      </c>
      <c r="S671" s="1" t="s">
        <v>78</v>
      </c>
      <c r="T671" s="1">
        <v>20999</v>
      </c>
      <c r="V671" s="1" t="s">
        <v>3855</v>
      </c>
      <c r="W671" s="1" t="s">
        <v>3856</v>
      </c>
    </row>
    <row r="672" spans="1:26" ht="15.75" customHeight="1" x14ac:dyDescent="0.35">
      <c r="A672" s="1" t="s">
        <v>151</v>
      </c>
      <c r="B672" s="1" t="s">
        <v>3857</v>
      </c>
      <c r="C672" s="1" t="s">
        <v>3858</v>
      </c>
      <c r="D672" s="1" t="s">
        <v>3859</v>
      </c>
      <c r="E672" s="1" t="s">
        <v>3670</v>
      </c>
      <c r="F672" s="1" t="s">
        <v>3860</v>
      </c>
      <c r="G672" s="1" t="s">
        <v>1520</v>
      </c>
      <c r="H672" s="1" t="s">
        <v>3861</v>
      </c>
      <c r="I672" s="1" t="s">
        <v>74</v>
      </c>
      <c r="K672" s="1" t="s">
        <v>101</v>
      </c>
      <c r="L672" s="1" t="s">
        <v>1099</v>
      </c>
      <c r="M672" s="1" t="s">
        <v>159</v>
      </c>
      <c r="N672" s="1" t="s">
        <v>941</v>
      </c>
      <c r="O672" s="1" t="s">
        <v>3862</v>
      </c>
      <c r="P672" s="1" t="s">
        <v>3863</v>
      </c>
      <c r="Q672" s="1" t="s">
        <v>976</v>
      </c>
      <c r="R672" s="1" t="s">
        <v>802</v>
      </c>
      <c r="S672" s="1" t="s">
        <v>78</v>
      </c>
      <c r="T672" s="1">
        <v>31999</v>
      </c>
      <c r="U672" s="1" t="s">
        <v>166</v>
      </c>
      <c r="V672" s="1" t="s">
        <v>3664</v>
      </c>
      <c r="W672" s="1" t="s">
        <v>3864</v>
      </c>
    </row>
    <row r="673" spans="1:24" ht="15.75" customHeight="1" x14ac:dyDescent="0.35">
      <c r="A673" s="1" t="s">
        <v>112</v>
      </c>
      <c r="B673" s="1" t="s">
        <v>3865</v>
      </c>
      <c r="C673" s="1" t="s">
        <v>3866</v>
      </c>
      <c r="D673" s="1" t="s">
        <v>3867</v>
      </c>
      <c r="E673" s="1" t="s">
        <v>3670</v>
      </c>
      <c r="F673" s="1" t="s">
        <v>3868</v>
      </c>
      <c r="G673" s="1" t="s">
        <v>2125</v>
      </c>
      <c r="H673" s="1" t="s">
        <v>3869</v>
      </c>
      <c r="I673" s="1" t="s">
        <v>120</v>
      </c>
      <c r="K673" s="1" t="s">
        <v>101</v>
      </c>
      <c r="L673" s="1" t="s">
        <v>3870</v>
      </c>
      <c r="M673" s="1" t="s">
        <v>3871</v>
      </c>
      <c r="N673" s="1" t="s">
        <v>3872</v>
      </c>
      <c r="O673" s="1" t="s">
        <v>3873</v>
      </c>
      <c r="P673" s="1" t="s">
        <v>3874</v>
      </c>
      <c r="Q673" s="1" t="s">
        <v>3288</v>
      </c>
      <c r="R673" s="1" t="s">
        <v>767</v>
      </c>
      <c r="S673" s="1" t="s">
        <v>78</v>
      </c>
      <c r="T673" s="1">
        <v>31999</v>
      </c>
      <c r="U673" s="1" t="s">
        <v>79</v>
      </c>
      <c r="V673" s="1" t="s">
        <v>3875</v>
      </c>
      <c r="W673" s="1" t="s">
        <v>3876</v>
      </c>
    </row>
    <row r="674" spans="1:24" ht="15.75" customHeight="1" x14ac:dyDescent="0.35">
      <c r="A674" s="1" t="s">
        <v>66</v>
      </c>
      <c r="B674" s="1" t="s">
        <v>3877</v>
      </c>
      <c r="C674" s="1" t="s">
        <v>719</v>
      </c>
      <c r="D674" s="1" t="s">
        <v>3878</v>
      </c>
      <c r="E674" s="1" t="s">
        <v>507</v>
      </c>
      <c r="F674" s="1" t="s">
        <v>351</v>
      </c>
      <c r="G674" s="1" t="s">
        <v>2488</v>
      </c>
      <c r="H674" s="1" t="s">
        <v>3879</v>
      </c>
      <c r="I674" s="1" t="s">
        <v>120</v>
      </c>
      <c r="J674" s="1" t="s">
        <v>75</v>
      </c>
      <c r="K674" s="1" t="s">
        <v>101</v>
      </c>
      <c r="L674" s="1" t="s">
        <v>3880</v>
      </c>
      <c r="M674" s="1" t="s">
        <v>3881</v>
      </c>
      <c r="O674" s="1" t="s">
        <v>3882</v>
      </c>
      <c r="P674" s="1" t="s">
        <v>3883</v>
      </c>
      <c r="Q674" s="1" t="s">
        <v>2819</v>
      </c>
      <c r="R674" s="1" t="s">
        <v>64</v>
      </c>
      <c r="S674" s="1" t="s">
        <v>78</v>
      </c>
      <c r="T674" s="1">
        <v>28999</v>
      </c>
      <c r="U674" s="1" t="s">
        <v>166</v>
      </c>
      <c r="W674" s="1" t="s">
        <v>3884</v>
      </c>
    </row>
    <row r="675" spans="1:24" ht="15.75" customHeight="1" x14ac:dyDescent="0.35">
      <c r="A675" s="1" t="s">
        <v>151</v>
      </c>
      <c r="B675" s="1" t="s">
        <v>3430</v>
      </c>
      <c r="C675" s="1" t="s">
        <v>114</v>
      </c>
      <c r="D675" s="1" t="s">
        <v>3306</v>
      </c>
      <c r="F675" s="1" t="s">
        <v>3431</v>
      </c>
      <c r="G675" s="1" t="s">
        <v>156</v>
      </c>
      <c r="H675" s="1" t="s">
        <v>3432</v>
      </c>
      <c r="I675" s="1" t="s">
        <v>74</v>
      </c>
      <c r="K675" s="1" t="s">
        <v>201</v>
      </c>
      <c r="L675" s="1" t="s">
        <v>3284</v>
      </c>
      <c r="M675" s="1" t="s">
        <v>3433</v>
      </c>
      <c r="N675" s="1" t="s">
        <v>3299</v>
      </c>
      <c r="O675" s="1" t="s">
        <v>3434</v>
      </c>
      <c r="P675" s="1" t="s">
        <v>3435</v>
      </c>
      <c r="Q675" s="1" t="s">
        <v>3383</v>
      </c>
      <c r="R675" s="1" t="s">
        <v>1105</v>
      </c>
      <c r="S675" s="1" t="s">
        <v>165</v>
      </c>
      <c r="T675" s="1">
        <v>29888</v>
      </c>
      <c r="U675" s="1" t="s">
        <v>79</v>
      </c>
      <c r="V675" s="1" t="s">
        <v>783</v>
      </c>
      <c r="W675" s="1" t="s">
        <v>3885</v>
      </c>
    </row>
    <row r="676" spans="1:24" ht="15.75" customHeight="1" x14ac:dyDescent="0.35">
      <c r="A676" s="1" t="s">
        <v>151</v>
      </c>
      <c r="B676" s="1" t="s">
        <v>3430</v>
      </c>
      <c r="C676" s="1" t="s">
        <v>687</v>
      </c>
      <c r="D676" s="1" t="s">
        <v>3315</v>
      </c>
      <c r="F676" s="1" t="s">
        <v>3573</v>
      </c>
      <c r="G676" s="1" t="s">
        <v>156</v>
      </c>
      <c r="H676" s="1" t="s">
        <v>3432</v>
      </c>
      <c r="I676" s="1" t="s">
        <v>120</v>
      </c>
      <c r="K676" s="1" t="s">
        <v>90</v>
      </c>
      <c r="L676" s="1" t="s">
        <v>3284</v>
      </c>
      <c r="M676" s="1" t="s">
        <v>3433</v>
      </c>
      <c r="N676" s="1" t="s">
        <v>941</v>
      </c>
      <c r="O676" s="1" t="s">
        <v>3434</v>
      </c>
      <c r="P676" s="1" t="s">
        <v>3435</v>
      </c>
      <c r="Q676" s="1" t="s">
        <v>3383</v>
      </c>
      <c r="R676" s="1" t="s">
        <v>1105</v>
      </c>
      <c r="S676" s="1" t="s">
        <v>165</v>
      </c>
      <c r="T676" s="1">
        <v>22444</v>
      </c>
      <c r="U676" s="1" t="s">
        <v>79</v>
      </c>
      <c r="V676" s="1" t="s">
        <v>80</v>
      </c>
      <c r="W676" s="1" t="s">
        <v>3886</v>
      </c>
    </row>
    <row r="677" spans="1:24" ht="15.75" customHeight="1" x14ac:dyDescent="0.35">
      <c r="A677" s="1" t="s">
        <v>30</v>
      </c>
      <c r="B677" s="1" t="s">
        <v>3887</v>
      </c>
      <c r="C677" s="1" t="s">
        <v>349</v>
      </c>
      <c r="D677" s="1" t="s">
        <v>3522</v>
      </c>
      <c r="F677" s="1" t="s">
        <v>1134</v>
      </c>
      <c r="G677" s="1" t="s">
        <v>1120</v>
      </c>
      <c r="H677" s="1" t="s">
        <v>3888</v>
      </c>
      <c r="I677" s="1" t="s">
        <v>120</v>
      </c>
      <c r="K677" s="1" t="s">
        <v>101</v>
      </c>
      <c r="L677" s="1" t="s">
        <v>3523</v>
      </c>
      <c r="M677" s="1" t="s">
        <v>3889</v>
      </c>
      <c r="N677" s="1" t="s">
        <v>373</v>
      </c>
      <c r="O677" s="1" t="s">
        <v>3890</v>
      </c>
      <c r="P677" s="1" t="s">
        <v>3891</v>
      </c>
      <c r="Q677" s="1" t="s">
        <v>3892</v>
      </c>
      <c r="R677" s="1" t="s">
        <v>3527</v>
      </c>
      <c r="S677" s="1" t="s">
        <v>78</v>
      </c>
      <c r="T677" s="1">
        <v>20749</v>
      </c>
      <c r="U677" s="1" t="s">
        <v>166</v>
      </c>
      <c r="V677" s="1" t="s">
        <v>3893</v>
      </c>
    </row>
    <row r="678" spans="1:24" ht="15.75" customHeight="1" x14ac:dyDescent="0.35">
      <c r="A678" s="1" t="s">
        <v>30</v>
      </c>
      <c r="B678" s="1" t="s">
        <v>3887</v>
      </c>
      <c r="C678" s="1" t="s">
        <v>3894</v>
      </c>
      <c r="D678" s="1" t="s">
        <v>3522</v>
      </c>
      <c r="F678" s="1" t="s">
        <v>1134</v>
      </c>
      <c r="G678" s="1" t="s">
        <v>1120</v>
      </c>
      <c r="H678" s="1" t="s">
        <v>3888</v>
      </c>
      <c r="I678" s="1" t="s">
        <v>616</v>
      </c>
      <c r="K678" s="1" t="s">
        <v>101</v>
      </c>
      <c r="L678" s="1" t="s">
        <v>3523</v>
      </c>
      <c r="M678" s="1" t="s">
        <v>3895</v>
      </c>
      <c r="N678" s="1" t="s">
        <v>373</v>
      </c>
      <c r="O678" s="1" t="s">
        <v>3890</v>
      </c>
      <c r="P678" s="1" t="s">
        <v>3891</v>
      </c>
      <c r="Q678" s="1" t="s">
        <v>3892</v>
      </c>
      <c r="R678" s="1" t="s">
        <v>3527</v>
      </c>
      <c r="S678" s="1" t="s">
        <v>78</v>
      </c>
      <c r="T678" s="1">
        <v>26299</v>
      </c>
      <c r="U678" s="1" t="s">
        <v>166</v>
      </c>
      <c r="V678" s="1" t="s">
        <v>3745</v>
      </c>
    </row>
    <row r="679" spans="1:24" ht="15.75" customHeight="1" x14ac:dyDescent="0.35">
      <c r="A679" s="1" t="s">
        <v>81</v>
      </c>
      <c r="B679" s="1" t="s">
        <v>3896</v>
      </c>
      <c r="C679" s="1" t="s">
        <v>3897</v>
      </c>
      <c r="D679" s="1" t="s">
        <v>3315</v>
      </c>
      <c r="F679" s="1" t="s">
        <v>2110</v>
      </c>
      <c r="G679" s="1" t="s">
        <v>3898</v>
      </c>
      <c r="H679" s="1" t="s">
        <v>3899</v>
      </c>
      <c r="I679" s="1" t="s">
        <v>3653</v>
      </c>
      <c r="K679" s="1" t="s">
        <v>101</v>
      </c>
      <c r="L679" s="1" t="s">
        <v>3900</v>
      </c>
      <c r="M679" s="1" t="s">
        <v>3498</v>
      </c>
      <c r="R679" s="1" t="s">
        <v>3459</v>
      </c>
      <c r="S679" s="1" t="s">
        <v>78</v>
      </c>
      <c r="T679" s="1">
        <v>17499</v>
      </c>
      <c r="U679" s="1" t="s">
        <v>2181</v>
      </c>
      <c r="V679" s="1" t="s">
        <v>3901</v>
      </c>
      <c r="X679" s="1" t="s">
        <v>3754</v>
      </c>
    </row>
    <row r="680" spans="1:24" ht="15.75" customHeight="1" x14ac:dyDescent="0.35">
      <c r="A680" s="1" t="s">
        <v>151</v>
      </c>
      <c r="B680" s="1" t="s">
        <v>3902</v>
      </c>
      <c r="C680" s="1" t="s">
        <v>349</v>
      </c>
      <c r="D680" s="1" t="s">
        <v>3903</v>
      </c>
      <c r="E680" s="1" t="s">
        <v>3670</v>
      </c>
      <c r="F680" s="1" t="s">
        <v>3860</v>
      </c>
      <c r="G680" s="1" t="s">
        <v>1506</v>
      </c>
      <c r="H680" s="1" t="s">
        <v>3861</v>
      </c>
      <c r="I680" s="1" t="s">
        <v>120</v>
      </c>
      <c r="K680" s="1" t="s">
        <v>101</v>
      </c>
      <c r="L680" s="1" t="s">
        <v>1099</v>
      </c>
      <c r="M680" s="1" t="s">
        <v>159</v>
      </c>
      <c r="N680" s="1" t="s">
        <v>941</v>
      </c>
      <c r="O680" s="1" t="s">
        <v>3862</v>
      </c>
      <c r="P680" s="1" t="s">
        <v>3863</v>
      </c>
      <c r="Q680" s="1" t="s">
        <v>976</v>
      </c>
      <c r="R680" s="1" t="s">
        <v>802</v>
      </c>
      <c r="S680" s="1" t="s">
        <v>78</v>
      </c>
      <c r="T680" s="1">
        <v>25999</v>
      </c>
      <c r="U680" s="1" t="s">
        <v>166</v>
      </c>
      <c r="V680" s="1" t="s">
        <v>3347</v>
      </c>
      <c r="W680" s="1" t="s">
        <v>3904</v>
      </c>
    </row>
    <row r="681" spans="1:24" ht="15.75" customHeight="1" x14ac:dyDescent="0.35">
      <c r="A681" s="1" t="s">
        <v>112</v>
      </c>
      <c r="B681" s="1" t="s">
        <v>3905</v>
      </c>
      <c r="C681" s="1" t="s">
        <v>3866</v>
      </c>
      <c r="D681" s="1" t="s">
        <v>3906</v>
      </c>
      <c r="E681" s="1" t="s">
        <v>3670</v>
      </c>
      <c r="F681" s="1" t="s">
        <v>1525</v>
      </c>
      <c r="G681" s="1" t="s">
        <v>2718</v>
      </c>
      <c r="H681" s="1" t="s">
        <v>3756</v>
      </c>
      <c r="I681" s="1" t="s">
        <v>120</v>
      </c>
      <c r="K681" s="1" t="s">
        <v>101</v>
      </c>
      <c r="L681" s="1" t="s">
        <v>3487</v>
      </c>
      <c r="M681" s="1" t="s">
        <v>3355</v>
      </c>
      <c r="N681" s="1" t="s">
        <v>3356</v>
      </c>
      <c r="O681" s="1" t="s">
        <v>3357</v>
      </c>
      <c r="P681" s="1" t="s">
        <v>3646</v>
      </c>
      <c r="Q681" s="1" t="s">
        <v>3288</v>
      </c>
      <c r="R681" s="1" t="s">
        <v>767</v>
      </c>
      <c r="S681" s="1" t="s">
        <v>78</v>
      </c>
      <c r="T681" s="1">
        <v>32499</v>
      </c>
      <c r="U681" s="1" t="s">
        <v>79</v>
      </c>
      <c r="V681" s="1" t="s">
        <v>3385</v>
      </c>
      <c r="W681" s="1" t="s">
        <v>3907</v>
      </c>
    </row>
    <row r="682" spans="1:24" ht="15.75" customHeight="1" x14ac:dyDescent="0.35">
      <c r="A682" s="1" t="s">
        <v>30</v>
      </c>
      <c r="B682" s="1" t="s">
        <v>3887</v>
      </c>
      <c r="C682" s="1" t="s">
        <v>3534</v>
      </c>
      <c r="D682" s="1" t="s">
        <v>3315</v>
      </c>
      <c r="F682" s="1" t="s">
        <v>1134</v>
      </c>
      <c r="G682" s="1" t="s">
        <v>3908</v>
      </c>
      <c r="H682" s="1" t="s">
        <v>3888</v>
      </c>
      <c r="I682" s="1" t="s">
        <v>120</v>
      </c>
      <c r="K682" s="1" t="s">
        <v>121</v>
      </c>
      <c r="L682" s="1" t="s">
        <v>3523</v>
      </c>
      <c r="N682" s="1" t="s">
        <v>373</v>
      </c>
      <c r="O682" s="1" t="s">
        <v>3909</v>
      </c>
      <c r="P682" s="1" t="s">
        <v>3891</v>
      </c>
      <c r="Q682" s="1" t="s">
        <v>3892</v>
      </c>
      <c r="R682" s="1" t="s">
        <v>3527</v>
      </c>
      <c r="S682" s="1" t="s">
        <v>129</v>
      </c>
      <c r="T682" s="1">
        <v>15499</v>
      </c>
      <c r="U682" s="1" t="s">
        <v>166</v>
      </c>
      <c r="V682" s="1" t="s">
        <v>3910</v>
      </c>
    </row>
    <row r="683" spans="1:24" ht="15.75" customHeight="1" x14ac:dyDescent="0.35">
      <c r="A683" s="1" t="s">
        <v>234</v>
      </c>
      <c r="B683" s="1" t="s">
        <v>3911</v>
      </c>
      <c r="C683" s="1" t="s">
        <v>3912</v>
      </c>
      <c r="D683" s="1" t="s">
        <v>3806</v>
      </c>
      <c r="F683" s="1" t="s">
        <v>3913</v>
      </c>
      <c r="G683" s="1" t="s">
        <v>1604</v>
      </c>
      <c r="H683" s="1" t="s">
        <v>3718</v>
      </c>
      <c r="I683" s="1" t="s">
        <v>120</v>
      </c>
      <c r="J683" s="1" t="s">
        <v>971</v>
      </c>
      <c r="K683" s="1" t="s">
        <v>90</v>
      </c>
      <c r="L683" s="1" t="s">
        <v>3784</v>
      </c>
      <c r="M683" s="1" t="s">
        <v>3561</v>
      </c>
      <c r="N683" s="1" t="s">
        <v>633</v>
      </c>
      <c r="O683" s="1" t="s">
        <v>3793</v>
      </c>
      <c r="P683" s="1" t="s">
        <v>3633</v>
      </c>
      <c r="Q683" s="1" t="s">
        <v>3346</v>
      </c>
      <c r="R683" s="1" t="s">
        <v>3402</v>
      </c>
      <c r="S683" s="1" t="s">
        <v>1471</v>
      </c>
      <c r="T683" s="1">
        <v>17999</v>
      </c>
      <c r="V683" s="1" t="s">
        <v>3914</v>
      </c>
      <c r="W683" s="1" t="s">
        <v>3915</v>
      </c>
    </row>
    <row r="684" spans="1:24" ht="15.75" customHeight="1" x14ac:dyDescent="0.35">
      <c r="A684" s="1" t="s">
        <v>234</v>
      </c>
      <c r="B684" s="1" t="s">
        <v>3916</v>
      </c>
      <c r="C684" s="1" t="s">
        <v>3758</v>
      </c>
      <c r="D684" s="1" t="s">
        <v>3306</v>
      </c>
      <c r="F684" s="1" t="s">
        <v>628</v>
      </c>
      <c r="G684" s="1" t="s">
        <v>1604</v>
      </c>
      <c r="H684" s="1" t="s">
        <v>3718</v>
      </c>
      <c r="I684" s="1" t="s">
        <v>120</v>
      </c>
      <c r="J684" s="1" t="s">
        <v>971</v>
      </c>
      <c r="K684" s="1" t="s">
        <v>90</v>
      </c>
      <c r="L684" s="1" t="s">
        <v>3784</v>
      </c>
      <c r="M684" s="1" t="s">
        <v>3561</v>
      </c>
      <c r="N684" s="1" t="s">
        <v>633</v>
      </c>
      <c r="O684" s="1" t="s">
        <v>3562</v>
      </c>
      <c r="P684" s="1" t="s">
        <v>3563</v>
      </c>
      <c r="Q684" s="1" t="s">
        <v>3500</v>
      </c>
      <c r="R684" s="1" t="s">
        <v>1610</v>
      </c>
      <c r="S684" s="1" t="s">
        <v>78</v>
      </c>
      <c r="T684" s="1">
        <v>20999</v>
      </c>
      <c r="U684" s="1" t="s">
        <v>79</v>
      </c>
      <c r="V684" s="1" t="s">
        <v>3766</v>
      </c>
      <c r="W684" s="1" t="s">
        <v>3917</v>
      </c>
    </row>
    <row r="685" spans="1:24" ht="15.75" customHeight="1" x14ac:dyDescent="0.35">
      <c r="A685" s="1" t="s">
        <v>234</v>
      </c>
      <c r="B685" s="1" t="s">
        <v>3918</v>
      </c>
      <c r="C685" s="1" t="s">
        <v>3769</v>
      </c>
      <c r="D685" s="1" t="s">
        <v>3806</v>
      </c>
      <c r="F685" s="1" t="s">
        <v>628</v>
      </c>
      <c r="G685" s="1" t="s">
        <v>1604</v>
      </c>
      <c r="H685" s="1" t="s">
        <v>3718</v>
      </c>
      <c r="I685" s="1" t="s">
        <v>120</v>
      </c>
      <c r="J685" s="1" t="s">
        <v>971</v>
      </c>
      <c r="K685" s="1" t="s">
        <v>90</v>
      </c>
      <c r="L685" s="1" t="s">
        <v>3784</v>
      </c>
      <c r="M685" s="1" t="s">
        <v>3561</v>
      </c>
      <c r="N685" s="1" t="s">
        <v>633</v>
      </c>
      <c r="O685" s="1" t="s">
        <v>3919</v>
      </c>
      <c r="P685" s="1" t="s">
        <v>3697</v>
      </c>
      <c r="Q685" s="1" t="s">
        <v>3500</v>
      </c>
      <c r="R685" s="1" t="s">
        <v>1610</v>
      </c>
      <c r="S685" s="1" t="s">
        <v>78</v>
      </c>
      <c r="T685" s="1">
        <v>22222</v>
      </c>
      <c r="V685" s="1" t="s">
        <v>3773</v>
      </c>
      <c r="W685" s="1" t="s">
        <v>3920</v>
      </c>
    </row>
    <row r="686" spans="1:24" ht="15.75" customHeight="1" x14ac:dyDescent="0.35">
      <c r="A686" s="1" t="s">
        <v>234</v>
      </c>
      <c r="B686" s="1" t="s">
        <v>3921</v>
      </c>
      <c r="C686" s="1" t="s">
        <v>3476</v>
      </c>
      <c r="D686" s="1" t="s">
        <v>3306</v>
      </c>
      <c r="F686" s="1" t="s">
        <v>628</v>
      </c>
      <c r="G686" s="1" t="s">
        <v>1604</v>
      </c>
      <c r="H686" s="1" t="s">
        <v>3718</v>
      </c>
      <c r="I686" s="1" t="s">
        <v>120</v>
      </c>
      <c r="J686" s="1" t="s">
        <v>971</v>
      </c>
      <c r="K686" s="1" t="s">
        <v>90</v>
      </c>
      <c r="L686" s="1" t="s">
        <v>3784</v>
      </c>
      <c r="M686" s="1" t="s">
        <v>3561</v>
      </c>
      <c r="N686" s="1" t="s">
        <v>633</v>
      </c>
      <c r="O686" s="1" t="s">
        <v>3562</v>
      </c>
      <c r="P686" s="1" t="s">
        <v>3563</v>
      </c>
      <c r="Q686" s="1" t="s">
        <v>3500</v>
      </c>
      <c r="R686" s="1" t="s">
        <v>1610</v>
      </c>
      <c r="S686" s="1" t="s">
        <v>2608</v>
      </c>
      <c r="T686" s="1">
        <v>24888</v>
      </c>
      <c r="U686" s="1" t="s">
        <v>79</v>
      </c>
      <c r="V686" s="1" t="s">
        <v>3787</v>
      </c>
      <c r="W686" s="1" t="s">
        <v>3922</v>
      </c>
    </row>
    <row r="687" spans="1:24" ht="15.75" customHeight="1" x14ac:dyDescent="0.35">
      <c r="A687" s="1" t="s">
        <v>234</v>
      </c>
      <c r="B687" s="1" t="s">
        <v>3923</v>
      </c>
      <c r="C687" s="1" t="s">
        <v>3678</v>
      </c>
      <c r="D687" s="1" t="s">
        <v>3522</v>
      </c>
      <c r="F687" s="1" t="s">
        <v>3924</v>
      </c>
      <c r="G687" s="1" t="s">
        <v>629</v>
      </c>
      <c r="H687" s="1" t="s">
        <v>3925</v>
      </c>
      <c r="I687" s="1" t="s">
        <v>1021</v>
      </c>
      <c r="J687" s="1" t="s">
        <v>39</v>
      </c>
      <c r="K687" s="1" t="s">
        <v>90</v>
      </c>
      <c r="L687" s="1" t="s">
        <v>972</v>
      </c>
      <c r="M687" s="1" t="s">
        <v>1258</v>
      </c>
      <c r="N687" s="1" t="s">
        <v>973</v>
      </c>
      <c r="O687" s="1" t="s">
        <v>3926</v>
      </c>
      <c r="P687" s="1" t="s">
        <v>3927</v>
      </c>
      <c r="Q687" s="1" t="s">
        <v>3928</v>
      </c>
      <c r="R687" s="1" t="s">
        <v>246</v>
      </c>
      <c r="S687" s="1" t="s">
        <v>165</v>
      </c>
      <c r="T687" s="1">
        <v>48222</v>
      </c>
      <c r="U687" s="1" t="s">
        <v>79</v>
      </c>
      <c r="V687" s="1" t="s">
        <v>3642</v>
      </c>
      <c r="W687" s="1" t="s">
        <v>3929</v>
      </c>
    </row>
    <row r="688" spans="1:24" ht="15.75" customHeight="1" x14ac:dyDescent="0.35">
      <c r="A688" s="1" t="s">
        <v>234</v>
      </c>
      <c r="B688" s="1" t="s">
        <v>3930</v>
      </c>
      <c r="C688" s="1" t="s">
        <v>1593</v>
      </c>
      <c r="D688" s="1" t="s">
        <v>3438</v>
      </c>
      <c r="F688" s="1" t="s">
        <v>3394</v>
      </c>
      <c r="G688" s="1" t="s">
        <v>3395</v>
      </c>
      <c r="H688" s="1" t="s">
        <v>3931</v>
      </c>
      <c r="I688" s="1" t="s">
        <v>1021</v>
      </c>
      <c r="J688" s="1" t="s">
        <v>39</v>
      </c>
      <c r="K688" s="1" t="s">
        <v>90</v>
      </c>
      <c r="L688" s="1" t="s">
        <v>972</v>
      </c>
      <c r="M688" s="1" t="s">
        <v>3724</v>
      </c>
      <c r="N688" s="1" t="s">
        <v>3932</v>
      </c>
      <c r="O688" s="1" t="s">
        <v>3933</v>
      </c>
      <c r="P688" s="1" t="s">
        <v>3725</v>
      </c>
      <c r="Q688" s="1" t="s">
        <v>3934</v>
      </c>
      <c r="R688" s="1" t="s">
        <v>3935</v>
      </c>
      <c r="S688" s="1" t="s">
        <v>78</v>
      </c>
      <c r="T688" s="1">
        <v>70999</v>
      </c>
      <c r="V688" s="1" t="s">
        <v>3936</v>
      </c>
      <c r="W688" s="1" t="s">
        <v>3937</v>
      </c>
    </row>
    <row r="689" spans="1:26" ht="15.75" customHeight="1" x14ac:dyDescent="0.35">
      <c r="A689" s="1" t="s">
        <v>112</v>
      </c>
      <c r="B689" s="1" t="s">
        <v>3938</v>
      </c>
      <c r="C689" s="1" t="s">
        <v>3746</v>
      </c>
      <c r="D689" s="1" t="s">
        <v>3315</v>
      </c>
      <c r="F689" s="1" t="s">
        <v>3939</v>
      </c>
      <c r="G689" s="1" t="s">
        <v>3940</v>
      </c>
      <c r="H689" s="1" t="s">
        <v>3353</v>
      </c>
      <c r="I689" s="1" t="s">
        <v>120</v>
      </c>
      <c r="K689" s="1" t="s">
        <v>101</v>
      </c>
      <c r="L689" s="1" t="s">
        <v>3354</v>
      </c>
      <c r="M689" s="1" t="s">
        <v>3355</v>
      </c>
      <c r="N689" s="1" t="s">
        <v>3356</v>
      </c>
      <c r="O689" s="1" t="s">
        <v>3357</v>
      </c>
      <c r="P689" s="1" t="s">
        <v>3646</v>
      </c>
      <c r="Q689" s="1" t="s">
        <v>3288</v>
      </c>
      <c r="R689" s="1" t="s">
        <v>767</v>
      </c>
      <c r="S689" s="1" t="s">
        <v>78</v>
      </c>
      <c r="T689" s="1">
        <v>16499</v>
      </c>
      <c r="U689" s="1" t="s">
        <v>79</v>
      </c>
      <c r="V689" s="1" t="s">
        <v>3359</v>
      </c>
      <c r="W689" s="1" t="s">
        <v>3941</v>
      </c>
    </row>
    <row r="690" spans="1:26" ht="15.75" customHeight="1" x14ac:dyDescent="0.35">
      <c r="A690" s="1" t="s">
        <v>81</v>
      </c>
      <c r="B690" s="1" t="s">
        <v>3515</v>
      </c>
      <c r="C690" s="1" t="s">
        <v>3894</v>
      </c>
      <c r="D690" s="1" t="s">
        <v>3942</v>
      </c>
      <c r="E690" s="1" t="s">
        <v>3670</v>
      </c>
      <c r="F690" s="1" t="s">
        <v>3943</v>
      </c>
      <c r="G690" s="1" t="s">
        <v>2521</v>
      </c>
      <c r="H690" s="1" t="s">
        <v>1800</v>
      </c>
      <c r="I690" s="1" t="s">
        <v>120</v>
      </c>
      <c r="J690" s="1" t="s">
        <v>39</v>
      </c>
      <c r="K690" s="1" t="s">
        <v>101</v>
      </c>
      <c r="L690" s="1" t="s">
        <v>3944</v>
      </c>
      <c r="M690" s="1" t="s">
        <v>3455</v>
      </c>
      <c r="O690" s="1" t="s">
        <v>3519</v>
      </c>
      <c r="P690" s="1" t="s">
        <v>3457</v>
      </c>
      <c r="Q690" s="1" t="s">
        <v>3458</v>
      </c>
      <c r="R690" s="1" t="s">
        <v>3459</v>
      </c>
      <c r="S690" s="1" t="s">
        <v>78</v>
      </c>
      <c r="T690" s="1">
        <v>32333</v>
      </c>
      <c r="U690" s="1" t="s">
        <v>166</v>
      </c>
      <c r="V690" s="1" t="s">
        <v>3745</v>
      </c>
    </row>
    <row r="691" spans="1:26" ht="15.75" customHeight="1" x14ac:dyDescent="0.35">
      <c r="A691" s="1" t="s">
        <v>151</v>
      </c>
      <c r="B691" s="1" t="s">
        <v>3578</v>
      </c>
      <c r="C691" s="1" t="s">
        <v>3945</v>
      </c>
      <c r="D691" s="1" t="s">
        <v>3541</v>
      </c>
      <c r="F691" s="1" t="s">
        <v>3296</v>
      </c>
      <c r="G691" s="1" t="s">
        <v>156</v>
      </c>
      <c r="H691" s="1" t="s">
        <v>3337</v>
      </c>
      <c r="I691" s="1" t="s">
        <v>1015</v>
      </c>
      <c r="K691" s="1" t="s">
        <v>201</v>
      </c>
      <c r="L691" s="1" t="s">
        <v>1175</v>
      </c>
      <c r="M691" s="1" t="s">
        <v>3946</v>
      </c>
      <c r="N691" s="1" t="s">
        <v>941</v>
      </c>
      <c r="O691" s="1" t="s">
        <v>3582</v>
      </c>
      <c r="P691" s="1" t="s">
        <v>3583</v>
      </c>
      <c r="Q691" s="1" t="s">
        <v>3584</v>
      </c>
      <c r="R691" s="1" t="s">
        <v>802</v>
      </c>
      <c r="S691" s="1" t="s">
        <v>78</v>
      </c>
      <c r="T691" s="1">
        <v>28888</v>
      </c>
      <c r="U691" s="1" t="s">
        <v>166</v>
      </c>
      <c r="V691" s="1" t="s">
        <v>3347</v>
      </c>
      <c r="W691" s="1" t="s">
        <v>3947</v>
      </c>
    </row>
    <row r="692" spans="1:26" ht="15.75" customHeight="1" x14ac:dyDescent="0.35">
      <c r="A692" s="1" t="s">
        <v>151</v>
      </c>
      <c r="B692" s="1" t="s">
        <v>3948</v>
      </c>
      <c r="C692" s="1" t="s">
        <v>3858</v>
      </c>
      <c r="D692" s="1" t="s">
        <v>3541</v>
      </c>
      <c r="F692" s="1" t="s">
        <v>3579</v>
      </c>
      <c r="G692" s="1" t="s">
        <v>156</v>
      </c>
      <c r="H692" s="1" t="s">
        <v>3949</v>
      </c>
      <c r="I692" s="1" t="s">
        <v>1015</v>
      </c>
      <c r="K692" s="1" t="s">
        <v>201</v>
      </c>
      <c r="L692" s="1" t="s">
        <v>1175</v>
      </c>
      <c r="M692" s="1" t="s">
        <v>3946</v>
      </c>
      <c r="N692" s="1" t="s">
        <v>941</v>
      </c>
      <c r="O692" s="1" t="s">
        <v>3582</v>
      </c>
      <c r="P692" s="1" t="s">
        <v>3950</v>
      </c>
      <c r="Q692" s="1" t="s">
        <v>2045</v>
      </c>
      <c r="R692" s="1" t="s">
        <v>3333</v>
      </c>
      <c r="S692" s="1" t="s">
        <v>78</v>
      </c>
      <c r="T692" s="1">
        <v>38999</v>
      </c>
      <c r="U692" s="1" t="s">
        <v>166</v>
      </c>
      <c r="V692" s="1" t="s">
        <v>3664</v>
      </c>
      <c r="W692" s="1" t="s">
        <v>3951</v>
      </c>
      <c r="Z692" s="1" t="s">
        <v>3841</v>
      </c>
    </row>
    <row r="693" spans="1:26" ht="15.75" customHeight="1" x14ac:dyDescent="0.35">
      <c r="A693" s="1" t="s">
        <v>151</v>
      </c>
      <c r="B693" s="1" t="s">
        <v>3952</v>
      </c>
      <c r="C693" s="1" t="s">
        <v>3540</v>
      </c>
      <c r="D693" s="1" t="s">
        <v>3541</v>
      </c>
      <c r="F693" s="1" t="s">
        <v>3605</v>
      </c>
      <c r="G693" s="1" t="s">
        <v>156</v>
      </c>
      <c r="H693" s="1" t="s">
        <v>3953</v>
      </c>
      <c r="I693" s="1" t="s">
        <v>1015</v>
      </c>
      <c r="K693" s="1" t="s">
        <v>201</v>
      </c>
      <c r="L693" s="1" t="s">
        <v>1175</v>
      </c>
      <c r="M693" s="1" t="s">
        <v>3836</v>
      </c>
      <c r="N693" s="1" t="s">
        <v>3299</v>
      </c>
      <c r="O693" s="1" t="s">
        <v>3954</v>
      </c>
      <c r="P693" s="1" t="s">
        <v>3955</v>
      </c>
      <c r="Q693" s="1" t="s">
        <v>3956</v>
      </c>
      <c r="R693" s="1" t="s">
        <v>802</v>
      </c>
      <c r="S693" s="1" t="s">
        <v>78</v>
      </c>
      <c r="T693" s="1">
        <v>41999</v>
      </c>
      <c r="U693" s="1" t="s">
        <v>79</v>
      </c>
      <c r="V693" s="1" t="s">
        <v>3957</v>
      </c>
      <c r="W693" s="1" t="s">
        <v>3958</v>
      </c>
    </row>
    <row r="694" spans="1:26" ht="15.75" customHeight="1" x14ac:dyDescent="0.35">
      <c r="A694" s="1" t="s">
        <v>151</v>
      </c>
      <c r="B694" s="1" t="s">
        <v>3959</v>
      </c>
      <c r="C694" s="1" t="s">
        <v>3960</v>
      </c>
      <c r="D694" s="1" t="s">
        <v>3541</v>
      </c>
      <c r="F694" s="1" t="s">
        <v>3327</v>
      </c>
      <c r="G694" s="1" t="s">
        <v>3961</v>
      </c>
      <c r="H694" s="1" t="s">
        <v>3962</v>
      </c>
      <c r="I694" s="1" t="s">
        <v>74</v>
      </c>
      <c r="K694" s="1" t="s">
        <v>201</v>
      </c>
      <c r="L694" s="1" t="s">
        <v>3963</v>
      </c>
      <c r="M694" s="1" t="s">
        <v>3946</v>
      </c>
      <c r="N694" s="1" t="s">
        <v>160</v>
      </c>
      <c r="O694" s="1" t="s">
        <v>3964</v>
      </c>
      <c r="P694" s="1" t="s">
        <v>3965</v>
      </c>
      <c r="Q694" s="1" t="s">
        <v>2584</v>
      </c>
      <c r="R694" s="1" t="s">
        <v>3674</v>
      </c>
      <c r="S694" s="1" t="s">
        <v>78</v>
      </c>
      <c r="T694" s="1">
        <v>29499</v>
      </c>
      <c r="U694" s="1" t="s">
        <v>1082</v>
      </c>
      <c r="V694" s="1" t="s">
        <v>3966</v>
      </c>
      <c r="W694" s="1" t="s">
        <v>3967</v>
      </c>
      <c r="Z694" s="1" t="s">
        <v>3841</v>
      </c>
    </row>
    <row r="695" spans="1:26" ht="15.75" customHeight="1" x14ac:dyDescent="0.35">
      <c r="A695" s="1" t="s">
        <v>112</v>
      </c>
      <c r="B695" s="1" t="s">
        <v>3968</v>
      </c>
      <c r="C695" s="1" t="s">
        <v>3945</v>
      </c>
      <c r="D695" s="1" t="s">
        <v>3969</v>
      </c>
      <c r="E695" s="1" t="s">
        <v>3670</v>
      </c>
      <c r="F695" s="1" t="s">
        <v>3970</v>
      </c>
      <c r="G695" s="1" t="s">
        <v>2125</v>
      </c>
      <c r="H695" s="1" t="s">
        <v>3971</v>
      </c>
      <c r="I695" s="1" t="s">
        <v>120</v>
      </c>
      <c r="K695" s="1" t="s">
        <v>90</v>
      </c>
      <c r="L695" s="1" t="s">
        <v>762</v>
      </c>
      <c r="M695" s="1" t="s">
        <v>3530</v>
      </c>
      <c r="N695" s="1" t="s">
        <v>124</v>
      </c>
      <c r="O695" s="1" t="s">
        <v>3972</v>
      </c>
      <c r="R695" s="1" t="s">
        <v>3973</v>
      </c>
      <c r="S695" s="1" t="s">
        <v>78</v>
      </c>
      <c r="T695" s="1">
        <v>36999</v>
      </c>
      <c r="U695" s="1" t="s">
        <v>166</v>
      </c>
      <c r="V695" s="1" t="s">
        <v>3974</v>
      </c>
      <c r="W695" s="1" t="s">
        <v>3975</v>
      </c>
    </row>
    <row r="696" spans="1:26" ht="15.75" customHeight="1" x14ac:dyDescent="0.35">
      <c r="A696" s="1" t="s">
        <v>81</v>
      </c>
      <c r="B696" s="1" t="s">
        <v>3515</v>
      </c>
      <c r="C696" s="1" t="s">
        <v>3894</v>
      </c>
      <c r="D696" s="1" t="s">
        <v>3315</v>
      </c>
      <c r="F696" s="1" t="s">
        <v>3453</v>
      </c>
      <c r="G696" s="1" t="s">
        <v>2521</v>
      </c>
      <c r="H696" s="1" t="s">
        <v>1800</v>
      </c>
      <c r="I696" s="1" t="s">
        <v>120</v>
      </c>
      <c r="J696" s="1" t="s">
        <v>39</v>
      </c>
      <c r="K696" s="1" t="s">
        <v>101</v>
      </c>
      <c r="L696" s="1" t="s">
        <v>3944</v>
      </c>
      <c r="M696" s="1" t="s">
        <v>3455</v>
      </c>
      <c r="O696" s="1" t="s">
        <v>3519</v>
      </c>
      <c r="P696" s="1" t="s">
        <v>3457</v>
      </c>
      <c r="Q696" s="1" t="s">
        <v>3458</v>
      </c>
      <c r="R696" s="1" t="s">
        <v>3459</v>
      </c>
      <c r="S696" s="1" t="s">
        <v>78</v>
      </c>
      <c r="T696" s="1">
        <v>26666</v>
      </c>
      <c r="U696" s="1" t="s">
        <v>166</v>
      </c>
      <c r="V696" s="1" t="s">
        <v>3745</v>
      </c>
    </row>
    <row r="697" spans="1:26" ht="15.75" customHeight="1" x14ac:dyDescent="0.35">
      <c r="A697" s="1" t="s">
        <v>151</v>
      </c>
      <c r="B697" s="1" t="s">
        <v>3976</v>
      </c>
      <c r="C697" s="1" t="s">
        <v>3828</v>
      </c>
      <c r="D697" s="1" t="s">
        <v>3281</v>
      </c>
      <c r="F697" s="1" t="s">
        <v>3327</v>
      </c>
      <c r="G697" s="1" t="s">
        <v>156</v>
      </c>
      <c r="H697" s="1" t="s">
        <v>3342</v>
      </c>
      <c r="I697" s="1" t="s">
        <v>120</v>
      </c>
      <c r="K697" s="1" t="s">
        <v>101</v>
      </c>
      <c r="L697" s="1" t="s">
        <v>3425</v>
      </c>
      <c r="M697" s="1" t="s">
        <v>3977</v>
      </c>
      <c r="N697" s="1" t="s">
        <v>3568</v>
      </c>
      <c r="O697" s="1" t="s">
        <v>3978</v>
      </c>
      <c r="P697" s="1" t="s">
        <v>3979</v>
      </c>
      <c r="Q697" s="1" t="s">
        <v>3321</v>
      </c>
      <c r="R697" s="1" t="s">
        <v>3428</v>
      </c>
      <c r="S697" s="1" t="s">
        <v>78</v>
      </c>
      <c r="T697" s="1">
        <v>15999</v>
      </c>
      <c r="U697" s="1" t="s">
        <v>166</v>
      </c>
      <c r="V697" s="1" t="s">
        <v>3980</v>
      </c>
      <c r="W697" s="1" t="s">
        <v>3981</v>
      </c>
    </row>
    <row r="698" spans="1:26" ht="15.75" customHeight="1" x14ac:dyDescent="0.35">
      <c r="A698" s="1" t="s">
        <v>112</v>
      </c>
      <c r="B698" s="1" t="s">
        <v>3982</v>
      </c>
      <c r="C698" s="1" t="s">
        <v>3983</v>
      </c>
      <c r="D698" s="1" t="s">
        <v>3363</v>
      </c>
      <c r="F698" s="1" t="s">
        <v>1525</v>
      </c>
      <c r="G698" s="1" t="s">
        <v>2718</v>
      </c>
      <c r="H698" s="1" t="s">
        <v>3984</v>
      </c>
      <c r="I698" s="1" t="s">
        <v>120</v>
      </c>
      <c r="K698" s="1" t="s">
        <v>90</v>
      </c>
      <c r="L698" s="1" t="s">
        <v>3985</v>
      </c>
      <c r="M698" s="1" t="s">
        <v>3245</v>
      </c>
      <c r="N698" s="1" t="s">
        <v>3356</v>
      </c>
      <c r="O698" s="1" t="s">
        <v>3357</v>
      </c>
      <c r="R698" s="1" t="s">
        <v>767</v>
      </c>
      <c r="S698" s="1" t="s">
        <v>78</v>
      </c>
      <c r="T698" s="1">
        <v>21499</v>
      </c>
      <c r="V698" s="1" t="s">
        <v>3986</v>
      </c>
      <c r="W698" s="1" t="s">
        <v>3987</v>
      </c>
    </row>
    <row r="699" spans="1:26" ht="15.75" customHeight="1" x14ac:dyDescent="0.35">
      <c r="A699" s="1" t="s">
        <v>151</v>
      </c>
      <c r="B699" s="1" t="s">
        <v>3988</v>
      </c>
      <c r="C699" s="1" t="s">
        <v>3989</v>
      </c>
      <c r="D699" s="1" t="s">
        <v>3990</v>
      </c>
      <c r="F699" s="1" t="s">
        <v>3991</v>
      </c>
      <c r="G699" s="1" t="s">
        <v>1506</v>
      </c>
      <c r="H699" s="1" t="s">
        <v>3261</v>
      </c>
      <c r="I699" s="1" t="s">
        <v>120</v>
      </c>
      <c r="K699" s="1" t="s">
        <v>121</v>
      </c>
      <c r="M699" s="1" t="s">
        <v>3992</v>
      </c>
      <c r="N699" s="1" t="s">
        <v>3993</v>
      </c>
      <c r="O699" s="1" t="s">
        <v>3994</v>
      </c>
      <c r="P699" s="1" t="s">
        <v>3995</v>
      </c>
      <c r="Q699" s="1" t="s">
        <v>976</v>
      </c>
      <c r="R699" s="1" t="s">
        <v>64</v>
      </c>
      <c r="S699" s="1" t="s">
        <v>129</v>
      </c>
      <c r="T699" s="1">
        <v>18999</v>
      </c>
      <c r="V699" s="1" t="s">
        <v>3996</v>
      </c>
      <c r="W699" s="1" t="s">
        <v>3997</v>
      </c>
    </row>
    <row r="700" spans="1:26" ht="15.75" customHeight="1" x14ac:dyDescent="0.35">
      <c r="A700" s="1" t="s">
        <v>81</v>
      </c>
      <c r="B700" s="1" t="s">
        <v>3515</v>
      </c>
      <c r="C700" s="1" t="s">
        <v>3516</v>
      </c>
      <c r="D700" s="1" t="s">
        <v>3315</v>
      </c>
      <c r="F700" s="1" t="s">
        <v>3453</v>
      </c>
      <c r="G700" s="1" t="s">
        <v>2521</v>
      </c>
      <c r="H700" s="1" t="s">
        <v>2522</v>
      </c>
      <c r="I700" s="1" t="s">
        <v>120</v>
      </c>
      <c r="J700" s="1" t="s">
        <v>39</v>
      </c>
      <c r="K700" s="1" t="s">
        <v>121</v>
      </c>
      <c r="L700" s="1" t="s">
        <v>3944</v>
      </c>
      <c r="M700" s="1" t="s">
        <v>3498</v>
      </c>
      <c r="O700" s="1" t="s">
        <v>3519</v>
      </c>
      <c r="P700" s="1" t="s">
        <v>3457</v>
      </c>
      <c r="Q700" s="1" t="s">
        <v>3458</v>
      </c>
      <c r="R700" s="1" t="s">
        <v>3459</v>
      </c>
      <c r="S700" s="1" t="s">
        <v>129</v>
      </c>
      <c r="T700" s="1">
        <v>20899</v>
      </c>
      <c r="U700" s="1" t="s">
        <v>166</v>
      </c>
      <c r="V700" s="1" t="s">
        <v>3520</v>
      </c>
    </row>
    <row r="701" spans="1:26" ht="15.75" customHeight="1" x14ac:dyDescent="0.35">
      <c r="A701" s="1" t="s">
        <v>234</v>
      </c>
      <c r="B701" s="1" t="s">
        <v>3998</v>
      </c>
      <c r="C701" s="1" t="s">
        <v>3999</v>
      </c>
      <c r="D701" s="1" t="s">
        <v>3363</v>
      </c>
      <c r="F701" s="1" t="s">
        <v>462</v>
      </c>
      <c r="G701" s="1" t="s">
        <v>1604</v>
      </c>
      <c r="H701" s="1" t="s">
        <v>4000</v>
      </c>
      <c r="I701" s="1" t="s">
        <v>1021</v>
      </c>
      <c r="J701" s="1" t="s">
        <v>4001</v>
      </c>
      <c r="K701" s="1" t="s">
        <v>90</v>
      </c>
      <c r="L701" s="1" t="s">
        <v>4002</v>
      </c>
      <c r="M701" s="1" t="s">
        <v>1258</v>
      </c>
      <c r="N701" s="1" t="s">
        <v>920</v>
      </c>
      <c r="O701" s="1" t="s">
        <v>3771</v>
      </c>
      <c r="P701" s="1" t="s">
        <v>3641</v>
      </c>
      <c r="Q701" s="1" t="s">
        <v>3468</v>
      </c>
      <c r="R701" s="1" t="s">
        <v>3402</v>
      </c>
      <c r="S701" s="1" t="s">
        <v>165</v>
      </c>
      <c r="T701" s="1">
        <v>28900</v>
      </c>
      <c r="V701" s="1" t="s">
        <v>4003</v>
      </c>
      <c r="W701" s="1" t="s">
        <v>4004</v>
      </c>
    </row>
    <row r="702" spans="1:26" ht="15.75" customHeight="1" x14ac:dyDescent="0.35">
      <c r="A702" s="1" t="s">
        <v>234</v>
      </c>
      <c r="B702" s="1" t="s">
        <v>4005</v>
      </c>
      <c r="C702" s="1" t="s">
        <v>4006</v>
      </c>
      <c r="D702" s="1" t="s">
        <v>4007</v>
      </c>
      <c r="F702" s="1" t="s">
        <v>3913</v>
      </c>
      <c r="G702" s="1" t="s">
        <v>629</v>
      </c>
      <c r="H702" s="1" t="s">
        <v>4008</v>
      </c>
      <c r="I702" s="1" t="s">
        <v>1021</v>
      </c>
      <c r="J702" s="1" t="s">
        <v>4001</v>
      </c>
      <c r="K702" s="1" t="s">
        <v>90</v>
      </c>
      <c r="L702" s="1" t="s">
        <v>4002</v>
      </c>
      <c r="M702" s="1" t="s">
        <v>3724</v>
      </c>
      <c r="N702" s="1" t="s">
        <v>973</v>
      </c>
      <c r="O702" s="1" t="s">
        <v>3926</v>
      </c>
      <c r="P702" s="1" t="s">
        <v>4009</v>
      </c>
      <c r="Q702" s="1" t="s">
        <v>3468</v>
      </c>
      <c r="R702" s="1" t="s">
        <v>3935</v>
      </c>
      <c r="S702" s="1" t="s">
        <v>165</v>
      </c>
      <c r="T702" s="1">
        <v>39200</v>
      </c>
      <c r="U702" s="1" t="s">
        <v>79</v>
      </c>
      <c r="V702" s="1" t="s">
        <v>4010</v>
      </c>
      <c r="W702" s="1" t="s">
        <v>4011</v>
      </c>
    </row>
    <row r="703" spans="1:26" ht="15.75" customHeight="1" x14ac:dyDescent="0.35">
      <c r="A703" s="1" t="s">
        <v>151</v>
      </c>
      <c r="B703" s="1" t="s">
        <v>3660</v>
      </c>
      <c r="C703" s="1" t="s">
        <v>3828</v>
      </c>
      <c r="D703" s="1" t="s">
        <v>3306</v>
      </c>
      <c r="F703" s="1" t="s">
        <v>4012</v>
      </c>
      <c r="G703" s="1" t="s">
        <v>3580</v>
      </c>
      <c r="H703" s="1" t="s">
        <v>4013</v>
      </c>
      <c r="I703" s="1" t="s">
        <v>3829</v>
      </c>
      <c r="K703" s="1" t="s">
        <v>90</v>
      </c>
      <c r="L703" s="1" t="s">
        <v>3284</v>
      </c>
      <c r="M703" s="1" t="s">
        <v>3830</v>
      </c>
      <c r="N703" s="1" t="s">
        <v>160</v>
      </c>
      <c r="O703" s="1" t="s">
        <v>3331</v>
      </c>
      <c r="P703" s="1" t="s">
        <v>3332</v>
      </c>
      <c r="Q703" s="1" t="s">
        <v>3346</v>
      </c>
      <c r="R703" s="1" t="s">
        <v>3333</v>
      </c>
      <c r="S703" s="1" t="s">
        <v>48</v>
      </c>
      <c r="T703" s="1">
        <v>15999</v>
      </c>
      <c r="U703" s="1" t="s">
        <v>166</v>
      </c>
      <c r="V703" s="1" t="s">
        <v>3585</v>
      </c>
      <c r="W703" s="1" t="s">
        <v>4014</v>
      </c>
    </row>
    <row r="704" spans="1:26" ht="15.75" customHeight="1" x14ac:dyDescent="0.35">
      <c r="A704" s="1" t="s">
        <v>234</v>
      </c>
      <c r="B704" s="1" t="s">
        <v>4015</v>
      </c>
      <c r="C704" s="1" t="s">
        <v>627</v>
      </c>
      <c r="D704" s="1" t="s">
        <v>3315</v>
      </c>
      <c r="F704" s="1" t="s">
        <v>628</v>
      </c>
      <c r="G704" s="1" t="s">
        <v>1604</v>
      </c>
      <c r="H704" s="1" t="s">
        <v>4016</v>
      </c>
      <c r="I704" s="1" t="s">
        <v>616</v>
      </c>
      <c r="J704" s="1" t="s">
        <v>971</v>
      </c>
      <c r="K704" s="1" t="s">
        <v>90</v>
      </c>
      <c r="L704" s="1" t="s">
        <v>3560</v>
      </c>
      <c r="M704" s="1" t="s">
        <v>3561</v>
      </c>
      <c r="N704" s="1" t="s">
        <v>633</v>
      </c>
      <c r="O704" s="1" t="s">
        <v>4017</v>
      </c>
      <c r="P704" s="1" t="s">
        <v>3697</v>
      </c>
      <c r="Q704" s="1" t="s">
        <v>3500</v>
      </c>
      <c r="R704" s="1" t="s">
        <v>4018</v>
      </c>
      <c r="S704" s="1" t="s">
        <v>165</v>
      </c>
      <c r="T704" s="1">
        <v>24300</v>
      </c>
      <c r="U704" s="1" t="s">
        <v>166</v>
      </c>
      <c r="V704" s="1" t="s">
        <v>638</v>
      </c>
      <c r="W704" s="1" t="s">
        <v>4019</v>
      </c>
    </row>
    <row r="705" spans="1:24" ht="15.75" customHeight="1" x14ac:dyDescent="0.35">
      <c r="A705" s="1" t="s">
        <v>30</v>
      </c>
      <c r="B705" s="1" t="s">
        <v>4020</v>
      </c>
      <c r="C705" s="1" t="s">
        <v>3709</v>
      </c>
      <c r="D705" s="1" t="s">
        <v>3438</v>
      </c>
      <c r="F705" s="1" t="s">
        <v>53</v>
      </c>
      <c r="G705" s="1" t="s">
        <v>644</v>
      </c>
      <c r="H705" s="1" t="s">
        <v>4021</v>
      </c>
      <c r="I705" s="1" t="s">
        <v>1015</v>
      </c>
      <c r="J705" s="1" t="s">
        <v>75</v>
      </c>
      <c r="K705" s="1" t="s">
        <v>90</v>
      </c>
      <c r="L705" s="1" t="s">
        <v>3523</v>
      </c>
      <c r="M705" s="1" t="s">
        <v>1566</v>
      </c>
      <c r="N705" s="1" t="s">
        <v>43</v>
      </c>
      <c r="O705" s="1" t="s">
        <v>4022</v>
      </c>
      <c r="P705" s="1" t="s">
        <v>4023</v>
      </c>
      <c r="Q705" s="1" t="s">
        <v>3321</v>
      </c>
      <c r="R705" s="1" t="s">
        <v>3557</v>
      </c>
      <c r="S705" s="1" t="s">
        <v>165</v>
      </c>
      <c r="T705" s="1">
        <v>40749</v>
      </c>
      <c r="V705" s="1" t="s">
        <v>4024</v>
      </c>
    </row>
    <row r="706" spans="1:24" ht="15.75" customHeight="1" x14ac:dyDescent="0.35">
      <c r="A706" s="1" t="s">
        <v>234</v>
      </c>
      <c r="B706" s="1" t="s">
        <v>4025</v>
      </c>
      <c r="C706" s="1" t="s">
        <v>4026</v>
      </c>
      <c r="D706" s="1" t="s">
        <v>4027</v>
      </c>
      <c r="F706" s="1" t="s">
        <v>3439</v>
      </c>
      <c r="G706" s="1" t="s">
        <v>1156</v>
      </c>
      <c r="H706" s="1" t="s">
        <v>4028</v>
      </c>
      <c r="I706" s="1" t="s">
        <v>4029</v>
      </c>
      <c r="K706" s="1" t="s">
        <v>201</v>
      </c>
      <c r="L706" s="1" t="s">
        <v>3441</v>
      </c>
      <c r="M706" s="1" t="s">
        <v>4030</v>
      </c>
      <c r="N706" s="1" t="s">
        <v>4031</v>
      </c>
      <c r="O706" s="1" t="s">
        <v>4032</v>
      </c>
      <c r="P706" s="1" t="s">
        <v>4033</v>
      </c>
      <c r="Q706" s="1" t="s">
        <v>1609</v>
      </c>
      <c r="R706" s="1" t="s">
        <v>3444</v>
      </c>
      <c r="S706" s="1" t="s">
        <v>165</v>
      </c>
      <c r="T706" s="1">
        <v>103777</v>
      </c>
      <c r="V706" s="1" t="s">
        <v>4034</v>
      </c>
      <c r="W706" s="1" t="s">
        <v>4035</v>
      </c>
      <c r="X706" s="1" t="s">
        <v>4036</v>
      </c>
    </row>
    <row r="707" spans="1:24" ht="15.75" customHeight="1" x14ac:dyDescent="0.35">
      <c r="A707" s="1" t="s">
        <v>151</v>
      </c>
      <c r="B707" s="1" t="s">
        <v>4037</v>
      </c>
      <c r="C707" s="1" t="s">
        <v>4038</v>
      </c>
      <c r="D707" s="1" t="s">
        <v>3363</v>
      </c>
      <c r="F707" s="1" t="s">
        <v>4039</v>
      </c>
      <c r="G707" s="1" t="s">
        <v>4040</v>
      </c>
      <c r="H707" s="1" t="s">
        <v>4041</v>
      </c>
      <c r="I707" s="1" t="s">
        <v>120</v>
      </c>
      <c r="K707" s="1" t="s">
        <v>90</v>
      </c>
      <c r="N707" s="1" t="s">
        <v>4042</v>
      </c>
      <c r="O707" s="1" t="s">
        <v>4043</v>
      </c>
      <c r="P707" s="1" t="s">
        <v>3965</v>
      </c>
      <c r="Q707" s="1" t="s">
        <v>2584</v>
      </c>
      <c r="S707" s="1" t="s">
        <v>78</v>
      </c>
      <c r="T707" s="1">
        <v>36349</v>
      </c>
      <c r="V707" s="1" t="s">
        <v>4044</v>
      </c>
      <c r="W707" s="1" t="s">
        <v>4045</v>
      </c>
    </row>
    <row r="708" spans="1:24" ht="15.75" customHeight="1" x14ac:dyDescent="0.35">
      <c r="A708" s="1" t="s">
        <v>151</v>
      </c>
      <c r="B708" s="1" t="s">
        <v>3948</v>
      </c>
      <c r="C708" s="1" t="s">
        <v>3858</v>
      </c>
      <c r="D708" s="1" t="s">
        <v>3541</v>
      </c>
      <c r="F708" s="1" t="s">
        <v>4046</v>
      </c>
      <c r="G708" s="1" t="s">
        <v>156</v>
      </c>
      <c r="H708" s="1" t="s">
        <v>4047</v>
      </c>
      <c r="I708" s="1" t="s">
        <v>224</v>
      </c>
      <c r="K708" s="1" t="s">
        <v>201</v>
      </c>
      <c r="L708" s="1" t="s">
        <v>1175</v>
      </c>
      <c r="M708" s="1" t="s">
        <v>3946</v>
      </c>
      <c r="N708" s="1" t="s">
        <v>941</v>
      </c>
      <c r="O708" s="1" t="s">
        <v>3582</v>
      </c>
      <c r="P708" s="1" t="s">
        <v>3950</v>
      </c>
      <c r="Q708" s="1" t="s">
        <v>2045</v>
      </c>
      <c r="R708" s="1" t="s">
        <v>802</v>
      </c>
      <c r="S708" s="1" t="s">
        <v>78</v>
      </c>
      <c r="T708" s="1">
        <v>42699</v>
      </c>
      <c r="U708" s="1" t="s">
        <v>166</v>
      </c>
      <c r="V708" s="1" t="s">
        <v>3664</v>
      </c>
      <c r="W708" s="1" t="s">
        <v>4048</v>
      </c>
    </row>
    <row r="709" spans="1:24" ht="15.75" customHeight="1" x14ac:dyDescent="0.35">
      <c r="A709" s="1" t="s">
        <v>112</v>
      </c>
      <c r="B709" s="1" t="s">
        <v>4049</v>
      </c>
      <c r="C709" s="1" t="s">
        <v>3866</v>
      </c>
      <c r="D709" s="1" t="s">
        <v>3522</v>
      </c>
      <c r="F709" s="1" t="s">
        <v>4050</v>
      </c>
      <c r="G709" s="1" t="s">
        <v>118</v>
      </c>
      <c r="H709" s="1" t="s">
        <v>4051</v>
      </c>
      <c r="I709" s="1" t="s">
        <v>616</v>
      </c>
      <c r="K709" s="1" t="s">
        <v>90</v>
      </c>
      <c r="L709" s="1" t="s">
        <v>3509</v>
      </c>
      <c r="M709" s="1" t="s">
        <v>3597</v>
      </c>
      <c r="N709" s="1" t="s">
        <v>3598</v>
      </c>
      <c r="O709" s="1" t="s">
        <v>4052</v>
      </c>
      <c r="P709" s="1" t="s">
        <v>4053</v>
      </c>
      <c r="Q709" s="1" t="s">
        <v>4054</v>
      </c>
      <c r="R709" s="1" t="s">
        <v>767</v>
      </c>
      <c r="S709" s="1" t="s">
        <v>78</v>
      </c>
      <c r="T709" s="1">
        <v>46949</v>
      </c>
      <c r="U709" s="1" t="s">
        <v>79</v>
      </c>
      <c r="V709" s="1" t="s">
        <v>3385</v>
      </c>
      <c r="W709" s="1" t="s">
        <v>4055</v>
      </c>
    </row>
    <row r="710" spans="1:24" ht="15.75" customHeight="1" x14ac:dyDescent="0.35">
      <c r="A710" s="1" t="s">
        <v>81</v>
      </c>
      <c r="B710" s="1" t="s">
        <v>3738</v>
      </c>
      <c r="C710" s="1" t="s">
        <v>3739</v>
      </c>
      <c r="D710" s="1" t="s">
        <v>3315</v>
      </c>
      <c r="F710" s="1" t="s">
        <v>3740</v>
      </c>
      <c r="G710" s="1" t="s">
        <v>3495</v>
      </c>
      <c r="H710" s="1" t="s">
        <v>3477</v>
      </c>
      <c r="I710" s="1" t="s">
        <v>616</v>
      </c>
      <c r="J710" s="1" t="s">
        <v>39</v>
      </c>
      <c r="K710" s="1" t="s">
        <v>90</v>
      </c>
      <c r="L710" s="1" t="s">
        <v>3944</v>
      </c>
      <c r="M710" s="1" t="s">
        <v>4056</v>
      </c>
      <c r="O710" s="1" t="s">
        <v>3741</v>
      </c>
      <c r="P710" s="1" t="s">
        <v>3742</v>
      </c>
      <c r="Q710" s="1" t="s">
        <v>1609</v>
      </c>
      <c r="R710" s="1" t="s">
        <v>3459</v>
      </c>
      <c r="S710" s="1" t="s">
        <v>78</v>
      </c>
      <c r="T710" s="1">
        <v>14999</v>
      </c>
      <c r="U710" s="1" t="s">
        <v>166</v>
      </c>
      <c r="V710" s="1" t="s">
        <v>4057</v>
      </c>
    </row>
    <row r="711" spans="1:24" ht="15.75" customHeight="1" x14ac:dyDescent="0.35">
      <c r="A711" s="1" t="s">
        <v>81</v>
      </c>
      <c r="B711" s="1" t="s">
        <v>3738</v>
      </c>
      <c r="C711" s="1" t="s">
        <v>3661</v>
      </c>
      <c r="D711" s="1" t="s">
        <v>3315</v>
      </c>
      <c r="F711" s="1" t="s">
        <v>3740</v>
      </c>
      <c r="G711" s="1" t="s">
        <v>2521</v>
      </c>
      <c r="H711" s="1" t="s">
        <v>1800</v>
      </c>
      <c r="I711" s="1" t="s">
        <v>120</v>
      </c>
      <c r="J711" s="1" t="s">
        <v>39</v>
      </c>
      <c r="K711" s="1" t="s">
        <v>101</v>
      </c>
      <c r="L711" s="1" t="s">
        <v>3944</v>
      </c>
      <c r="M711" s="1" t="s">
        <v>3455</v>
      </c>
      <c r="O711" s="1" t="s">
        <v>3741</v>
      </c>
      <c r="P711" s="1" t="s">
        <v>3742</v>
      </c>
      <c r="Q711" s="1" t="s">
        <v>1609</v>
      </c>
      <c r="R711" s="1" t="s">
        <v>3459</v>
      </c>
      <c r="S711" s="1" t="s">
        <v>78</v>
      </c>
      <c r="T711" s="1">
        <v>28499</v>
      </c>
      <c r="U711" s="1" t="s">
        <v>166</v>
      </c>
      <c r="V711" s="1" t="s">
        <v>3745</v>
      </c>
    </row>
    <row r="712" spans="1:24" ht="15.75" customHeight="1" x14ac:dyDescent="0.35">
      <c r="A712" s="1" t="s">
        <v>112</v>
      </c>
      <c r="B712" s="1" t="s">
        <v>4058</v>
      </c>
      <c r="C712" s="1" t="s">
        <v>4059</v>
      </c>
      <c r="D712" s="1" t="s">
        <v>3315</v>
      </c>
      <c r="F712" s="1" t="s">
        <v>4060</v>
      </c>
      <c r="G712" s="1" t="s">
        <v>4061</v>
      </c>
      <c r="H712" s="1" t="s">
        <v>4062</v>
      </c>
      <c r="I712" s="1" t="s">
        <v>3653</v>
      </c>
      <c r="K712" s="1" t="s">
        <v>1722</v>
      </c>
      <c r="L712" s="1" t="s">
        <v>4063</v>
      </c>
      <c r="M712" s="1" t="s">
        <v>4064</v>
      </c>
      <c r="N712" s="1" t="s">
        <v>465</v>
      </c>
      <c r="O712" s="1" t="s">
        <v>4065</v>
      </c>
      <c r="P712" s="1" t="s">
        <v>4066</v>
      </c>
      <c r="Q712" s="1" t="s">
        <v>3850</v>
      </c>
      <c r="R712" s="1" t="s">
        <v>4067</v>
      </c>
      <c r="S712" s="1" t="s">
        <v>78</v>
      </c>
      <c r="T712" s="1">
        <v>17999</v>
      </c>
      <c r="U712" s="1" t="s">
        <v>2181</v>
      </c>
      <c r="V712" s="1" t="s">
        <v>4068</v>
      </c>
      <c r="W712" s="1" t="s">
        <v>1647</v>
      </c>
    </row>
    <row r="713" spans="1:24" ht="15.75" customHeight="1" x14ac:dyDescent="0.35">
      <c r="A713" s="1" t="s">
        <v>81</v>
      </c>
      <c r="B713" s="1" t="s">
        <v>3738</v>
      </c>
      <c r="C713" s="1" t="s">
        <v>3516</v>
      </c>
      <c r="D713" s="1" t="s">
        <v>3315</v>
      </c>
      <c r="F713" s="1" t="s">
        <v>3740</v>
      </c>
      <c r="G713" s="1" t="s">
        <v>3495</v>
      </c>
      <c r="H713" s="1" t="s">
        <v>3477</v>
      </c>
      <c r="I713" s="1" t="s">
        <v>616</v>
      </c>
      <c r="J713" s="1" t="s">
        <v>39</v>
      </c>
      <c r="K713" s="1" t="s">
        <v>90</v>
      </c>
      <c r="L713" s="1" t="s">
        <v>3944</v>
      </c>
      <c r="M713" s="1" t="s">
        <v>3498</v>
      </c>
      <c r="O713" s="1" t="s">
        <v>3741</v>
      </c>
      <c r="P713" s="1" t="s">
        <v>3742</v>
      </c>
      <c r="Q713" s="1" t="s">
        <v>1609</v>
      </c>
      <c r="R713" s="1" t="s">
        <v>3459</v>
      </c>
      <c r="S713" s="1" t="s">
        <v>78</v>
      </c>
      <c r="T713" s="1">
        <v>20999</v>
      </c>
      <c r="U713" s="1" t="s">
        <v>166</v>
      </c>
      <c r="V713" s="1" t="s">
        <v>4069</v>
      </c>
    </row>
    <row r="714" spans="1:24" ht="15.75" customHeight="1" x14ac:dyDescent="0.35">
      <c r="A714" s="1" t="s">
        <v>66</v>
      </c>
      <c r="B714" s="1" t="s">
        <v>4070</v>
      </c>
      <c r="C714" s="1" t="s">
        <v>4071</v>
      </c>
      <c r="D714" s="1" t="s">
        <v>4072</v>
      </c>
      <c r="E714" s="1" t="s">
        <v>4073</v>
      </c>
      <c r="F714" s="1" t="s">
        <v>4074</v>
      </c>
      <c r="G714" s="1" t="s">
        <v>1120</v>
      </c>
      <c r="H714" s="1" t="s">
        <v>4075</v>
      </c>
      <c r="I714" s="1" t="s">
        <v>616</v>
      </c>
      <c r="K714" s="1" t="s">
        <v>101</v>
      </c>
      <c r="M714" s="1" t="s">
        <v>4076</v>
      </c>
      <c r="O714" s="1" t="s">
        <v>4077</v>
      </c>
      <c r="P714" s="1" t="s">
        <v>4078</v>
      </c>
      <c r="Q714" s="1" t="s">
        <v>636</v>
      </c>
      <c r="R714" s="1" t="s">
        <v>64</v>
      </c>
      <c r="S714" s="1" t="s">
        <v>78</v>
      </c>
      <c r="T714" s="1">
        <v>27499</v>
      </c>
      <c r="U714" s="1" t="s">
        <v>1082</v>
      </c>
      <c r="V714" s="1" t="s">
        <v>4079</v>
      </c>
    </row>
    <row r="715" spans="1:24" ht="15.75" customHeight="1" x14ac:dyDescent="0.35">
      <c r="A715" s="1" t="s">
        <v>234</v>
      </c>
      <c r="B715" s="1" t="s">
        <v>4080</v>
      </c>
      <c r="C715" s="1" t="s">
        <v>4081</v>
      </c>
      <c r="D715" s="1" t="s">
        <v>3522</v>
      </c>
      <c r="F715" s="1" t="s">
        <v>3924</v>
      </c>
      <c r="G715" s="1" t="s">
        <v>629</v>
      </c>
      <c r="H715" s="1" t="s">
        <v>4082</v>
      </c>
      <c r="I715" s="1" t="s">
        <v>1021</v>
      </c>
      <c r="J715" s="1" t="s">
        <v>971</v>
      </c>
      <c r="K715" s="1" t="s">
        <v>90</v>
      </c>
      <c r="L715" s="1" t="s">
        <v>972</v>
      </c>
      <c r="M715" s="1" t="s">
        <v>4083</v>
      </c>
      <c r="N715" s="1" t="s">
        <v>973</v>
      </c>
      <c r="O715" s="1" t="s">
        <v>3926</v>
      </c>
      <c r="P715" s="1" t="s">
        <v>4084</v>
      </c>
      <c r="Q715" s="1" t="s">
        <v>4085</v>
      </c>
      <c r="R715" s="1" t="s">
        <v>985</v>
      </c>
      <c r="S715" s="1" t="s">
        <v>165</v>
      </c>
      <c r="T715" s="1">
        <v>53499</v>
      </c>
      <c r="U715" s="1" t="s">
        <v>79</v>
      </c>
      <c r="V715" s="1" t="s">
        <v>3787</v>
      </c>
      <c r="W715" s="1" t="s">
        <v>4086</v>
      </c>
    </row>
    <row r="716" spans="1:24" ht="15.75" customHeight="1" x14ac:dyDescent="0.35">
      <c r="A716" s="1" t="s">
        <v>81</v>
      </c>
      <c r="B716" s="1" t="s">
        <v>3896</v>
      </c>
      <c r="C716" s="1" t="s">
        <v>4087</v>
      </c>
      <c r="D716" s="1" t="s">
        <v>3315</v>
      </c>
      <c r="F716" s="1" t="s">
        <v>4088</v>
      </c>
      <c r="G716" s="1" t="s">
        <v>4089</v>
      </c>
      <c r="H716" s="1" t="s">
        <v>4090</v>
      </c>
      <c r="I716" s="1" t="s">
        <v>3653</v>
      </c>
      <c r="K716" s="1" t="s">
        <v>101</v>
      </c>
      <c r="L716" s="1" t="s">
        <v>3900</v>
      </c>
      <c r="M716" s="1" t="s">
        <v>4056</v>
      </c>
      <c r="O716" s="1" t="s">
        <v>4091</v>
      </c>
      <c r="P716" s="1" t="s">
        <v>3499</v>
      </c>
      <c r="Q716" s="1" t="s">
        <v>4092</v>
      </c>
      <c r="R716" s="1" t="s">
        <v>64</v>
      </c>
      <c r="S716" s="1" t="s">
        <v>78</v>
      </c>
      <c r="T716" s="1">
        <v>18149</v>
      </c>
      <c r="U716" s="1" t="s">
        <v>1082</v>
      </c>
      <c r="V716" s="1" t="s">
        <v>4093</v>
      </c>
    </row>
    <row r="717" spans="1:24" ht="15.75" customHeight="1" x14ac:dyDescent="0.35">
      <c r="A717" s="1" t="s">
        <v>81</v>
      </c>
      <c r="B717" s="1" t="s">
        <v>3515</v>
      </c>
      <c r="C717" s="1" t="s">
        <v>3661</v>
      </c>
      <c r="D717" s="1" t="s">
        <v>3541</v>
      </c>
      <c r="F717" s="1" t="s">
        <v>4094</v>
      </c>
      <c r="G717" s="1" t="s">
        <v>2521</v>
      </c>
      <c r="H717" s="1" t="s">
        <v>2522</v>
      </c>
      <c r="I717" s="1" t="s">
        <v>120</v>
      </c>
      <c r="J717" s="1" t="s">
        <v>39</v>
      </c>
      <c r="K717" s="1" t="s">
        <v>101</v>
      </c>
      <c r="L717" s="1" t="s">
        <v>3944</v>
      </c>
      <c r="M717" s="1" t="s">
        <v>3455</v>
      </c>
      <c r="O717" s="1" t="s">
        <v>3519</v>
      </c>
      <c r="P717" s="1" t="s">
        <v>3457</v>
      </c>
      <c r="Q717" s="1" t="s">
        <v>3458</v>
      </c>
      <c r="R717" s="1" t="s">
        <v>3459</v>
      </c>
      <c r="S717" s="1" t="s">
        <v>78</v>
      </c>
      <c r="T717" s="1">
        <v>30999</v>
      </c>
      <c r="U717" s="1" t="s">
        <v>166</v>
      </c>
      <c r="V717" s="1" t="s">
        <v>3745</v>
      </c>
    </row>
    <row r="718" spans="1:24" ht="15.75" customHeight="1" x14ac:dyDescent="0.35">
      <c r="A718" s="1" t="s">
        <v>151</v>
      </c>
      <c r="B718" s="1" t="s">
        <v>4095</v>
      </c>
      <c r="C718" s="1" t="s">
        <v>719</v>
      </c>
      <c r="D718" s="1" t="s">
        <v>3306</v>
      </c>
      <c r="F718" s="1" t="s">
        <v>3573</v>
      </c>
      <c r="G718" s="1" t="s">
        <v>156</v>
      </c>
      <c r="H718" s="1" t="s">
        <v>3671</v>
      </c>
      <c r="I718" s="1" t="s">
        <v>616</v>
      </c>
      <c r="K718" s="1" t="s">
        <v>101</v>
      </c>
      <c r="L718" s="1" t="s">
        <v>3329</v>
      </c>
      <c r="M718" s="1" t="s">
        <v>3433</v>
      </c>
      <c r="N718" s="1" t="s">
        <v>941</v>
      </c>
      <c r="O718" s="1" t="s">
        <v>4096</v>
      </c>
      <c r="P718" s="1" t="s">
        <v>3435</v>
      </c>
      <c r="Q718" s="1" t="s">
        <v>3383</v>
      </c>
      <c r="R718" s="1" t="s">
        <v>1105</v>
      </c>
      <c r="S718" s="1" t="s">
        <v>78</v>
      </c>
      <c r="T718" s="1">
        <v>29000</v>
      </c>
      <c r="U718" s="1" t="s">
        <v>166</v>
      </c>
      <c r="V718" s="1" t="s">
        <v>1537</v>
      </c>
      <c r="W718" s="1" t="s">
        <v>4097</v>
      </c>
    </row>
    <row r="719" spans="1:24" ht="15.75" customHeight="1" x14ac:dyDescent="0.35">
      <c r="A719" s="1" t="s">
        <v>151</v>
      </c>
      <c r="B719" s="1" t="s">
        <v>4098</v>
      </c>
      <c r="C719" s="1" t="s">
        <v>4099</v>
      </c>
      <c r="D719" s="1" t="s">
        <v>3306</v>
      </c>
      <c r="F719" s="1" t="s">
        <v>4100</v>
      </c>
      <c r="G719" s="1" t="s">
        <v>4101</v>
      </c>
      <c r="H719" s="1" t="s">
        <v>4102</v>
      </c>
      <c r="I719" s="1" t="s">
        <v>616</v>
      </c>
      <c r="K719" s="1" t="s">
        <v>101</v>
      </c>
      <c r="L719" s="1" t="s">
        <v>3284</v>
      </c>
      <c r="M719" s="1" t="s">
        <v>3992</v>
      </c>
      <c r="N719" s="1" t="s">
        <v>3993</v>
      </c>
      <c r="O719" s="1" t="s">
        <v>4103</v>
      </c>
      <c r="P719" s="1" t="s">
        <v>4104</v>
      </c>
      <c r="Q719" s="1" t="s">
        <v>976</v>
      </c>
      <c r="R719" s="1" t="s">
        <v>3428</v>
      </c>
      <c r="S719" s="1" t="s">
        <v>78</v>
      </c>
      <c r="T719" s="1">
        <v>15000</v>
      </c>
      <c r="U719" s="1" t="s">
        <v>2181</v>
      </c>
      <c r="V719" s="1" t="s">
        <v>4105</v>
      </c>
      <c r="W719" s="1" t="s">
        <v>4106</v>
      </c>
    </row>
    <row r="720" spans="1:24" ht="15.75" customHeight="1" x14ac:dyDescent="0.35">
      <c r="A720" s="1" t="s">
        <v>151</v>
      </c>
      <c r="B720" s="1" t="s">
        <v>4107</v>
      </c>
      <c r="C720" s="1" t="s">
        <v>4108</v>
      </c>
      <c r="D720" s="1" t="s">
        <v>3806</v>
      </c>
      <c r="F720" s="1" t="s">
        <v>4109</v>
      </c>
      <c r="G720" s="1" t="s">
        <v>4101</v>
      </c>
      <c r="H720" s="1" t="s">
        <v>3574</v>
      </c>
      <c r="I720" s="1" t="s">
        <v>616</v>
      </c>
      <c r="K720" s="1" t="s">
        <v>101</v>
      </c>
      <c r="L720" s="1" t="s">
        <v>3329</v>
      </c>
      <c r="M720" s="1" t="s">
        <v>3977</v>
      </c>
      <c r="N720" s="1" t="s">
        <v>160</v>
      </c>
      <c r="O720" s="1" t="s">
        <v>4110</v>
      </c>
      <c r="P720" s="1" t="s">
        <v>3345</v>
      </c>
      <c r="Q720" s="1" t="s">
        <v>1609</v>
      </c>
      <c r="R720" s="1" t="s">
        <v>1105</v>
      </c>
      <c r="S720" s="1" t="s">
        <v>78</v>
      </c>
      <c r="T720" s="1">
        <v>25499</v>
      </c>
      <c r="V720" s="1" t="s">
        <v>3334</v>
      </c>
      <c r="W720" s="1" t="s">
        <v>4111</v>
      </c>
    </row>
    <row r="721" spans="1:26" ht="15.75" customHeight="1" x14ac:dyDescent="0.35">
      <c r="A721" s="1" t="s">
        <v>151</v>
      </c>
      <c r="B721" s="1" t="s">
        <v>4095</v>
      </c>
      <c r="C721" s="1" t="s">
        <v>1533</v>
      </c>
      <c r="D721" s="1" t="s">
        <v>3315</v>
      </c>
      <c r="F721" s="1" t="s">
        <v>3573</v>
      </c>
      <c r="G721" s="1" t="s">
        <v>156</v>
      </c>
      <c r="H721" s="1" t="s">
        <v>3671</v>
      </c>
      <c r="I721" s="1" t="s">
        <v>616</v>
      </c>
      <c r="K721" s="1" t="s">
        <v>40</v>
      </c>
      <c r="L721" s="1" t="s">
        <v>3284</v>
      </c>
      <c r="M721" s="1" t="s">
        <v>3433</v>
      </c>
      <c r="N721" s="1" t="s">
        <v>941</v>
      </c>
      <c r="O721" s="1" t="s">
        <v>4096</v>
      </c>
      <c r="P721" s="1" t="s">
        <v>3435</v>
      </c>
      <c r="Q721" s="1" t="s">
        <v>3383</v>
      </c>
      <c r="R721" s="1" t="s">
        <v>1105</v>
      </c>
      <c r="S721" s="1" t="s">
        <v>78</v>
      </c>
      <c r="T721" s="1">
        <v>23799</v>
      </c>
      <c r="U721" s="1" t="s">
        <v>166</v>
      </c>
      <c r="V721" s="1" t="s">
        <v>1537</v>
      </c>
      <c r="W721" s="1" t="s">
        <v>4112</v>
      </c>
    </row>
    <row r="722" spans="1:26" ht="15.75" customHeight="1" x14ac:dyDescent="0.35">
      <c r="A722" s="1" t="s">
        <v>81</v>
      </c>
      <c r="B722" s="1" t="s">
        <v>3738</v>
      </c>
      <c r="C722" s="1" t="s">
        <v>4071</v>
      </c>
      <c r="D722" s="1" t="s">
        <v>3315</v>
      </c>
      <c r="F722" s="1" t="s">
        <v>3943</v>
      </c>
      <c r="G722" s="1" t="s">
        <v>2521</v>
      </c>
      <c r="H722" s="1" t="s">
        <v>1800</v>
      </c>
      <c r="I722" s="1" t="s">
        <v>616</v>
      </c>
      <c r="J722" s="1" t="s">
        <v>39</v>
      </c>
      <c r="K722" s="1" t="s">
        <v>90</v>
      </c>
      <c r="L722" s="1" t="s">
        <v>3944</v>
      </c>
      <c r="M722" s="1" t="s">
        <v>3498</v>
      </c>
      <c r="O722" s="1" t="s">
        <v>3741</v>
      </c>
      <c r="P722" s="1" t="s">
        <v>3742</v>
      </c>
      <c r="Q722" s="1" t="s">
        <v>1609</v>
      </c>
      <c r="R722" s="1" t="s">
        <v>3459</v>
      </c>
      <c r="S722" s="1" t="s">
        <v>78</v>
      </c>
      <c r="T722" s="1">
        <v>23499</v>
      </c>
      <c r="U722" s="1" t="s">
        <v>1082</v>
      </c>
      <c r="V722" s="1" t="s">
        <v>4113</v>
      </c>
    </row>
    <row r="723" spans="1:26" ht="15.75" customHeight="1" x14ac:dyDescent="0.35">
      <c r="A723" s="1" t="s">
        <v>151</v>
      </c>
      <c r="B723" s="1" t="s">
        <v>3660</v>
      </c>
      <c r="C723" s="1" t="s">
        <v>3516</v>
      </c>
      <c r="D723" s="1" t="s">
        <v>3341</v>
      </c>
      <c r="F723" s="1" t="s">
        <v>3327</v>
      </c>
      <c r="G723" s="1" t="s">
        <v>1506</v>
      </c>
      <c r="H723" s="1" t="s">
        <v>3663</v>
      </c>
      <c r="I723" s="1" t="s">
        <v>616</v>
      </c>
      <c r="K723" s="1" t="s">
        <v>40</v>
      </c>
      <c r="L723" s="1" t="s">
        <v>3284</v>
      </c>
      <c r="M723" s="1" t="s">
        <v>3830</v>
      </c>
      <c r="N723" s="1" t="s">
        <v>160</v>
      </c>
      <c r="O723" s="1" t="s">
        <v>4110</v>
      </c>
      <c r="P723" s="1" t="s">
        <v>3332</v>
      </c>
      <c r="Q723" s="1" t="s">
        <v>3346</v>
      </c>
      <c r="R723" s="1" t="s">
        <v>3333</v>
      </c>
      <c r="S723" s="1" t="s">
        <v>78</v>
      </c>
      <c r="T723" s="1">
        <v>22499</v>
      </c>
      <c r="U723" s="1" t="s">
        <v>166</v>
      </c>
      <c r="V723" s="1" t="s">
        <v>3347</v>
      </c>
      <c r="W723" s="1" t="s">
        <v>4114</v>
      </c>
    </row>
    <row r="724" spans="1:26" ht="15.75" customHeight="1" x14ac:dyDescent="0.35">
      <c r="A724" s="1" t="s">
        <v>234</v>
      </c>
      <c r="B724" s="1" t="s">
        <v>4115</v>
      </c>
      <c r="C724" s="1" t="s">
        <v>3748</v>
      </c>
      <c r="D724" s="1" t="s">
        <v>4116</v>
      </c>
      <c r="F724" s="1" t="s">
        <v>4117</v>
      </c>
      <c r="G724" s="1" t="s">
        <v>4118</v>
      </c>
      <c r="H724" s="1" t="s">
        <v>4119</v>
      </c>
      <c r="I724" s="1" t="s">
        <v>616</v>
      </c>
      <c r="K724" s="1" t="s">
        <v>2991</v>
      </c>
      <c r="L724" s="1" t="s">
        <v>4120</v>
      </c>
      <c r="M724" s="1" t="s">
        <v>4121</v>
      </c>
      <c r="N724" s="1" t="s">
        <v>4122</v>
      </c>
      <c r="O724" s="1" t="s">
        <v>4123</v>
      </c>
      <c r="P724" s="1" t="s">
        <v>4124</v>
      </c>
      <c r="R724" s="1" t="s">
        <v>64</v>
      </c>
      <c r="S724" s="1" t="s">
        <v>339</v>
      </c>
      <c r="T724" s="1">
        <v>37499</v>
      </c>
      <c r="U724" s="1" t="s">
        <v>1082</v>
      </c>
      <c r="V724" s="1" t="s">
        <v>4125</v>
      </c>
      <c r="W724" s="1" t="s">
        <v>4126</v>
      </c>
    </row>
    <row r="725" spans="1:26" ht="15.75" customHeight="1" x14ac:dyDescent="0.35">
      <c r="A725" s="1" t="s">
        <v>112</v>
      </c>
      <c r="B725" s="1" t="s">
        <v>4127</v>
      </c>
      <c r="C725" s="1" t="s">
        <v>4081</v>
      </c>
      <c r="D725" s="1" t="s">
        <v>3522</v>
      </c>
      <c r="F725" s="1" t="s">
        <v>4128</v>
      </c>
      <c r="G725" s="1" t="s">
        <v>136</v>
      </c>
      <c r="H725" s="1" t="s">
        <v>4129</v>
      </c>
      <c r="I725" s="1" t="s">
        <v>4130</v>
      </c>
      <c r="K725" s="1" t="s">
        <v>90</v>
      </c>
      <c r="L725" s="1" t="s">
        <v>4131</v>
      </c>
      <c r="M725" s="1" t="s">
        <v>4132</v>
      </c>
      <c r="N725" s="1" t="s">
        <v>763</v>
      </c>
      <c r="O725" s="1" t="s">
        <v>4133</v>
      </c>
      <c r="P725" s="1" t="s">
        <v>4134</v>
      </c>
      <c r="Q725" s="1" t="s">
        <v>4135</v>
      </c>
      <c r="R725" s="1" t="s">
        <v>4136</v>
      </c>
      <c r="S725" s="1" t="s">
        <v>78</v>
      </c>
      <c r="T725" s="1">
        <v>58750</v>
      </c>
      <c r="U725" s="1" t="s">
        <v>79</v>
      </c>
      <c r="V725" s="1" t="s">
        <v>4137</v>
      </c>
      <c r="W725" s="1" t="s">
        <v>4138</v>
      </c>
    </row>
    <row r="726" spans="1:26" ht="15.75" customHeight="1" x14ac:dyDescent="0.35">
      <c r="A726" s="1" t="s">
        <v>112</v>
      </c>
      <c r="B726" s="1" t="s">
        <v>4139</v>
      </c>
      <c r="C726" s="1" t="s">
        <v>4140</v>
      </c>
      <c r="D726" s="1" t="s">
        <v>3522</v>
      </c>
      <c r="F726" s="1" t="s">
        <v>4141</v>
      </c>
      <c r="G726" s="1" t="s">
        <v>2718</v>
      </c>
      <c r="H726" s="1" t="s">
        <v>4142</v>
      </c>
      <c r="I726" s="1" t="s">
        <v>616</v>
      </c>
      <c r="K726" s="1" t="s">
        <v>90</v>
      </c>
      <c r="L726" s="1" t="s">
        <v>3509</v>
      </c>
      <c r="M726" s="1" t="s">
        <v>4143</v>
      </c>
      <c r="N726" s="1" t="s">
        <v>3511</v>
      </c>
      <c r="O726" s="1" t="s">
        <v>3512</v>
      </c>
      <c r="P726" s="1" t="s">
        <v>4144</v>
      </c>
      <c r="Q726" s="1" t="s">
        <v>3532</v>
      </c>
      <c r="R726" s="1" t="s">
        <v>767</v>
      </c>
      <c r="S726" s="1" t="s">
        <v>78</v>
      </c>
      <c r="T726" s="1">
        <v>36000</v>
      </c>
      <c r="U726" s="1" t="s">
        <v>79</v>
      </c>
      <c r="V726" s="1" t="s">
        <v>4145</v>
      </c>
      <c r="W726" s="1" t="s">
        <v>4146</v>
      </c>
    </row>
    <row r="727" spans="1:26" ht="15.75" customHeight="1" x14ac:dyDescent="0.35">
      <c r="A727" s="1" t="s">
        <v>112</v>
      </c>
      <c r="B727" s="1" t="s">
        <v>4147</v>
      </c>
      <c r="C727" s="1" t="s">
        <v>3516</v>
      </c>
      <c r="D727" s="1" t="s">
        <v>3541</v>
      </c>
      <c r="F727" s="1" t="s">
        <v>4141</v>
      </c>
      <c r="G727" s="1" t="s">
        <v>2718</v>
      </c>
      <c r="H727" s="1" t="s">
        <v>4148</v>
      </c>
      <c r="I727" s="1" t="s">
        <v>616</v>
      </c>
      <c r="K727" s="1" t="s">
        <v>90</v>
      </c>
      <c r="L727" s="1" t="s">
        <v>4149</v>
      </c>
      <c r="M727" s="1" t="s">
        <v>3530</v>
      </c>
      <c r="N727" s="1" t="s">
        <v>124</v>
      </c>
      <c r="O727" s="1" t="s">
        <v>3972</v>
      </c>
      <c r="P727" s="1" t="s">
        <v>4150</v>
      </c>
      <c r="Q727" s="1" t="s">
        <v>3532</v>
      </c>
      <c r="R727" s="1" t="s">
        <v>4151</v>
      </c>
      <c r="S727" s="1" t="s">
        <v>78</v>
      </c>
      <c r="T727" s="1">
        <v>39499</v>
      </c>
      <c r="U727" s="1" t="s">
        <v>166</v>
      </c>
      <c r="V727" s="1" t="s">
        <v>4152</v>
      </c>
      <c r="W727" s="1" t="s">
        <v>4153</v>
      </c>
    </row>
    <row r="728" spans="1:26" ht="15.75" customHeight="1" x14ac:dyDescent="0.35">
      <c r="A728" s="1" t="s">
        <v>234</v>
      </c>
      <c r="B728" s="1" t="s">
        <v>4154</v>
      </c>
      <c r="C728" s="1" t="s">
        <v>4155</v>
      </c>
      <c r="D728" s="1" t="s">
        <v>3306</v>
      </c>
      <c r="F728" s="1" t="s">
        <v>491</v>
      </c>
      <c r="G728" s="1" t="s">
        <v>4156</v>
      </c>
      <c r="H728" s="1" t="s">
        <v>4157</v>
      </c>
      <c r="I728" s="1" t="s">
        <v>616</v>
      </c>
      <c r="K728" s="1" t="s">
        <v>1722</v>
      </c>
      <c r="L728" s="1" t="s">
        <v>4158</v>
      </c>
      <c r="N728" s="1" t="s">
        <v>4122</v>
      </c>
      <c r="O728" s="1" t="s">
        <v>4159</v>
      </c>
      <c r="P728" s="1" t="s">
        <v>4124</v>
      </c>
      <c r="R728" s="1" t="s">
        <v>64</v>
      </c>
      <c r="S728" s="1" t="s">
        <v>165</v>
      </c>
      <c r="T728" s="1">
        <v>41999</v>
      </c>
      <c r="U728" s="1" t="s">
        <v>2181</v>
      </c>
      <c r="V728" s="1" t="s">
        <v>4160</v>
      </c>
      <c r="W728" s="1" t="s">
        <v>4161</v>
      </c>
    </row>
    <row r="729" spans="1:26" ht="15.75" customHeight="1" x14ac:dyDescent="0.35">
      <c r="A729" s="1" t="s">
        <v>81</v>
      </c>
      <c r="B729" s="1" t="s">
        <v>3738</v>
      </c>
      <c r="C729" s="1" t="s">
        <v>4071</v>
      </c>
      <c r="D729" s="1" t="s">
        <v>3315</v>
      </c>
      <c r="F729" s="1" t="s">
        <v>3943</v>
      </c>
      <c r="G729" s="1" t="s">
        <v>3495</v>
      </c>
      <c r="H729" s="1" t="s">
        <v>1800</v>
      </c>
      <c r="I729" s="1" t="s">
        <v>616</v>
      </c>
      <c r="J729" s="1" t="s">
        <v>39</v>
      </c>
      <c r="K729" s="1" t="s">
        <v>90</v>
      </c>
      <c r="L729" s="1" t="s">
        <v>3944</v>
      </c>
      <c r="M729" s="1" t="s">
        <v>3498</v>
      </c>
      <c r="O729" s="1" t="s">
        <v>3741</v>
      </c>
      <c r="P729" s="1" t="s">
        <v>3742</v>
      </c>
      <c r="Q729" s="1" t="s">
        <v>1609</v>
      </c>
      <c r="R729" s="1" t="s">
        <v>3459</v>
      </c>
      <c r="S729" s="1" t="s">
        <v>78</v>
      </c>
      <c r="T729" s="1">
        <v>28999</v>
      </c>
      <c r="U729" s="1" t="s">
        <v>1082</v>
      </c>
      <c r="V729" s="1" t="s">
        <v>4113</v>
      </c>
    </row>
    <row r="730" spans="1:26" ht="15.75" customHeight="1" x14ac:dyDescent="0.35">
      <c r="A730" s="1" t="s">
        <v>112</v>
      </c>
      <c r="B730" s="1" t="s">
        <v>4162</v>
      </c>
      <c r="C730" s="1" t="s">
        <v>3668</v>
      </c>
      <c r="D730" s="1" t="s">
        <v>4163</v>
      </c>
      <c r="F730" s="1" t="s">
        <v>1462</v>
      </c>
      <c r="G730" s="1" t="s">
        <v>542</v>
      </c>
      <c r="H730" s="1" t="s">
        <v>4164</v>
      </c>
      <c r="I730" s="1" t="s">
        <v>120</v>
      </c>
      <c r="K730" s="1" t="s">
        <v>90</v>
      </c>
      <c r="L730" s="1" t="s">
        <v>3985</v>
      </c>
      <c r="M730" s="1" t="s">
        <v>3245</v>
      </c>
      <c r="N730" s="1" t="s">
        <v>1841</v>
      </c>
      <c r="O730" s="1" t="s">
        <v>4165</v>
      </c>
      <c r="P730" s="1" t="s">
        <v>4166</v>
      </c>
      <c r="Q730" s="1" t="s">
        <v>3276</v>
      </c>
      <c r="R730" s="1" t="s">
        <v>4167</v>
      </c>
      <c r="S730" s="1" t="s">
        <v>78</v>
      </c>
      <c r="T730" s="1">
        <v>33499</v>
      </c>
      <c r="U730" s="1" t="s">
        <v>1082</v>
      </c>
      <c r="V730" s="1" t="s">
        <v>4168</v>
      </c>
      <c r="W730" s="1" t="s">
        <v>4169</v>
      </c>
    </row>
    <row r="731" spans="1:26" ht="15.75" customHeight="1" x14ac:dyDescent="0.35">
      <c r="A731" s="1" t="s">
        <v>81</v>
      </c>
      <c r="B731" s="1" t="s">
        <v>3515</v>
      </c>
      <c r="C731" s="1" t="s">
        <v>3661</v>
      </c>
      <c r="D731" s="1" t="s">
        <v>3942</v>
      </c>
      <c r="E731" s="1" t="s">
        <v>3670</v>
      </c>
      <c r="F731" s="1" t="s">
        <v>3943</v>
      </c>
      <c r="G731" s="1" t="s">
        <v>2521</v>
      </c>
      <c r="H731" s="1" t="s">
        <v>1800</v>
      </c>
      <c r="I731" s="1" t="s">
        <v>616</v>
      </c>
      <c r="J731" s="1" t="s">
        <v>39</v>
      </c>
      <c r="K731" s="1" t="s">
        <v>101</v>
      </c>
      <c r="L731" s="1" t="s">
        <v>3744</v>
      </c>
      <c r="M731" s="1" t="s">
        <v>3455</v>
      </c>
      <c r="O731" s="1" t="s">
        <v>3519</v>
      </c>
      <c r="P731" s="1" t="s">
        <v>3457</v>
      </c>
      <c r="Q731" s="1" t="s">
        <v>3458</v>
      </c>
      <c r="R731" s="1" t="s">
        <v>4170</v>
      </c>
      <c r="S731" s="1" t="s">
        <v>78</v>
      </c>
      <c r="T731" s="1">
        <v>35299</v>
      </c>
      <c r="U731" s="1" t="s">
        <v>166</v>
      </c>
      <c r="V731" s="1" t="s">
        <v>3745</v>
      </c>
      <c r="Z731" s="1" t="s">
        <v>2439</v>
      </c>
    </row>
    <row r="732" spans="1:26" ht="15.75" customHeight="1" x14ac:dyDescent="0.35">
      <c r="A732" s="1" t="s">
        <v>234</v>
      </c>
      <c r="B732" s="1" t="s">
        <v>4171</v>
      </c>
      <c r="C732" s="1" t="s">
        <v>1118</v>
      </c>
      <c r="D732" s="1" t="s">
        <v>3306</v>
      </c>
      <c r="F732" s="1" t="s">
        <v>628</v>
      </c>
      <c r="G732" s="1" t="s">
        <v>1604</v>
      </c>
      <c r="H732" s="1" t="s">
        <v>4172</v>
      </c>
      <c r="I732" s="1" t="s">
        <v>616</v>
      </c>
      <c r="K732" s="1" t="s">
        <v>90</v>
      </c>
      <c r="M732" s="1" t="s">
        <v>1258</v>
      </c>
      <c r="N732" s="1" t="s">
        <v>633</v>
      </c>
      <c r="O732" s="1" t="s">
        <v>3562</v>
      </c>
      <c r="P732" s="1" t="s">
        <v>4173</v>
      </c>
      <c r="Q732" s="1" t="s">
        <v>3500</v>
      </c>
      <c r="R732" s="1" t="s">
        <v>1610</v>
      </c>
      <c r="S732" s="1" t="s">
        <v>339</v>
      </c>
      <c r="T732" s="1">
        <v>27999</v>
      </c>
      <c r="U732" s="1" t="s">
        <v>166</v>
      </c>
      <c r="V732" s="1" t="s">
        <v>4174</v>
      </c>
      <c r="W732" s="1" t="s">
        <v>4175</v>
      </c>
    </row>
    <row r="733" spans="1:26" ht="15.75" customHeight="1" x14ac:dyDescent="0.35">
      <c r="A733" s="1" t="s">
        <v>112</v>
      </c>
      <c r="B733" s="1" t="s">
        <v>4176</v>
      </c>
      <c r="C733" s="1" t="s">
        <v>4071</v>
      </c>
      <c r="D733" s="1" t="s">
        <v>3669</v>
      </c>
      <c r="E733" s="1" t="s">
        <v>4177</v>
      </c>
      <c r="F733" s="1" t="s">
        <v>4178</v>
      </c>
      <c r="G733" s="1" t="s">
        <v>2125</v>
      </c>
      <c r="H733" s="1" t="s">
        <v>4179</v>
      </c>
      <c r="I733" s="1" t="s">
        <v>616</v>
      </c>
      <c r="K733" s="1" t="s">
        <v>90</v>
      </c>
      <c r="L733" s="1" t="s">
        <v>762</v>
      </c>
      <c r="M733" s="1" t="s">
        <v>4180</v>
      </c>
      <c r="N733" s="1" t="s">
        <v>1841</v>
      </c>
      <c r="O733" s="1" t="s">
        <v>4165</v>
      </c>
      <c r="P733" s="1" t="s">
        <v>4181</v>
      </c>
      <c r="Q733" s="1" t="s">
        <v>4182</v>
      </c>
      <c r="R733" s="1" t="s">
        <v>4183</v>
      </c>
      <c r="S733" s="1" t="s">
        <v>78</v>
      </c>
      <c r="T733" s="1">
        <v>22449</v>
      </c>
      <c r="U733" s="1" t="s">
        <v>1082</v>
      </c>
      <c r="V733" s="1" t="s">
        <v>4184</v>
      </c>
    </row>
    <row r="734" spans="1:26" ht="15.75" customHeight="1" x14ac:dyDescent="0.35">
      <c r="A734" s="1" t="s">
        <v>112</v>
      </c>
      <c r="B734" s="1" t="s">
        <v>4185</v>
      </c>
      <c r="C734" s="1" t="s">
        <v>4071</v>
      </c>
      <c r="D734" s="1" t="s">
        <v>4186</v>
      </c>
      <c r="E734" s="1" t="s">
        <v>4073</v>
      </c>
      <c r="F734" s="1" t="s">
        <v>1525</v>
      </c>
      <c r="G734" s="1" t="s">
        <v>2718</v>
      </c>
      <c r="H734" s="1" t="s">
        <v>4187</v>
      </c>
      <c r="I734" s="1" t="s">
        <v>3653</v>
      </c>
      <c r="K734" s="1" t="s">
        <v>101</v>
      </c>
      <c r="L734" s="1" t="s">
        <v>4188</v>
      </c>
      <c r="M734" s="1" t="s">
        <v>3245</v>
      </c>
      <c r="N734" s="1" t="s">
        <v>1841</v>
      </c>
      <c r="O734" s="1" t="s">
        <v>4189</v>
      </c>
      <c r="P734" s="1" t="s">
        <v>4190</v>
      </c>
      <c r="Q734" s="1" t="s">
        <v>3276</v>
      </c>
      <c r="R734" s="1" t="s">
        <v>4191</v>
      </c>
      <c r="S734" s="1" t="s">
        <v>78</v>
      </c>
      <c r="T734" s="1">
        <v>25999</v>
      </c>
      <c r="U734" s="1" t="s">
        <v>1082</v>
      </c>
      <c r="V734" s="1" t="s">
        <v>4184</v>
      </c>
    </row>
    <row r="735" spans="1:26" ht="15.75" customHeight="1" x14ac:dyDescent="0.35">
      <c r="A735" s="1" t="s">
        <v>112</v>
      </c>
      <c r="B735" s="1" t="s">
        <v>4058</v>
      </c>
      <c r="C735" s="1" t="s">
        <v>4071</v>
      </c>
      <c r="D735" s="1" t="s">
        <v>3522</v>
      </c>
      <c r="F735" s="1" t="s">
        <v>4060</v>
      </c>
      <c r="G735" s="1" t="s">
        <v>4192</v>
      </c>
      <c r="H735" s="1" t="s">
        <v>4193</v>
      </c>
      <c r="I735" s="1" t="s">
        <v>616</v>
      </c>
      <c r="K735" s="1" t="s">
        <v>101</v>
      </c>
      <c r="L735" s="1" t="s">
        <v>4063</v>
      </c>
      <c r="M735" s="1" t="s">
        <v>3245</v>
      </c>
      <c r="N735" s="1" t="s">
        <v>465</v>
      </c>
      <c r="O735" s="1" t="s">
        <v>4065</v>
      </c>
      <c r="P735" s="1" t="s">
        <v>4066</v>
      </c>
      <c r="Q735" s="1" t="s">
        <v>3850</v>
      </c>
      <c r="R735" s="1" t="s">
        <v>64</v>
      </c>
      <c r="S735" s="1" t="s">
        <v>78</v>
      </c>
      <c r="T735" s="1">
        <v>17500</v>
      </c>
      <c r="U735" s="1" t="s">
        <v>1082</v>
      </c>
      <c r="V735" s="1" t="s">
        <v>4194</v>
      </c>
      <c r="W735" s="1" t="s">
        <v>4195</v>
      </c>
    </row>
    <row r="736" spans="1:26" ht="15.75" customHeight="1" x14ac:dyDescent="0.35">
      <c r="A736" s="1" t="s">
        <v>234</v>
      </c>
      <c r="B736" s="1" t="s">
        <v>4196</v>
      </c>
      <c r="C736" s="1" t="s">
        <v>1649</v>
      </c>
      <c r="D736" s="1" t="s">
        <v>3363</v>
      </c>
      <c r="F736" s="1" t="s">
        <v>462</v>
      </c>
      <c r="G736" s="1" t="s">
        <v>1604</v>
      </c>
      <c r="H736" s="1" t="s">
        <v>4197</v>
      </c>
      <c r="I736" s="1" t="s">
        <v>275</v>
      </c>
      <c r="K736" s="1" t="s">
        <v>90</v>
      </c>
      <c r="L736" s="1" t="s">
        <v>972</v>
      </c>
      <c r="M736" s="1" t="s">
        <v>632</v>
      </c>
      <c r="N736" s="1" t="s">
        <v>4198</v>
      </c>
      <c r="O736" s="1" t="s">
        <v>4199</v>
      </c>
      <c r="P736" s="1" t="s">
        <v>3641</v>
      </c>
      <c r="Q736" s="1" t="s">
        <v>3468</v>
      </c>
      <c r="R736" s="1" t="s">
        <v>1610</v>
      </c>
      <c r="S736" s="1" t="s">
        <v>165</v>
      </c>
      <c r="T736" s="1">
        <v>42000</v>
      </c>
      <c r="V736" s="1" t="s">
        <v>2154</v>
      </c>
      <c r="W736" s="1" t="s">
        <v>4200</v>
      </c>
    </row>
    <row r="737" spans="1:25" ht="15.75" customHeight="1" x14ac:dyDescent="0.35">
      <c r="A737" s="1" t="s">
        <v>234</v>
      </c>
      <c r="B737" s="1" t="s">
        <v>4201</v>
      </c>
      <c r="C737" s="1" t="s">
        <v>1601</v>
      </c>
      <c r="D737" s="1" t="s">
        <v>3806</v>
      </c>
      <c r="F737" s="1" t="s">
        <v>4202</v>
      </c>
      <c r="G737" s="1" t="s">
        <v>1936</v>
      </c>
      <c r="H737" s="1" t="s">
        <v>4203</v>
      </c>
      <c r="I737" s="1" t="s">
        <v>1021</v>
      </c>
      <c r="J737" s="1" t="s">
        <v>4001</v>
      </c>
      <c r="K737" s="1" t="s">
        <v>90</v>
      </c>
      <c r="L737" s="1" t="s">
        <v>4204</v>
      </c>
      <c r="M737" s="1" t="s">
        <v>919</v>
      </c>
      <c r="N737" s="1" t="s">
        <v>465</v>
      </c>
      <c r="O737" s="1" t="s">
        <v>4205</v>
      </c>
      <c r="P737" s="1" t="s">
        <v>4206</v>
      </c>
      <c r="Q737" s="1" t="s">
        <v>4207</v>
      </c>
      <c r="R737" s="1" t="s">
        <v>4208</v>
      </c>
      <c r="S737" s="1" t="s">
        <v>165</v>
      </c>
      <c r="T737" s="1">
        <v>57000</v>
      </c>
      <c r="V737" s="1" t="s">
        <v>4209</v>
      </c>
      <c r="W737" s="1" t="s">
        <v>4210</v>
      </c>
    </row>
    <row r="738" spans="1:25" ht="15.75" customHeight="1" x14ac:dyDescent="0.35">
      <c r="A738" s="1" t="s">
        <v>234</v>
      </c>
      <c r="B738" s="1" t="s">
        <v>4211</v>
      </c>
      <c r="C738" s="1" t="s">
        <v>3748</v>
      </c>
      <c r="D738" s="1" t="s">
        <v>4212</v>
      </c>
      <c r="E738" s="1" t="s">
        <v>3670</v>
      </c>
      <c r="F738" s="1" t="s">
        <v>4213</v>
      </c>
      <c r="G738" s="1" t="s">
        <v>1936</v>
      </c>
      <c r="H738" s="1" t="s">
        <v>4214</v>
      </c>
      <c r="I738" s="1" t="s">
        <v>1021</v>
      </c>
      <c r="J738" s="1" t="s">
        <v>4001</v>
      </c>
      <c r="K738" s="1" t="s">
        <v>90</v>
      </c>
      <c r="L738" s="1" t="s">
        <v>4215</v>
      </c>
      <c r="M738" s="1" t="s">
        <v>919</v>
      </c>
      <c r="N738" s="1" t="s">
        <v>465</v>
      </c>
      <c r="O738" s="1" t="s">
        <v>4216</v>
      </c>
      <c r="P738" s="1" t="s">
        <v>4217</v>
      </c>
      <c r="Q738" s="1" t="s">
        <v>4207</v>
      </c>
      <c r="R738" s="1" t="s">
        <v>4218</v>
      </c>
      <c r="S738" s="1" t="s">
        <v>165</v>
      </c>
      <c r="T738" s="1">
        <v>42799</v>
      </c>
      <c r="U738" s="1" t="s">
        <v>1082</v>
      </c>
      <c r="V738" s="1" t="s">
        <v>4219</v>
      </c>
      <c r="W738" s="1" t="s">
        <v>4220</v>
      </c>
    </row>
    <row r="739" spans="1:25" ht="15.75" customHeight="1" x14ac:dyDescent="0.35">
      <c r="A739" s="1" t="s">
        <v>234</v>
      </c>
      <c r="B739" s="1" t="s">
        <v>4221</v>
      </c>
      <c r="C739" s="1" t="s">
        <v>627</v>
      </c>
      <c r="D739" s="1" t="s">
        <v>3315</v>
      </c>
      <c r="F739" s="1" t="s">
        <v>462</v>
      </c>
      <c r="G739" s="1" t="s">
        <v>1604</v>
      </c>
      <c r="H739" s="1" t="s">
        <v>4222</v>
      </c>
      <c r="I739" s="1" t="s">
        <v>275</v>
      </c>
      <c r="J739" s="1" t="s">
        <v>971</v>
      </c>
      <c r="K739" s="1" t="s">
        <v>90</v>
      </c>
      <c r="L739" s="1" t="s">
        <v>4204</v>
      </c>
      <c r="M739" s="1" t="s">
        <v>632</v>
      </c>
      <c r="N739" s="1" t="s">
        <v>920</v>
      </c>
      <c r="O739" s="1" t="s">
        <v>4223</v>
      </c>
      <c r="P739" s="1" t="s">
        <v>3641</v>
      </c>
      <c r="Q739" s="1" t="s">
        <v>3468</v>
      </c>
      <c r="R739" s="1" t="s">
        <v>1610</v>
      </c>
      <c r="S739" s="1" t="s">
        <v>165</v>
      </c>
      <c r="T739" s="1">
        <v>34199</v>
      </c>
      <c r="V739" s="1" t="s">
        <v>638</v>
      </c>
      <c r="W739" s="1" t="s">
        <v>4224</v>
      </c>
    </row>
    <row r="740" spans="1:25" ht="15.75" customHeight="1" x14ac:dyDescent="0.35">
      <c r="A740" s="1" t="s">
        <v>234</v>
      </c>
      <c r="B740" s="1" t="s">
        <v>4225</v>
      </c>
      <c r="C740" s="1" t="s">
        <v>1118</v>
      </c>
      <c r="D740" s="1" t="s">
        <v>3315</v>
      </c>
      <c r="F740" s="1" t="s">
        <v>462</v>
      </c>
      <c r="G740" s="1" t="s">
        <v>1604</v>
      </c>
      <c r="H740" s="1" t="s">
        <v>4226</v>
      </c>
      <c r="I740" s="1" t="s">
        <v>275</v>
      </c>
      <c r="J740" s="1" t="s">
        <v>971</v>
      </c>
      <c r="K740" s="1" t="s">
        <v>90</v>
      </c>
      <c r="L740" s="1" t="s">
        <v>4204</v>
      </c>
      <c r="M740" s="1" t="s">
        <v>632</v>
      </c>
      <c r="N740" s="1" t="s">
        <v>920</v>
      </c>
      <c r="O740" s="1" t="s">
        <v>4223</v>
      </c>
      <c r="P740" s="1" t="s">
        <v>3641</v>
      </c>
      <c r="Q740" s="1" t="s">
        <v>3468</v>
      </c>
      <c r="R740" s="1" t="s">
        <v>1610</v>
      </c>
      <c r="S740" s="1" t="s">
        <v>165</v>
      </c>
      <c r="T740" s="1">
        <v>42999</v>
      </c>
      <c r="U740" s="1" t="s">
        <v>166</v>
      </c>
      <c r="V740" s="1" t="s">
        <v>4174</v>
      </c>
      <c r="W740" s="1" t="s">
        <v>4227</v>
      </c>
    </row>
    <row r="741" spans="1:25" ht="15.75" customHeight="1" x14ac:dyDescent="0.35">
      <c r="A741" s="1" t="s">
        <v>234</v>
      </c>
      <c r="B741" s="1" t="s">
        <v>4228</v>
      </c>
      <c r="C741" s="1" t="s">
        <v>627</v>
      </c>
      <c r="D741" s="1" t="s">
        <v>3782</v>
      </c>
      <c r="F741" s="1" t="s">
        <v>965</v>
      </c>
      <c r="G741" s="1" t="s">
        <v>1604</v>
      </c>
      <c r="H741" s="1" t="s">
        <v>1605</v>
      </c>
      <c r="I741" s="1" t="s">
        <v>616</v>
      </c>
      <c r="J741" s="1" t="s">
        <v>971</v>
      </c>
      <c r="K741" s="1" t="s">
        <v>90</v>
      </c>
      <c r="L741" s="1" t="s">
        <v>631</v>
      </c>
      <c r="M741" s="1" t="s">
        <v>1258</v>
      </c>
      <c r="O741" s="1" t="s">
        <v>4229</v>
      </c>
      <c r="P741" s="1" t="s">
        <v>4230</v>
      </c>
      <c r="Q741" s="1" t="s">
        <v>636</v>
      </c>
      <c r="R741" s="1" t="s">
        <v>4231</v>
      </c>
      <c r="S741" s="1" t="s">
        <v>165</v>
      </c>
      <c r="T741" s="1">
        <v>33999</v>
      </c>
      <c r="U741" s="1" t="s">
        <v>166</v>
      </c>
      <c r="V741" s="1" t="s">
        <v>638</v>
      </c>
      <c r="W741" s="1" t="s">
        <v>4232</v>
      </c>
    </row>
    <row r="742" spans="1:25" ht="15.75" customHeight="1" x14ac:dyDescent="0.35">
      <c r="A742" s="1" t="s">
        <v>234</v>
      </c>
      <c r="B742" s="1" t="s">
        <v>4233</v>
      </c>
      <c r="C742" s="1" t="s">
        <v>4234</v>
      </c>
      <c r="D742" s="1" t="s">
        <v>4212</v>
      </c>
      <c r="E742" s="1" t="s">
        <v>3670</v>
      </c>
      <c r="F742" s="1" t="s">
        <v>2578</v>
      </c>
      <c r="G742" s="1" t="s">
        <v>1936</v>
      </c>
      <c r="H742" s="1" t="s">
        <v>4235</v>
      </c>
      <c r="I742" s="1" t="s">
        <v>616</v>
      </c>
      <c r="K742" s="1" t="s">
        <v>90</v>
      </c>
      <c r="L742" s="1" t="s">
        <v>4002</v>
      </c>
      <c r="M742" s="1" t="s">
        <v>4236</v>
      </c>
      <c r="N742" s="1" t="s">
        <v>2257</v>
      </c>
      <c r="O742" s="1" t="s">
        <v>4237</v>
      </c>
      <c r="P742" s="1" t="s">
        <v>4238</v>
      </c>
      <c r="Q742" s="1" t="s">
        <v>1609</v>
      </c>
      <c r="R742" s="1" t="s">
        <v>2260</v>
      </c>
      <c r="S742" s="1" t="s">
        <v>339</v>
      </c>
      <c r="T742" s="1">
        <v>58149</v>
      </c>
      <c r="U742" s="1" t="s">
        <v>1082</v>
      </c>
      <c r="V742" s="1" t="s">
        <v>4239</v>
      </c>
      <c r="W742" s="1" t="s">
        <v>4240</v>
      </c>
    </row>
    <row r="743" spans="1:25" ht="15.75" customHeight="1" x14ac:dyDescent="0.35">
      <c r="A743" s="1" t="s">
        <v>151</v>
      </c>
      <c r="B743" s="1" t="s">
        <v>4241</v>
      </c>
      <c r="C743" s="1" t="s">
        <v>4108</v>
      </c>
      <c r="D743" s="1" t="s">
        <v>3806</v>
      </c>
      <c r="F743" s="1" t="s">
        <v>3327</v>
      </c>
      <c r="G743" s="1" t="s">
        <v>1506</v>
      </c>
      <c r="H743" s="1" t="s">
        <v>3962</v>
      </c>
      <c r="I743" s="1" t="s">
        <v>616</v>
      </c>
      <c r="K743" s="1" t="s">
        <v>90</v>
      </c>
      <c r="L743" s="1" t="s">
        <v>1099</v>
      </c>
      <c r="M743" s="1" t="s">
        <v>3946</v>
      </c>
      <c r="N743" s="1" t="s">
        <v>160</v>
      </c>
      <c r="O743" s="1" t="s">
        <v>4043</v>
      </c>
      <c r="P743" s="1" t="s">
        <v>3965</v>
      </c>
      <c r="Q743" s="1" t="s">
        <v>2584</v>
      </c>
      <c r="R743" s="1" t="s">
        <v>3674</v>
      </c>
      <c r="S743" s="1" t="s">
        <v>78</v>
      </c>
      <c r="T743" s="1">
        <v>26749</v>
      </c>
      <c r="V743" s="1" t="s">
        <v>4044</v>
      </c>
      <c r="W743" s="1" t="s">
        <v>4242</v>
      </c>
    </row>
    <row r="744" spans="1:25" ht="15.75" customHeight="1" x14ac:dyDescent="0.35">
      <c r="A744" s="1" t="s">
        <v>151</v>
      </c>
      <c r="B744" s="1" t="s">
        <v>3660</v>
      </c>
      <c r="C744" s="1" t="s">
        <v>3661</v>
      </c>
      <c r="D744" s="1" t="s">
        <v>3541</v>
      </c>
      <c r="F744" s="1" t="s">
        <v>3327</v>
      </c>
      <c r="G744" s="1" t="s">
        <v>1506</v>
      </c>
      <c r="H744" s="1" t="s">
        <v>3663</v>
      </c>
      <c r="I744" s="1" t="s">
        <v>120</v>
      </c>
      <c r="K744" s="1" t="s">
        <v>90</v>
      </c>
      <c r="L744" s="1" t="s">
        <v>3284</v>
      </c>
      <c r="M744" s="1" t="s">
        <v>3830</v>
      </c>
      <c r="N744" s="1" t="s">
        <v>160</v>
      </c>
      <c r="O744" s="1" t="s">
        <v>4110</v>
      </c>
      <c r="P744" s="1" t="s">
        <v>3332</v>
      </c>
      <c r="Q744" s="1" t="s">
        <v>3346</v>
      </c>
      <c r="S744" s="1" t="s">
        <v>165</v>
      </c>
      <c r="T744" s="1">
        <v>24999</v>
      </c>
      <c r="U744" s="1" t="s">
        <v>166</v>
      </c>
      <c r="V744" s="1" t="s">
        <v>3664</v>
      </c>
      <c r="W744" s="1" t="s">
        <v>3666</v>
      </c>
      <c r="Y744" s="1" t="s">
        <v>3705</v>
      </c>
    </row>
    <row r="745" spans="1:25" ht="15.75" customHeight="1" x14ac:dyDescent="0.35">
      <c r="A745" s="1" t="s">
        <v>30</v>
      </c>
      <c r="B745" s="1" t="s">
        <v>4243</v>
      </c>
      <c r="C745" s="1" t="s">
        <v>4244</v>
      </c>
      <c r="D745" s="1" t="s">
        <v>3363</v>
      </c>
      <c r="F745" s="1" t="s">
        <v>2110</v>
      </c>
      <c r="G745" s="1" t="s">
        <v>4245</v>
      </c>
      <c r="H745" s="1" t="s">
        <v>4246</v>
      </c>
      <c r="I745" s="1" t="s">
        <v>616</v>
      </c>
      <c r="J745" s="1" t="s">
        <v>971</v>
      </c>
      <c r="K745" s="1" t="s">
        <v>101</v>
      </c>
      <c r="L745" s="1" t="s">
        <v>3523</v>
      </c>
      <c r="M745" s="1" t="s">
        <v>1207</v>
      </c>
      <c r="N745" s="1" t="s">
        <v>373</v>
      </c>
      <c r="O745" s="1" t="s">
        <v>4247</v>
      </c>
      <c r="P745" s="1" t="s">
        <v>4248</v>
      </c>
      <c r="Q745" s="1" t="s">
        <v>4249</v>
      </c>
      <c r="R745" s="1" t="s">
        <v>301</v>
      </c>
      <c r="S745" s="1" t="s">
        <v>78</v>
      </c>
      <c r="T745" s="1">
        <v>19999</v>
      </c>
      <c r="V745" s="1" t="s">
        <v>4250</v>
      </c>
    </row>
    <row r="746" spans="1:25" ht="15.75" customHeight="1" x14ac:dyDescent="0.35">
      <c r="A746" s="1" t="s">
        <v>81</v>
      </c>
      <c r="B746" s="1" t="s">
        <v>4251</v>
      </c>
      <c r="C746" s="1" t="s">
        <v>4071</v>
      </c>
      <c r="D746" s="1" t="s">
        <v>4252</v>
      </c>
      <c r="E746" s="1" t="s">
        <v>4073</v>
      </c>
      <c r="F746" s="1" t="s">
        <v>3943</v>
      </c>
      <c r="G746" s="1" t="s">
        <v>3495</v>
      </c>
      <c r="H746" s="1" t="s">
        <v>4253</v>
      </c>
      <c r="I746" s="1" t="s">
        <v>120</v>
      </c>
      <c r="K746" s="1" t="s">
        <v>121</v>
      </c>
      <c r="L746" s="1" t="s">
        <v>4254</v>
      </c>
      <c r="M746" s="1" t="s">
        <v>4255</v>
      </c>
      <c r="O746" s="1" t="s">
        <v>4256</v>
      </c>
      <c r="P746" s="1" t="s">
        <v>4257</v>
      </c>
      <c r="Q746" s="1" t="s">
        <v>4258</v>
      </c>
      <c r="R746" s="1" t="s">
        <v>4259</v>
      </c>
      <c r="S746" s="1" t="s">
        <v>129</v>
      </c>
      <c r="T746" s="1">
        <v>19499</v>
      </c>
      <c r="U746" s="1" t="s">
        <v>1082</v>
      </c>
      <c r="V746" s="1" t="s">
        <v>4113</v>
      </c>
    </row>
    <row r="747" spans="1:25" ht="15.75" customHeight="1" x14ac:dyDescent="0.35">
      <c r="A747" s="1" t="s">
        <v>234</v>
      </c>
      <c r="B747" s="1" t="s">
        <v>4260</v>
      </c>
      <c r="C747" s="1" t="s">
        <v>3748</v>
      </c>
      <c r="D747" s="1" t="s">
        <v>4252</v>
      </c>
      <c r="E747" s="1" t="s">
        <v>4073</v>
      </c>
      <c r="F747" s="1" t="s">
        <v>628</v>
      </c>
      <c r="G747" s="1" t="s">
        <v>1604</v>
      </c>
      <c r="H747" s="1" t="s">
        <v>4261</v>
      </c>
      <c r="I747" s="1" t="s">
        <v>616</v>
      </c>
      <c r="K747" s="1" t="s">
        <v>90</v>
      </c>
      <c r="L747" s="1" t="s">
        <v>4262</v>
      </c>
      <c r="M747" s="1" t="s">
        <v>4263</v>
      </c>
      <c r="N747" s="1" t="s">
        <v>3654</v>
      </c>
      <c r="O747" s="1" t="s">
        <v>4264</v>
      </c>
      <c r="P747" s="1" t="s">
        <v>4265</v>
      </c>
      <c r="Q747" s="1" t="s">
        <v>636</v>
      </c>
      <c r="R747" s="1" t="s">
        <v>301</v>
      </c>
      <c r="S747" s="1" t="s">
        <v>165</v>
      </c>
      <c r="T747" s="1">
        <v>23099</v>
      </c>
      <c r="U747" s="1" t="s">
        <v>1082</v>
      </c>
      <c r="V747" s="1" t="s">
        <v>4219</v>
      </c>
    </row>
    <row r="748" spans="1:25" ht="15.75" customHeight="1" x14ac:dyDescent="0.35">
      <c r="A748" s="1" t="s">
        <v>234</v>
      </c>
      <c r="B748" s="1" t="s">
        <v>4266</v>
      </c>
      <c r="C748" s="1" t="s">
        <v>4267</v>
      </c>
      <c r="D748" s="1" t="s">
        <v>3363</v>
      </c>
      <c r="F748" s="1" t="s">
        <v>3913</v>
      </c>
      <c r="G748" s="1" t="s">
        <v>1604</v>
      </c>
      <c r="H748" s="1" t="s">
        <v>4268</v>
      </c>
      <c r="I748" s="1" t="s">
        <v>120</v>
      </c>
      <c r="K748" s="1" t="s">
        <v>90</v>
      </c>
      <c r="N748" s="1" t="s">
        <v>633</v>
      </c>
      <c r="O748" s="1" t="s">
        <v>3793</v>
      </c>
      <c r="P748" s="1" t="s">
        <v>3633</v>
      </c>
      <c r="Q748" s="1" t="s">
        <v>3346</v>
      </c>
      <c r="R748" s="1" t="s">
        <v>3802</v>
      </c>
      <c r="S748" s="1" t="s">
        <v>165</v>
      </c>
      <c r="T748" s="1">
        <v>37999</v>
      </c>
      <c r="V748" s="1" t="s">
        <v>4269</v>
      </c>
      <c r="W748" s="1" t="s">
        <v>4270</v>
      </c>
    </row>
    <row r="749" spans="1:25" ht="15.75" customHeight="1" x14ac:dyDescent="0.35">
      <c r="A749" s="1" t="s">
        <v>234</v>
      </c>
      <c r="B749" s="1" t="s">
        <v>4271</v>
      </c>
      <c r="C749" s="1" t="s">
        <v>3739</v>
      </c>
      <c r="D749" s="1" t="s">
        <v>3315</v>
      </c>
      <c r="F749" s="1" t="s">
        <v>3650</v>
      </c>
      <c r="G749" s="1" t="s">
        <v>3799</v>
      </c>
      <c r="H749" s="1" t="s">
        <v>4272</v>
      </c>
      <c r="I749" s="1" t="s">
        <v>120</v>
      </c>
      <c r="K749" s="1" t="s">
        <v>90</v>
      </c>
      <c r="L749" s="1" t="s">
        <v>3631</v>
      </c>
      <c r="M749" s="1" t="s">
        <v>3561</v>
      </c>
      <c r="N749" s="1" t="s">
        <v>633</v>
      </c>
      <c r="O749" s="1" t="s">
        <v>3562</v>
      </c>
      <c r="P749" s="1" t="s">
        <v>3697</v>
      </c>
      <c r="Q749" s="1" t="s">
        <v>3500</v>
      </c>
      <c r="R749" s="1" t="s">
        <v>1610</v>
      </c>
      <c r="S749" s="1" t="s">
        <v>165</v>
      </c>
      <c r="T749" s="1">
        <v>13999</v>
      </c>
      <c r="U749" s="1" t="s">
        <v>166</v>
      </c>
      <c r="V749" s="1" t="s">
        <v>4273</v>
      </c>
      <c r="W749" s="1" t="s">
        <v>4274</v>
      </c>
    </row>
    <row r="750" spans="1:25" ht="15.75" customHeight="1" x14ac:dyDescent="0.35">
      <c r="A750" s="1" t="s">
        <v>234</v>
      </c>
      <c r="B750" s="1" t="s">
        <v>4275</v>
      </c>
      <c r="C750" s="1" t="s">
        <v>4071</v>
      </c>
      <c r="D750" s="1" t="s">
        <v>4252</v>
      </c>
      <c r="E750" s="1" t="s">
        <v>4073</v>
      </c>
      <c r="F750" s="1" t="s">
        <v>462</v>
      </c>
      <c r="G750" s="1" t="s">
        <v>1604</v>
      </c>
      <c r="H750" s="1" t="s">
        <v>4272</v>
      </c>
      <c r="I750" s="1" t="s">
        <v>120</v>
      </c>
      <c r="K750" s="1" t="s">
        <v>90</v>
      </c>
      <c r="M750" s="1" t="s">
        <v>4263</v>
      </c>
      <c r="N750" s="1" t="s">
        <v>3654</v>
      </c>
      <c r="O750" s="1" t="s">
        <v>4276</v>
      </c>
      <c r="P750" s="1" t="s">
        <v>4277</v>
      </c>
      <c r="Q750" s="1" t="s">
        <v>636</v>
      </c>
      <c r="R750" s="1" t="s">
        <v>3772</v>
      </c>
      <c r="S750" s="1" t="s">
        <v>165</v>
      </c>
      <c r="T750" s="1">
        <v>18999</v>
      </c>
      <c r="U750" s="1" t="s">
        <v>1082</v>
      </c>
      <c r="V750" s="1" t="s">
        <v>4278</v>
      </c>
      <c r="W750" s="1" t="s">
        <v>4279</v>
      </c>
    </row>
    <row r="751" spans="1:25" ht="15.75" customHeight="1" x14ac:dyDescent="0.35">
      <c r="A751" s="1" t="s">
        <v>234</v>
      </c>
      <c r="B751" s="1" t="s">
        <v>4280</v>
      </c>
      <c r="C751" s="1" t="s">
        <v>3748</v>
      </c>
      <c r="D751" s="1" t="s">
        <v>4252</v>
      </c>
      <c r="E751" s="1" t="s">
        <v>4073</v>
      </c>
      <c r="F751" s="1" t="s">
        <v>462</v>
      </c>
      <c r="G751" s="1" t="s">
        <v>1604</v>
      </c>
      <c r="H751" s="1" t="s">
        <v>4272</v>
      </c>
      <c r="I751" s="1" t="s">
        <v>120</v>
      </c>
      <c r="K751" s="1" t="s">
        <v>90</v>
      </c>
      <c r="M751" s="1" t="s">
        <v>4263</v>
      </c>
      <c r="N751" s="1" t="s">
        <v>3654</v>
      </c>
      <c r="O751" s="1" t="s">
        <v>4276</v>
      </c>
      <c r="P751" s="1" t="s">
        <v>4277</v>
      </c>
      <c r="Q751" s="1" t="s">
        <v>636</v>
      </c>
      <c r="R751" s="1" t="s">
        <v>3772</v>
      </c>
      <c r="S751" s="1" t="s">
        <v>165</v>
      </c>
      <c r="T751" s="1">
        <v>39900</v>
      </c>
      <c r="U751" s="1" t="s">
        <v>1082</v>
      </c>
      <c r="V751" s="1" t="s">
        <v>4219</v>
      </c>
      <c r="W751" s="1" t="s">
        <v>4281</v>
      </c>
    </row>
    <row r="752" spans="1:25" ht="15.75" customHeight="1" x14ac:dyDescent="0.35">
      <c r="A752" s="1" t="s">
        <v>234</v>
      </c>
      <c r="B752" s="1" t="s">
        <v>4282</v>
      </c>
      <c r="C752" s="1" t="s">
        <v>3516</v>
      </c>
      <c r="D752" s="1" t="s">
        <v>3315</v>
      </c>
      <c r="F752" s="1" t="s">
        <v>462</v>
      </c>
      <c r="G752" s="1" t="s">
        <v>4283</v>
      </c>
      <c r="H752" s="1" t="s">
        <v>4284</v>
      </c>
      <c r="I752" s="1" t="s">
        <v>275</v>
      </c>
      <c r="K752" s="1" t="s">
        <v>90</v>
      </c>
      <c r="M752" s="1" t="s">
        <v>3561</v>
      </c>
      <c r="N752" s="1" t="s">
        <v>633</v>
      </c>
      <c r="O752" s="1" t="s">
        <v>3562</v>
      </c>
      <c r="P752" s="1" t="s">
        <v>4285</v>
      </c>
      <c r="Q752" s="1" t="s">
        <v>3401</v>
      </c>
      <c r="R752" s="1" t="s">
        <v>985</v>
      </c>
      <c r="S752" s="1" t="s">
        <v>165</v>
      </c>
      <c r="T752" s="1">
        <v>22999</v>
      </c>
      <c r="U752" s="1" t="s">
        <v>166</v>
      </c>
      <c r="V752" s="1" t="s">
        <v>3564</v>
      </c>
      <c r="W752" s="1" t="s">
        <v>4286</v>
      </c>
    </row>
    <row r="753" spans="1:25" ht="15.75" customHeight="1" x14ac:dyDescent="0.35">
      <c r="A753" s="1" t="s">
        <v>234</v>
      </c>
      <c r="B753" s="1" t="s">
        <v>4287</v>
      </c>
      <c r="C753" s="1" t="s">
        <v>750</v>
      </c>
      <c r="D753" s="1" t="s">
        <v>3315</v>
      </c>
      <c r="F753" s="1" t="s">
        <v>462</v>
      </c>
      <c r="G753" s="1" t="s">
        <v>1604</v>
      </c>
      <c r="H753" s="1" t="s">
        <v>4288</v>
      </c>
      <c r="I753" s="1" t="s">
        <v>275</v>
      </c>
      <c r="K753" s="1" t="s">
        <v>90</v>
      </c>
      <c r="M753" s="1" t="s">
        <v>3561</v>
      </c>
      <c r="N753" s="1" t="s">
        <v>633</v>
      </c>
      <c r="O753" s="1" t="s">
        <v>3919</v>
      </c>
      <c r="P753" s="1" t="s">
        <v>4285</v>
      </c>
      <c r="Q753" s="1" t="s">
        <v>3401</v>
      </c>
      <c r="R753" s="1" t="s">
        <v>637</v>
      </c>
      <c r="S753" s="1" t="s">
        <v>165</v>
      </c>
      <c r="T753" s="1">
        <v>27820</v>
      </c>
      <c r="U753" s="1" t="s">
        <v>79</v>
      </c>
      <c r="V753" s="1" t="s">
        <v>4289</v>
      </c>
      <c r="W753" s="1" t="s">
        <v>4290</v>
      </c>
    </row>
    <row r="754" spans="1:25" ht="15.75" customHeight="1" x14ac:dyDescent="0.35">
      <c r="A754" s="1" t="s">
        <v>234</v>
      </c>
      <c r="B754" s="1" t="s">
        <v>4291</v>
      </c>
      <c r="C754" s="1" t="s">
        <v>818</v>
      </c>
      <c r="D754" s="1" t="s">
        <v>3315</v>
      </c>
      <c r="F754" s="1" t="s">
        <v>462</v>
      </c>
      <c r="G754" s="1" t="s">
        <v>4283</v>
      </c>
      <c r="H754" s="1" t="s">
        <v>4292</v>
      </c>
      <c r="I754" s="1" t="s">
        <v>275</v>
      </c>
      <c r="K754" s="1" t="s">
        <v>90</v>
      </c>
      <c r="M754" s="1" t="s">
        <v>3561</v>
      </c>
      <c r="N754" s="1" t="s">
        <v>633</v>
      </c>
      <c r="O754" s="1" t="s">
        <v>3919</v>
      </c>
      <c r="P754" s="1" t="s">
        <v>4285</v>
      </c>
      <c r="Q754" s="1" t="s">
        <v>3401</v>
      </c>
      <c r="R754" s="1" t="s">
        <v>637</v>
      </c>
      <c r="S754" s="1" t="s">
        <v>165</v>
      </c>
      <c r="T754" s="1">
        <v>29999</v>
      </c>
      <c r="U754" s="1" t="s">
        <v>79</v>
      </c>
      <c r="V754" s="1" t="s">
        <v>1260</v>
      </c>
      <c r="W754" s="1" t="s">
        <v>4293</v>
      </c>
    </row>
    <row r="755" spans="1:25" ht="15.75" customHeight="1" x14ac:dyDescent="0.35">
      <c r="A755" s="1" t="s">
        <v>234</v>
      </c>
      <c r="B755" s="1" t="s">
        <v>4294</v>
      </c>
      <c r="C755" s="1" t="s">
        <v>4295</v>
      </c>
      <c r="D755" s="1" t="s">
        <v>3315</v>
      </c>
      <c r="F755" s="1" t="s">
        <v>3650</v>
      </c>
      <c r="G755" s="1" t="s">
        <v>3799</v>
      </c>
      <c r="H755" s="1" t="s">
        <v>4296</v>
      </c>
      <c r="I755" s="1" t="s">
        <v>616</v>
      </c>
      <c r="K755" s="1" t="s">
        <v>90</v>
      </c>
      <c r="L755" s="1" t="s">
        <v>3695</v>
      </c>
      <c r="M755" s="1" t="s">
        <v>4263</v>
      </c>
      <c r="N755" s="1" t="s">
        <v>3654</v>
      </c>
      <c r="O755" s="1" t="s">
        <v>4276</v>
      </c>
      <c r="P755" s="1" t="s">
        <v>4265</v>
      </c>
      <c r="Q755" s="1" t="s">
        <v>636</v>
      </c>
      <c r="R755" s="1" t="s">
        <v>4297</v>
      </c>
      <c r="S755" s="1" t="s">
        <v>165</v>
      </c>
      <c r="T755" s="1">
        <v>23000</v>
      </c>
      <c r="U755" s="1" t="s">
        <v>1082</v>
      </c>
      <c r="V755" s="1" t="s">
        <v>4298</v>
      </c>
      <c r="W755" s="1" t="s">
        <v>4299</v>
      </c>
    </row>
    <row r="756" spans="1:25" ht="15.75" customHeight="1" x14ac:dyDescent="0.35">
      <c r="A756" s="1" t="s">
        <v>234</v>
      </c>
      <c r="B756" s="1" t="s">
        <v>4300</v>
      </c>
      <c r="C756" s="1" t="s">
        <v>3661</v>
      </c>
      <c r="D756" s="1" t="s">
        <v>3315</v>
      </c>
      <c r="F756" s="1" t="s">
        <v>462</v>
      </c>
      <c r="G756" s="1" t="s">
        <v>4283</v>
      </c>
      <c r="H756" s="1" t="s">
        <v>4284</v>
      </c>
      <c r="I756" s="1" t="s">
        <v>275</v>
      </c>
      <c r="K756" s="1" t="s">
        <v>90</v>
      </c>
      <c r="M756" s="1" t="s">
        <v>3561</v>
      </c>
      <c r="N756" s="1" t="s">
        <v>633</v>
      </c>
      <c r="O756" s="1" t="s">
        <v>3562</v>
      </c>
      <c r="P756" s="1" t="s">
        <v>4285</v>
      </c>
      <c r="Q756" s="1" t="s">
        <v>3401</v>
      </c>
      <c r="R756" s="1" t="s">
        <v>985</v>
      </c>
      <c r="S756" s="1" t="s">
        <v>165</v>
      </c>
      <c r="T756" s="1">
        <v>25999</v>
      </c>
      <c r="U756" s="1" t="s">
        <v>166</v>
      </c>
      <c r="V756" s="1" t="s">
        <v>4301</v>
      </c>
      <c r="W756" s="1" t="s">
        <v>4302</v>
      </c>
    </row>
    <row r="757" spans="1:25" ht="15.75" customHeight="1" x14ac:dyDescent="0.35">
      <c r="A757" s="1" t="s">
        <v>112</v>
      </c>
      <c r="B757" s="1" t="s">
        <v>4303</v>
      </c>
      <c r="C757" s="1" t="s">
        <v>3516</v>
      </c>
      <c r="D757" s="1" t="s">
        <v>3522</v>
      </c>
      <c r="F757" s="1" t="s">
        <v>4304</v>
      </c>
      <c r="G757" s="1" t="s">
        <v>2718</v>
      </c>
      <c r="H757" s="1" t="s">
        <v>4305</v>
      </c>
      <c r="I757" s="1" t="s">
        <v>120</v>
      </c>
      <c r="K757" s="1" t="s">
        <v>90</v>
      </c>
      <c r="L757" s="1" t="s">
        <v>762</v>
      </c>
      <c r="M757" s="1" t="s">
        <v>3530</v>
      </c>
      <c r="N757" s="1" t="s">
        <v>3511</v>
      </c>
      <c r="P757" s="1" t="s">
        <v>4306</v>
      </c>
      <c r="Q757" s="1" t="s">
        <v>3532</v>
      </c>
      <c r="R757" s="1" t="s">
        <v>985</v>
      </c>
      <c r="S757" s="1" t="s">
        <v>129</v>
      </c>
      <c r="T757" s="1">
        <v>30799</v>
      </c>
      <c r="U757" s="1" t="s">
        <v>166</v>
      </c>
      <c r="V757" s="1" t="s">
        <v>4152</v>
      </c>
      <c r="W757" s="1" t="s">
        <v>4307</v>
      </c>
    </row>
    <row r="758" spans="1:25" ht="15.75" customHeight="1" x14ac:dyDescent="0.35">
      <c r="A758" s="1" t="s">
        <v>151</v>
      </c>
      <c r="B758" s="1" t="s">
        <v>4308</v>
      </c>
      <c r="C758" s="1" t="s">
        <v>4309</v>
      </c>
      <c r="D758" s="1" t="s">
        <v>4310</v>
      </c>
      <c r="E758" s="1" t="s">
        <v>4073</v>
      </c>
      <c r="F758" s="1" t="s">
        <v>4311</v>
      </c>
      <c r="G758" s="1" t="s">
        <v>1506</v>
      </c>
      <c r="H758" s="1" t="s">
        <v>3574</v>
      </c>
      <c r="I758" s="1" t="s">
        <v>616</v>
      </c>
      <c r="K758" s="1" t="s">
        <v>101</v>
      </c>
      <c r="L758" s="1" t="s">
        <v>3284</v>
      </c>
      <c r="M758" s="1" t="s">
        <v>3977</v>
      </c>
      <c r="N758" s="1" t="s">
        <v>160</v>
      </c>
      <c r="O758" s="1" t="s">
        <v>4312</v>
      </c>
      <c r="P758" s="1" t="s">
        <v>3345</v>
      </c>
      <c r="Q758" s="1" t="s">
        <v>1609</v>
      </c>
      <c r="R758" s="1" t="s">
        <v>1105</v>
      </c>
      <c r="S758" s="1" t="s">
        <v>78</v>
      </c>
      <c r="T758" s="1">
        <v>21949</v>
      </c>
      <c r="U758" s="1" t="s">
        <v>1082</v>
      </c>
      <c r="V758" s="1" t="s">
        <v>3966</v>
      </c>
      <c r="W758" s="1" t="s">
        <v>4313</v>
      </c>
    </row>
    <row r="759" spans="1:25" ht="15.75" customHeight="1" x14ac:dyDescent="0.35">
      <c r="B759" s="1" t="s">
        <v>3515</v>
      </c>
      <c r="C759" s="1" t="s">
        <v>3516</v>
      </c>
      <c r="D759" s="1" t="s">
        <v>4314</v>
      </c>
      <c r="E759" s="1" t="s">
        <v>3670</v>
      </c>
      <c r="F759" s="1" t="s">
        <v>3943</v>
      </c>
      <c r="G759" s="1" t="s">
        <v>87</v>
      </c>
      <c r="H759" s="1" t="s">
        <v>1800</v>
      </c>
      <c r="I759" s="1" t="s">
        <v>616</v>
      </c>
      <c r="J759" s="1" t="s">
        <v>39</v>
      </c>
      <c r="K759" s="1" t="s">
        <v>101</v>
      </c>
      <c r="L759" s="1" t="s">
        <v>3944</v>
      </c>
      <c r="M759" s="1" t="s">
        <v>3455</v>
      </c>
      <c r="O759" s="1" t="s">
        <v>3519</v>
      </c>
      <c r="P759" s="1" t="s">
        <v>3457</v>
      </c>
      <c r="Q759" s="1" t="s">
        <v>3458</v>
      </c>
      <c r="R759" s="1" t="s">
        <v>64</v>
      </c>
      <c r="S759" s="1" t="s">
        <v>78</v>
      </c>
      <c r="T759" s="1">
        <v>24999</v>
      </c>
      <c r="U759" s="1" t="s">
        <v>166</v>
      </c>
      <c r="V759" s="1" t="s">
        <v>3893</v>
      </c>
    </row>
    <row r="760" spans="1:25" ht="15.75" customHeight="1" x14ac:dyDescent="0.35">
      <c r="A760" s="1" t="s">
        <v>151</v>
      </c>
      <c r="B760" s="1" t="s">
        <v>4315</v>
      </c>
      <c r="C760" s="1" t="s">
        <v>4316</v>
      </c>
      <c r="D760" s="1" t="s">
        <v>3363</v>
      </c>
      <c r="F760" s="1" t="s">
        <v>4109</v>
      </c>
      <c r="G760" s="1" t="s">
        <v>4101</v>
      </c>
      <c r="H760" s="1" t="s">
        <v>3342</v>
      </c>
      <c r="I760" s="1" t="s">
        <v>616</v>
      </c>
      <c r="K760" s="1" t="s">
        <v>101</v>
      </c>
      <c r="L760" s="1" t="s">
        <v>3329</v>
      </c>
      <c r="M760" s="1" t="s">
        <v>3977</v>
      </c>
      <c r="N760" s="1" t="s">
        <v>3993</v>
      </c>
      <c r="O760" s="1" t="s">
        <v>4317</v>
      </c>
      <c r="P760" s="1" t="s">
        <v>3427</v>
      </c>
      <c r="Q760" s="1" t="s">
        <v>3321</v>
      </c>
      <c r="R760" s="1" t="s">
        <v>64</v>
      </c>
      <c r="S760" s="1" t="s">
        <v>78</v>
      </c>
      <c r="T760" s="1">
        <v>21199</v>
      </c>
      <c r="V760" s="1" t="s">
        <v>4318</v>
      </c>
      <c r="W760" s="1" t="s">
        <v>4319</v>
      </c>
    </row>
    <row r="761" spans="1:25" ht="15.75" customHeight="1" x14ac:dyDescent="0.35">
      <c r="B761" s="1" t="s">
        <v>4320</v>
      </c>
      <c r="C761" s="1" t="s">
        <v>3325</v>
      </c>
      <c r="D761" s="1" t="s">
        <v>3363</v>
      </c>
      <c r="F761" s="1" t="s">
        <v>4321</v>
      </c>
      <c r="G761" s="1" t="s">
        <v>4322</v>
      </c>
      <c r="H761" s="1" t="s">
        <v>4323</v>
      </c>
      <c r="I761" s="1" t="s">
        <v>120</v>
      </c>
      <c r="K761" s="1" t="s">
        <v>101</v>
      </c>
      <c r="L761" s="1" t="s">
        <v>4324</v>
      </c>
      <c r="M761" s="1" t="s">
        <v>4325</v>
      </c>
      <c r="N761" s="1" t="s">
        <v>3848</v>
      </c>
      <c r="O761" s="1" t="s">
        <v>4326</v>
      </c>
      <c r="P761" s="1" t="s">
        <v>4327</v>
      </c>
      <c r="Q761" s="1" t="s">
        <v>4328</v>
      </c>
      <c r="R761" s="1" t="s">
        <v>64</v>
      </c>
      <c r="S761" s="1" t="s">
        <v>78</v>
      </c>
      <c r="T761" s="1">
        <v>20999</v>
      </c>
      <c r="V761" s="1" t="s">
        <v>4329</v>
      </c>
    </row>
    <row r="762" spans="1:25" ht="15.75" customHeight="1" x14ac:dyDescent="0.35">
      <c r="A762" s="1" t="s">
        <v>81</v>
      </c>
      <c r="B762" s="1" t="s">
        <v>3896</v>
      </c>
      <c r="C762" s="1" t="s">
        <v>4071</v>
      </c>
      <c r="D762" s="1" t="s">
        <v>3315</v>
      </c>
      <c r="F762" s="1" t="s">
        <v>4088</v>
      </c>
      <c r="G762" s="1" t="s">
        <v>3495</v>
      </c>
      <c r="H762" s="1" t="s">
        <v>4330</v>
      </c>
      <c r="I762" s="1" t="s">
        <v>3653</v>
      </c>
      <c r="K762" s="1" t="s">
        <v>101</v>
      </c>
      <c r="L762" s="1" t="s">
        <v>3497</v>
      </c>
      <c r="M762" s="1" t="s">
        <v>3498</v>
      </c>
      <c r="O762" s="1" t="s">
        <v>4331</v>
      </c>
      <c r="P762" s="1" t="s">
        <v>3499</v>
      </c>
      <c r="Q762" s="1" t="s">
        <v>4328</v>
      </c>
      <c r="R762" s="1" t="s">
        <v>3459</v>
      </c>
      <c r="S762" s="1" t="s">
        <v>78</v>
      </c>
      <c r="T762" s="1">
        <v>16999</v>
      </c>
      <c r="U762" s="1" t="s">
        <v>1082</v>
      </c>
      <c r="V762" s="1" t="s">
        <v>4079</v>
      </c>
    </row>
    <row r="763" spans="1:25" ht="15.75" customHeight="1" x14ac:dyDescent="0.35">
      <c r="A763" s="1" t="s">
        <v>30</v>
      </c>
      <c r="B763" s="1" t="s">
        <v>4332</v>
      </c>
      <c r="C763" s="1" t="s">
        <v>4333</v>
      </c>
      <c r="D763" s="1" t="s">
        <v>3315</v>
      </c>
      <c r="F763" s="1" t="s">
        <v>4334</v>
      </c>
      <c r="G763" s="1" t="s">
        <v>4245</v>
      </c>
      <c r="H763" s="1" t="s">
        <v>4335</v>
      </c>
      <c r="I763" s="1" t="s">
        <v>120</v>
      </c>
      <c r="K763" s="1" t="s">
        <v>101</v>
      </c>
      <c r="L763" s="1" t="s">
        <v>3523</v>
      </c>
      <c r="M763" s="1" t="s">
        <v>1207</v>
      </c>
      <c r="N763" s="1" t="s">
        <v>373</v>
      </c>
      <c r="O763" s="1" t="s">
        <v>4336</v>
      </c>
      <c r="P763" s="1" t="s">
        <v>4337</v>
      </c>
      <c r="Q763" s="1" t="s">
        <v>4249</v>
      </c>
      <c r="R763" s="1" t="s">
        <v>246</v>
      </c>
      <c r="S763" s="1" t="s">
        <v>78</v>
      </c>
      <c r="T763" s="1">
        <v>12499</v>
      </c>
      <c r="U763" s="1" t="s">
        <v>1082</v>
      </c>
      <c r="V763" s="1" t="s">
        <v>4298</v>
      </c>
      <c r="W763" s="1" t="s">
        <v>4338</v>
      </c>
    </row>
    <row r="764" spans="1:25" ht="15.75" customHeight="1" x14ac:dyDescent="0.35">
      <c r="A764" s="1" t="s">
        <v>66</v>
      </c>
      <c r="B764" s="1" t="s">
        <v>4339</v>
      </c>
      <c r="C764" s="1" t="s">
        <v>4071</v>
      </c>
      <c r="D764" s="1" t="s">
        <v>4340</v>
      </c>
      <c r="E764" s="1" t="s">
        <v>4073</v>
      </c>
      <c r="F764" s="1" t="s">
        <v>4341</v>
      </c>
      <c r="G764" s="1" t="s">
        <v>4342</v>
      </c>
      <c r="H764" s="1" t="s">
        <v>4075</v>
      </c>
      <c r="I764" s="1" t="s">
        <v>616</v>
      </c>
      <c r="K764" s="1" t="s">
        <v>101</v>
      </c>
      <c r="M764" s="1" t="s">
        <v>4343</v>
      </c>
      <c r="O764" s="1" t="s">
        <v>4344</v>
      </c>
      <c r="P764" s="1" t="s">
        <v>4345</v>
      </c>
      <c r="Q764" s="1" t="s">
        <v>4346</v>
      </c>
      <c r="R764" s="1" t="s">
        <v>4347</v>
      </c>
      <c r="S764" s="1" t="s">
        <v>78</v>
      </c>
      <c r="T764" s="1">
        <v>16999</v>
      </c>
      <c r="U764" s="1" t="s">
        <v>1082</v>
      </c>
      <c r="V764" s="1" t="s">
        <v>4348</v>
      </c>
      <c r="W764" s="1" t="s">
        <v>4349</v>
      </c>
    </row>
    <row r="765" spans="1:25" ht="15.75" customHeight="1" x14ac:dyDescent="0.35">
      <c r="A765" s="1" t="s">
        <v>234</v>
      </c>
      <c r="B765" s="1" t="s">
        <v>4350</v>
      </c>
      <c r="C765" s="1" t="s">
        <v>3748</v>
      </c>
      <c r="D765" s="1" t="s">
        <v>4340</v>
      </c>
      <c r="E765" s="1" t="s">
        <v>4073</v>
      </c>
      <c r="F765" s="1" t="s">
        <v>1603</v>
      </c>
      <c r="G765" s="1" t="s">
        <v>1604</v>
      </c>
      <c r="H765" s="1" t="s">
        <v>4351</v>
      </c>
      <c r="I765" s="1" t="s">
        <v>616</v>
      </c>
      <c r="K765" s="1" t="s">
        <v>90</v>
      </c>
      <c r="L765" s="1" t="s">
        <v>4215</v>
      </c>
      <c r="M765" s="1" t="s">
        <v>632</v>
      </c>
      <c r="N765" s="1" t="s">
        <v>465</v>
      </c>
      <c r="O765" s="1" t="s">
        <v>4352</v>
      </c>
      <c r="P765" s="1" t="s">
        <v>4353</v>
      </c>
      <c r="Q765" s="1" t="s">
        <v>4207</v>
      </c>
      <c r="R765" s="1" t="s">
        <v>637</v>
      </c>
      <c r="S765" s="1" t="s">
        <v>165</v>
      </c>
      <c r="T765" s="1">
        <v>27849</v>
      </c>
      <c r="U765" s="1" t="s">
        <v>1082</v>
      </c>
      <c r="V765" s="1" t="s">
        <v>4219</v>
      </c>
      <c r="W765" s="1" t="s">
        <v>4354</v>
      </c>
    </row>
    <row r="766" spans="1:25" ht="15.75" customHeight="1" x14ac:dyDescent="0.35">
      <c r="A766" s="1" t="s">
        <v>234</v>
      </c>
      <c r="B766" s="1" t="s">
        <v>4355</v>
      </c>
      <c r="C766" s="1" t="s">
        <v>3748</v>
      </c>
      <c r="D766" s="1" t="s">
        <v>3522</v>
      </c>
      <c r="F766" s="1" t="s">
        <v>4202</v>
      </c>
      <c r="G766" s="1" t="s">
        <v>1936</v>
      </c>
      <c r="H766" s="1" t="s">
        <v>4356</v>
      </c>
      <c r="I766" s="1" t="s">
        <v>616</v>
      </c>
      <c r="K766" s="1" t="s">
        <v>90</v>
      </c>
      <c r="L766" s="1" t="s">
        <v>4357</v>
      </c>
      <c r="M766" s="1" t="s">
        <v>4358</v>
      </c>
      <c r="N766" s="1" t="s">
        <v>2257</v>
      </c>
      <c r="O766" s="1" t="s">
        <v>4359</v>
      </c>
      <c r="P766" s="1" t="s">
        <v>4360</v>
      </c>
      <c r="Q766" s="1" t="s">
        <v>4361</v>
      </c>
      <c r="R766" s="1" t="s">
        <v>4218</v>
      </c>
      <c r="S766" s="1" t="s">
        <v>165</v>
      </c>
      <c r="T766" s="1">
        <v>47150</v>
      </c>
      <c r="U766" s="1" t="s">
        <v>1082</v>
      </c>
      <c r="V766" s="1" t="s">
        <v>4219</v>
      </c>
      <c r="W766" s="1" t="s">
        <v>4362</v>
      </c>
    </row>
    <row r="767" spans="1:25" ht="15.75" customHeight="1" x14ac:dyDescent="0.35">
      <c r="A767" s="1" t="s">
        <v>234</v>
      </c>
      <c r="B767" s="1" t="s">
        <v>4363</v>
      </c>
      <c r="C767" s="1" t="s">
        <v>4071</v>
      </c>
      <c r="D767" s="1" t="s">
        <v>3522</v>
      </c>
      <c r="F767" s="1" t="s">
        <v>4364</v>
      </c>
      <c r="G767" s="1" t="s">
        <v>1604</v>
      </c>
      <c r="H767" s="1" t="s">
        <v>4365</v>
      </c>
      <c r="I767" s="1" t="s">
        <v>120</v>
      </c>
      <c r="K767" s="1" t="s">
        <v>90</v>
      </c>
      <c r="L767" s="1" t="s">
        <v>972</v>
      </c>
      <c r="M767" s="1" t="s">
        <v>4358</v>
      </c>
      <c r="N767" s="1" t="s">
        <v>2257</v>
      </c>
      <c r="O767" s="1" t="s">
        <v>4359</v>
      </c>
      <c r="P767" s="1" t="s">
        <v>4360</v>
      </c>
      <c r="Q767" s="1" t="s">
        <v>4361</v>
      </c>
      <c r="R767" s="1" t="s">
        <v>4218</v>
      </c>
      <c r="S767" s="1" t="s">
        <v>165</v>
      </c>
      <c r="T767" s="1">
        <v>29000</v>
      </c>
      <c r="U767" s="1" t="s">
        <v>1082</v>
      </c>
      <c r="V767" s="1" t="s">
        <v>4366</v>
      </c>
      <c r="W767" s="1" t="s">
        <v>4367</v>
      </c>
    </row>
    <row r="768" spans="1:25" ht="15.75" customHeight="1" x14ac:dyDescent="0.35">
      <c r="A768" s="1" t="s">
        <v>3729</v>
      </c>
      <c r="B768" s="1" t="s">
        <v>4368</v>
      </c>
      <c r="C768" s="1" t="s">
        <v>4369</v>
      </c>
      <c r="D768" s="1" t="s">
        <v>3541</v>
      </c>
      <c r="F768" s="1" t="s">
        <v>4370</v>
      </c>
      <c r="G768" s="1" t="s">
        <v>1120</v>
      </c>
      <c r="H768" s="1" t="s">
        <v>4371</v>
      </c>
      <c r="I768" s="1" t="s">
        <v>4372</v>
      </c>
      <c r="J768" s="1" t="s">
        <v>39</v>
      </c>
      <c r="K768" s="1" t="s">
        <v>90</v>
      </c>
      <c r="L768" s="1" t="s">
        <v>4373</v>
      </c>
      <c r="M768" s="1" t="s">
        <v>4374</v>
      </c>
      <c r="N768" s="1" t="s">
        <v>4375</v>
      </c>
      <c r="O768" s="1" t="s">
        <v>4376</v>
      </c>
      <c r="P768" s="1" t="s">
        <v>4377</v>
      </c>
      <c r="Q768" s="1" t="s">
        <v>4378</v>
      </c>
      <c r="S768" s="1" t="s">
        <v>4379</v>
      </c>
      <c r="T768" s="1">
        <v>104999</v>
      </c>
      <c r="U768" s="1" t="s">
        <v>166</v>
      </c>
      <c r="V768" s="1" t="s">
        <v>4380</v>
      </c>
      <c r="Y768" s="1" t="s">
        <v>1105</v>
      </c>
    </row>
    <row r="769" spans="1:26" ht="15.75" customHeight="1" x14ac:dyDescent="0.35">
      <c r="A769" s="1" t="s">
        <v>4381</v>
      </c>
      <c r="B769" s="1" t="s">
        <v>4382</v>
      </c>
      <c r="C769" s="1" t="s">
        <v>4071</v>
      </c>
      <c r="D769" s="1" t="s">
        <v>3522</v>
      </c>
      <c r="F769" s="1" t="s">
        <v>491</v>
      </c>
      <c r="G769" s="1" t="s">
        <v>4383</v>
      </c>
      <c r="H769" s="1" t="s">
        <v>4384</v>
      </c>
      <c r="I769" s="1" t="s">
        <v>616</v>
      </c>
      <c r="K769" s="1" t="s">
        <v>2991</v>
      </c>
      <c r="L769" s="1" t="s">
        <v>4385</v>
      </c>
      <c r="M769" s="1" t="s">
        <v>4386</v>
      </c>
      <c r="N769" s="1" t="s">
        <v>465</v>
      </c>
      <c r="O769" s="1" t="s">
        <v>4387</v>
      </c>
      <c r="P769" s="1" t="s">
        <v>4388</v>
      </c>
      <c r="Q769" s="1" t="s">
        <v>4389</v>
      </c>
      <c r="R769" s="1" t="s">
        <v>4390</v>
      </c>
      <c r="S769" s="1" t="s">
        <v>165</v>
      </c>
      <c r="T769" s="1">
        <v>29600</v>
      </c>
      <c r="U769" s="1" t="s">
        <v>1082</v>
      </c>
      <c r="V769" s="1" t="s">
        <v>4348</v>
      </c>
      <c r="Z769" s="1" t="s">
        <v>4391</v>
      </c>
    </row>
    <row r="770" spans="1:26" ht="15.75" customHeight="1" x14ac:dyDescent="0.35">
      <c r="A770" s="1" t="s">
        <v>81</v>
      </c>
      <c r="B770" s="1" t="s">
        <v>3515</v>
      </c>
      <c r="C770" s="1" t="s">
        <v>3661</v>
      </c>
      <c r="D770" s="1" t="s">
        <v>3942</v>
      </c>
      <c r="E770" s="1" t="s">
        <v>3670</v>
      </c>
      <c r="F770" s="1" t="s">
        <v>3943</v>
      </c>
      <c r="G770" s="1" t="s">
        <v>87</v>
      </c>
      <c r="H770" s="1" t="s">
        <v>1800</v>
      </c>
      <c r="I770" s="1" t="s">
        <v>120</v>
      </c>
      <c r="J770" s="1" t="s">
        <v>39</v>
      </c>
      <c r="K770" s="1" t="s">
        <v>101</v>
      </c>
      <c r="L770" s="1" t="s">
        <v>3944</v>
      </c>
      <c r="M770" s="1" t="s">
        <v>3455</v>
      </c>
      <c r="O770" s="1" t="s">
        <v>3519</v>
      </c>
      <c r="P770" s="1" t="s">
        <v>3457</v>
      </c>
      <c r="Q770" s="1" t="s">
        <v>3458</v>
      </c>
      <c r="R770" s="1" t="s">
        <v>64</v>
      </c>
      <c r="S770" s="1" t="s">
        <v>78</v>
      </c>
      <c r="T770" s="1">
        <v>34049</v>
      </c>
      <c r="U770" s="1" t="s">
        <v>166</v>
      </c>
      <c r="V770" s="1" t="s">
        <v>3745</v>
      </c>
    </row>
    <row r="771" spans="1:26" ht="15.75" customHeight="1" x14ac:dyDescent="0.35">
      <c r="A771" s="1" t="s">
        <v>234</v>
      </c>
      <c r="B771" s="1" t="s">
        <v>4392</v>
      </c>
      <c r="C771" s="1" t="s">
        <v>3661</v>
      </c>
      <c r="D771" s="1" t="s">
        <v>3306</v>
      </c>
      <c r="F771" s="1" t="s">
        <v>462</v>
      </c>
      <c r="G771" s="1" t="s">
        <v>1604</v>
      </c>
      <c r="H771" s="1" t="s">
        <v>4393</v>
      </c>
      <c r="I771" s="1" t="s">
        <v>120</v>
      </c>
      <c r="J771" s="1" t="s">
        <v>971</v>
      </c>
      <c r="K771" s="1" t="s">
        <v>90</v>
      </c>
      <c r="L771" s="1" t="s">
        <v>3784</v>
      </c>
      <c r="M771" s="1" t="s">
        <v>3561</v>
      </c>
      <c r="N771" s="1" t="s">
        <v>633</v>
      </c>
      <c r="O771" s="1" t="s">
        <v>3562</v>
      </c>
      <c r="P771" s="1" t="s">
        <v>3697</v>
      </c>
      <c r="Q771" s="1" t="s">
        <v>1953</v>
      </c>
      <c r="R771" s="1" t="s">
        <v>1610</v>
      </c>
      <c r="S771" s="1" t="s">
        <v>165</v>
      </c>
      <c r="T771" s="1">
        <v>29999</v>
      </c>
      <c r="U771" s="1" t="s">
        <v>166</v>
      </c>
      <c r="V771" s="1" t="s">
        <v>4301</v>
      </c>
      <c r="W771" s="1" t="s">
        <v>4394</v>
      </c>
    </row>
    <row r="772" spans="1:26" ht="15.75" customHeight="1" x14ac:dyDescent="0.35">
      <c r="A772" s="1" t="s">
        <v>234</v>
      </c>
      <c r="B772" s="1" t="s">
        <v>2206</v>
      </c>
      <c r="C772" s="1" t="s">
        <v>2207</v>
      </c>
      <c r="D772" s="1" t="s">
        <v>2208</v>
      </c>
      <c r="E772" s="1" t="s">
        <v>507</v>
      </c>
      <c r="F772" s="1" t="s">
        <v>965</v>
      </c>
      <c r="G772" s="1" t="s">
        <v>1936</v>
      </c>
      <c r="H772" s="1" t="s">
        <v>2209</v>
      </c>
      <c r="I772" s="1" t="s">
        <v>345</v>
      </c>
      <c r="J772" s="1" t="s">
        <v>971</v>
      </c>
      <c r="K772" s="1" t="s">
        <v>90</v>
      </c>
      <c r="L772" s="1" t="s">
        <v>972</v>
      </c>
      <c r="M772" s="1" t="s">
        <v>2210</v>
      </c>
      <c r="N772" s="1" t="s">
        <v>633</v>
      </c>
      <c r="O772" s="1" t="s">
        <v>1607</v>
      </c>
      <c r="P772" s="1" t="s">
        <v>2211</v>
      </c>
      <c r="Q772" s="1" t="s">
        <v>518</v>
      </c>
      <c r="R772" s="1" t="s">
        <v>2212</v>
      </c>
      <c r="S772" s="1" t="s">
        <v>165</v>
      </c>
      <c r="T772" s="1">
        <v>39999</v>
      </c>
      <c r="V772" s="1" t="s">
        <v>1948</v>
      </c>
      <c r="W772" s="1" t="s">
        <v>2213</v>
      </c>
    </row>
    <row r="773" spans="1:26" ht="15.75" customHeight="1" x14ac:dyDescent="0.35">
      <c r="A773" s="1" t="s">
        <v>234</v>
      </c>
      <c r="B773" s="1" t="s">
        <v>4395</v>
      </c>
      <c r="C773" s="1" t="s">
        <v>3748</v>
      </c>
      <c r="D773" s="1" t="s">
        <v>4007</v>
      </c>
      <c r="F773" s="1" t="s">
        <v>2578</v>
      </c>
      <c r="G773" s="1" t="s">
        <v>1936</v>
      </c>
      <c r="H773" s="1" t="s">
        <v>4396</v>
      </c>
      <c r="I773" s="1" t="s">
        <v>120</v>
      </c>
      <c r="J773" s="1" t="s">
        <v>971</v>
      </c>
      <c r="K773" s="1" t="s">
        <v>90</v>
      </c>
      <c r="L773" s="1" t="s">
        <v>972</v>
      </c>
      <c r="M773" s="1" t="s">
        <v>4358</v>
      </c>
      <c r="N773" s="1" t="s">
        <v>2257</v>
      </c>
      <c r="O773" s="1" t="s">
        <v>4397</v>
      </c>
      <c r="P773" s="1" t="s">
        <v>4398</v>
      </c>
      <c r="Q773" s="1" t="s">
        <v>4399</v>
      </c>
      <c r="R773" s="1" t="s">
        <v>4218</v>
      </c>
      <c r="S773" s="1" t="s">
        <v>165</v>
      </c>
      <c r="T773" s="1">
        <v>29999</v>
      </c>
      <c r="U773" s="1" t="s">
        <v>1082</v>
      </c>
      <c r="V773" s="1" t="s">
        <v>4219</v>
      </c>
      <c r="W773" s="1" t="s">
        <v>4400</v>
      </c>
    </row>
    <row r="774" spans="1:26" ht="15.75" customHeight="1" x14ac:dyDescent="0.35">
      <c r="A774" s="1" t="s">
        <v>234</v>
      </c>
      <c r="B774" s="1" t="s">
        <v>4401</v>
      </c>
      <c r="C774" s="1" t="s">
        <v>2292</v>
      </c>
      <c r="D774" s="1" t="s">
        <v>4007</v>
      </c>
      <c r="F774" s="1" t="s">
        <v>3628</v>
      </c>
      <c r="G774" s="1" t="s">
        <v>1604</v>
      </c>
      <c r="H774" s="1" t="s">
        <v>4402</v>
      </c>
      <c r="I774" s="1" t="s">
        <v>1021</v>
      </c>
      <c r="J774" s="1" t="s">
        <v>4001</v>
      </c>
      <c r="K774" s="1" t="s">
        <v>90</v>
      </c>
      <c r="L774" s="1" t="s">
        <v>972</v>
      </c>
      <c r="M774" s="1" t="s">
        <v>3724</v>
      </c>
      <c r="N774" s="1" t="s">
        <v>277</v>
      </c>
      <c r="O774" s="1" t="s">
        <v>4403</v>
      </c>
      <c r="P774" s="1" t="s">
        <v>4404</v>
      </c>
      <c r="Q774" s="1" t="s">
        <v>4405</v>
      </c>
      <c r="R774" s="1" t="s">
        <v>3935</v>
      </c>
      <c r="S774" s="1" t="s">
        <v>165</v>
      </c>
      <c r="T774" s="1">
        <v>42000</v>
      </c>
      <c r="U774" s="1" t="s">
        <v>166</v>
      </c>
      <c r="V774" s="1" t="s">
        <v>4406</v>
      </c>
      <c r="W774" s="1" t="s">
        <v>4407</v>
      </c>
    </row>
    <row r="775" spans="1:26" ht="15.75" customHeight="1" x14ac:dyDescent="0.35">
      <c r="A775" s="1" t="s">
        <v>234</v>
      </c>
      <c r="B775" s="1" t="s">
        <v>4408</v>
      </c>
      <c r="C775" s="1" t="s">
        <v>2280</v>
      </c>
      <c r="D775" s="1" t="s">
        <v>4007</v>
      </c>
      <c r="F775" s="1" t="s">
        <v>3552</v>
      </c>
      <c r="G775" s="1" t="s">
        <v>1936</v>
      </c>
      <c r="H775" s="1" t="s">
        <v>4402</v>
      </c>
      <c r="I775" s="1" t="s">
        <v>1021</v>
      </c>
      <c r="J775" s="1" t="s">
        <v>4001</v>
      </c>
      <c r="K775" s="1" t="s">
        <v>90</v>
      </c>
      <c r="L775" s="1" t="s">
        <v>972</v>
      </c>
      <c r="M775" s="1" t="s">
        <v>3724</v>
      </c>
      <c r="N775" s="1" t="s">
        <v>277</v>
      </c>
      <c r="O775" s="1" t="s">
        <v>4403</v>
      </c>
      <c r="P775" s="1" t="s">
        <v>4404</v>
      </c>
      <c r="Q775" s="1" t="s">
        <v>4405</v>
      </c>
      <c r="R775" s="1" t="s">
        <v>3935</v>
      </c>
      <c r="S775" s="1" t="s">
        <v>165</v>
      </c>
      <c r="T775" s="1">
        <v>47249</v>
      </c>
      <c r="U775" s="1" t="s">
        <v>166</v>
      </c>
      <c r="V775" s="1" t="s">
        <v>4409</v>
      </c>
      <c r="W775" s="1" t="s">
        <v>4410</v>
      </c>
    </row>
    <row r="776" spans="1:26" ht="15.75" customHeight="1" x14ac:dyDescent="0.35">
      <c r="A776" s="1" t="s">
        <v>234</v>
      </c>
      <c r="B776" s="1" t="s">
        <v>4411</v>
      </c>
      <c r="C776" s="1" t="s">
        <v>1118</v>
      </c>
      <c r="D776" s="1" t="s">
        <v>3782</v>
      </c>
      <c r="F776" s="1" t="s">
        <v>4412</v>
      </c>
      <c r="G776" s="1" t="s">
        <v>3395</v>
      </c>
      <c r="H776" s="1" t="s">
        <v>4413</v>
      </c>
      <c r="I776" s="1" t="s">
        <v>1021</v>
      </c>
      <c r="J776" s="1" t="s">
        <v>4001</v>
      </c>
      <c r="K776" s="1" t="s">
        <v>90</v>
      </c>
      <c r="L776" s="1" t="s">
        <v>972</v>
      </c>
      <c r="M776" s="1" t="s">
        <v>919</v>
      </c>
      <c r="N776" s="1" t="s">
        <v>633</v>
      </c>
      <c r="O776" s="1" t="s">
        <v>4403</v>
      </c>
      <c r="P776" s="1" t="s">
        <v>4414</v>
      </c>
      <c r="Q776" s="1" t="s">
        <v>4415</v>
      </c>
      <c r="R776" s="1" t="s">
        <v>4218</v>
      </c>
      <c r="S776" s="1" t="s">
        <v>165</v>
      </c>
      <c r="T776" s="1">
        <v>53830</v>
      </c>
      <c r="U776" s="1" t="s">
        <v>166</v>
      </c>
      <c r="V776" s="1" t="s">
        <v>4174</v>
      </c>
      <c r="W776" s="1" t="s">
        <v>4416</v>
      </c>
    </row>
    <row r="777" spans="1:26" ht="15.75" customHeight="1" x14ac:dyDescent="0.35">
      <c r="A777" s="1" t="s">
        <v>234</v>
      </c>
      <c r="B777" s="1" t="s">
        <v>4417</v>
      </c>
      <c r="C777" s="1" t="s">
        <v>3516</v>
      </c>
      <c r="D777" s="1" t="s">
        <v>3315</v>
      </c>
      <c r="F777" s="1" t="s">
        <v>462</v>
      </c>
      <c r="G777" s="1" t="s">
        <v>1604</v>
      </c>
      <c r="H777" s="1" t="s">
        <v>4418</v>
      </c>
      <c r="I777" s="1" t="s">
        <v>120</v>
      </c>
      <c r="J777" s="1" t="s">
        <v>971</v>
      </c>
      <c r="K777" s="1" t="s">
        <v>90</v>
      </c>
      <c r="L777" s="1" t="s">
        <v>4419</v>
      </c>
      <c r="M777" s="1" t="s">
        <v>3561</v>
      </c>
      <c r="N777" s="1" t="s">
        <v>465</v>
      </c>
      <c r="O777" s="1" t="s">
        <v>3562</v>
      </c>
      <c r="P777" s="1" t="s">
        <v>3697</v>
      </c>
      <c r="Q777" s="1" t="s">
        <v>3500</v>
      </c>
      <c r="R777" s="1" t="s">
        <v>1610</v>
      </c>
      <c r="S777" s="1" t="s">
        <v>165</v>
      </c>
      <c r="T777" s="1">
        <v>22049</v>
      </c>
      <c r="U777" s="1" t="s">
        <v>166</v>
      </c>
      <c r="V777" s="1" t="s">
        <v>3564</v>
      </c>
      <c r="W777" s="1" t="s">
        <v>4420</v>
      </c>
    </row>
    <row r="778" spans="1:26" ht="15.75" customHeight="1" x14ac:dyDescent="0.35">
      <c r="A778" s="1" t="s">
        <v>66</v>
      </c>
      <c r="B778" s="1" t="s">
        <v>4421</v>
      </c>
      <c r="C778" s="1" t="s">
        <v>3748</v>
      </c>
      <c r="D778" s="1" t="s">
        <v>4340</v>
      </c>
      <c r="E778" s="1" t="s">
        <v>4073</v>
      </c>
      <c r="F778" s="1" t="s">
        <v>4422</v>
      </c>
      <c r="G778" s="1" t="s">
        <v>4423</v>
      </c>
      <c r="H778" s="1" t="s">
        <v>4424</v>
      </c>
      <c r="I778" s="1" t="s">
        <v>120</v>
      </c>
      <c r="K778" s="1" t="s">
        <v>101</v>
      </c>
      <c r="M778" s="1" t="s">
        <v>4425</v>
      </c>
      <c r="N778" s="1" t="s">
        <v>4426</v>
      </c>
      <c r="O778" s="1" t="s">
        <v>4427</v>
      </c>
      <c r="P778" s="1" t="s">
        <v>4428</v>
      </c>
      <c r="Q778" s="1" t="s">
        <v>4429</v>
      </c>
      <c r="R778" s="1" t="s">
        <v>4347</v>
      </c>
      <c r="S778" s="1" t="s">
        <v>339</v>
      </c>
      <c r="T778" s="1">
        <v>23499</v>
      </c>
      <c r="U778" s="1" t="s">
        <v>1082</v>
      </c>
      <c r="V778" s="1" t="s">
        <v>4430</v>
      </c>
      <c r="W778" s="1" t="s">
        <v>4431</v>
      </c>
    </row>
    <row r="779" spans="1:26" ht="15.75" customHeight="1" x14ac:dyDescent="0.35">
      <c r="A779" s="1" t="s">
        <v>66</v>
      </c>
      <c r="B779" s="1" t="s">
        <v>4432</v>
      </c>
      <c r="C779" s="1" t="s">
        <v>4071</v>
      </c>
      <c r="D779" s="1" t="s">
        <v>4340</v>
      </c>
      <c r="E779" s="1" t="s">
        <v>4073</v>
      </c>
      <c r="F779" s="1" t="s">
        <v>4433</v>
      </c>
      <c r="G779" s="1" t="s">
        <v>4423</v>
      </c>
      <c r="H779" s="1" t="s">
        <v>4424</v>
      </c>
      <c r="I779" s="1" t="s">
        <v>120</v>
      </c>
      <c r="K779" s="1" t="s">
        <v>101</v>
      </c>
      <c r="M779" s="1" t="s">
        <v>4425</v>
      </c>
      <c r="N779" s="1" t="s">
        <v>2309</v>
      </c>
      <c r="O779" s="1" t="s">
        <v>4434</v>
      </c>
      <c r="P779" s="1" t="s">
        <v>4428</v>
      </c>
      <c r="Q779" s="1" t="s">
        <v>4429</v>
      </c>
      <c r="R779" s="1" t="s">
        <v>4347</v>
      </c>
      <c r="S779" s="1" t="s">
        <v>339</v>
      </c>
      <c r="T779" s="1">
        <v>17199</v>
      </c>
      <c r="U779" s="1" t="s">
        <v>1082</v>
      </c>
      <c r="V779" s="1" t="s">
        <v>4184</v>
      </c>
      <c r="W779" s="1" t="s">
        <v>4435</v>
      </c>
    </row>
    <row r="780" spans="1:26" ht="15.75" customHeight="1" x14ac:dyDescent="0.35">
      <c r="A780" s="1" t="s">
        <v>66</v>
      </c>
      <c r="B780" s="1" t="s">
        <v>4436</v>
      </c>
      <c r="C780" s="1" t="s">
        <v>4108</v>
      </c>
      <c r="D780" s="1" t="s">
        <v>4437</v>
      </c>
      <c r="E780" s="1" t="s">
        <v>4073</v>
      </c>
      <c r="F780" s="1" t="s">
        <v>4438</v>
      </c>
      <c r="G780" s="1" t="s">
        <v>352</v>
      </c>
      <c r="H780" s="1" t="s">
        <v>4424</v>
      </c>
      <c r="I780" s="1" t="s">
        <v>120</v>
      </c>
      <c r="K780" s="1" t="s">
        <v>121</v>
      </c>
      <c r="M780" s="1" t="s">
        <v>4439</v>
      </c>
      <c r="N780" s="1" t="s">
        <v>2309</v>
      </c>
      <c r="O780" s="1" t="s">
        <v>4440</v>
      </c>
      <c r="P780" s="1" t="s">
        <v>4441</v>
      </c>
      <c r="Q780" s="1" t="s">
        <v>4442</v>
      </c>
      <c r="R780" s="1" t="s">
        <v>4347</v>
      </c>
      <c r="S780" s="1" t="s">
        <v>165</v>
      </c>
      <c r="T780" s="1">
        <v>19999</v>
      </c>
      <c r="V780" s="1" t="s">
        <v>4443</v>
      </c>
      <c r="W780" s="1" t="s">
        <v>4444</v>
      </c>
      <c r="Z780" s="1" t="s">
        <v>2290</v>
      </c>
    </row>
    <row r="781" spans="1:26" ht="15.75" customHeight="1" x14ac:dyDescent="0.35">
      <c r="A781" s="1" t="s">
        <v>66</v>
      </c>
      <c r="B781" s="1" t="s">
        <v>4445</v>
      </c>
      <c r="C781" s="1" t="s">
        <v>4446</v>
      </c>
      <c r="D781" s="1" t="s">
        <v>4437</v>
      </c>
      <c r="E781" s="1" t="s">
        <v>4073</v>
      </c>
      <c r="F781" s="1" t="s">
        <v>4438</v>
      </c>
      <c r="G781" s="1" t="s">
        <v>352</v>
      </c>
      <c r="H781" s="1" t="s">
        <v>4424</v>
      </c>
      <c r="I781" s="1" t="s">
        <v>120</v>
      </c>
      <c r="K781" s="1" t="s">
        <v>121</v>
      </c>
      <c r="M781" s="1" t="s">
        <v>4439</v>
      </c>
      <c r="N781" s="1" t="s">
        <v>2309</v>
      </c>
      <c r="O781" s="1" t="s">
        <v>4440</v>
      </c>
      <c r="P781" s="1" t="s">
        <v>4441</v>
      </c>
      <c r="Q781" s="1" t="s">
        <v>4442</v>
      </c>
      <c r="R781" s="1" t="s">
        <v>4347</v>
      </c>
      <c r="S781" s="1" t="s">
        <v>165</v>
      </c>
      <c r="T781" s="1">
        <v>17499</v>
      </c>
      <c r="V781" s="1" t="s">
        <v>4447</v>
      </c>
      <c r="W781" s="1" t="s">
        <v>4448</v>
      </c>
      <c r="Z781" s="1" t="s">
        <v>2290</v>
      </c>
    </row>
    <row r="782" spans="1:26" ht="15.75" customHeight="1" x14ac:dyDescent="0.35">
      <c r="A782" s="1" t="s">
        <v>66</v>
      </c>
      <c r="B782" s="1" t="s">
        <v>4449</v>
      </c>
      <c r="C782" s="1" t="s">
        <v>4450</v>
      </c>
      <c r="D782" s="1" t="s">
        <v>3315</v>
      </c>
      <c r="F782" s="1" t="s">
        <v>4451</v>
      </c>
      <c r="G782" s="1" t="s">
        <v>3845</v>
      </c>
      <c r="H782" s="1" t="s">
        <v>4452</v>
      </c>
      <c r="I782" s="1" t="s">
        <v>120</v>
      </c>
      <c r="K782" s="1" t="s">
        <v>121</v>
      </c>
      <c r="M782" s="1" t="s">
        <v>4425</v>
      </c>
      <c r="N782" s="1" t="s">
        <v>4453</v>
      </c>
      <c r="O782" s="1" t="s">
        <v>4454</v>
      </c>
      <c r="P782" s="1" t="s">
        <v>4455</v>
      </c>
      <c r="Q782" s="1" t="s">
        <v>4456</v>
      </c>
      <c r="R782" s="1" t="s">
        <v>2313</v>
      </c>
      <c r="S782" s="1" t="s">
        <v>339</v>
      </c>
      <c r="T782" s="1">
        <v>20000</v>
      </c>
      <c r="U782" s="1" t="s">
        <v>2181</v>
      </c>
      <c r="V782" s="1" t="s">
        <v>4457</v>
      </c>
      <c r="W782" s="1" t="s">
        <v>4458</v>
      </c>
    </row>
    <row r="783" spans="1:26" ht="15.75" customHeight="1" x14ac:dyDescent="0.35">
      <c r="A783" s="1" t="s">
        <v>66</v>
      </c>
      <c r="B783" s="1" t="s">
        <v>4459</v>
      </c>
      <c r="C783" s="1" t="s">
        <v>4071</v>
      </c>
      <c r="D783" s="1" t="s">
        <v>4340</v>
      </c>
      <c r="E783" s="1" t="s">
        <v>4073</v>
      </c>
      <c r="F783" s="1" t="s">
        <v>4460</v>
      </c>
      <c r="G783" s="1" t="s">
        <v>3845</v>
      </c>
      <c r="H783" s="1" t="s">
        <v>4461</v>
      </c>
      <c r="I783" s="1" t="s">
        <v>74</v>
      </c>
      <c r="K783" s="1" t="s">
        <v>121</v>
      </c>
      <c r="M783" s="1" t="s">
        <v>4425</v>
      </c>
      <c r="N783" s="1" t="s">
        <v>2309</v>
      </c>
      <c r="O783" s="1" t="s">
        <v>4462</v>
      </c>
      <c r="P783" s="1" t="s">
        <v>4463</v>
      </c>
      <c r="Q783" s="1" t="s">
        <v>4429</v>
      </c>
      <c r="R783" s="1" t="s">
        <v>4347</v>
      </c>
      <c r="S783" s="1" t="s">
        <v>339</v>
      </c>
      <c r="T783" s="1">
        <v>23499</v>
      </c>
      <c r="U783" s="1" t="s">
        <v>1082</v>
      </c>
      <c r="V783" s="1" t="s">
        <v>4184</v>
      </c>
      <c r="W783" s="1" t="s">
        <v>4464</v>
      </c>
    </row>
    <row r="784" spans="1:26" ht="15.75" customHeight="1" x14ac:dyDescent="0.35">
      <c r="A784" s="1" t="s">
        <v>234</v>
      </c>
      <c r="B784" s="1" t="s">
        <v>4465</v>
      </c>
      <c r="C784" s="1" t="s">
        <v>827</v>
      </c>
      <c r="D784" s="1" t="s">
        <v>3363</v>
      </c>
      <c r="F784" s="1" t="s">
        <v>628</v>
      </c>
      <c r="G784" s="1" t="s">
        <v>1936</v>
      </c>
      <c r="H784" s="1" t="s">
        <v>4466</v>
      </c>
      <c r="I784" s="1" t="s">
        <v>275</v>
      </c>
      <c r="J784" s="1" t="s">
        <v>971</v>
      </c>
      <c r="K784" s="1" t="s">
        <v>90</v>
      </c>
      <c r="L784" s="1" t="s">
        <v>3695</v>
      </c>
      <c r="M784" s="1" t="s">
        <v>632</v>
      </c>
      <c r="N784" s="1" t="s">
        <v>633</v>
      </c>
      <c r="O784" s="1" t="s">
        <v>3562</v>
      </c>
      <c r="P784" s="1" t="s">
        <v>4467</v>
      </c>
      <c r="Q784" s="1" t="s">
        <v>3401</v>
      </c>
      <c r="R784" s="1" t="s">
        <v>3772</v>
      </c>
      <c r="S784" s="1" t="s">
        <v>165</v>
      </c>
      <c r="T784" s="1">
        <v>29499</v>
      </c>
      <c r="V784" s="1" t="s">
        <v>4468</v>
      </c>
      <c r="W784" s="1" t="s">
        <v>4469</v>
      </c>
    </row>
    <row r="785" spans="1:25" ht="15.75" customHeight="1" x14ac:dyDescent="0.35">
      <c r="A785" s="1" t="s">
        <v>234</v>
      </c>
      <c r="B785" s="1" t="s">
        <v>4470</v>
      </c>
      <c r="C785" s="1" t="s">
        <v>3739</v>
      </c>
      <c r="D785" s="1" t="s">
        <v>3315</v>
      </c>
      <c r="F785" s="1" t="s">
        <v>3650</v>
      </c>
      <c r="G785" s="1" t="s">
        <v>3799</v>
      </c>
      <c r="H785" s="1" t="s">
        <v>4471</v>
      </c>
      <c r="I785" s="1" t="s">
        <v>120</v>
      </c>
      <c r="J785" s="1" t="s">
        <v>971</v>
      </c>
      <c r="K785" s="1" t="s">
        <v>90</v>
      </c>
      <c r="L785" s="1" t="s">
        <v>3784</v>
      </c>
      <c r="M785" s="1" t="s">
        <v>3561</v>
      </c>
      <c r="N785" s="1" t="s">
        <v>633</v>
      </c>
      <c r="O785" s="1" t="s">
        <v>3562</v>
      </c>
      <c r="P785" s="1" t="s">
        <v>3697</v>
      </c>
      <c r="Q785" s="1" t="s">
        <v>3500</v>
      </c>
      <c r="R785" s="1" t="s">
        <v>1610</v>
      </c>
      <c r="S785" s="1" t="s">
        <v>165</v>
      </c>
      <c r="T785" s="1">
        <v>14699</v>
      </c>
      <c r="U785" s="1" t="s">
        <v>166</v>
      </c>
      <c r="V785" s="1" t="s">
        <v>3910</v>
      </c>
      <c r="W785" s="1" t="s">
        <v>4472</v>
      </c>
    </row>
    <row r="786" spans="1:25" ht="15.75" customHeight="1" x14ac:dyDescent="0.35">
      <c r="A786" s="1" t="s">
        <v>234</v>
      </c>
      <c r="B786" s="1" t="s">
        <v>4473</v>
      </c>
      <c r="C786" s="1" t="s">
        <v>3516</v>
      </c>
      <c r="D786" s="1" t="s">
        <v>3315</v>
      </c>
      <c r="F786" s="1" t="s">
        <v>628</v>
      </c>
      <c r="G786" s="1" t="s">
        <v>1604</v>
      </c>
      <c r="H786" s="1" t="s">
        <v>4471</v>
      </c>
      <c r="I786" s="1" t="s">
        <v>120</v>
      </c>
      <c r="J786" s="1" t="s">
        <v>971</v>
      </c>
      <c r="K786" s="1" t="s">
        <v>90</v>
      </c>
      <c r="L786" s="1" t="s">
        <v>3784</v>
      </c>
      <c r="M786" s="1" t="s">
        <v>3561</v>
      </c>
      <c r="N786" s="1" t="s">
        <v>633</v>
      </c>
      <c r="O786" s="1" t="s">
        <v>3562</v>
      </c>
      <c r="P786" s="1" t="s">
        <v>3697</v>
      </c>
      <c r="Q786" s="1" t="s">
        <v>3500</v>
      </c>
      <c r="R786" s="1" t="s">
        <v>1610</v>
      </c>
      <c r="S786" s="1" t="s">
        <v>165</v>
      </c>
      <c r="T786" s="1">
        <v>21999</v>
      </c>
      <c r="U786" s="1" t="s">
        <v>166</v>
      </c>
      <c r="V786" s="1" t="s">
        <v>3564</v>
      </c>
      <c r="W786" s="1" t="s">
        <v>4474</v>
      </c>
    </row>
    <row r="787" spans="1:25" ht="15.75" customHeight="1" x14ac:dyDescent="0.35">
      <c r="A787" s="1" t="s">
        <v>234</v>
      </c>
      <c r="B787" s="1" t="s">
        <v>4475</v>
      </c>
      <c r="C787" s="1" t="s">
        <v>4476</v>
      </c>
      <c r="D787" s="1" t="s">
        <v>3315</v>
      </c>
      <c r="F787" s="1" t="s">
        <v>628</v>
      </c>
      <c r="G787" s="1" t="s">
        <v>1604</v>
      </c>
      <c r="H787" s="1" t="s">
        <v>4471</v>
      </c>
      <c r="I787" s="1" t="s">
        <v>120</v>
      </c>
      <c r="J787" s="1" t="s">
        <v>971</v>
      </c>
      <c r="K787" s="1" t="s">
        <v>90</v>
      </c>
      <c r="L787" s="1" t="s">
        <v>3784</v>
      </c>
      <c r="M787" s="1" t="s">
        <v>3561</v>
      </c>
      <c r="N787" s="1" t="s">
        <v>633</v>
      </c>
      <c r="O787" s="1" t="s">
        <v>3562</v>
      </c>
      <c r="P787" s="1" t="s">
        <v>3697</v>
      </c>
      <c r="Q787" s="1" t="s">
        <v>3500</v>
      </c>
      <c r="R787" s="1" t="s">
        <v>1610</v>
      </c>
      <c r="S787" s="1" t="s">
        <v>78</v>
      </c>
      <c r="T787" s="1">
        <v>25699</v>
      </c>
      <c r="U787" s="1" t="s">
        <v>166</v>
      </c>
      <c r="V787" s="1" t="s">
        <v>4477</v>
      </c>
      <c r="W787" s="1" t="s">
        <v>4478</v>
      </c>
    </row>
    <row r="788" spans="1:25" ht="15.75" customHeight="1" x14ac:dyDescent="0.35">
      <c r="A788" s="1" t="s">
        <v>234</v>
      </c>
      <c r="B788" s="1" t="s">
        <v>4479</v>
      </c>
      <c r="C788" s="1" t="s">
        <v>4295</v>
      </c>
      <c r="D788" s="1" t="s">
        <v>3315</v>
      </c>
      <c r="F788" s="1" t="s">
        <v>4480</v>
      </c>
      <c r="G788" s="1" t="s">
        <v>3799</v>
      </c>
      <c r="H788" s="1" t="s">
        <v>4481</v>
      </c>
      <c r="I788" s="1" t="s">
        <v>120</v>
      </c>
      <c r="J788" s="1" t="s">
        <v>971</v>
      </c>
      <c r="K788" s="1" t="s">
        <v>90</v>
      </c>
      <c r="L788" s="1" t="s">
        <v>972</v>
      </c>
      <c r="M788" s="1" t="s">
        <v>3561</v>
      </c>
      <c r="N788" s="1" t="s">
        <v>465</v>
      </c>
      <c r="O788" s="1" t="s">
        <v>4482</v>
      </c>
      <c r="P788" s="1" t="s">
        <v>4483</v>
      </c>
      <c r="Q788" s="1" t="s">
        <v>3468</v>
      </c>
      <c r="R788" s="1" t="s">
        <v>64</v>
      </c>
      <c r="S788" s="1" t="s">
        <v>165</v>
      </c>
      <c r="T788" s="1">
        <v>20199</v>
      </c>
      <c r="U788" s="1" t="s">
        <v>1082</v>
      </c>
      <c r="V788" s="1" t="s">
        <v>4298</v>
      </c>
      <c r="W788" s="1" t="s">
        <v>4484</v>
      </c>
    </row>
    <row r="789" spans="1:25" ht="15.75" customHeight="1" x14ac:dyDescent="0.35">
      <c r="A789" s="1" t="s">
        <v>234</v>
      </c>
      <c r="B789" s="1" t="s">
        <v>4485</v>
      </c>
      <c r="C789" s="1" t="s">
        <v>4071</v>
      </c>
      <c r="D789" s="1" t="s">
        <v>3522</v>
      </c>
      <c r="F789" s="1" t="s">
        <v>4364</v>
      </c>
      <c r="G789" s="1" t="s">
        <v>1604</v>
      </c>
      <c r="H789" s="1" t="s">
        <v>4486</v>
      </c>
      <c r="I789" s="1" t="s">
        <v>120</v>
      </c>
      <c r="J789" s="1" t="s">
        <v>971</v>
      </c>
      <c r="K789" s="1" t="s">
        <v>90</v>
      </c>
      <c r="L789" s="1" t="s">
        <v>972</v>
      </c>
      <c r="M789" s="1" t="s">
        <v>3561</v>
      </c>
      <c r="N789" s="1" t="s">
        <v>465</v>
      </c>
      <c r="O789" s="1" t="s">
        <v>4482</v>
      </c>
      <c r="P789" s="1" t="s">
        <v>4487</v>
      </c>
      <c r="Q789" s="1" t="s">
        <v>3468</v>
      </c>
      <c r="R789" s="1" t="s">
        <v>64</v>
      </c>
      <c r="S789" s="1" t="s">
        <v>339</v>
      </c>
      <c r="T789" s="1">
        <v>24899</v>
      </c>
      <c r="U789" s="1" t="s">
        <v>1082</v>
      </c>
      <c r="V789" s="1" t="s">
        <v>4366</v>
      </c>
      <c r="W789" s="1" t="s">
        <v>4488</v>
      </c>
    </row>
    <row r="790" spans="1:25" ht="15.75" customHeight="1" x14ac:dyDescent="0.35">
      <c r="A790" s="1" t="s">
        <v>234</v>
      </c>
      <c r="B790" s="1" t="s">
        <v>4489</v>
      </c>
      <c r="C790" s="1" t="s">
        <v>3748</v>
      </c>
      <c r="D790" s="1" t="s">
        <v>3522</v>
      </c>
      <c r="F790" s="1" t="s">
        <v>4364</v>
      </c>
      <c r="G790" s="1" t="s">
        <v>1604</v>
      </c>
      <c r="H790" s="1" t="s">
        <v>4490</v>
      </c>
      <c r="I790" s="1" t="s">
        <v>120</v>
      </c>
      <c r="J790" s="1" t="s">
        <v>971</v>
      </c>
      <c r="K790" s="1" t="s">
        <v>90</v>
      </c>
      <c r="L790" s="1" t="s">
        <v>972</v>
      </c>
      <c r="M790" s="1" t="s">
        <v>3561</v>
      </c>
      <c r="N790" s="1" t="s">
        <v>465</v>
      </c>
      <c r="O790" s="1" t="s">
        <v>4482</v>
      </c>
      <c r="P790" s="1" t="s">
        <v>4487</v>
      </c>
      <c r="Q790" s="1" t="s">
        <v>3468</v>
      </c>
      <c r="S790" s="1" t="s">
        <v>165</v>
      </c>
      <c r="T790" s="1">
        <v>29699</v>
      </c>
      <c r="U790" s="1" t="s">
        <v>1082</v>
      </c>
      <c r="V790" s="1" t="s">
        <v>4219</v>
      </c>
      <c r="W790" s="1" t="s">
        <v>4491</v>
      </c>
    </row>
    <row r="791" spans="1:25" ht="15.75" customHeight="1" x14ac:dyDescent="0.35">
      <c r="A791" s="1" t="s">
        <v>112</v>
      </c>
      <c r="B791" s="1" t="s">
        <v>4492</v>
      </c>
      <c r="C791" s="1" t="s">
        <v>4108</v>
      </c>
      <c r="D791" s="1" t="s">
        <v>3363</v>
      </c>
      <c r="F791" s="1" t="s">
        <v>351</v>
      </c>
      <c r="G791" s="1" t="s">
        <v>1120</v>
      </c>
      <c r="H791" s="1" t="s">
        <v>4493</v>
      </c>
      <c r="I791" s="1" t="s">
        <v>120</v>
      </c>
      <c r="K791" s="1" t="s">
        <v>101</v>
      </c>
      <c r="L791" s="1" t="s">
        <v>4494</v>
      </c>
      <c r="M791" s="1" t="s">
        <v>4495</v>
      </c>
      <c r="N791" s="1" t="s">
        <v>4496</v>
      </c>
      <c r="O791" s="1" t="s">
        <v>4497</v>
      </c>
      <c r="P791" s="1" t="s">
        <v>4066</v>
      </c>
      <c r="Q791" s="1" t="s">
        <v>3850</v>
      </c>
      <c r="R791" s="1" t="s">
        <v>4498</v>
      </c>
      <c r="S791" s="1" t="s">
        <v>78</v>
      </c>
      <c r="T791" s="1">
        <v>17499</v>
      </c>
      <c r="V791" s="1" t="s">
        <v>4443</v>
      </c>
    </row>
    <row r="792" spans="1:25" ht="15.75" customHeight="1" x14ac:dyDescent="0.35">
      <c r="A792" s="1" t="s">
        <v>66</v>
      </c>
      <c r="B792" s="1" t="s">
        <v>4499</v>
      </c>
      <c r="C792" s="1" t="s">
        <v>4295</v>
      </c>
      <c r="D792" s="1" t="s">
        <v>3315</v>
      </c>
      <c r="F792" s="1" t="s">
        <v>4500</v>
      </c>
      <c r="G792" s="1" t="s">
        <v>4061</v>
      </c>
      <c r="H792" s="1" t="s">
        <v>4501</v>
      </c>
      <c r="I792" s="1" t="s">
        <v>120</v>
      </c>
      <c r="K792" s="1" t="s">
        <v>101</v>
      </c>
      <c r="M792" s="1" t="s">
        <v>4502</v>
      </c>
      <c r="N792" s="1" t="s">
        <v>4426</v>
      </c>
      <c r="O792" s="1" t="s">
        <v>4503</v>
      </c>
      <c r="P792" s="1" t="s">
        <v>4345</v>
      </c>
      <c r="Q792" s="1" t="s">
        <v>4429</v>
      </c>
      <c r="R792" s="1" t="s">
        <v>4347</v>
      </c>
      <c r="S792" s="1" t="s">
        <v>339</v>
      </c>
      <c r="T792" s="1">
        <v>22000</v>
      </c>
      <c r="U792" s="1" t="s">
        <v>1082</v>
      </c>
      <c r="V792" s="1" t="s">
        <v>4504</v>
      </c>
      <c r="W792" s="1" t="s">
        <v>4505</v>
      </c>
      <c r="X792" s="1" t="s">
        <v>4506</v>
      </c>
    </row>
    <row r="793" spans="1:25" ht="15.75" customHeight="1" x14ac:dyDescent="0.35">
      <c r="A793" s="1" t="s">
        <v>66</v>
      </c>
      <c r="B793" s="1" t="s">
        <v>4507</v>
      </c>
      <c r="C793" s="1" t="s">
        <v>4071</v>
      </c>
      <c r="D793" s="1" t="s">
        <v>4340</v>
      </c>
      <c r="E793" s="1" t="s">
        <v>4073</v>
      </c>
      <c r="F793" s="1" t="s">
        <v>4508</v>
      </c>
      <c r="G793" s="1" t="s">
        <v>2343</v>
      </c>
      <c r="H793" s="1" t="s">
        <v>4501</v>
      </c>
      <c r="I793" s="1" t="s">
        <v>120</v>
      </c>
      <c r="K793" s="1" t="s">
        <v>101</v>
      </c>
      <c r="M793" s="1" t="s">
        <v>4343</v>
      </c>
      <c r="O793" s="1" t="s">
        <v>4509</v>
      </c>
      <c r="P793" s="1" t="s">
        <v>4345</v>
      </c>
      <c r="Q793" s="1" t="s">
        <v>4346</v>
      </c>
      <c r="R793" s="1" t="s">
        <v>4347</v>
      </c>
      <c r="S793" s="1" t="s">
        <v>339</v>
      </c>
      <c r="T793" s="1">
        <v>29999</v>
      </c>
      <c r="U793" s="1" t="s">
        <v>1082</v>
      </c>
      <c r="V793" s="1" t="s">
        <v>4079</v>
      </c>
      <c r="W793" s="1" t="s">
        <v>4510</v>
      </c>
    </row>
    <row r="794" spans="1:25" ht="15.75" customHeight="1" x14ac:dyDescent="0.35">
      <c r="A794" s="1" t="s">
        <v>112</v>
      </c>
      <c r="B794" s="1" t="s">
        <v>4511</v>
      </c>
      <c r="C794" s="1" t="s">
        <v>4512</v>
      </c>
      <c r="D794" s="1" t="s">
        <v>3363</v>
      </c>
      <c r="F794" s="1" t="s">
        <v>1525</v>
      </c>
      <c r="G794" s="1" t="s">
        <v>1813</v>
      </c>
      <c r="H794" s="1" t="s">
        <v>4513</v>
      </c>
      <c r="I794" s="1" t="s">
        <v>120</v>
      </c>
      <c r="K794" s="1" t="s">
        <v>101</v>
      </c>
      <c r="L794" s="1" t="s">
        <v>3847</v>
      </c>
      <c r="M794" s="1" t="s">
        <v>3245</v>
      </c>
      <c r="N794" s="1" t="s">
        <v>3848</v>
      </c>
      <c r="O794" s="1" t="s">
        <v>3357</v>
      </c>
      <c r="P794" s="1" t="s">
        <v>4514</v>
      </c>
      <c r="Q794" s="1" t="s">
        <v>4092</v>
      </c>
      <c r="R794" s="1" t="s">
        <v>64</v>
      </c>
      <c r="S794" s="1" t="s">
        <v>78</v>
      </c>
      <c r="T794" s="1">
        <v>16199</v>
      </c>
      <c r="V794" s="1" t="s">
        <v>4515</v>
      </c>
      <c r="W794" s="1" t="s">
        <v>4516</v>
      </c>
    </row>
    <row r="795" spans="1:25" ht="15.75" customHeight="1" x14ac:dyDescent="0.35">
      <c r="A795" s="1" t="s">
        <v>112</v>
      </c>
      <c r="B795" s="1" t="s">
        <v>4517</v>
      </c>
      <c r="C795" s="1" t="s">
        <v>4295</v>
      </c>
      <c r="D795" s="1" t="s">
        <v>3315</v>
      </c>
      <c r="F795" s="1" t="s">
        <v>4518</v>
      </c>
      <c r="G795" s="1" t="s">
        <v>3940</v>
      </c>
      <c r="H795" s="1" t="s">
        <v>4519</v>
      </c>
      <c r="I795" s="1" t="s">
        <v>3653</v>
      </c>
      <c r="K795" s="1" t="s">
        <v>101</v>
      </c>
      <c r="L795" s="1" t="s">
        <v>3847</v>
      </c>
      <c r="M795" s="1" t="s">
        <v>3245</v>
      </c>
      <c r="N795" s="1" t="s">
        <v>3848</v>
      </c>
      <c r="O795" s="1" t="s">
        <v>4520</v>
      </c>
      <c r="P795" s="1" t="s">
        <v>4521</v>
      </c>
      <c r="Q795" s="1" t="s">
        <v>3276</v>
      </c>
      <c r="R795" s="1" t="s">
        <v>64</v>
      </c>
      <c r="S795" s="1" t="s">
        <v>78</v>
      </c>
      <c r="T795" s="1">
        <v>11777</v>
      </c>
      <c r="U795" s="1" t="s">
        <v>1082</v>
      </c>
      <c r="V795" s="1" t="s">
        <v>4522</v>
      </c>
      <c r="W795" s="1" t="s">
        <v>4523</v>
      </c>
    </row>
    <row r="796" spans="1:25" ht="15.75" customHeight="1" x14ac:dyDescent="0.35">
      <c r="A796" s="1" t="s">
        <v>81</v>
      </c>
      <c r="B796" s="1" t="s">
        <v>4524</v>
      </c>
      <c r="C796" s="1" t="s">
        <v>4071</v>
      </c>
      <c r="D796" s="1" t="s">
        <v>4525</v>
      </c>
      <c r="E796" s="1" t="s">
        <v>4177</v>
      </c>
      <c r="F796" s="1" t="s">
        <v>2342</v>
      </c>
      <c r="G796" s="1" t="s">
        <v>2388</v>
      </c>
      <c r="H796" s="1" t="s">
        <v>3899</v>
      </c>
      <c r="I796" s="1" t="s">
        <v>3653</v>
      </c>
      <c r="K796" s="1" t="s">
        <v>121</v>
      </c>
      <c r="L796" s="1" t="s">
        <v>3497</v>
      </c>
      <c r="M796" s="1" t="s">
        <v>4526</v>
      </c>
      <c r="O796" s="1" t="s">
        <v>4331</v>
      </c>
      <c r="P796" s="1" t="s">
        <v>3499</v>
      </c>
      <c r="Q796" s="1" t="s">
        <v>4328</v>
      </c>
      <c r="R796" s="1" t="s">
        <v>3459</v>
      </c>
      <c r="S796" s="1" t="s">
        <v>78</v>
      </c>
      <c r="T796" s="1">
        <v>19999</v>
      </c>
      <c r="U796" s="1" t="s">
        <v>1082</v>
      </c>
      <c r="V796" s="1" t="s">
        <v>4113</v>
      </c>
    </row>
    <row r="797" spans="1:25" ht="15.75" customHeight="1" x14ac:dyDescent="0.35">
      <c r="A797" s="1" t="s">
        <v>81</v>
      </c>
      <c r="B797" s="1" t="s">
        <v>4524</v>
      </c>
      <c r="C797" s="1" t="s">
        <v>4071</v>
      </c>
      <c r="D797" s="1" t="s">
        <v>3315</v>
      </c>
      <c r="F797" s="1" t="s">
        <v>512</v>
      </c>
      <c r="G797" s="1" t="s">
        <v>2388</v>
      </c>
      <c r="H797" s="1" t="s">
        <v>4253</v>
      </c>
      <c r="I797" s="1" t="s">
        <v>120</v>
      </c>
      <c r="K797" s="1" t="s">
        <v>121</v>
      </c>
      <c r="L797" s="1" t="s">
        <v>3497</v>
      </c>
      <c r="M797" s="1" t="s">
        <v>4526</v>
      </c>
      <c r="O797" s="1" t="s">
        <v>4331</v>
      </c>
      <c r="P797" s="1" t="s">
        <v>3499</v>
      </c>
      <c r="Q797" s="1" t="s">
        <v>4328</v>
      </c>
      <c r="R797" s="1" t="s">
        <v>3459</v>
      </c>
      <c r="S797" s="1" t="s">
        <v>78</v>
      </c>
      <c r="T797" s="1">
        <v>16666</v>
      </c>
      <c r="U797" s="1" t="s">
        <v>1082</v>
      </c>
      <c r="V797" s="1" t="s">
        <v>4113</v>
      </c>
    </row>
    <row r="798" spans="1:25" ht="15.75" customHeight="1" x14ac:dyDescent="0.35">
      <c r="A798" s="1" t="s">
        <v>30</v>
      </c>
      <c r="B798" s="1" t="s">
        <v>4527</v>
      </c>
      <c r="C798" s="1" t="s">
        <v>4528</v>
      </c>
      <c r="D798" s="1" t="s">
        <v>4529</v>
      </c>
      <c r="F798" s="1" t="s">
        <v>2110</v>
      </c>
      <c r="G798" s="1" t="s">
        <v>1120</v>
      </c>
      <c r="H798" s="1" t="s">
        <v>4530</v>
      </c>
      <c r="I798" s="1" t="s">
        <v>120</v>
      </c>
      <c r="L798" s="1" t="s">
        <v>4531</v>
      </c>
      <c r="M798" s="1" t="s">
        <v>4532</v>
      </c>
      <c r="N798" s="1" t="s">
        <v>373</v>
      </c>
      <c r="O798" s="1" t="s">
        <v>4533</v>
      </c>
      <c r="P798" s="1" t="s">
        <v>4534</v>
      </c>
      <c r="Q798" s="1" t="s">
        <v>4249</v>
      </c>
      <c r="R798" s="1" t="s">
        <v>64</v>
      </c>
      <c r="S798" s="1" t="s">
        <v>78</v>
      </c>
      <c r="T798" s="1">
        <v>20250</v>
      </c>
      <c r="U798" s="1" t="s">
        <v>1082</v>
      </c>
      <c r="V798" s="1" t="s">
        <v>4535</v>
      </c>
    </row>
    <row r="799" spans="1:25" ht="15.75" customHeight="1" x14ac:dyDescent="0.35">
      <c r="A799" s="1" t="s">
        <v>234</v>
      </c>
      <c r="B799" s="1" t="s">
        <v>4536</v>
      </c>
      <c r="C799" s="1" t="s">
        <v>3748</v>
      </c>
      <c r="D799" s="1" t="s">
        <v>4537</v>
      </c>
      <c r="E799" s="1" t="s">
        <v>4177</v>
      </c>
      <c r="F799" s="1" t="s">
        <v>2110</v>
      </c>
      <c r="G799" s="1" t="s">
        <v>1120</v>
      </c>
      <c r="H799" s="1" t="s">
        <v>4538</v>
      </c>
      <c r="I799" s="1" t="s">
        <v>120</v>
      </c>
      <c r="J799" s="1" t="s">
        <v>971</v>
      </c>
      <c r="K799" s="1" t="s">
        <v>555</v>
      </c>
      <c r="L799" s="1" t="s">
        <v>4539</v>
      </c>
      <c r="M799" s="1" t="s">
        <v>3561</v>
      </c>
      <c r="N799" s="1" t="s">
        <v>465</v>
      </c>
      <c r="O799" s="1" t="s">
        <v>4540</v>
      </c>
      <c r="P799" s="1" t="s">
        <v>4541</v>
      </c>
      <c r="Q799" s="1" t="s">
        <v>4542</v>
      </c>
      <c r="R799" s="1" t="s">
        <v>301</v>
      </c>
      <c r="S799" s="1" t="s">
        <v>78</v>
      </c>
      <c r="T799" s="1">
        <v>19999</v>
      </c>
      <c r="U799" s="1" t="s">
        <v>1082</v>
      </c>
      <c r="V799" s="1" t="s">
        <v>4543</v>
      </c>
      <c r="W799" s="1" t="s">
        <v>4544</v>
      </c>
    </row>
    <row r="800" spans="1:25" ht="15.75" customHeight="1" x14ac:dyDescent="0.35">
      <c r="A800" s="1" t="s">
        <v>151</v>
      </c>
      <c r="B800" s="1" t="s">
        <v>4545</v>
      </c>
      <c r="C800" s="1" t="s">
        <v>3668</v>
      </c>
      <c r="D800" s="1" t="s">
        <v>4546</v>
      </c>
      <c r="E800" s="1" t="s">
        <v>4073</v>
      </c>
      <c r="F800" s="1" t="s">
        <v>4547</v>
      </c>
      <c r="G800" s="1" t="s">
        <v>4101</v>
      </c>
      <c r="H800" s="1" t="s">
        <v>4548</v>
      </c>
      <c r="I800" s="1" t="s">
        <v>74</v>
      </c>
      <c r="K800" s="1" t="s">
        <v>121</v>
      </c>
      <c r="L800" s="1" t="s">
        <v>3284</v>
      </c>
      <c r="M800" s="1" t="s">
        <v>3977</v>
      </c>
      <c r="N800" s="1" t="s">
        <v>2876</v>
      </c>
      <c r="O800" s="1" t="s">
        <v>4549</v>
      </c>
      <c r="P800" s="1" t="s">
        <v>3345</v>
      </c>
      <c r="Q800" s="1" t="s">
        <v>1879</v>
      </c>
      <c r="S800" s="1" t="s">
        <v>78</v>
      </c>
      <c r="T800" s="1">
        <v>20999</v>
      </c>
      <c r="U800" s="1" t="s">
        <v>1082</v>
      </c>
      <c r="V800" s="1" t="s">
        <v>4550</v>
      </c>
      <c r="W800" s="1" t="s">
        <v>4551</v>
      </c>
      <c r="X800" s="1" t="s">
        <v>4552</v>
      </c>
      <c r="Y800" s="1" t="s">
        <v>1105</v>
      </c>
    </row>
    <row r="801" spans="1:26" ht="15.75" customHeight="1" x14ac:dyDescent="0.35">
      <c r="A801" s="1" t="s">
        <v>4553</v>
      </c>
      <c r="B801" s="1" t="s">
        <v>4554</v>
      </c>
      <c r="C801" s="1" t="s">
        <v>4555</v>
      </c>
      <c r="D801" s="1" t="s">
        <v>3315</v>
      </c>
      <c r="F801" s="1" t="s">
        <v>2110</v>
      </c>
      <c r="G801" s="1" t="s">
        <v>1120</v>
      </c>
      <c r="H801" s="1" t="s">
        <v>4556</v>
      </c>
      <c r="I801" s="1" t="s">
        <v>120</v>
      </c>
      <c r="K801" s="1" t="s">
        <v>90</v>
      </c>
      <c r="L801" s="1" t="s">
        <v>4557</v>
      </c>
      <c r="M801" s="1" t="s">
        <v>4558</v>
      </c>
      <c r="N801" s="1" t="s">
        <v>4559</v>
      </c>
      <c r="O801" s="1" t="s">
        <v>4560</v>
      </c>
      <c r="P801" s="1" t="s">
        <v>4561</v>
      </c>
      <c r="Q801" s="1" t="s">
        <v>4562</v>
      </c>
      <c r="R801" s="1" t="s">
        <v>301</v>
      </c>
      <c r="S801" s="1" t="s">
        <v>78</v>
      </c>
      <c r="T801" s="1">
        <v>12500</v>
      </c>
      <c r="U801" s="1" t="s">
        <v>2181</v>
      </c>
      <c r="V801" s="1" t="s">
        <v>4563</v>
      </c>
    </row>
    <row r="802" spans="1:26" ht="15.75" customHeight="1" x14ac:dyDescent="0.35">
      <c r="A802" s="1" t="s">
        <v>112</v>
      </c>
      <c r="B802" s="1" t="s">
        <v>4564</v>
      </c>
      <c r="C802" s="1" t="s">
        <v>4565</v>
      </c>
      <c r="D802" s="1" t="s">
        <v>3806</v>
      </c>
      <c r="F802" s="1" t="s">
        <v>1525</v>
      </c>
      <c r="G802" s="1" t="s">
        <v>2718</v>
      </c>
      <c r="H802" s="1" t="s">
        <v>4513</v>
      </c>
      <c r="I802" s="1" t="s">
        <v>120</v>
      </c>
      <c r="K802" s="1" t="s">
        <v>90</v>
      </c>
      <c r="L802" s="1" t="s">
        <v>3985</v>
      </c>
      <c r="M802" s="1" t="s">
        <v>3245</v>
      </c>
      <c r="N802" s="1" t="s">
        <v>3848</v>
      </c>
      <c r="O802" s="1" t="s">
        <v>4566</v>
      </c>
      <c r="P802" s="1" t="s">
        <v>4514</v>
      </c>
      <c r="Q802" s="1" t="s">
        <v>4092</v>
      </c>
      <c r="R802" s="1" t="s">
        <v>2022</v>
      </c>
      <c r="S802" s="1" t="s">
        <v>129</v>
      </c>
      <c r="T802" s="1">
        <v>21499</v>
      </c>
      <c r="V802" s="1" t="s">
        <v>4567</v>
      </c>
    </row>
    <row r="803" spans="1:26" ht="15.75" customHeight="1" x14ac:dyDescent="0.35">
      <c r="A803" s="1" t="s">
        <v>112</v>
      </c>
      <c r="B803" s="1" t="s">
        <v>4568</v>
      </c>
      <c r="C803" s="1" t="s">
        <v>4244</v>
      </c>
      <c r="D803" s="1" t="s">
        <v>4569</v>
      </c>
      <c r="F803" s="1" t="s">
        <v>4570</v>
      </c>
      <c r="G803" s="1" t="s">
        <v>2718</v>
      </c>
      <c r="H803" s="1" t="s">
        <v>4571</v>
      </c>
      <c r="I803" s="1" t="s">
        <v>120</v>
      </c>
      <c r="K803" s="1" t="s">
        <v>121</v>
      </c>
      <c r="L803" s="1" t="s">
        <v>3847</v>
      </c>
      <c r="M803" s="1" t="s">
        <v>3245</v>
      </c>
      <c r="N803" s="1" t="s">
        <v>3848</v>
      </c>
      <c r="O803" s="1" t="s">
        <v>4566</v>
      </c>
      <c r="P803" s="1" t="s">
        <v>4514</v>
      </c>
      <c r="Q803" s="1" t="s">
        <v>4092</v>
      </c>
      <c r="R803" s="1" t="s">
        <v>4572</v>
      </c>
      <c r="S803" s="1" t="s">
        <v>78</v>
      </c>
      <c r="T803" s="1">
        <v>14999</v>
      </c>
      <c r="V803" s="1" t="s">
        <v>4573</v>
      </c>
      <c r="W803" s="1" t="s">
        <v>4574</v>
      </c>
    </row>
    <row r="804" spans="1:26" ht="15.75" customHeight="1" x14ac:dyDescent="0.35">
      <c r="A804" s="1" t="s">
        <v>151</v>
      </c>
      <c r="B804" s="1" t="s">
        <v>4575</v>
      </c>
      <c r="C804" s="1" t="s">
        <v>4576</v>
      </c>
      <c r="D804" s="1" t="s">
        <v>3363</v>
      </c>
      <c r="F804" s="1" t="s">
        <v>4577</v>
      </c>
      <c r="G804" s="1" t="s">
        <v>4101</v>
      </c>
      <c r="H804" s="1" t="s">
        <v>4578</v>
      </c>
      <c r="I804" s="1" t="s">
        <v>3653</v>
      </c>
      <c r="L804" s="1" t="s">
        <v>3284</v>
      </c>
      <c r="M804" s="1" t="s">
        <v>3992</v>
      </c>
      <c r="O804" s="1" t="s">
        <v>4579</v>
      </c>
      <c r="P804" s="1" t="s">
        <v>4580</v>
      </c>
      <c r="Q804" s="1" t="s">
        <v>4581</v>
      </c>
      <c r="R804" s="1" t="s">
        <v>3428</v>
      </c>
      <c r="S804" s="1" t="s">
        <v>78</v>
      </c>
      <c r="T804" s="1">
        <v>6499</v>
      </c>
      <c r="W804" s="1" t="s">
        <v>4582</v>
      </c>
    </row>
    <row r="805" spans="1:26" ht="15.75" customHeight="1" x14ac:dyDescent="0.35">
      <c r="A805" s="1" t="s">
        <v>3729</v>
      </c>
      <c r="B805" s="1" t="s">
        <v>4368</v>
      </c>
      <c r="C805" s="1" t="s">
        <v>3945</v>
      </c>
      <c r="D805" s="1" t="s">
        <v>3541</v>
      </c>
      <c r="F805" s="1" t="s">
        <v>4583</v>
      </c>
      <c r="G805" s="1" t="s">
        <v>2388</v>
      </c>
      <c r="H805" s="1" t="s">
        <v>4584</v>
      </c>
      <c r="I805" s="1" t="s">
        <v>4585</v>
      </c>
      <c r="K805" s="1" t="s">
        <v>90</v>
      </c>
      <c r="M805" s="1" t="s">
        <v>4586</v>
      </c>
      <c r="O805" s="1" t="s">
        <v>4587</v>
      </c>
      <c r="P805" s="1" t="s">
        <v>3734</v>
      </c>
      <c r="Q805" s="1" t="s">
        <v>4588</v>
      </c>
      <c r="R805" s="1" t="s">
        <v>64</v>
      </c>
      <c r="S805" s="1" t="s">
        <v>78</v>
      </c>
      <c r="T805" s="1">
        <v>65599</v>
      </c>
      <c r="U805" s="1" t="s">
        <v>166</v>
      </c>
    </row>
    <row r="806" spans="1:26" ht="15.75" customHeight="1" x14ac:dyDescent="0.35">
      <c r="A806" s="1" t="s">
        <v>234</v>
      </c>
      <c r="B806" s="1" t="s">
        <v>4589</v>
      </c>
      <c r="C806" s="1" t="s">
        <v>4590</v>
      </c>
      <c r="D806" s="1" t="s">
        <v>4252</v>
      </c>
      <c r="E806" s="1" t="s">
        <v>4073</v>
      </c>
      <c r="F806" s="1" t="s">
        <v>628</v>
      </c>
      <c r="G806" s="1" t="s">
        <v>1604</v>
      </c>
      <c r="H806" s="1" t="s">
        <v>4591</v>
      </c>
      <c r="I806" s="1" t="s">
        <v>120</v>
      </c>
      <c r="K806" s="1" t="s">
        <v>90</v>
      </c>
      <c r="L806" s="1" t="s">
        <v>2855</v>
      </c>
      <c r="M806" s="1" t="s">
        <v>4263</v>
      </c>
      <c r="N806" s="1" t="s">
        <v>3654</v>
      </c>
      <c r="O806" s="1" t="s">
        <v>4592</v>
      </c>
      <c r="P806" s="1" t="s">
        <v>4265</v>
      </c>
      <c r="Q806" s="1" t="s">
        <v>636</v>
      </c>
      <c r="R806" s="1" t="s">
        <v>4297</v>
      </c>
      <c r="S806" s="1" t="s">
        <v>165</v>
      </c>
      <c r="T806" s="1">
        <v>16999</v>
      </c>
      <c r="U806" s="1" t="s">
        <v>1082</v>
      </c>
      <c r="V806" s="1" t="s">
        <v>4366</v>
      </c>
      <c r="W806" s="1" t="s">
        <v>4593</v>
      </c>
    </row>
    <row r="807" spans="1:26" ht="15.75" customHeight="1" x14ac:dyDescent="0.35">
      <c r="A807" s="1" t="s">
        <v>81</v>
      </c>
      <c r="B807" s="1" t="s">
        <v>3491</v>
      </c>
      <c r="C807" s="1" t="s">
        <v>4594</v>
      </c>
      <c r="D807" s="1" t="s">
        <v>4595</v>
      </c>
      <c r="F807" s="1" t="s">
        <v>3494</v>
      </c>
      <c r="G807" s="1" t="s">
        <v>2521</v>
      </c>
      <c r="H807" s="1" t="s">
        <v>4596</v>
      </c>
      <c r="I807" s="1" t="s">
        <v>120</v>
      </c>
      <c r="K807" s="1" t="s">
        <v>121</v>
      </c>
      <c r="L807" s="1" t="s">
        <v>3900</v>
      </c>
      <c r="M807" s="1" t="s">
        <v>3498</v>
      </c>
      <c r="N807" s="1" t="s">
        <v>4597</v>
      </c>
      <c r="O807" s="1" t="s">
        <v>4598</v>
      </c>
      <c r="P807" s="1" t="s">
        <v>4599</v>
      </c>
      <c r="Q807" s="1" t="s">
        <v>3500</v>
      </c>
      <c r="R807" s="1" t="s">
        <v>3459</v>
      </c>
      <c r="S807" s="1" t="s">
        <v>129</v>
      </c>
      <c r="T807" s="1">
        <v>21499</v>
      </c>
      <c r="V807" s="1" t="s">
        <v>4600</v>
      </c>
    </row>
    <row r="808" spans="1:26" ht="15.75" customHeight="1" x14ac:dyDescent="0.35">
      <c r="A808" s="1" t="s">
        <v>151</v>
      </c>
      <c r="B808" s="1" t="s">
        <v>4308</v>
      </c>
      <c r="C808" s="1" t="s">
        <v>4590</v>
      </c>
      <c r="D808" s="1" t="s">
        <v>4601</v>
      </c>
      <c r="E808" s="1" t="s">
        <v>4073</v>
      </c>
      <c r="F808" s="1" t="s">
        <v>4109</v>
      </c>
      <c r="G808" s="1" t="s">
        <v>4101</v>
      </c>
      <c r="H808" s="1" t="s">
        <v>3574</v>
      </c>
      <c r="I808" s="1" t="s">
        <v>120</v>
      </c>
      <c r="K808" s="1" t="s">
        <v>2507</v>
      </c>
      <c r="L808" s="1" t="s">
        <v>3284</v>
      </c>
      <c r="M808" s="1" t="s">
        <v>3977</v>
      </c>
      <c r="N808" s="1" t="s">
        <v>160</v>
      </c>
      <c r="O808" s="1" t="s">
        <v>4602</v>
      </c>
      <c r="P808" s="1" t="s">
        <v>3345</v>
      </c>
      <c r="Q808" s="1" t="s">
        <v>1609</v>
      </c>
      <c r="R808" s="1" t="s">
        <v>1105</v>
      </c>
      <c r="S808" s="1" t="s">
        <v>78</v>
      </c>
      <c r="T808" s="1">
        <v>19999</v>
      </c>
      <c r="U808" s="1" t="s">
        <v>1082</v>
      </c>
      <c r="V808" s="1" t="s">
        <v>4603</v>
      </c>
      <c r="W808" s="1" t="s">
        <v>4604</v>
      </c>
      <c r="Y808" s="1" t="s">
        <v>4605</v>
      </c>
    </row>
    <row r="809" spans="1:26" ht="15.75" customHeight="1" x14ac:dyDescent="0.35">
      <c r="A809" s="1" t="s">
        <v>151</v>
      </c>
      <c r="B809" s="1" t="s">
        <v>4606</v>
      </c>
      <c r="C809" s="1" t="s">
        <v>2716</v>
      </c>
      <c r="D809" s="1" t="s">
        <v>4607</v>
      </c>
      <c r="E809" s="1" t="s">
        <v>3670</v>
      </c>
      <c r="F809" s="1" t="s">
        <v>3860</v>
      </c>
      <c r="G809" s="1" t="s">
        <v>2545</v>
      </c>
      <c r="H809" s="1" t="s">
        <v>4608</v>
      </c>
      <c r="I809" s="1" t="s">
        <v>224</v>
      </c>
      <c r="J809" s="1" t="s">
        <v>39</v>
      </c>
      <c r="K809" s="1" t="s">
        <v>101</v>
      </c>
      <c r="L809" s="1" t="s">
        <v>1099</v>
      </c>
      <c r="M809" s="1" t="s">
        <v>2134</v>
      </c>
      <c r="N809" s="1" t="s">
        <v>4609</v>
      </c>
      <c r="O809" s="1" t="s">
        <v>4610</v>
      </c>
      <c r="P809" s="1" t="s">
        <v>3712</v>
      </c>
      <c r="Q809" s="1" t="s">
        <v>230</v>
      </c>
      <c r="R809" s="1" t="s">
        <v>802</v>
      </c>
      <c r="S809" s="1" t="s">
        <v>78</v>
      </c>
      <c r="T809" s="1">
        <v>46749</v>
      </c>
      <c r="U809" s="1" t="s">
        <v>1082</v>
      </c>
      <c r="V809" s="1" t="s">
        <v>2574</v>
      </c>
      <c r="W809" s="1" t="s">
        <v>4611</v>
      </c>
    </row>
    <row r="810" spans="1:26" ht="15.75" customHeight="1" x14ac:dyDescent="0.35">
      <c r="A810" s="1" t="s">
        <v>151</v>
      </c>
      <c r="B810" s="1" t="s">
        <v>4612</v>
      </c>
      <c r="C810" s="1" t="s">
        <v>4108</v>
      </c>
      <c r="D810" s="1" t="s">
        <v>3363</v>
      </c>
      <c r="F810" s="1" t="s">
        <v>3327</v>
      </c>
      <c r="G810" s="1" t="s">
        <v>829</v>
      </c>
      <c r="H810" s="1" t="s">
        <v>4613</v>
      </c>
      <c r="I810" s="1" t="s">
        <v>120</v>
      </c>
      <c r="K810" s="1" t="s">
        <v>2755</v>
      </c>
      <c r="L810" s="1" t="s">
        <v>1099</v>
      </c>
      <c r="M810" s="1" t="s">
        <v>4614</v>
      </c>
      <c r="N810" s="1" t="s">
        <v>160</v>
      </c>
      <c r="O810" s="1" t="s">
        <v>4615</v>
      </c>
      <c r="P810" s="1" t="s">
        <v>4616</v>
      </c>
      <c r="Q810" s="1" t="s">
        <v>4389</v>
      </c>
      <c r="R810" s="1" t="s">
        <v>4617</v>
      </c>
      <c r="S810" s="1" t="s">
        <v>78</v>
      </c>
      <c r="T810" s="1">
        <v>19999</v>
      </c>
      <c r="V810" s="1" t="s">
        <v>4044</v>
      </c>
      <c r="W810" s="1" t="s">
        <v>4618</v>
      </c>
    </row>
    <row r="811" spans="1:26" ht="15.75" customHeight="1" x14ac:dyDescent="0.35">
      <c r="A811" s="1" t="s">
        <v>151</v>
      </c>
      <c r="B811" s="1" t="s">
        <v>4107</v>
      </c>
      <c r="C811" s="1" t="s">
        <v>4446</v>
      </c>
      <c r="D811" s="1" t="s">
        <v>3363</v>
      </c>
      <c r="F811" s="1" t="s">
        <v>4109</v>
      </c>
      <c r="G811" s="1" t="s">
        <v>829</v>
      </c>
      <c r="H811" s="1" t="s">
        <v>3574</v>
      </c>
      <c r="I811" s="1" t="s">
        <v>120</v>
      </c>
      <c r="K811" s="1" t="s">
        <v>2755</v>
      </c>
      <c r="L811" s="1" t="s">
        <v>3284</v>
      </c>
      <c r="M811" s="1" t="s">
        <v>3977</v>
      </c>
      <c r="N811" s="1" t="s">
        <v>160</v>
      </c>
      <c r="O811" s="1" t="s">
        <v>4602</v>
      </c>
      <c r="P811" s="1" t="s">
        <v>3345</v>
      </c>
      <c r="Q811" s="1" t="s">
        <v>1609</v>
      </c>
      <c r="R811" s="1" t="s">
        <v>3705</v>
      </c>
      <c r="S811" s="1" t="s">
        <v>78</v>
      </c>
      <c r="T811" s="1">
        <v>17999</v>
      </c>
      <c r="V811" s="1" t="s">
        <v>4619</v>
      </c>
      <c r="W811" s="1" t="s">
        <v>4620</v>
      </c>
    </row>
    <row r="812" spans="1:26" ht="15.75" customHeight="1" x14ac:dyDescent="0.35">
      <c r="A812" s="1" t="s">
        <v>151</v>
      </c>
      <c r="B812" s="1" t="s">
        <v>4107</v>
      </c>
      <c r="C812" s="1" t="s">
        <v>4446</v>
      </c>
      <c r="D812" s="1" t="s">
        <v>3363</v>
      </c>
      <c r="F812" s="1" t="s">
        <v>4109</v>
      </c>
      <c r="G812" s="1" t="s">
        <v>829</v>
      </c>
      <c r="H812" s="1" t="s">
        <v>3574</v>
      </c>
      <c r="I812" s="1" t="s">
        <v>120</v>
      </c>
      <c r="K812" s="1" t="s">
        <v>2507</v>
      </c>
      <c r="L812" s="1" t="s">
        <v>3284</v>
      </c>
      <c r="M812" s="1" t="s">
        <v>3977</v>
      </c>
      <c r="N812" s="1" t="s">
        <v>160</v>
      </c>
      <c r="O812" s="1" t="s">
        <v>4602</v>
      </c>
      <c r="P812" s="1" t="s">
        <v>3345</v>
      </c>
      <c r="Q812" s="1" t="s">
        <v>1609</v>
      </c>
      <c r="R812" s="1" t="s">
        <v>3705</v>
      </c>
      <c r="S812" s="1" t="s">
        <v>78</v>
      </c>
      <c r="T812" s="1">
        <v>19349</v>
      </c>
      <c r="V812" s="1" t="s">
        <v>4619</v>
      </c>
      <c r="W812" s="1" t="s">
        <v>4621</v>
      </c>
      <c r="Y812" s="1" t="s">
        <v>1105</v>
      </c>
    </row>
    <row r="813" spans="1:26" ht="15.75" customHeight="1" x14ac:dyDescent="0.35">
      <c r="A813" s="1" t="s">
        <v>151</v>
      </c>
      <c r="B813" s="1" t="s">
        <v>4308</v>
      </c>
      <c r="C813" s="1" t="s">
        <v>4295</v>
      </c>
      <c r="D813" s="1" t="s">
        <v>3315</v>
      </c>
      <c r="F813" s="1" t="s">
        <v>4012</v>
      </c>
      <c r="G813" s="1" t="s">
        <v>4101</v>
      </c>
      <c r="H813" s="1" t="s">
        <v>3574</v>
      </c>
      <c r="I813" s="1" t="s">
        <v>120</v>
      </c>
      <c r="K813" s="1" t="s">
        <v>2755</v>
      </c>
      <c r="L813" s="1" t="s">
        <v>3284</v>
      </c>
      <c r="M813" s="1" t="s">
        <v>3977</v>
      </c>
      <c r="N813" s="1" t="s">
        <v>160</v>
      </c>
      <c r="O813" s="1" t="s">
        <v>4602</v>
      </c>
      <c r="P813" s="1" t="s">
        <v>3345</v>
      </c>
      <c r="Q813" s="1" t="s">
        <v>1609</v>
      </c>
      <c r="S813" s="1" t="s">
        <v>78</v>
      </c>
      <c r="T813" s="1">
        <v>14500</v>
      </c>
      <c r="U813" s="1" t="s">
        <v>1082</v>
      </c>
      <c r="V813" s="1" t="s">
        <v>4622</v>
      </c>
      <c r="W813" s="1" t="s">
        <v>4623</v>
      </c>
      <c r="Y813" s="1" t="s">
        <v>3705</v>
      </c>
      <c r="Z813" s="1" t="s">
        <v>837</v>
      </c>
    </row>
    <row r="814" spans="1:26" ht="15.75" customHeight="1" x14ac:dyDescent="0.35">
      <c r="A814" s="1" t="s">
        <v>81</v>
      </c>
      <c r="B814" s="1" t="s">
        <v>3491</v>
      </c>
      <c r="C814" s="1" t="s">
        <v>4624</v>
      </c>
      <c r="D814" s="1" t="s">
        <v>3363</v>
      </c>
      <c r="F814" s="1" t="s">
        <v>4625</v>
      </c>
      <c r="G814" s="1" t="s">
        <v>4626</v>
      </c>
      <c r="H814" s="1" t="s">
        <v>4627</v>
      </c>
      <c r="I814" s="1" t="s">
        <v>3653</v>
      </c>
      <c r="K814" s="1" t="s">
        <v>2507</v>
      </c>
      <c r="L814" s="1" t="s">
        <v>3900</v>
      </c>
      <c r="M814" s="1" t="s">
        <v>3498</v>
      </c>
      <c r="N814" s="1" t="s">
        <v>2468</v>
      </c>
      <c r="O814" s="1" t="s">
        <v>4598</v>
      </c>
      <c r="P814" s="1" t="s">
        <v>4599</v>
      </c>
      <c r="Q814" s="1" t="s">
        <v>3500</v>
      </c>
      <c r="R814" s="1" t="s">
        <v>3459</v>
      </c>
      <c r="S814" s="1" t="s">
        <v>78</v>
      </c>
      <c r="T814" s="1">
        <v>8999</v>
      </c>
      <c r="V814" s="1" t="s">
        <v>4628</v>
      </c>
    </row>
    <row r="815" spans="1:26" ht="15.75" customHeight="1" x14ac:dyDescent="0.35">
      <c r="A815" s="1" t="s">
        <v>112</v>
      </c>
      <c r="B815" s="1" t="s">
        <v>4629</v>
      </c>
      <c r="C815" s="1" t="s">
        <v>3516</v>
      </c>
      <c r="D815" s="1" t="s">
        <v>3522</v>
      </c>
      <c r="F815" s="1" t="s">
        <v>1429</v>
      </c>
      <c r="G815" s="1" t="s">
        <v>2718</v>
      </c>
      <c r="H815" s="1" t="s">
        <v>4630</v>
      </c>
      <c r="I815" s="1" t="s">
        <v>3653</v>
      </c>
      <c r="K815" s="1" t="s">
        <v>2507</v>
      </c>
      <c r="L815" s="1" t="s">
        <v>3847</v>
      </c>
      <c r="M815" s="1" t="s">
        <v>3245</v>
      </c>
      <c r="N815" s="1" t="s">
        <v>3356</v>
      </c>
      <c r="O815" s="1" t="s">
        <v>4566</v>
      </c>
      <c r="P815" s="1" t="s">
        <v>4514</v>
      </c>
      <c r="Q815" s="1" t="s">
        <v>4092</v>
      </c>
      <c r="R815" s="1" t="s">
        <v>64</v>
      </c>
      <c r="S815" s="1" t="s">
        <v>78</v>
      </c>
      <c r="T815" s="1">
        <v>18400</v>
      </c>
      <c r="U815" s="1" t="s">
        <v>166</v>
      </c>
      <c r="V815" s="1" t="s">
        <v>4152</v>
      </c>
    </row>
    <row r="816" spans="1:26" ht="15.75" customHeight="1" x14ac:dyDescent="0.35">
      <c r="A816" s="1" t="s">
        <v>112</v>
      </c>
      <c r="B816" s="1" t="s">
        <v>4631</v>
      </c>
      <c r="C816" s="1" t="s">
        <v>4071</v>
      </c>
      <c r="D816" s="1" t="s">
        <v>4340</v>
      </c>
      <c r="E816" s="1" t="s">
        <v>4073</v>
      </c>
      <c r="F816" s="1" t="s">
        <v>4060</v>
      </c>
      <c r="G816" s="1" t="s">
        <v>2718</v>
      </c>
      <c r="H816" s="1" t="s">
        <v>4632</v>
      </c>
      <c r="I816" s="1" t="s">
        <v>3653</v>
      </c>
      <c r="K816" s="1" t="s">
        <v>2507</v>
      </c>
      <c r="L816" s="1" t="s">
        <v>3847</v>
      </c>
      <c r="M816" s="1" t="s">
        <v>3245</v>
      </c>
      <c r="N816" s="1" t="s">
        <v>3848</v>
      </c>
      <c r="O816" s="1" t="s">
        <v>3849</v>
      </c>
      <c r="P816" s="1" t="s">
        <v>4521</v>
      </c>
      <c r="Q816" s="1" t="s">
        <v>3276</v>
      </c>
      <c r="R816" s="1" t="s">
        <v>64</v>
      </c>
      <c r="S816" s="1" t="s">
        <v>78</v>
      </c>
      <c r="T816" s="1">
        <v>20400</v>
      </c>
      <c r="U816" s="1" t="s">
        <v>1082</v>
      </c>
      <c r="V816" s="1" t="s">
        <v>4184</v>
      </c>
      <c r="W816" s="1" t="s">
        <v>4633</v>
      </c>
    </row>
    <row r="817" spans="1:26" ht="15.75" customHeight="1" x14ac:dyDescent="0.35">
      <c r="A817" s="1" t="s">
        <v>112</v>
      </c>
      <c r="B817" s="1" t="s">
        <v>4634</v>
      </c>
      <c r="C817" s="1" t="s">
        <v>4446</v>
      </c>
      <c r="D817" s="1" t="s">
        <v>3363</v>
      </c>
      <c r="F817" s="1" t="s">
        <v>1525</v>
      </c>
      <c r="G817" s="1" t="s">
        <v>2718</v>
      </c>
      <c r="H817" s="1" t="s">
        <v>4635</v>
      </c>
      <c r="I817" s="1" t="s">
        <v>120</v>
      </c>
      <c r="K817" s="1" t="s">
        <v>1722</v>
      </c>
      <c r="L817" s="1" t="s">
        <v>4636</v>
      </c>
      <c r="M817" s="1" t="s">
        <v>3245</v>
      </c>
      <c r="N817" s="1" t="s">
        <v>3848</v>
      </c>
      <c r="O817" s="1" t="s">
        <v>4566</v>
      </c>
      <c r="P817" s="1" t="s">
        <v>4514</v>
      </c>
      <c r="Q817" s="1" t="s">
        <v>4092</v>
      </c>
      <c r="R817" s="1" t="s">
        <v>767</v>
      </c>
      <c r="S817" s="1" t="s">
        <v>78</v>
      </c>
      <c r="T817" s="1">
        <v>15499</v>
      </c>
      <c r="V817" s="1" t="s">
        <v>4447</v>
      </c>
      <c r="W817" s="1" t="s">
        <v>4637</v>
      </c>
      <c r="X817" s="1" t="s">
        <v>4638</v>
      </c>
    </row>
    <row r="818" spans="1:26" ht="15.75" customHeight="1" x14ac:dyDescent="0.35">
      <c r="A818" s="1" t="s">
        <v>112</v>
      </c>
      <c r="B818" s="1" t="s">
        <v>4639</v>
      </c>
      <c r="C818" s="1" t="s">
        <v>3739</v>
      </c>
      <c r="D818" s="1" t="s">
        <v>3315</v>
      </c>
      <c r="F818" s="1" t="s">
        <v>3939</v>
      </c>
      <c r="G818" s="1" t="s">
        <v>2718</v>
      </c>
      <c r="H818" s="1" t="s">
        <v>4640</v>
      </c>
      <c r="I818" s="1" t="s">
        <v>3653</v>
      </c>
      <c r="K818" s="1" t="s">
        <v>2507</v>
      </c>
      <c r="L818" s="1" t="s">
        <v>3847</v>
      </c>
      <c r="M818" s="1" t="s">
        <v>3245</v>
      </c>
      <c r="N818" s="1" t="s">
        <v>3356</v>
      </c>
      <c r="O818" s="1" t="s">
        <v>4566</v>
      </c>
      <c r="P818" s="1" t="s">
        <v>4514</v>
      </c>
      <c r="Q818" s="1" t="s">
        <v>4092</v>
      </c>
      <c r="S818" s="1" t="s">
        <v>78</v>
      </c>
      <c r="T818" s="1">
        <v>12499</v>
      </c>
      <c r="U818" s="1" t="s">
        <v>166</v>
      </c>
      <c r="V818" s="1" t="s">
        <v>4641</v>
      </c>
      <c r="W818" s="1" t="s">
        <v>4642</v>
      </c>
      <c r="X818" s="1" t="s">
        <v>4638</v>
      </c>
    </row>
    <row r="819" spans="1:26" ht="15.75" customHeight="1" x14ac:dyDescent="0.35">
      <c r="A819" s="1" t="s">
        <v>234</v>
      </c>
      <c r="B819" s="1" t="s">
        <v>4643</v>
      </c>
      <c r="C819" s="1" t="s">
        <v>4295</v>
      </c>
      <c r="D819" s="1" t="s">
        <v>3306</v>
      </c>
      <c r="F819" s="1" t="s">
        <v>4644</v>
      </c>
      <c r="G819" s="1" t="s">
        <v>3799</v>
      </c>
      <c r="H819" s="1" t="s">
        <v>4645</v>
      </c>
      <c r="I819" s="1" t="s">
        <v>120</v>
      </c>
      <c r="K819" s="1" t="s">
        <v>555</v>
      </c>
      <c r="L819" s="1" t="s">
        <v>4646</v>
      </c>
      <c r="M819" s="1" t="s">
        <v>4263</v>
      </c>
      <c r="N819" s="1" t="s">
        <v>3654</v>
      </c>
      <c r="O819" s="1" t="s">
        <v>4647</v>
      </c>
      <c r="P819" s="1" t="s">
        <v>4648</v>
      </c>
      <c r="Q819" s="1" t="s">
        <v>4649</v>
      </c>
      <c r="R819" s="1" t="s">
        <v>3772</v>
      </c>
      <c r="S819" s="1" t="s">
        <v>339</v>
      </c>
      <c r="T819" s="1">
        <v>12000</v>
      </c>
      <c r="U819" s="1" t="s">
        <v>1082</v>
      </c>
      <c r="V819" s="1" t="s">
        <v>4298</v>
      </c>
      <c r="W819" s="1" t="s">
        <v>4650</v>
      </c>
      <c r="X819" s="1" t="s">
        <v>4651</v>
      </c>
    </row>
    <row r="820" spans="1:26" ht="15.75" customHeight="1" x14ac:dyDescent="0.35">
      <c r="A820" s="1" t="s">
        <v>234</v>
      </c>
      <c r="B820" s="1" t="s">
        <v>4652</v>
      </c>
      <c r="C820" s="1" t="s">
        <v>3748</v>
      </c>
      <c r="D820" s="1" t="s">
        <v>4186</v>
      </c>
      <c r="E820" s="1" t="s">
        <v>4073</v>
      </c>
      <c r="F820" s="1" t="s">
        <v>1603</v>
      </c>
      <c r="G820" s="1" t="s">
        <v>1604</v>
      </c>
      <c r="H820" s="1" t="s">
        <v>4653</v>
      </c>
      <c r="I820" s="1" t="s">
        <v>120</v>
      </c>
      <c r="K820" s="1" t="s">
        <v>555</v>
      </c>
      <c r="L820" s="1" t="s">
        <v>4215</v>
      </c>
      <c r="M820" s="1" t="s">
        <v>632</v>
      </c>
      <c r="N820" s="1" t="s">
        <v>465</v>
      </c>
      <c r="O820" s="1" t="s">
        <v>4352</v>
      </c>
      <c r="P820" s="1" t="s">
        <v>4353</v>
      </c>
      <c r="Q820" s="1" t="s">
        <v>4207</v>
      </c>
      <c r="R820" s="1" t="s">
        <v>4654</v>
      </c>
      <c r="S820" s="1" t="s">
        <v>339</v>
      </c>
      <c r="T820" s="1">
        <v>27930</v>
      </c>
      <c r="U820" s="1" t="s">
        <v>1082</v>
      </c>
      <c r="V820" s="1" t="s">
        <v>4219</v>
      </c>
      <c r="W820" s="1" t="s">
        <v>4655</v>
      </c>
      <c r="X820" s="1" t="s">
        <v>4656</v>
      </c>
    </row>
    <row r="821" spans="1:26" ht="15.75" customHeight="1" x14ac:dyDescent="0.35">
      <c r="A821" s="1" t="s">
        <v>4381</v>
      </c>
      <c r="B821" s="1" t="s">
        <v>4657</v>
      </c>
      <c r="C821" s="1" t="s">
        <v>4071</v>
      </c>
      <c r="D821" s="1" t="s">
        <v>3522</v>
      </c>
      <c r="F821" s="1" t="s">
        <v>2110</v>
      </c>
      <c r="G821" s="1" t="s">
        <v>4383</v>
      </c>
      <c r="H821" s="1" t="s">
        <v>4658</v>
      </c>
      <c r="I821" s="1" t="s">
        <v>120</v>
      </c>
      <c r="K821" s="1" t="s">
        <v>2507</v>
      </c>
      <c r="L821" s="1" t="s">
        <v>354</v>
      </c>
      <c r="M821" s="1" t="s">
        <v>4659</v>
      </c>
      <c r="N821" s="1" t="s">
        <v>465</v>
      </c>
      <c r="O821" s="1" t="s">
        <v>4660</v>
      </c>
      <c r="P821" s="1" t="s">
        <v>4661</v>
      </c>
      <c r="Q821" s="1" t="s">
        <v>3928</v>
      </c>
      <c r="R821" s="1" t="s">
        <v>4662</v>
      </c>
      <c r="S821" s="1" t="s">
        <v>78</v>
      </c>
      <c r="T821" s="1">
        <v>17499</v>
      </c>
      <c r="U821" s="1" t="s">
        <v>1082</v>
      </c>
      <c r="V821" s="1" t="s">
        <v>4663</v>
      </c>
      <c r="Z821" s="1" t="s">
        <v>4391</v>
      </c>
    </row>
    <row r="822" spans="1:26" ht="15.75" customHeight="1" x14ac:dyDescent="0.35">
      <c r="A822" s="1" t="s">
        <v>81</v>
      </c>
      <c r="B822" s="1" t="s">
        <v>4664</v>
      </c>
      <c r="C822" s="1" t="s">
        <v>4665</v>
      </c>
      <c r="D822" s="1" t="s">
        <v>4607</v>
      </c>
      <c r="E822" s="1" t="s">
        <v>3670</v>
      </c>
      <c r="F822" s="1" t="s">
        <v>4666</v>
      </c>
      <c r="G822" s="1" t="s">
        <v>4667</v>
      </c>
      <c r="H822" s="1" t="s">
        <v>4668</v>
      </c>
      <c r="I822" s="1" t="s">
        <v>89</v>
      </c>
      <c r="K822" s="1" t="s">
        <v>555</v>
      </c>
      <c r="N822" s="1" t="s">
        <v>2468</v>
      </c>
      <c r="O822" s="1" t="s">
        <v>4669</v>
      </c>
      <c r="P822" s="1" t="s">
        <v>4670</v>
      </c>
      <c r="Q822" s="1" t="s">
        <v>4562</v>
      </c>
      <c r="R822" s="1" t="s">
        <v>985</v>
      </c>
      <c r="S822" s="1" t="s">
        <v>129</v>
      </c>
      <c r="T822" s="1">
        <v>35599</v>
      </c>
      <c r="U822" s="1" t="s">
        <v>1082</v>
      </c>
      <c r="V822" s="1" t="s">
        <v>4671</v>
      </c>
    </row>
    <row r="823" spans="1:26" ht="15.75" customHeight="1" x14ac:dyDescent="0.35">
      <c r="B823" s="1" t="s">
        <v>4672</v>
      </c>
      <c r="C823" s="1" t="s">
        <v>3325</v>
      </c>
      <c r="D823" s="1" t="s">
        <v>3363</v>
      </c>
      <c r="F823" s="1" t="s">
        <v>4673</v>
      </c>
      <c r="G823" s="1" t="s">
        <v>1604</v>
      </c>
      <c r="H823" s="1" t="s">
        <v>4674</v>
      </c>
      <c r="I823" s="1" t="s">
        <v>120</v>
      </c>
      <c r="K823" s="1" t="s">
        <v>555</v>
      </c>
      <c r="L823" s="1" t="s">
        <v>4675</v>
      </c>
      <c r="M823" s="1" t="s">
        <v>4263</v>
      </c>
      <c r="N823" s="1" t="s">
        <v>3654</v>
      </c>
      <c r="O823" s="1" t="s">
        <v>4676</v>
      </c>
      <c r="P823" s="1" t="s">
        <v>4677</v>
      </c>
      <c r="Q823" s="1" t="s">
        <v>4678</v>
      </c>
      <c r="R823" s="1" t="s">
        <v>4297</v>
      </c>
      <c r="S823" s="1" t="s">
        <v>165</v>
      </c>
      <c r="T823" s="1">
        <v>15499</v>
      </c>
      <c r="V823" s="1" t="s">
        <v>4679</v>
      </c>
      <c r="W823" s="1" t="s">
        <v>4680</v>
      </c>
    </row>
    <row r="824" spans="1:26" ht="15.75" customHeight="1" x14ac:dyDescent="0.35">
      <c r="B824" s="1" t="s">
        <v>4681</v>
      </c>
      <c r="C824" s="1" t="s">
        <v>4682</v>
      </c>
      <c r="D824" s="1" t="s">
        <v>3315</v>
      </c>
      <c r="F824" s="1" t="s">
        <v>4334</v>
      </c>
      <c r="G824" s="1" t="s">
        <v>4683</v>
      </c>
      <c r="H824" s="1" t="s">
        <v>4684</v>
      </c>
      <c r="I824" s="1" t="s">
        <v>120</v>
      </c>
      <c r="K824" s="1" t="s">
        <v>90</v>
      </c>
      <c r="L824" s="1" t="s">
        <v>4685</v>
      </c>
      <c r="M824" s="1" t="s">
        <v>4263</v>
      </c>
      <c r="N824" s="1" t="s">
        <v>465</v>
      </c>
      <c r="O824" s="1" t="s">
        <v>4647</v>
      </c>
      <c r="P824" s="1" t="s">
        <v>4677</v>
      </c>
      <c r="Q824" s="1" t="s">
        <v>636</v>
      </c>
      <c r="R824" s="1" t="s">
        <v>4297</v>
      </c>
      <c r="S824" s="1" t="s">
        <v>339</v>
      </c>
      <c r="T824" s="1">
        <v>10500</v>
      </c>
      <c r="U824" s="1" t="s">
        <v>2181</v>
      </c>
      <c r="V824" s="1" t="s">
        <v>4686</v>
      </c>
      <c r="W824" s="1" t="s">
        <v>4687</v>
      </c>
    </row>
    <row r="825" spans="1:26" ht="15.75" customHeight="1" x14ac:dyDescent="0.35">
      <c r="A825" s="1" t="s">
        <v>151</v>
      </c>
      <c r="B825" s="1" t="s">
        <v>3988</v>
      </c>
      <c r="C825" s="1" t="s">
        <v>4688</v>
      </c>
      <c r="D825" s="1" t="s">
        <v>4689</v>
      </c>
      <c r="F825" s="1" t="s">
        <v>4690</v>
      </c>
      <c r="G825" s="1" t="s">
        <v>4101</v>
      </c>
      <c r="H825" s="1" t="s">
        <v>3703</v>
      </c>
      <c r="I825" s="1" t="s">
        <v>3653</v>
      </c>
      <c r="K825" s="1" t="s">
        <v>2507</v>
      </c>
      <c r="L825" s="1" t="s">
        <v>3284</v>
      </c>
      <c r="M825" s="1" t="s">
        <v>3992</v>
      </c>
      <c r="N825" s="1" t="s">
        <v>3993</v>
      </c>
      <c r="O825" s="1" t="s">
        <v>4691</v>
      </c>
      <c r="P825" s="1" t="s">
        <v>3995</v>
      </c>
      <c r="Q825" s="1" t="s">
        <v>976</v>
      </c>
      <c r="R825" s="1" t="s">
        <v>4692</v>
      </c>
      <c r="S825" s="1" t="s">
        <v>78</v>
      </c>
      <c r="T825" s="1">
        <v>13499</v>
      </c>
      <c r="V825" s="1" t="s">
        <v>4693</v>
      </c>
      <c r="W825" s="1" t="s">
        <v>4694</v>
      </c>
      <c r="X825" s="1" t="s">
        <v>4552</v>
      </c>
      <c r="Y825" s="1" t="s">
        <v>301</v>
      </c>
      <c r="Z825" s="1" t="s">
        <v>837</v>
      </c>
    </row>
    <row r="826" spans="1:26" ht="15.75" customHeight="1" x14ac:dyDescent="0.35">
      <c r="A826" s="1" t="s">
        <v>112</v>
      </c>
      <c r="B826" s="1" t="s">
        <v>4695</v>
      </c>
      <c r="C826" s="1" t="s">
        <v>4450</v>
      </c>
      <c r="D826" s="1" t="s">
        <v>3315</v>
      </c>
      <c r="F826" s="1" t="s">
        <v>4696</v>
      </c>
      <c r="G826" s="1" t="s">
        <v>3845</v>
      </c>
      <c r="H826" s="1" t="s">
        <v>4697</v>
      </c>
      <c r="I826" s="1" t="s">
        <v>3653</v>
      </c>
      <c r="K826" s="1" t="s">
        <v>4698</v>
      </c>
      <c r="L826" s="1" t="s">
        <v>4699</v>
      </c>
      <c r="M826" s="1" t="s">
        <v>4700</v>
      </c>
      <c r="N826" s="1" t="s">
        <v>4701</v>
      </c>
      <c r="O826" s="1" t="s">
        <v>4702</v>
      </c>
      <c r="P826" s="1" t="s">
        <v>4703</v>
      </c>
      <c r="Q826" s="1" t="s">
        <v>4704</v>
      </c>
      <c r="R826" s="1" t="s">
        <v>64</v>
      </c>
      <c r="S826" s="1" t="s">
        <v>78</v>
      </c>
      <c r="T826" s="1">
        <v>10999</v>
      </c>
      <c r="U826" s="1" t="s">
        <v>2181</v>
      </c>
      <c r="V826" s="1" t="s">
        <v>4705</v>
      </c>
      <c r="W826" s="1" t="s">
        <v>4706</v>
      </c>
    </row>
    <row r="827" spans="1:26" ht="15.75" customHeight="1" x14ac:dyDescent="0.35">
      <c r="A827" s="1" t="s">
        <v>112</v>
      </c>
      <c r="B827" s="1" t="s">
        <v>4707</v>
      </c>
      <c r="C827" s="1" t="s">
        <v>4708</v>
      </c>
      <c r="D827" s="1" t="s">
        <v>3315</v>
      </c>
      <c r="F827" s="1" t="s">
        <v>4060</v>
      </c>
      <c r="G827" s="1" t="s">
        <v>3940</v>
      </c>
      <c r="H827" s="1" t="s">
        <v>3353</v>
      </c>
      <c r="I827" s="1" t="s">
        <v>120</v>
      </c>
      <c r="K827" s="1" t="s">
        <v>1722</v>
      </c>
      <c r="L827" s="1" t="s">
        <v>1317</v>
      </c>
      <c r="M827" s="1" t="s">
        <v>3245</v>
      </c>
      <c r="N827" s="1" t="s">
        <v>3848</v>
      </c>
      <c r="O827" s="1" t="s">
        <v>3849</v>
      </c>
      <c r="P827" s="1" t="s">
        <v>4521</v>
      </c>
      <c r="Q827" s="1" t="s">
        <v>3276</v>
      </c>
      <c r="R827" s="1" t="s">
        <v>985</v>
      </c>
      <c r="S827" s="1" t="s">
        <v>78</v>
      </c>
      <c r="T827" s="1">
        <v>11999</v>
      </c>
      <c r="U827" s="1" t="s">
        <v>1082</v>
      </c>
      <c r="V827" s="1" t="s">
        <v>4522</v>
      </c>
      <c r="W827" s="1" t="s">
        <v>4709</v>
      </c>
      <c r="X827" s="1" t="s">
        <v>4638</v>
      </c>
    </row>
    <row r="828" spans="1:26" ht="15.75" customHeight="1" x14ac:dyDescent="0.35">
      <c r="A828" s="1" t="s">
        <v>112</v>
      </c>
      <c r="B828" s="1" t="s">
        <v>4710</v>
      </c>
      <c r="C828" s="1" t="s">
        <v>4590</v>
      </c>
      <c r="D828" s="1" t="s">
        <v>3315</v>
      </c>
      <c r="F828" s="1" t="s">
        <v>1429</v>
      </c>
      <c r="G828" s="1" t="s">
        <v>2718</v>
      </c>
      <c r="H828" s="1" t="s">
        <v>4711</v>
      </c>
      <c r="I828" s="1" t="s">
        <v>3653</v>
      </c>
      <c r="K828" s="1" t="s">
        <v>2507</v>
      </c>
      <c r="L828" s="1" t="s">
        <v>1317</v>
      </c>
      <c r="M828" s="1" t="s">
        <v>3245</v>
      </c>
      <c r="N828" s="1" t="s">
        <v>3848</v>
      </c>
      <c r="O828" s="1" t="s">
        <v>3849</v>
      </c>
      <c r="P828" s="1" t="s">
        <v>4521</v>
      </c>
      <c r="Q828" s="1" t="s">
        <v>3713</v>
      </c>
      <c r="S828" s="1" t="s">
        <v>129</v>
      </c>
      <c r="T828" s="1">
        <v>12199</v>
      </c>
      <c r="U828" s="1" t="s">
        <v>1082</v>
      </c>
      <c r="V828" s="2" t="s">
        <v>4712</v>
      </c>
      <c r="W828" s="1" t="s">
        <v>4713</v>
      </c>
    </row>
    <row r="829" spans="1:26" ht="15.75" customHeight="1" x14ac:dyDescent="0.35">
      <c r="A829" s="1" t="s">
        <v>4714</v>
      </c>
      <c r="B829" s="1" t="s">
        <v>4715</v>
      </c>
      <c r="C829" s="1" t="s">
        <v>4716</v>
      </c>
      <c r="D829" s="1" t="s">
        <v>4717</v>
      </c>
      <c r="F829" s="1" t="s">
        <v>4718</v>
      </c>
      <c r="G829" s="1" t="s">
        <v>1120</v>
      </c>
      <c r="H829" s="1" t="s">
        <v>4719</v>
      </c>
      <c r="I829" s="1" t="s">
        <v>120</v>
      </c>
      <c r="K829" s="1" t="s">
        <v>101</v>
      </c>
      <c r="L829" s="1" t="s">
        <v>1317</v>
      </c>
      <c r="M829" s="1" t="s">
        <v>4720</v>
      </c>
      <c r="N829" s="1" t="s">
        <v>4721</v>
      </c>
      <c r="O829" s="1" t="s">
        <v>4722</v>
      </c>
      <c r="P829" s="1" t="s">
        <v>4723</v>
      </c>
      <c r="Q829" s="1" t="s">
        <v>4054</v>
      </c>
      <c r="S829" s="1" t="s">
        <v>78</v>
      </c>
      <c r="T829" s="1">
        <v>23777</v>
      </c>
      <c r="U829" s="1" t="s">
        <v>2181</v>
      </c>
      <c r="V829" s="1" t="s">
        <v>4563</v>
      </c>
    </row>
    <row r="830" spans="1:26" ht="15.75" customHeight="1" x14ac:dyDescent="0.35">
      <c r="A830" s="1" t="s">
        <v>4714</v>
      </c>
      <c r="B830" s="1" t="s">
        <v>4724</v>
      </c>
      <c r="C830" s="1" t="s">
        <v>3897</v>
      </c>
      <c r="D830" s="1" t="s">
        <v>3315</v>
      </c>
      <c r="F830" s="1" t="s">
        <v>4725</v>
      </c>
      <c r="G830" s="1" t="s">
        <v>2388</v>
      </c>
      <c r="H830" s="1" t="s">
        <v>4726</v>
      </c>
      <c r="I830" s="1" t="s">
        <v>3653</v>
      </c>
      <c r="K830" s="1" t="s">
        <v>101</v>
      </c>
      <c r="L830" s="1" t="s">
        <v>1317</v>
      </c>
      <c r="M830" s="1" t="s">
        <v>4720</v>
      </c>
      <c r="N830" s="1" t="s">
        <v>4721</v>
      </c>
      <c r="O830" s="1" t="s">
        <v>4722</v>
      </c>
      <c r="P830" s="1" t="s">
        <v>4723</v>
      </c>
      <c r="Q830" s="1" t="s">
        <v>4054</v>
      </c>
      <c r="S830" s="1" t="s">
        <v>78</v>
      </c>
      <c r="T830" s="1">
        <v>14999</v>
      </c>
      <c r="U830" s="1" t="s">
        <v>2181</v>
      </c>
      <c r="V830" s="1" t="s">
        <v>4068</v>
      </c>
    </row>
    <row r="831" spans="1:26" ht="15.75" customHeight="1" x14ac:dyDescent="0.35">
      <c r="A831" s="1" t="s">
        <v>112</v>
      </c>
      <c r="B831" s="1" t="s">
        <v>4727</v>
      </c>
      <c r="C831" s="1" t="s">
        <v>3668</v>
      </c>
      <c r="D831" s="1" t="s">
        <v>4212</v>
      </c>
      <c r="E831" s="1" t="s">
        <v>4073</v>
      </c>
      <c r="F831" s="1" t="s">
        <v>4060</v>
      </c>
      <c r="G831" s="1" t="s">
        <v>2718</v>
      </c>
      <c r="H831" s="1" t="s">
        <v>4728</v>
      </c>
      <c r="I831" s="1" t="s">
        <v>3653</v>
      </c>
      <c r="K831" s="1" t="s">
        <v>101</v>
      </c>
      <c r="L831" s="1" t="s">
        <v>1317</v>
      </c>
      <c r="M831" s="1" t="s">
        <v>3245</v>
      </c>
      <c r="N831" s="1" t="s">
        <v>3848</v>
      </c>
      <c r="O831" s="1" t="s">
        <v>3849</v>
      </c>
      <c r="P831" s="1" t="s">
        <v>4521</v>
      </c>
      <c r="Q831" s="1" t="s">
        <v>3276</v>
      </c>
      <c r="R831" s="1" t="s">
        <v>64</v>
      </c>
      <c r="S831" s="1" t="s">
        <v>78</v>
      </c>
      <c r="T831" s="1">
        <v>21999</v>
      </c>
      <c r="U831" s="1" t="s">
        <v>1082</v>
      </c>
      <c r="V831" s="1" t="s">
        <v>4729</v>
      </c>
      <c r="W831" s="1" t="s">
        <v>4730</v>
      </c>
      <c r="X831" s="1" t="s">
        <v>4731</v>
      </c>
    </row>
    <row r="832" spans="1:26" ht="15.75" customHeight="1" x14ac:dyDescent="0.35">
      <c r="A832" s="1" t="s">
        <v>112</v>
      </c>
      <c r="B832" s="1" t="s">
        <v>4732</v>
      </c>
      <c r="C832" s="1" t="s">
        <v>4733</v>
      </c>
      <c r="D832" s="1" t="s">
        <v>4734</v>
      </c>
      <c r="F832" s="1" t="s">
        <v>4735</v>
      </c>
      <c r="G832" s="1" t="s">
        <v>4736</v>
      </c>
      <c r="H832" s="1" t="s">
        <v>4737</v>
      </c>
      <c r="I832" s="1" t="s">
        <v>3653</v>
      </c>
      <c r="K832" s="1" t="s">
        <v>101</v>
      </c>
      <c r="L832" s="1" t="s">
        <v>1317</v>
      </c>
      <c r="M832" s="1" t="s">
        <v>3245</v>
      </c>
      <c r="N832" s="1" t="s">
        <v>4496</v>
      </c>
      <c r="O832" s="1" t="s">
        <v>4738</v>
      </c>
      <c r="P832" s="1" t="s">
        <v>4739</v>
      </c>
      <c r="Q832" s="1" t="s">
        <v>3367</v>
      </c>
      <c r="S832" s="1" t="s">
        <v>78</v>
      </c>
      <c r="T832" s="1">
        <v>9999</v>
      </c>
      <c r="V832" s="1" t="s">
        <v>4740</v>
      </c>
      <c r="W832" s="1" t="s">
        <v>4741</v>
      </c>
    </row>
    <row r="833" spans="1:30" ht="15.75" customHeight="1" x14ac:dyDescent="0.35">
      <c r="B833" s="1" t="s">
        <v>4742</v>
      </c>
      <c r="C833" s="1" t="s">
        <v>4316</v>
      </c>
      <c r="D833" s="1" t="s">
        <v>4212</v>
      </c>
      <c r="E833" s="1" t="s">
        <v>3670</v>
      </c>
      <c r="F833" s="1" t="s">
        <v>4364</v>
      </c>
      <c r="G833" s="1" t="s">
        <v>3799</v>
      </c>
      <c r="H833" s="1" t="s">
        <v>4743</v>
      </c>
      <c r="I833" s="1" t="s">
        <v>120</v>
      </c>
      <c r="K833" s="1" t="s">
        <v>555</v>
      </c>
      <c r="L833" s="1" t="s">
        <v>4419</v>
      </c>
      <c r="M833" s="1" t="s">
        <v>4744</v>
      </c>
      <c r="N833" s="1" t="s">
        <v>465</v>
      </c>
      <c r="O833" s="1" t="s">
        <v>4745</v>
      </c>
      <c r="P833" s="1" t="s">
        <v>4746</v>
      </c>
      <c r="Q833" s="1" t="s">
        <v>3420</v>
      </c>
      <c r="S833" s="1" t="s">
        <v>78</v>
      </c>
      <c r="T833" s="1">
        <v>17499</v>
      </c>
      <c r="V833" s="1" t="s">
        <v>4250</v>
      </c>
      <c r="W833" s="1" t="s">
        <v>4747</v>
      </c>
    </row>
    <row r="834" spans="1:30" ht="15.75" customHeight="1" x14ac:dyDescent="0.35">
      <c r="A834" s="1" t="s">
        <v>151</v>
      </c>
      <c r="B834" s="1" t="s">
        <v>4308</v>
      </c>
      <c r="C834" s="1" t="s">
        <v>4295</v>
      </c>
      <c r="D834" s="1" t="s">
        <v>3369</v>
      </c>
      <c r="F834" s="1" t="s">
        <v>4012</v>
      </c>
      <c r="G834" s="1" t="s">
        <v>4101</v>
      </c>
      <c r="H834" s="1" t="s">
        <v>3574</v>
      </c>
      <c r="I834" s="1" t="s">
        <v>120</v>
      </c>
      <c r="K834" s="1" t="s">
        <v>101</v>
      </c>
      <c r="L834" s="1" t="s">
        <v>3284</v>
      </c>
      <c r="M834" s="1" t="s">
        <v>3977</v>
      </c>
      <c r="N834" s="1" t="s">
        <v>160</v>
      </c>
      <c r="O834" s="1" t="s">
        <v>4602</v>
      </c>
      <c r="P834" s="1" t="s">
        <v>3345</v>
      </c>
      <c r="Q834" s="1" t="s">
        <v>1609</v>
      </c>
      <c r="R834" s="1" t="s">
        <v>4748</v>
      </c>
      <c r="S834" s="1" t="s">
        <v>78</v>
      </c>
      <c r="T834" s="1">
        <v>10300</v>
      </c>
      <c r="U834" s="1" t="s">
        <v>1082</v>
      </c>
      <c r="V834" s="1" t="s">
        <v>4749</v>
      </c>
      <c r="W834" s="1" t="s">
        <v>4750</v>
      </c>
      <c r="Z834" s="1" t="s">
        <v>837</v>
      </c>
      <c r="AD834" s="1" t="s">
        <v>4308</v>
      </c>
    </row>
    <row r="835" spans="1:30" ht="15.75" customHeight="1" x14ac:dyDescent="0.35">
      <c r="A835" s="1" t="s">
        <v>4381</v>
      </c>
      <c r="B835" s="1" t="s">
        <v>4751</v>
      </c>
      <c r="C835" s="1" t="s">
        <v>4590</v>
      </c>
      <c r="D835" s="1" t="s">
        <v>3522</v>
      </c>
      <c r="F835" s="1" t="s">
        <v>2110</v>
      </c>
      <c r="G835" s="1" t="s">
        <v>4752</v>
      </c>
      <c r="H835" s="1" t="s">
        <v>4753</v>
      </c>
      <c r="I835" s="1" t="s">
        <v>120</v>
      </c>
      <c r="K835" s="1" t="s">
        <v>90</v>
      </c>
      <c r="L835" s="1" t="s">
        <v>354</v>
      </c>
      <c r="M835" s="1" t="s">
        <v>4754</v>
      </c>
      <c r="N835" s="1" t="s">
        <v>465</v>
      </c>
      <c r="O835" s="1" t="s">
        <v>4755</v>
      </c>
      <c r="P835" s="1" t="s">
        <v>4661</v>
      </c>
      <c r="Q835" s="1" t="s">
        <v>4756</v>
      </c>
      <c r="S835" s="1" t="s">
        <v>78</v>
      </c>
      <c r="T835" s="1">
        <v>18999</v>
      </c>
      <c r="U835" s="1" t="s">
        <v>1082</v>
      </c>
      <c r="V835" s="1" t="s">
        <v>4663</v>
      </c>
    </row>
    <row r="836" spans="1:30" ht="15.75" customHeight="1" x14ac:dyDescent="0.35">
      <c r="A836" s="1" t="s">
        <v>4381</v>
      </c>
      <c r="B836" s="1" t="s">
        <v>4751</v>
      </c>
      <c r="C836" s="1" t="s">
        <v>4708</v>
      </c>
      <c r="D836" s="1" t="s">
        <v>3315</v>
      </c>
      <c r="F836" s="1" t="s">
        <v>3485</v>
      </c>
      <c r="G836" s="1" t="s">
        <v>4752</v>
      </c>
      <c r="H836" s="1" t="s">
        <v>4753</v>
      </c>
      <c r="I836" s="1" t="s">
        <v>120</v>
      </c>
      <c r="K836" s="1" t="s">
        <v>555</v>
      </c>
      <c r="L836" s="1" t="s">
        <v>354</v>
      </c>
      <c r="M836" s="1" t="s">
        <v>4754</v>
      </c>
      <c r="N836" s="1" t="s">
        <v>465</v>
      </c>
      <c r="O836" s="1" t="s">
        <v>4755</v>
      </c>
      <c r="P836" s="1" t="s">
        <v>4661</v>
      </c>
      <c r="Q836" s="1" t="s">
        <v>4756</v>
      </c>
      <c r="R836" s="1" t="s">
        <v>4757</v>
      </c>
      <c r="S836" s="1" t="s">
        <v>78</v>
      </c>
      <c r="T836" s="1">
        <v>13499</v>
      </c>
      <c r="U836" s="1" t="s">
        <v>1082</v>
      </c>
      <c r="V836" s="1" t="s">
        <v>4758</v>
      </c>
    </row>
    <row r="837" spans="1:30" ht="15.75" customHeight="1" x14ac:dyDescent="0.35">
      <c r="A837" s="1" t="s">
        <v>81</v>
      </c>
      <c r="B837" s="1" t="s">
        <v>4759</v>
      </c>
      <c r="C837" s="1" t="s">
        <v>4760</v>
      </c>
      <c r="D837" s="1" t="s">
        <v>4607</v>
      </c>
      <c r="E837" s="1" t="s">
        <v>3670</v>
      </c>
      <c r="F837" s="1" t="s">
        <v>3943</v>
      </c>
      <c r="G837" s="1" t="s">
        <v>2521</v>
      </c>
      <c r="H837" s="1" t="s">
        <v>4761</v>
      </c>
      <c r="I837" s="1" t="s">
        <v>120</v>
      </c>
      <c r="K837" s="1" t="s">
        <v>101</v>
      </c>
      <c r="L837" s="1" t="s">
        <v>3744</v>
      </c>
      <c r="M837" s="1" t="s">
        <v>3455</v>
      </c>
      <c r="N837" s="1" t="s">
        <v>2468</v>
      </c>
      <c r="O837" s="1" t="s">
        <v>4762</v>
      </c>
      <c r="P837" s="1" t="s">
        <v>4763</v>
      </c>
      <c r="Q837" s="1" t="s">
        <v>4764</v>
      </c>
      <c r="R837" s="1" t="s">
        <v>4765</v>
      </c>
      <c r="S837" s="1" t="s">
        <v>78</v>
      </c>
      <c r="T837" s="1">
        <v>15549</v>
      </c>
      <c r="U837" s="1" t="s">
        <v>1082</v>
      </c>
      <c r="V837" s="1" t="s">
        <v>4766</v>
      </c>
      <c r="Z837" s="1" t="s">
        <v>4391</v>
      </c>
    </row>
    <row r="838" spans="1:30" ht="15.75" customHeight="1" x14ac:dyDescent="0.35">
      <c r="A838" s="1" t="s">
        <v>3729</v>
      </c>
      <c r="B838" s="1" t="s">
        <v>4767</v>
      </c>
      <c r="C838" s="1" t="s">
        <v>4768</v>
      </c>
      <c r="D838" s="1" t="s">
        <v>3522</v>
      </c>
      <c r="F838" s="1" t="s">
        <v>4769</v>
      </c>
      <c r="G838" s="1" t="s">
        <v>1120</v>
      </c>
      <c r="H838" s="1" t="s">
        <v>4770</v>
      </c>
      <c r="I838" s="1" t="s">
        <v>4771</v>
      </c>
      <c r="J838" s="1" t="s">
        <v>39</v>
      </c>
      <c r="K838" s="1" t="s">
        <v>90</v>
      </c>
      <c r="M838" s="1" t="s">
        <v>4586</v>
      </c>
      <c r="O838" s="1" t="s">
        <v>4587</v>
      </c>
      <c r="P838" s="1" t="s">
        <v>4772</v>
      </c>
      <c r="Q838" s="1" t="s">
        <v>4773</v>
      </c>
      <c r="R838" s="1" t="s">
        <v>64</v>
      </c>
      <c r="S838" s="1" t="s">
        <v>78</v>
      </c>
      <c r="T838" s="1">
        <v>76999</v>
      </c>
      <c r="U838" s="1" t="s">
        <v>1082</v>
      </c>
      <c r="V838" s="1" t="s">
        <v>4380</v>
      </c>
    </row>
    <row r="839" spans="1:30" ht="15.75" customHeight="1" x14ac:dyDescent="0.35">
      <c r="A839" s="1" t="s">
        <v>3729</v>
      </c>
      <c r="B839" s="1" t="s">
        <v>4767</v>
      </c>
      <c r="C839" s="1" t="s">
        <v>4768</v>
      </c>
      <c r="D839" s="1" t="s">
        <v>3522</v>
      </c>
      <c r="F839" s="1" t="s">
        <v>4769</v>
      </c>
      <c r="G839" s="1" t="s">
        <v>2388</v>
      </c>
      <c r="H839" s="1" t="s">
        <v>4770</v>
      </c>
      <c r="I839" s="1" t="s">
        <v>4771</v>
      </c>
      <c r="J839" s="1" t="s">
        <v>39</v>
      </c>
      <c r="K839" s="1" t="s">
        <v>90</v>
      </c>
      <c r="M839" s="1" t="s">
        <v>4586</v>
      </c>
      <c r="O839" s="1" t="s">
        <v>4587</v>
      </c>
      <c r="P839" s="1" t="s">
        <v>4772</v>
      </c>
      <c r="Q839" s="1" t="s">
        <v>4773</v>
      </c>
      <c r="R839" s="1" t="s">
        <v>64</v>
      </c>
      <c r="S839" s="1" t="s">
        <v>78</v>
      </c>
      <c r="T839" s="1">
        <v>72999</v>
      </c>
      <c r="U839" s="1" t="s">
        <v>1082</v>
      </c>
      <c r="V839" s="1" t="s">
        <v>4380</v>
      </c>
    </row>
    <row r="840" spans="1:30" ht="15.75" customHeight="1" x14ac:dyDescent="0.35">
      <c r="A840" s="1" t="s">
        <v>151</v>
      </c>
      <c r="B840" s="1" t="s">
        <v>4774</v>
      </c>
      <c r="C840" s="1" t="s">
        <v>4688</v>
      </c>
      <c r="D840" s="1" t="s">
        <v>4689</v>
      </c>
      <c r="F840" s="1" t="s">
        <v>4690</v>
      </c>
      <c r="G840" s="1" t="s">
        <v>4101</v>
      </c>
      <c r="H840" s="1" t="s">
        <v>4775</v>
      </c>
      <c r="I840" s="1" t="s">
        <v>3653</v>
      </c>
      <c r="K840" s="1" t="s">
        <v>2507</v>
      </c>
      <c r="L840" s="1" t="s">
        <v>3284</v>
      </c>
      <c r="M840" s="1" t="s">
        <v>3992</v>
      </c>
      <c r="N840" s="1" t="s">
        <v>4453</v>
      </c>
      <c r="O840" s="1" t="s">
        <v>4776</v>
      </c>
      <c r="P840" s="1" t="s">
        <v>4104</v>
      </c>
      <c r="Q840" s="1" t="s">
        <v>976</v>
      </c>
      <c r="R840" s="1" t="s">
        <v>3428</v>
      </c>
      <c r="S840" s="1" t="s">
        <v>78</v>
      </c>
      <c r="T840" s="1">
        <v>7600</v>
      </c>
      <c r="V840" s="1" t="s">
        <v>4693</v>
      </c>
      <c r="W840" s="1" t="s">
        <v>4777</v>
      </c>
      <c r="Z840" s="1" t="s">
        <v>837</v>
      </c>
    </row>
    <row r="841" spans="1:30" ht="15.75" customHeight="1" x14ac:dyDescent="0.35">
      <c r="A841" s="1" t="s">
        <v>4553</v>
      </c>
      <c r="B841" s="1" t="s">
        <v>4778</v>
      </c>
      <c r="C841" s="1" t="s">
        <v>4450</v>
      </c>
      <c r="D841" s="1" t="s">
        <v>3315</v>
      </c>
      <c r="F841" s="1" t="s">
        <v>2110</v>
      </c>
      <c r="G841" s="1" t="s">
        <v>4779</v>
      </c>
      <c r="H841" s="1" t="s">
        <v>4780</v>
      </c>
      <c r="I841" s="1" t="s">
        <v>120</v>
      </c>
      <c r="K841" s="1" t="s">
        <v>2892</v>
      </c>
      <c r="L841" s="1" t="s">
        <v>1317</v>
      </c>
      <c r="M841" s="1" t="s">
        <v>4781</v>
      </c>
      <c r="N841" s="1" t="s">
        <v>465</v>
      </c>
      <c r="O841" s="1" t="s">
        <v>4782</v>
      </c>
      <c r="P841" s="1" t="s">
        <v>4783</v>
      </c>
      <c r="Q841" s="1" t="s">
        <v>4784</v>
      </c>
      <c r="R841" s="1" t="s">
        <v>301</v>
      </c>
      <c r="S841" s="1" t="s">
        <v>78</v>
      </c>
      <c r="T841" s="1">
        <v>8499</v>
      </c>
      <c r="U841" s="1" t="s">
        <v>2181</v>
      </c>
      <c r="V841" s="1" t="s">
        <v>4457</v>
      </c>
    </row>
    <row r="842" spans="1:30" ht="15.75" customHeight="1" x14ac:dyDescent="0.35">
      <c r="A842" s="1" t="s">
        <v>112</v>
      </c>
      <c r="B842" s="1" t="s">
        <v>4785</v>
      </c>
      <c r="C842" s="1" t="s">
        <v>4071</v>
      </c>
      <c r="D842" s="1" t="s">
        <v>3541</v>
      </c>
      <c r="F842" s="1" t="s">
        <v>4786</v>
      </c>
      <c r="G842" s="1" t="s">
        <v>3940</v>
      </c>
      <c r="H842" s="1" t="s">
        <v>4787</v>
      </c>
      <c r="I842" s="1" t="s">
        <v>120</v>
      </c>
      <c r="K842" s="1" t="s">
        <v>1722</v>
      </c>
      <c r="L842" s="1" t="s">
        <v>1317</v>
      </c>
      <c r="M842" s="1" t="s">
        <v>3245</v>
      </c>
      <c r="N842" s="1" t="s">
        <v>3848</v>
      </c>
      <c r="O842" s="1" t="s">
        <v>4788</v>
      </c>
      <c r="P842" s="1" t="s">
        <v>4514</v>
      </c>
      <c r="Q842" s="1" t="s">
        <v>4092</v>
      </c>
      <c r="S842" s="1" t="s">
        <v>78</v>
      </c>
      <c r="T842" s="1">
        <v>11749</v>
      </c>
      <c r="U842" s="1" t="s">
        <v>1082</v>
      </c>
      <c r="V842" s="1" t="s">
        <v>4184</v>
      </c>
      <c r="X842" s="1" t="s">
        <v>4638</v>
      </c>
    </row>
    <row r="843" spans="1:30" ht="15.75" customHeight="1" x14ac:dyDescent="0.35">
      <c r="A843" s="1" t="s">
        <v>112</v>
      </c>
      <c r="B843" s="1" t="s">
        <v>4789</v>
      </c>
      <c r="C843" s="1" t="s">
        <v>4071</v>
      </c>
      <c r="D843" s="1" t="s">
        <v>4186</v>
      </c>
      <c r="E843" s="1" t="s">
        <v>4073</v>
      </c>
      <c r="F843" s="1" t="s">
        <v>4790</v>
      </c>
      <c r="G843" s="1" t="s">
        <v>2718</v>
      </c>
      <c r="H843" s="1" t="s">
        <v>4791</v>
      </c>
      <c r="I843" s="1" t="s">
        <v>3653</v>
      </c>
      <c r="K843" s="1" t="s">
        <v>101</v>
      </c>
      <c r="L843" s="1" t="s">
        <v>1317</v>
      </c>
      <c r="M843" s="1" t="s">
        <v>3245</v>
      </c>
      <c r="N843" s="1" t="s">
        <v>1841</v>
      </c>
      <c r="O843" s="1" t="s">
        <v>4165</v>
      </c>
      <c r="P843" s="1" t="s">
        <v>4190</v>
      </c>
      <c r="Q843" s="1" t="s">
        <v>3276</v>
      </c>
      <c r="R843" s="1" t="s">
        <v>985</v>
      </c>
      <c r="S843" s="1" t="s">
        <v>78</v>
      </c>
      <c r="T843" s="1">
        <v>20999</v>
      </c>
      <c r="U843" s="1" t="s">
        <v>1082</v>
      </c>
      <c r="V843" s="1" t="s">
        <v>4184</v>
      </c>
      <c r="W843" s="1" t="s">
        <v>4792</v>
      </c>
      <c r="X843" s="1" t="s">
        <v>4731</v>
      </c>
    </row>
    <row r="844" spans="1:30" ht="15.75" customHeight="1" x14ac:dyDescent="0.35">
      <c r="A844" s="1" t="s">
        <v>112</v>
      </c>
      <c r="B844" s="1" t="s">
        <v>4793</v>
      </c>
      <c r="C844" s="1" t="s">
        <v>4071</v>
      </c>
      <c r="D844" s="1" t="s">
        <v>4340</v>
      </c>
      <c r="E844" s="1" t="s">
        <v>4073</v>
      </c>
      <c r="F844" s="1" t="s">
        <v>3939</v>
      </c>
      <c r="G844" s="1" t="s">
        <v>2718</v>
      </c>
      <c r="H844" s="1" t="s">
        <v>4794</v>
      </c>
      <c r="I844" s="1" t="s">
        <v>3653</v>
      </c>
      <c r="K844" s="1" t="s">
        <v>101</v>
      </c>
      <c r="L844" s="1" t="s">
        <v>1317</v>
      </c>
      <c r="M844" s="1" t="s">
        <v>3245</v>
      </c>
      <c r="N844" s="1" t="s">
        <v>3848</v>
      </c>
      <c r="O844" s="1" t="s">
        <v>3849</v>
      </c>
      <c r="P844" s="1" t="s">
        <v>4521</v>
      </c>
      <c r="Q844" s="1" t="s">
        <v>3276</v>
      </c>
      <c r="S844" s="1" t="s">
        <v>78</v>
      </c>
      <c r="T844" s="1">
        <v>15499</v>
      </c>
      <c r="U844" s="1" t="s">
        <v>1082</v>
      </c>
      <c r="V844" s="1" t="s">
        <v>4184</v>
      </c>
      <c r="W844" s="1" t="s">
        <v>4795</v>
      </c>
      <c r="X844" s="1" t="s">
        <v>4731</v>
      </c>
    </row>
    <row r="845" spans="1:30" ht="15.75" customHeight="1" x14ac:dyDescent="0.35">
      <c r="B845" s="1" t="s">
        <v>4796</v>
      </c>
      <c r="C845" s="1" t="s">
        <v>3748</v>
      </c>
      <c r="D845" s="1" t="s">
        <v>4607</v>
      </c>
      <c r="E845" s="1" t="s">
        <v>3670</v>
      </c>
      <c r="F845" s="1" t="s">
        <v>4797</v>
      </c>
      <c r="G845" s="1" t="s">
        <v>1936</v>
      </c>
      <c r="H845" s="1" t="s">
        <v>4798</v>
      </c>
      <c r="I845" s="1" t="s">
        <v>120</v>
      </c>
      <c r="K845" s="1" t="s">
        <v>1722</v>
      </c>
      <c r="L845" s="1" t="s">
        <v>4419</v>
      </c>
      <c r="M845" s="1" t="s">
        <v>4236</v>
      </c>
      <c r="N845" s="1" t="s">
        <v>2257</v>
      </c>
      <c r="O845" s="1" t="s">
        <v>4237</v>
      </c>
      <c r="P845" s="1" t="s">
        <v>4238</v>
      </c>
      <c r="Q845" s="1" t="s">
        <v>3383</v>
      </c>
      <c r="R845" s="1" t="s">
        <v>2260</v>
      </c>
      <c r="S845" s="1" t="s">
        <v>2139</v>
      </c>
      <c r="T845" s="1">
        <v>39349</v>
      </c>
      <c r="U845" s="1" t="s">
        <v>1082</v>
      </c>
      <c r="V845" s="1" t="s">
        <v>4799</v>
      </c>
      <c r="W845" s="1" t="s">
        <v>4800</v>
      </c>
    </row>
    <row r="846" spans="1:30" ht="15.75" customHeight="1" x14ac:dyDescent="0.35">
      <c r="B846" s="1" t="s">
        <v>4801</v>
      </c>
      <c r="C846" s="1" t="s">
        <v>4244</v>
      </c>
      <c r="D846" s="1" t="s">
        <v>3806</v>
      </c>
      <c r="F846" s="1" t="s">
        <v>4802</v>
      </c>
      <c r="G846" s="1" t="s">
        <v>1604</v>
      </c>
      <c r="H846" s="1" t="s">
        <v>4803</v>
      </c>
      <c r="I846" s="1" t="s">
        <v>120</v>
      </c>
      <c r="K846" s="1" t="s">
        <v>2892</v>
      </c>
      <c r="L846" s="1" t="s">
        <v>4804</v>
      </c>
      <c r="M846" s="1" t="s">
        <v>3561</v>
      </c>
      <c r="N846" s="1" t="s">
        <v>465</v>
      </c>
      <c r="O846" s="1" t="s">
        <v>4805</v>
      </c>
      <c r="P846" s="1" t="s">
        <v>4806</v>
      </c>
      <c r="Q846" s="1" t="s">
        <v>4807</v>
      </c>
      <c r="R846" s="1" t="s">
        <v>4808</v>
      </c>
      <c r="S846" s="1" t="s">
        <v>165</v>
      </c>
      <c r="T846" s="1">
        <v>21999</v>
      </c>
      <c r="V846" s="1" t="s">
        <v>4809</v>
      </c>
      <c r="W846" s="1" t="s">
        <v>4810</v>
      </c>
    </row>
    <row r="847" spans="1:30" ht="15.75" customHeight="1" x14ac:dyDescent="0.35">
      <c r="B847" s="1" t="s">
        <v>4811</v>
      </c>
      <c r="C847" s="1" t="s">
        <v>4812</v>
      </c>
      <c r="D847" s="1" t="s">
        <v>4813</v>
      </c>
      <c r="E847" s="1" t="s">
        <v>4177</v>
      </c>
      <c r="F847" s="1" t="s">
        <v>4213</v>
      </c>
      <c r="G847" s="1" t="s">
        <v>1936</v>
      </c>
      <c r="H847" s="1" t="s">
        <v>4814</v>
      </c>
      <c r="I847" s="1" t="s">
        <v>120</v>
      </c>
      <c r="K847" s="1" t="s">
        <v>4815</v>
      </c>
      <c r="L847" s="1" t="s">
        <v>4419</v>
      </c>
      <c r="M847" s="1" t="s">
        <v>464</v>
      </c>
      <c r="N847" s="1" t="s">
        <v>2257</v>
      </c>
      <c r="O847" s="1" t="s">
        <v>4816</v>
      </c>
      <c r="P847" s="1" t="s">
        <v>4817</v>
      </c>
      <c r="Q847" s="1" t="s">
        <v>1923</v>
      </c>
      <c r="R847" s="1" t="s">
        <v>4818</v>
      </c>
      <c r="S847" s="1" t="s">
        <v>165</v>
      </c>
      <c r="T847" s="1">
        <v>55000</v>
      </c>
      <c r="V847" s="1" t="s">
        <v>4819</v>
      </c>
      <c r="W847" s="1" t="s">
        <v>4820</v>
      </c>
    </row>
    <row r="848" spans="1:30" ht="15.75" customHeight="1" x14ac:dyDescent="0.35">
      <c r="A848" s="1" t="s">
        <v>4381</v>
      </c>
      <c r="B848" s="1" t="s">
        <v>4751</v>
      </c>
      <c r="C848" s="1" t="s">
        <v>3748</v>
      </c>
      <c r="D848" s="1" t="s">
        <v>4529</v>
      </c>
      <c r="F848" s="1" t="s">
        <v>965</v>
      </c>
      <c r="G848" s="1" t="s">
        <v>4821</v>
      </c>
      <c r="H848" s="1" t="s">
        <v>4822</v>
      </c>
      <c r="I848" s="1" t="s">
        <v>120</v>
      </c>
      <c r="K848" s="1" t="s">
        <v>2425</v>
      </c>
      <c r="L848" s="1" t="s">
        <v>4823</v>
      </c>
      <c r="M848" s="1" t="s">
        <v>4824</v>
      </c>
      <c r="N848" s="1" t="s">
        <v>4825</v>
      </c>
      <c r="O848" s="1" t="s">
        <v>4826</v>
      </c>
      <c r="P848" s="1" t="s">
        <v>4661</v>
      </c>
      <c r="Q848" s="1" t="s">
        <v>4827</v>
      </c>
      <c r="R848" s="1" t="s">
        <v>4662</v>
      </c>
      <c r="S848" s="1" t="s">
        <v>78</v>
      </c>
      <c r="T848" s="1">
        <v>23149</v>
      </c>
      <c r="U848" s="1" t="s">
        <v>1082</v>
      </c>
      <c r="V848" s="1" t="s">
        <v>4828</v>
      </c>
      <c r="Z848" s="1" t="s">
        <v>4391</v>
      </c>
    </row>
    <row r="849" spans="1:29" ht="15.75" customHeight="1" x14ac:dyDescent="0.35">
      <c r="A849" s="1" t="s">
        <v>151</v>
      </c>
      <c r="B849" s="1" t="s">
        <v>4829</v>
      </c>
      <c r="C849" s="1" t="s">
        <v>4099</v>
      </c>
      <c r="D849" s="1" t="s">
        <v>3369</v>
      </c>
      <c r="F849" s="1" t="s">
        <v>4830</v>
      </c>
      <c r="G849" s="1" t="s">
        <v>4101</v>
      </c>
      <c r="H849" s="1" t="s">
        <v>4831</v>
      </c>
      <c r="I849" s="1" t="s">
        <v>120</v>
      </c>
      <c r="K849" s="1" t="s">
        <v>121</v>
      </c>
      <c r="L849" s="1" t="s">
        <v>3284</v>
      </c>
      <c r="M849" s="1" t="s">
        <v>3992</v>
      </c>
      <c r="N849" s="1" t="s">
        <v>3993</v>
      </c>
      <c r="O849" s="1" t="s">
        <v>4691</v>
      </c>
      <c r="P849" s="1" t="s">
        <v>4580</v>
      </c>
      <c r="Q849" s="1" t="s">
        <v>4581</v>
      </c>
      <c r="R849" s="1" t="s">
        <v>3428</v>
      </c>
      <c r="S849" s="1" t="s">
        <v>78</v>
      </c>
      <c r="T849" s="1">
        <v>14499</v>
      </c>
      <c r="U849" s="1" t="s">
        <v>2181</v>
      </c>
      <c r="V849" s="1" t="s">
        <v>4832</v>
      </c>
      <c r="W849" s="1" t="s">
        <v>4833</v>
      </c>
    </row>
    <row r="850" spans="1:29" ht="15.75" customHeight="1" x14ac:dyDescent="0.35">
      <c r="A850" s="1" t="s">
        <v>30</v>
      </c>
      <c r="B850" s="1" t="s">
        <v>4834</v>
      </c>
      <c r="C850" s="1" t="s">
        <v>4234</v>
      </c>
      <c r="D850" s="1" t="s">
        <v>3306</v>
      </c>
      <c r="F850" s="1" t="s">
        <v>2110</v>
      </c>
      <c r="G850" s="1" t="s">
        <v>72</v>
      </c>
      <c r="H850" s="1" t="s">
        <v>3888</v>
      </c>
      <c r="I850" s="1" t="s">
        <v>120</v>
      </c>
      <c r="K850" s="1" t="s">
        <v>90</v>
      </c>
      <c r="L850" s="1" t="s">
        <v>2434</v>
      </c>
      <c r="M850" s="1" t="s">
        <v>4835</v>
      </c>
      <c r="N850" s="1" t="s">
        <v>373</v>
      </c>
      <c r="O850" s="1" t="s">
        <v>4836</v>
      </c>
      <c r="P850" s="1" t="s">
        <v>4534</v>
      </c>
      <c r="Q850" s="1" t="s">
        <v>4249</v>
      </c>
      <c r="R850" s="1" t="s">
        <v>4837</v>
      </c>
      <c r="S850" s="1" t="s">
        <v>78</v>
      </c>
      <c r="T850" s="1">
        <v>23799</v>
      </c>
      <c r="U850" s="1" t="s">
        <v>1082</v>
      </c>
      <c r="V850" s="1" t="s">
        <v>4137</v>
      </c>
      <c r="W850" s="1" t="s">
        <v>4838</v>
      </c>
      <c r="X850" s="1" t="s">
        <v>4839</v>
      </c>
    </row>
    <row r="851" spans="1:29" ht="15.75" customHeight="1" x14ac:dyDescent="0.35">
      <c r="A851" s="1" t="s">
        <v>30</v>
      </c>
      <c r="B851" s="1" t="s">
        <v>4840</v>
      </c>
      <c r="C851" s="1" t="s">
        <v>4565</v>
      </c>
      <c r="D851" s="1" t="s">
        <v>3806</v>
      </c>
      <c r="F851" s="1" t="s">
        <v>1134</v>
      </c>
      <c r="G851" s="1" t="s">
        <v>72</v>
      </c>
      <c r="H851" s="1" t="s">
        <v>3888</v>
      </c>
      <c r="I851" s="1" t="s">
        <v>120</v>
      </c>
      <c r="L851" s="1" t="s">
        <v>2434</v>
      </c>
      <c r="M851" s="1" t="s">
        <v>1207</v>
      </c>
      <c r="N851" s="1" t="s">
        <v>373</v>
      </c>
      <c r="O851" s="1" t="s">
        <v>4841</v>
      </c>
      <c r="P851" s="1" t="s">
        <v>4248</v>
      </c>
      <c r="Q851" s="1" t="s">
        <v>4249</v>
      </c>
      <c r="R851" s="1" t="s">
        <v>4842</v>
      </c>
      <c r="S851" s="1" t="s">
        <v>129</v>
      </c>
      <c r="T851" s="1">
        <v>21000</v>
      </c>
      <c r="W851" s="1" t="s">
        <v>4843</v>
      </c>
      <c r="X851" s="1" t="s">
        <v>4839</v>
      </c>
    </row>
    <row r="852" spans="1:29" ht="15.75" customHeight="1" x14ac:dyDescent="0.35">
      <c r="A852" s="1" t="s">
        <v>151</v>
      </c>
      <c r="B852" s="1" t="s">
        <v>4844</v>
      </c>
      <c r="C852" s="1" t="s">
        <v>4071</v>
      </c>
      <c r="D852" s="1" t="s">
        <v>3522</v>
      </c>
      <c r="F852" s="1" t="s">
        <v>4845</v>
      </c>
      <c r="G852" s="1" t="s">
        <v>4101</v>
      </c>
      <c r="H852" s="1" t="s">
        <v>4102</v>
      </c>
      <c r="I852" s="1" t="s">
        <v>120</v>
      </c>
      <c r="K852" s="1" t="s">
        <v>2725</v>
      </c>
      <c r="L852" s="1" t="s">
        <v>3284</v>
      </c>
      <c r="M852" s="1" t="s">
        <v>4846</v>
      </c>
      <c r="N852" s="1" t="s">
        <v>2876</v>
      </c>
      <c r="O852" s="1" t="s">
        <v>4847</v>
      </c>
      <c r="P852" s="1" t="s">
        <v>4848</v>
      </c>
      <c r="Q852" s="1" t="s">
        <v>2878</v>
      </c>
      <c r="R852" s="1" t="s">
        <v>4617</v>
      </c>
      <c r="S852" s="1" t="s">
        <v>78</v>
      </c>
      <c r="T852" s="1">
        <v>12099</v>
      </c>
      <c r="U852" s="1" t="s">
        <v>1082</v>
      </c>
      <c r="V852" s="1" t="s">
        <v>3966</v>
      </c>
      <c r="W852" s="1" t="s">
        <v>4849</v>
      </c>
      <c r="Z852" s="1" t="s">
        <v>837</v>
      </c>
    </row>
    <row r="853" spans="1:29" ht="15.75" customHeight="1" x14ac:dyDescent="0.35">
      <c r="A853" s="1" t="s">
        <v>112</v>
      </c>
      <c r="B853" s="1" t="s">
        <v>4850</v>
      </c>
      <c r="C853" s="1" t="s">
        <v>4851</v>
      </c>
      <c r="D853" s="1" t="s">
        <v>3306</v>
      </c>
      <c r="F853" s="1" t="s">
        <v>3939</v>
      </c>
      <c r="G853" s="1" t="s">
        <v>3940</v>
      </c>
      <c r="H853" s="1" t="s">
        <v>4852</v>
      </c>
      <c r="I853" s="1" t="s">
        <v>120</v>
      </c>
      <c r="K853" s="1" t="s">
        <v>555</v>
      </c>
      <c r="L853" s="1" t="s">
        <v>4636</v>
      </c>
      <c r="M853" s="1" t="s">
        <v>3530</v>
      </c>
      <c r="N853" s="1" t="s">
        <v>1841</v>
      </c>
      <c r="O853" s="1" t="s">
        <v>4165</v>
      </c>
      <c r="P853" s="1" t="s">
        <v>4853</v>
      </c>
      <c r="Q853" s="1" t="s">
        <v>3928</v>
      </c>
      <c r="R853" s="1" t="s">
        <v>767</v>
      </c>
      <c r="S853" s="1" t="s">
        <v>78</v>
      </c>
      <c r="T853" s="1">
        <v>17499</v>
      </c>
      <c r="U853" s="1" t="s">
        <v>1082</v>
      </c>
      <c r="V853" s="1" t="s">
        <v>4854</v>
      </c>
      <c r="W853" s="1" t="s">
        <v>4855</v>
      </c>
    </row>
    <row r="854" spans="1:29" ht="15.75" customHeight="1" x14ac:dyDescent="0.35">
      <c r="A854" s="1" t="s">
        <v>81</v>
      </c>
      <c r="B854" s="1" t="s">
        <v>3491</v>
      </c>
      <c r="C854" s="1" t="s">
        <v>4856</v>
      </c>
      <c r="D854" s="1" t="s">
        <v>3493</v>
      </c>
      <c r="F854" s="1" t="s">
        <v>4857</v>
      </c>
      <c r="G854" s="1" t="s">
        <v>2521</v>
      </c>
      <c r="H854" s="1" t="s">
        <v>4253</v>
      </c>
      <c r="I854" s="1" t="s">
        <v>120</v>
      </c>
      <c r="K854" s="1" t="s">
        <v>101</v>
      </c>
      <c r="L854" s="1" t="s">
        <v>3497</v>
      </c>
      <c r="M854" s="1" t="s">
        <v>3498</v>
      </c>
      <c r="N854" s="1" t="s">
        <v>2468</v>
      </c>
      <c r="O854" s="1" t="s">
        <v>4598</v>
      </c>
      <c r="P854" s="1" t="s">
        <v>3499</v>
      </c>
      <c r="Q854" s="1" t="s">
        <v>3500</v>
      </c>
      <c r="R854" s="1" t="s">
        <v>3459</v>
      </c>
      <c r="S854" s="1" t="s">
        <v>78</v>
      </c>
      <c r="T854" s="1">
        <v>12649</v>
      </c>
      <c r="V854" s="1" t="s">
        <v>3501</v>
      </c>
    </row>
    <row r="855" spans="1:29" ht="15.75" customHeight="1" x14ac:dyDescent="0.35">
      <c r="A855" s="1" t="s">
        <v>151</v>
      </c>
      <c r="B855" s="1" t="s">
        <v>4308</v>
      </c>
      <c r="C855" s="1" t="s">
        <v>4590</v>
      </c>
      <c r="D855" s="1" t="s">
        <v>4601</v>
      </c>
      <c r="E855" s="1" t="s">
        <v>4073</v>
      </c>
      <c r="F855" s="1" t="s">
        <v>4109</v>
      </c>
      <c r="G855" s="1" t="s">
        <v>4101</v>
      </c>
      <c r="H855" s="1" t="s">
        <v>3574</v>
      </c>
      <c r="I855" s="1" t="s">
        <v>120</v>
      </c>
      <c r="K855" s="1" t="s">
        <v>101</v>
      </c>
      <c r="L855" s="1" t="s">
        <v>3284</v>
      </c>
      <c r="M855" s="1" t="s">
        <v>3977</v>
      </c>
      <c r="N855" s="1" t="s">
        <v>2876</v>
      </c>
      <c r="O855" s="1" t="s">
        <v>4602</v>
      </c>
      <c r="P855" s="1" t="s">
        <v>3345</v>
      </c>
      <c r="Q855" s="1" t="s">
        <v>1609</v>
      </c>
      <c r="R855" s="1" t="s">
        <v>4858</v>
      </c>
      <c r="S855" s="1" t="s">
        <v>78</v>
      </c>
      <c r="T855" s="1">
        <v>17999</v>
      </c>
      <c r="U855" s="1" t="s">
        <v>1082</v>
      </c>
      <c r="V855" s="1" t="s">
        <v>4603</v>
      </c>
      <c r="W855" s="1" t="s">
        <v>4859</v>
      </c>
      <c r="Z855" s="1" t="s">
        <v>837</v>
      </c>
    </row>
    <row r="856" spans="1:29" ht="15.75" customHeight="1" x14ac:dyDescent="0.35">
      <c r="A856" s="1" t="s">
        <v>112</v>
      </c>
      <c r="B856" s="1" t="s">
        <v>4860</v>
      </c>
      <c r="C856" s="1" t="s">
        <v>4071</v>
      </c>
      <c r="D856" s="1" t="s">
        <v>4525</v>
      </c>
      <c r="E856" s="1" t="s">
        <v>4177</v>
      </c>
      <c r="F856" s="1" t="s">
        <v>4861</v>
      </c>
      <c r="G856" s="1" t="s">
        <v>2718</v>
      </c>
      <c r="H856" s="1" t="s">
        <v>4862</v>
      </c>
      <c r="I856" s="1" t="s">
        <v>120</v>
      </c>
      <c r="K856" s="1" t="s">
        <v>1722</v>
      </c>
      <c r="L856" s="1" t="s">
        <v>1317</v>
      </c>
      <c r="M856" s="1" t="s">
        <v>3245</v>
      </c>
      <c r="N856" s="1" t="s">
        <v>1841</v>
      </c>
      <c r="O856" s="1" t="s">
        <v>4165</v>
      </c>
      <c r="P856" s="1" t="s">
        <v>4190</v>
      </c>
      <c r="Q856" s="1" t="s">
        <v>3276</v>
      </c>
      <c r="S856" s="1" t="s">
        <v>78</v>
      </c>
      <c r="T856" s="1">
        <v>20999</v>
      </c>
      <c r="U856" s="1" t="s">
        <v>1082</v>
      </c>
      <c r="V856" s="1" t="s">
        <v>4184</v>
      </c>
      <c r="X856" s="1" t="s">
        <v>4731</v>
      </c>
    </row>
    <row r="857" spans="1:29" ht="15.75" customHeight="1" x14ac:dyDescent="0.35">
      <c r="A857" s="1" t="s">
        <v>112</v>
      </c>
      <c r="B857" s="1" t="s">
        <v>4863</v>
      </c>
      <c r="C857" s="1" t="s">
        <v>4071</v>
      </c>
      <c r="D857" s="1" t="s">
        <v>4864</v>
      </c>
      <c r="F857" s="1" t="s">
        <v>4141</v>
      </c>
      <c r="G857" s="1" t="s">
        <v>2718</v>
      </c>
      <c r="H857" s="1" t="s">
        <v>4865</v>
      </c>
      <c r="I857" s="1" t="s">
        <v>120</v>
      </c>
      <c r="K857" s="1" t="s">
        <v>1722</v>
      </c>
      <c r="L857" s="1" t="s">
        <v>1317</v>
      </c>
      <c r="M857" s="1" t="s">
        <v>3530</v>
      </c>
      <c r="N857" s="1" t="s">
        <v>1841</v>
      </c>
      <c r="O857" s="1" t="s">
        <v>4165</v>
      </c>
      <c r="P857" s="1" t="s">
        <v>4866</v>
      </c>
      <c r="Q857" s="1" t="s">
        <v>4562</v>
      </c>
      <c r="S857" s="1" t="s">
        <v>78</v>
      </c>
      <c r="T857" s="1">
        <v>17999</v>
      </c>
      <c r="U857" s="1" t="s">
        <v>1082</v>
      </c>
      <c r="V857" s="1" t="s">
        <v>4184</v>
      </c>
      <c r="W857" s="1" t="s">
        <v>4867</v>
      </c>
      <c r="X857" s="1" t="s">
        <v>4638</v>
      </c>
    </row>
    <row r="858" spans="1:29" ht="15.75" customHeight="1" x14ac:dyDescent="0.35">
      <c r="A858" s="1" t="s">
        <v>112</v>
      </c>
      <c r="B858" s="1" t="s">
        <v>4868</v>
      </c>
      <c r="C858" s="1" t="s">
        <v>4071</v>
      </c>
      <c r="D858" s="1" t="s">
        <v>4525</v>
      </c>
      <c r="E858" s="1" t="s">
        <v>4177</v>
      </c>
      <c r="F858" s="1" t="s">
        <v>4861</v>
      </c>
      <c r="G858" s="1" t="s">
        <v>4869</v>
      </c>
      <c r="H858" s="1" t="s">
        <v>147</v>
      </c>
      <c r="I858" s="1" t="s">
        <v>120</v>
      </c>
      <c r="K858" s="1" t="s">
        <v>1722</v>
      </c>
      <c r="L858" s="1" t="s">
        <v>4188</v>
      </c>
      <c r="M858" s="1" t="s">
        <v>3245</v>
      </c>
      <c r="N858" s="1" t="s">
        <v>1841</v>
      </c>
      <c r="O858" s="1" t="s">
        <v>4165</v>
      </c>
      <c r="P858" s="1" t="s">
        <v>4190</v>
      </c>
      <c r="Q858" s="1" t="s">
        <v>3276</v>
      </c>
      <c r="S858" s="1" t="s">
        <v>78</v>
      </c>
      <c r="T858" s="1">
        <v>17499</v>
      </c>
      <c r="U858" s="1" t="s">
        <v>1082</v>
      </c>
      <c r="V858" s="1" t="s">
        <v>4184</v>
      </c>
      <c r="W858" s="1" t="s">
        <v>4870</v>
      </c>
      <c r="X858" s="1" t="s">
        <v>4731</v>
      </c>
    </row>
    <row r="859" spans="1:29" ht="15.75" customHeight="1" x14ac:dyDescent="0.35">
      <c r="A859" s="1" t="s">
        <v>112</v>
      </c>
      <c r="B859" s="1" t="s">
        <v>4871</v>
      </c>
      <c r="C859" s="1" t="s">
        <v>3748</v>
      </c>
      <c r="D859" s="1" t="s">
        <v>3522</v>
      </c>
      <c r="F859" s="1" t="s">
        <v>1429</v>
      </c>
      <c r="G859" s="1" t="s">
        <v>2488</v>
      </c>
      <c r="H859" s="1" t="s">
        <v>4872</v>
      </c>
      <c r="I859" s="1" t="s">
        <v>120</v>
      </c>
      <c r="K859" s="1" t="s">
        <v>121</v>
      </c>
      <c r="M859" s="1" t="s">
        <v>3530</v>
      </c>
      <c r="N859" s="1" t="s">
        <v>1841</v>
      </c>
      <c r="O859" s="1" t="s">
        <v>4165</v>
      </c>
      <c r="P859" s="1" t="s">
        <v>4853</v>
      </c>
      <c r="Q859" s="1" t="s">
        <v>4873</v>
      </c>
      <c r="S859" s="1" t="s">
        <v>78</v>
      </c>
      <c r="T859" s="1">
        <v>20499</v>
      </c>
      <c r="U859" s="1" t="s">
        <v>1082</v>
      </c>
      <c r="V859" s="1" t="s">
        <v>4874</v>
      </c>
      <c r="W859" s="1" t="s">
        <v>4875</v>
      </c>
      <c r="X859" s="1" t="s">
        <v>4731</v>
      </c>
      <c r="AC859" s="1" t="s">
        <v>4876</v>
      </c>
    </row>
    <row r="860" spans="1:29" ht="15.75" customHeight="1" x14ac:dyDescent="0.35">
      <c r="A860" s="1" t="s">
        <v>112</v>
      </c>
      <c r="B860" s="1" t="s">
        <v>4877</v>
      </c>
      <c r="C860" s="1" t="s">
        <v>4590</v>
      </c>
      <c r="D860" s="1" t="s">
        <v>3522</v>
      </c>
      <c r="F860" s="1" t="s">
        <v>4878</v>
      </c>
      <c r="G860" s="1" t="s">
        <v>3940</v>
      </c>
      <c r="H860" s="1" t="s">
        <v>4879</v>
      </c>
      <c r="I860" s="1" t="s">
        <v>74</v>
      </c>
      <c r="K860" s="1" t="s">
        <v>1722</v>
      </c>
      <c r="L860" s="1" t="s">
        <v>1317</v>
      </c>
      <c r="M860" s="1" t="s">
        <v>4880</v>
      </c>
      <c r="N860" s="1" t="s">
        <v>4881</v>
      </c>
      <c r="O860" s="1" t="s">
        <v>4882</v>
      </c>
      <c r="P860" s="1" t="s">
        <v>4883</v>
      </c>
      <c r="Q860" s="1" t="s">
        <v>4884</v>
      </c>
      <c r="S860" s="1" t="s">
        <v>129</v>
      </c>
      <c r="T860" s="1">
        <v>19999</v>
      </c>
      <c r="U860" s="1" t="s">
        <v>1082</v>
      </c>
      <c r="V860" s="1" t="s">
        <v>4184</v>
      </c>
      <c r="X860" s="1" t="s">
        <v>4885</v>
      </c>
    </row>
    <row r="861" spans="1:29" ht="15.75" customHeight="1" x14ac:dyDescent="0.35">
      <c r="A861" s="1" t="s">
        <v>30</v>
      </c>
      <c r="B861" s="1" t="s">
        <v>4886</v>
      </c>
      <c r="C861" s="1" t="s">
        <v>3748</v>
      </c>
      <c r="D861" s="1" t="s">
        <v>4864</v>
      </c>
      <c r="F861" s="1" t="s">
        <v>2110</v>
      </c>
      <c r="G861" s="1" t="s">
        <v>1120</v>
      </c>
      <c r="H861" s="1" t="s">
        <v>4887</v>
      </c>
      <c r="I861" s="1" t="s">
        <v>120</v>
      </c>
      <c r="K861" s="1" t="s">
        <v>1722</v>
      </c>
      <c r="L861" s="1" t="s">
        <v>2434</v>
      </c>
      <c r="M861" s="1" t="s">
        <v>3889</v>
      </c>
      <c r="N861" s="1" t="s">
        <v>373</v>
      </c>
      <c r="O861" s="1" t="s">
        <v>4888</v>
      </c>
      <c r="P861" s="1" t="s">
        <v>4337</v>
      </c>
      <c r="Q861" s="1" t="s">
        <v>4249</v>
      </c>
      <c r="R861" s="1" t="s">
        <v>4842</v>
      </c>
      <c r="S861" s="1" t="s">
        <v>78</v>
      </c>
      <c r="T861" s="1">
        <v>17499</v>
      </c>
      <c r="U861" s="1" t="s">
        <v>1082</v>
      </c>
      <c r="V861" s="1" t="s">
        <v>4430</v>
      </c>
      <c r="W861" s="1" t="s">
        <v>4889</v>
      </c>
    </row>
    <row r="862" spans="1:29" ht="15.75" customHeight="1" x14ac:dyDescent="0.35">
      <c r="A862" s="1" t="s">
        <v>151</v>
      </c>
      <c r="B862" s="1" t="s">
        <v>4890</v>
      </c>
      <c r="C862" s="1" t="s">
        <v>3668</v>
      </c>
      <c r="D862" s="1" t="s">
        <v>3522</v>
      </c>
      <c r="F862" s="1" t="s">
        <v>4891</v>
      </c>
      <c r="G862" s="1" t="s">
        <v>2016</v>
      </c>
      <c r="H862" s="1" t="s">
        <v>4892</v>
      </c>
      <c r="I862" s="1" t="s">
        <v>616</v>
      </c>
      <c r="K862" s="1" t="s">
        <v>90</v>
      </c>
      <c r="L862" s="1" t="s">
        <v>1175</v>
      </c>
      <c r="M862" s="1" t="s">
        <v>3836</v>
      </c>
      <c r="N862" s="1" t="s">
        <v>2468</v>
      </c>
      <c r="O862" s="1" t="s">
        <v>4893</v>
      </c>
      <c r="P862" s="1" t="s">
        <v>4894</v>
      </c>
      <c r="Q862" s="1" t="s">
        <v>230</v>
      </c>
      <c r="R862" s="1" t="s">
        <v>4895</v>
      </c>
      <c r="S862" s="1" t="s">
        <v>129</v>
      </c>
      <c r="T862" s="1">
        <v>39499</v>
      </c>
      <c r="U862" s="1" t="s">
        <v>1082</v>
      </c>
      <c r="V862" s="1" t="s">
        <v>3675</v>
      </c>
      <c r="W862" s="1" t="s">
        <v>4896</v>
      </c>
      <c r="X862" s="1" t="s">
        <v>4897</v>
      </c>
    </row>
    <row r="863" spans="1:29" ht="15.75" customHeight="1" x14ac:dyDescent="0.35">
      <c r="B863" s="1" t="s">
        <v>4898</v>
      </c>
      <c r="C863" s="1" t="s">
        <v>3960</v>
      </c>
      <c r="D863" s="1" t="s">
        <v>4899</v>
      </c>
      <c r="E863" s="1" t="s">
        <v>4900</v>
      </c>
      <c r="F863" s="1" t="s">
        <v>4901</v>
      </c>
      <c r="G863" s="1" t="s">
        <v>1604</v>
      </c>
      <c r="H863" s="1" t="s">
        <v>4902</v>
      </c>
      <c r="I863" s="1" t="s">
        <v>120</v>
      </c>
      <c r="K863" s="1" t="s">
        <v>1722</v>
      </c>
      <c r="L863" s="1" t="s">
        <v>1257</v>
      </c>
      <c r="M863" s="1" t="s">
        <v>3561</v>
      </c>
      <c r="N863" s="1" t="s">
        <v>465</v>
      </c>
      <c r="O863" s="1" t="s">
        <v>4540</v>
      </c>
      <c r="P863" s="1" t="s">
        <v>4903</v>
      </c>
      <c r="Q863" s="1" t="s">
        <v>636</v>
      </c>
      <c r="R863" s="1" t="s">
        <v>637</v>
      </c>
      <c r="S863" s="1" t="s">
        <v>2139</v>
      </c>
      <c r="T863" s="1">
        <v>17000</v>
      </c>
      <c r="U863" s="1" t="s">
        <v>1082</v>
      </c>
      <c r="V863" s="1" t="s">
        <v>4904</v>
      </c>
      <c r="W863" s="1" t="s">
        <v>4905</v>
      </c>
      <c r="X863" s="1" t="s">
        <v>4656</v>
      </c>
      <c r="Z863" s="1" t="s">
        <v>2439</v>
      </c>
      <c r="AB863" s="1" t="s">
        <v>3096</v>
      </c>
    </row>
    <row r="864" spans="1:29" ht="15.75" customHeight="1" x14ac:dyDescent="0.35">
      <c r="B864" s="1" t="s">
        <v>4906</v>
      </c>
      <c r="C864" s="1" t="s">
        <v>3748</v>
      </c>
      <c r="D864" s="1" t="s">
        <v>4529</v>
      </c>
      <c r="F864" s="1" t="s">
        <v>4907</v>
      </c>
      <c r="G864" s="1" t="s">
        <v>4908</v>
      </c>
      <c r="H864" s="1" t="s">
        <v>4909</v>
      </c>
      <c r="I864" s="1" t="s">
        <v>1890</v>
      </c>
      <c r="K864" s="1" t="s">
        <v>4815</v>
      </c>
      <c r="L864" s="1" t="s">
        <v>4804</v>
      </c>
      <c r="M864" s="1" t="s">
        <v>4358</v>
      </c>
      <c r="N864" s="1" t="s">
        <v>2257</v>
      </c>
      <c r="O864" s="1" t="s">
        <v>4910</v>
      </c>
      <c r="P864" s="1" t="s">
        <v>4911</v>
      </c>
      <c r="Q864" s="1" t="s">
        <v>4912</v>
      </c>
      <c r="R864" s="1" t="s">
        <v>4208</v>
      </c>
      <c r="S864" s="1" t="s">
        <v>165</v>
      </c>
      <c r="T864" s="1">
        <v>38150</v>
      </c>
      <c r="U864" s="1" t="s">
        <v>1082</v>
      </c>
      <c r="V864" s="1" t="s">
        <v>4219</v>
      </c>
      <c r="W864" s="1" t="s">
        <v>4913</v>
      </c>
      <c r="X864" s="1" t="s">
        <v>4914</v>
      </c>
    </row>
    <row r="865" spans="1:29" ht="15.75" customHeight="1" x14ac:dyDescent="0.35">
      <c r="A865" s="1" t="s">
        <v>81</v>
      </c>
      <c r="B865" s="1" t="s">
        <v>4915</v>
      </c>
      <c r="C865" s="1" t="s">
        <v>4590</v>
      </c>
      <c r="D865" s="1" t="s">
        <v>4916</v>
      </c>
      <c r="E865" s="1" t="s">
        <v>4900</v>
      </c>
      <c r="F865" s="1" t="s">
        <v>2110</v>
      </c>
      <c r="G865" s="1" t="s">
        <v>3898</v>
      </c>
      <c r="H865" s="1" t="s">
        <v>4917</v>
      </c>
      <c r="I865" s="1" t="s">
        <v>3653</v>
      </c>
      <c r="K865" s="1" t="s">
        <v>101</v>
      </c>
      <c r="L865" s="1" t="s">
        <v>4918</v>
      </c>
      <c r="M865" s="1" t="s">
        <v>4919</v>
      </c>
      <c r="O865" s="1" t="s">
        <v>4920</v>
      </c>
      <c r="P865" s="1" t="s">
        <v>4921</v>
      </c>
      <c r="Q865" s="1" t="s">
        <v>3367</v>
      </c>
      <c r="R865" s="1" t="s">
        <v>64</v>
      </c>
      <c r="S865" s="1" t="s">
        <v>78</v>
      </c>
      <c r="T865" s="1">
        <v>18000</v>
      </c>
      <c r="U865" s="1" t="s">
        <v>1082</v>
      </c>
      <c r="V865" s="1" t="s">
        <v>4113</v>
      </c>
      <c r="Z865" s="1" t="s">
        <v>2438</v>
      </c>
    </row>
    <row r="866" spans="1:29" ht="15.75" customHeight="1" x14ac:dyDescent="0.35">
      <c r="A866" s="1" t="s">
        <v>81</v>
      </c>
      <c r="B866" s="1" t="s">
        <v>4524</v>
      </c>
      <c r="C866" s="1" t="s">
        <v>4922</v>
      </c>
      <c r="D866" s="1" t="s">
        <v>4813</v>
      </c>
      <c r="E866" s="1" t="s">
        <v>4923</v>
      </c>
      <c r="F866" s="1" t="s">
        <v>3943</v>
      </c>
      <c r="G866" s="1" t="s">
        <v>4924</v>
      </c>
      <c r="H866" s="1" t="s">
        <v>4925</v>
      </c>
      <c r="I866" s="1" t="s">
        <v>120</v>
      </c>
      <c r="K866" s="1" t="s">
        <v>121</v>
      </c>
      <c r="L866" s="1" t="s">
        <v>4926</v>
      </c>
      <c r="M866" s="1" t="s">
        <v>3498</v>
      </c>
      <c r="N866" s="1" t="s">
        <v>4927</v>
      </c>
      <c r="O866" s="1" t="s">
        <v>4331</v>
      </c>
      <c r="P866" s="1" t="s">
        <v>3499</v>
      </c>
      <c r="Q866" s="1" t="s">
        <v>4328</v>
      </c>
      <c r="R866" s="1" t="s">
        <v>4928</v>
      </c>
      <c r="S866" s="1" t="s">
        <v>78</v>
      </c>
      <c r="T866" s="1">
        <v>26499</v>
      </c>
      <c r="U866" s="1" t="s">
        <v>1082</v>
      </c>
      <c r="V866" s="1" t="s">
        <v>3753</v>
      </c>
      <c r="X866" s="1" t="s">
        <v>3754</v>
      </c>
    </row>
    <row r="867" spans="1:29" ht="15.75" customHeight="1" x14ac:dyDescent="0.35">
      <c r="A867" s="1" t="s">
        <v>81</v>
      </c>
      <c r="B867" s="1" t="s">
        <v>4524</v>
      </c>
      <c r="C867" s="1" t="s">
        <v>3748</v>
      </c>
      <c r="D867" s="1" t="s">
        <v>4929</v>
      </c>
      <c r="E867" s="1" t="s">
        <v>4177</v>
      </c>
      <c r="F867" s="1" t="s">
        <v>4094</v>
      </c>
      <c r="G867" s="1" t="s">
        <v>4930</v>
      </c>
      <c r="H867" s="1" t="s">
        <v>4925</v>
      </c>
      <c r="I867" s="1" t="s">
        <v>120</v>
      </c>
      <c r="K867" s="1" t="s">
        <v>121</v>
      </c>
      <c r="L867" s="1" t="s">
        <v>3497</v>
      </c>
      <c r="M867" s="1" t="s">
        <v>4526</v>
      </c>
      <c r="O867" s="1" t="s">
        <v>4931</v>
      </c>
      <c r="P867" s="1" t="s">
        <v>3499</v>
      </c>
      <c r="Q867" s="1" t="s">
        <v>4328</v>
      </c>
      <c r="R867" s="1" t="s">
        <v>3459</v>
      </c>
      <c r="S867" s="1" t="s">
        <v>78</v>
      </c>
      <c r="T867" s="1">
        <v>27499</v>
      </c>
      <c r="U867" s="1" t="s">
        <v>1082</v>
      </c>
      <c r="V867" s="1" t="s">
        <v>3753</v>
      </c>
      <c r="Z867" s="1" t="s">
        <v>2438</v>
      </c>
    </row>
    <row r="868" spans="1:29" ht="15.75" customHeight="1" x14ac:dyDescent="0.35">
      <c r="A868" s="1" t="s">
        <v>112</v>
      </c>
      <c r="B868" s="1" t="s">
        <v>4932</v>
      </c>
      <c r="C868" s="1" t="s">
        <v>4933</v>
      </c>
      <c r="D868" s="1" t="s">
        <v>4934</v>
      </c>
      <c r="F868" s="1" t="s">
        <v>599</v>
      </c>
      <c r="G868" s="1" t="s">
        <v>72</v>
      </c>
      <c r="H868" s="1" t="s">
        <v>4935</v>
      </c>
      <c r="I868" s="1" t="s">
        <v>120</v>
      </c>
      <c r="K868" s="1" t="s">
        <v>90</v>
      </c>
      <c r="L868" s="1" t="s">
        <v>4936</v>
      </c>
      <c r="M868" s="1" t="s">
        <v>4937</v>
      </c>
      <c r="N868" s="1" t="s">
        <v>1841</v>
      </c>
      <c r="O868" s="1" t="s">
        <v>4938</v>
      </c>
      <c r="P868" s="1" t="s">
        <v>4939</v>
      </c>
      <c r="Q868" s="1" t="s">
        <v>4940</v>
      </c>
      <c r="R868" s="1" t="s">
        <v>4941</v>
      </c>
      <c r="S868" s="1" t="s">
        <v>78</v>
      </c>
      <c r="T868" s="1">
        <v>31500</v>
      </c>
      <c r="U868" s="1" t="s">
        <v>1082</v>
      </c>
      <c r="V868" s="1" t="s">
        <v>4942</v>
      </c>
      <c r="AA868" s="1" t="s">
        <v>2439</v>
      </c>
    </row>
    <row r="869" spans="1:29" ht="15.75" customHeight="1" x14ac:dyDescent="0.35">
      <c r="A869" s="1" t="s">
        <v>81</v>
      </c>
      <c r="B869" s="1" t="s">
        <v>4759</v>
      </c>
      <c r="C869" s="1" t="s">
        <v>2380</v>
      </c>
      <c r="D869" s="1" t="s">
        <v>4546</v>
      </c>
      <c r="E869" s="1" t="s">
        <v>3670</v>
      </c>
      <c r="F869" s="1" t="s">
        <v>4943</v>
      </c>
      <c r="G869" s="1" t="s">
        <v>4944</v>
      </c>
      <c r="H869" s="1" t="s">
        <v>4945</v>
      </c>
      <c r="I869" s="1" t="s">
        <v>120</v>
      </c>
      <c r="K869" s="1" t="s">
        <v>101</v>
      </c>
      <c r="L869" s="1" t="s">
        <v>3744</v>
      </c>
      <c r="M869" s="1" t="s">
        <v>4946</v>
      </c>
      <c r="N869" s="1" t="s">
        <v>4947</v>
      </c>
      <c r="O869" s="1" t="s">
        <v>4948</v>
      </c>
      <c r="P869" s="1" t="s">
        <v>4763</v>
      </c>
      <c r="Q869" s="1">
        <v>1.6319999999999999</v>
      </c>
      <c r="R869" s="1" t="s">
        <v>4765</v>
      </c>
      <c r="S869" s="1" t="s">
        <v>4949</v>
      </c>
      <c r="T869" s="1">
        <v>18549</v>
      </c>
      <c r="U869" s="1" t="s">
        <v>1082</v>
      </c>
      <c r="V869" s="1" t="s">
        <v>4950</v>
      </c>
      <c r="Z869" s="1" t="s">
        <v>2438</v>
      </c>
    </row>
    <row r="870" spans="1:29" ht="15.75" customHeight="1" x14ac:dyDescent="0.35">
      <c r="B870" s="1" t="s">
        <v>4951</v>
      </c>
      <c r="C870" s="1" t="s">
        <v>3748</v>
      </c>
      <c r="D870" s="1" t="s">
        <v>4007</v>
      </c>
      <c r="F870" s="1" t="s">
        <v>4952</v>
      </c>
      <c r="G870" s="1" t="s">
        <v>4953</v>
      </c>
      <c r="H870" s="1" t="s">
        <v>4954</v>
      </c>
      <c r="I870" s="1" t="s">
        <v>120</v>
      </c>
      <c r="K870" s="1" t="s">
        <v>2447</v>
      </c>
      <c r="L870" s="1" t="s">
        <v>2221</v>
      </c>
      <c r="M870" s="1" t="s">
        <v>4358</v>
      </c>
      <c r="N870" s="1" t="s">
        <v>4955</v>
      </c>
      <c r="O870" s="1" t="s">
        <v>4956</v>
      </c>
      <c r="P870" s="1" t="s">
        <v>4911</v>
      </c>
      <c r="Q870" s="1" t="s">
        <v>4249</v>
      </c>
      <c r="R870" s="1" t="s">
        <v>4218</v>
      </c>
      <c r="S870" s="1" t="s">
        <v>4949</v>
      </c>
      <c r="T870" s="1">
        <v>42700</v>
      </c>
      <c r="U870" s="1" t="s">
        <v>1082</v>
      </c>
      <c r="V870" s="1" t="s">
        <v>4957</v>
      </c>
      <c r="W870" s="1" t="s">
        <v>4958</v>
      </c>
      <c r="X870" s="1" t="s">
        <v>4959</v>
      </c>
    </row>
    <row r="871" spans="1:29" ht="15.75" customHeight="1" x14ac:dyDescent="0.35">
      <c r="B871" s="1" t="s">
        <v>4960</v>
      </c>
      <c r="C871" s="1" t="s">
        <v>3748</v>
      </c>
      <c r="D871" s="1" t="s">
        <v>4916</v>
      </c>
      <c r="E871" s="1" t="s">
        <v>4073</v>
      </c>
      <c r="F871" s="1" t="s">
        <v>4961</v>
      </c>
      <c r="G871" s="1" t="s">
        <v>1604</v>
      </c>
      <c r="H871" s="1" t="s">
        <v>4962</v>
      </c>
      <c r="I871" s="1" t="s">
        <v>120</v>
      </c>
      <c r="K871" s="1" t="s">
        <v>1722</v>
      </c>
      <c r="L871" s="1" t="s">
        <v>1257</v>
      </c>
      <c r="M871" s="1" t="s">
        <v>4963</v>
      </c>
      <c r="N871" s="1" t="s">
        <v>2468</v>
      </c>
      <c r="O871" s="1" t="s">
        <v>4964</v>
      </c>
      <c r="P871" s="1" t="s">
        <v>4265</v>
      </c>
      <c r="Q871" s="1" t="s">
        <v>359</v>
      </c>
      <c r="R871" s="1" t="s">
        <v>3772</v>
      </c>
      <c r="S871" s="1" t="s">
        <v>2139</v>
      </c>
      <c r="T871" s="1">
        <v>18250</v>
      </c>
      <c r="U871" s="1" t="s">
        <v>1082</v>
      </c>
      <c r="V871" s="1" t="s">
        <v>4957</v>
      </c>
      <c r="W871" s="1" t="s">
        <v>4965</v>
      </c>
      <c r="X871" s="1" t="s">
        <v>4966</v>
      </c>
      <c r="AA871" s="1" t="s">
        <v>2439</v>
      </c>
      <c r="AB871" s="1" t="s">
        <v>3096</v>
      </c>
    </row>
    <row r="872" spans="1:29" ht="15.75" customHeight="1" x14ac:dyDescent="0.35">
      <c r="A872" s="1" t="s">
        <v>151</v>
      </c>
      <c r="B872" s="1" t="s">
        <v>3022</v>
      </c>
      <c r="C872" s="1" t="s">
        <v>4590</v>
      </c>
      <c r="D872" s="1" t="s">
        <v>4967</v>
      </c>
      <c r="F872" s="1" t="s">
        <v>4968</v>
      </c>
      <c r="G872" s="1" t="s">
        <v>4969</v>
      </c>
      <c r="H872" s="1" t="s">
        <v>4970</v>
      </c>
      <c r="I872" s="1" t="s">
        <v>616</v>
      </c>
      <c r="K872" s="1" t="s">
        <v>121</v>
      </c>
      <c r="L872" s="1" t="s">
        <v>3284</v>
      </c>
      <c r="M872" s="1" t="s">
        <v>4614</v>
      </c>
      <c r="N872" s="1" t="s">
        <v>2876</v>
      </c>
      <c r="O872" s="1" t="s">
        <v>4971</v>
      </c>
      <c r="P872" s="1" t="s">
        <v>4972</v>
      </c>
      <c r="Q872" s="1" t="s">
        <v>4389</v>
      </c>
      <c r="R872" s="1" t="s">
        <v>1409</v>
      </c>
      <c r="S872" s="1" t="s">
        <v>78</v>
      </c>
      <c r="T872" s="1">
        <v>28000</v>
      </c>
      <c r="U872" s="1" t="s">
        <v>1082</v>
      </c>
      <c r="V872" s="1" t="s">
        <v>4973</v>
      </c>
    </row>
    <row r="873" spans="1:29" ht="15.75" customHeight="1" x14ac:dyDescent="0.35">
      <c r="A873" s="1" t="s">
        <v>81</v>
      </c>
      <c r="B873" s="1" t="s">
        <v>4524</v>
      </c>
      <c r="C873" s="1" t="s">
        <v>4974</v>
      </c>
      <c r="D873" s="1" t="s">
        <v>4340</v>
      </c>
      <c r="E873" s="1" t="s">
        <v>4177</v>
      </c>
      <c r="F873" s="1" t="s">
        <v>4975</v>
      </c>
      <c r="G873" s="1" t="s">
        <v>3898</v>
      </c>
      <c r="H873" s="1" t="s">
        <v>4330</v>
      </c>
      <c r="I873" s="1" t="s">
        <v>3653</v>
      </c>
      <c r="K873" s="1" t="s">
        <v>101</v>
      </c>
      <c r="L873" s="1" t="s">
        <v>3497</v>
      </c>
      <c r="M873" s="1" t="s">
        <v>3498</v>
      </c>
      <c r="O873" s="1" t="s">
        <v>4976</v>
      </c>
      <c r="P873" s="1" t="s">
        <v>3499</v>
      </c>
      <c r="Q873" s="1" t="s">
        <v>4092</v>
      </c>
      <c r="R873" s="1" t="s">
        <v>3459</v>
      </c>
      <c r="S873" s="1" t="s">
        <v>78</v>
      </c>
      <c r="T873" s="1">
        <v>25000</v>
      </c>
      <c r="U873" s="1" t="s">
        <v>1082</v>
      </c>
      <c r="V873" s="1" t="s">
        <v>4977</v>
      </c>
      <c r="Z873" s="1" t="s">
        <v>2438</v>
      </c>
      <c r="AA873" s="1" t="s">
        <v>2439</v>
      </c>
      <c r="AB873" s="1" t="s">
        <v>3096</v>
      </c>
    </row>
    <row r="874" spans="1:29" ht="15.75" customHeight="1" x14ac:dyDescent="0.35">
      <c r="A874" s="1" t="s">
        <v>112</v>
      </c>
      <c r="B874" s="1" t="s">
        <v>4978</v>
      </c>
      <c r="C874" s="1" t="s">
        <v>4590</v>
      </c>
      <c r="D874" s="1" t="s">
        <v>4186</v>
      </c>
      <c r="E874" s="1" t="s">
        <v>4923</v>
      </c>
      <c r="F874" s="1" t="s">
        <v>4979</v>
      </c>
      <c r="G874" s="1" t="s">
        <v>1120</v>
      </c>
      <c r="H874" s="1" t="s">
        <v>2399</v>
      </c>
      <c r="I874" s="1" t="s">
        <v>616</v>
      </c>
      <c r="J874" s="1" t="s">
        <v>971</v>
      </c>
      <c r="K874" s="1" t="s">
        <v>121</v>
      </c>
      <c r="L874" s="1" t="s">
        <v>4980</v>
      </c>
      <c r="M874" s="1" t="s">
        <v>4981</v>
      </c>
      <c r="N874" s="1" t="s">
        <v>4982</v>
      </c>
      <c r="O874" s="1" t="s">
        <v>4983</v>
      </c>
      <c r="P874" s="1" t="s">
        <v>4521</v>
      </c>
      <c r="Q874" s="1" t="s">
        <v>3276</v>
      </c>
      <c r="R874" s="1" t="s">
        <v>767</v>
      </c>
      <c r="S874" s="1" t="s">
        <v>78</v>
      </c>
      <c r="T874" s="1">
        <v>25000</v>
      </c>
      <c r="U874" s="1" t="s">
        <v>1082</v>
      </c>
      <c r="V874" s="1" t="s">
        <v>4194</v>
      </c>
      <c r="AB874" s="1" t="s">
        <v>3096</v>
      </c>
    </row>
    <row r="875" spans="1:29" ht="15.75" customHeight="1" x14ac:dyDescent="0.35">
      <c r="A875" s="1" t="s">
        <v>112</v>
      </c>
      <c r="B875" s="1" t="s">
        <v>4984</v>
      </c>
      <c r="C875" s="1" t="s">
        <v>4071</v>
      </c>
      <c r="D875" s="1" t="s">
        <v>4985</v>
      </c>
      <c r="E875" s="1" t="s">
        <v>4073</v>
      </c>
      <c r="F875" s="1" t="s">
        <v>4060</v>
      </c>
      <c r="G875" s="1" t="s">
        <v>3940</v>
      </c>
      <c r="H875" s="1" t="s">
        <v>3756</v>
      </c>
      <c r="I875" s="1" t="s">
        <v>120</v>
      </c>
      <c r="J875" s="1" t="s">
        <v>971</v>
      </c>
      <c r="K875" s="1" t="s">
        <v>121</v>
      </c>
      <c r="L875" s="1" t="s">
        <v>1317</v>
      </c>
      <c r="M875" s="1" t="s">
        <v>3245</v>
      </c>
      <c r="N875" s="1" t="s">
        <v>2468</v>
      </c>
      <c r="O875" s="1" t="s">
        <v>3849</v>
      </c>
      <c r="P875" s="1" t="s">
        <v>4986</v>
      </c>
      <c r="Q875" s="1" t="s">
        <v>3276</v>
      </c>
      <c r="R875" s="1" t="s">
        <v>767</v>
      </c>
      <c r="S875" s="1" t="s">
        <v>129</v>
      </c>
      <c r="T875" s="1">
        <v>25000</v>
      </c>
      <c r="U875" s="1" t="s">
        <v>1082</v>
      </c>
      <c r="V875" s="1" t="s">
        <v>4987</v>
      </c>
      <c r="AB875" s="1" t="s">
        <v>3096</v>
      </c>
    </row>
    <row r="876" spans="1:29" ht="15.75" customHeight="1" x14ac:dyDescent="0.35">
      <c r="A876" s="1" t="s">
        <v>112</v>
      </c>
      <c r="B876" s="1" t="s">
        <v>4058</v>
      </c>
      <c r="C876" s="1" t="s">
        <v>4988</v>
      </c>
      <c r="D876" s="1" t="s">
        <v>3315</v>
      </c>
      <c r="F876" s="1" t="s">
        <v>4696</v>
      </c>
      <c r="G876" s="1" t="s">
        <v>4342</v>
      </c>
      <c r="H876" s="1" t="s">
        <v>4697</v>
      </c>
      <c r="I876" s="1" t="s">
        <v>3653</v>
      </c>
      <c r="J876" s="1" t="s">
        <v>971</v>
      </c>
      <c r="K876" s="1" t="s">
        <v>101</v>
      </c>
      <c r="L876" s="1" t="s">
        <v>4699</v>
      </c>
      <c r="M876" s="1" t="s">
        <v>4700</v>
      </c>
      <c r="N876" s="1" t="s">
        <v>4701</v>
      </c>
      <c r="O876" s="1" t="s">
        <v>4702</v>
      </c>
      <c r="P876" s="1" t="s">
        <v>4703</v>
      </c>
      <c r="Q876" s="1" t="s">
        <v>2078</v>
      </c>
      <c r="R876" s="1" t="s">
        <v>64</v>
      </c>
      <c r="S876" s="1" t="s">
        <v>78</v>
      </c>
      <c r="T876" s="1">
        <v>16000</v>
      </c>
      <c r="U876" s="1" t="s">
        <v>2181</v>
      </c>
      <c r="V876" s="1" t="s">
        <v>4989</v>
      </c>
      <c r="X876" s="1" t="s">
        <v>4990</v>
      </c>
      <c r="AB876" s="1" t="s">
        <v>3096</v>
      </c>
    </row>
    <row r="877" spans="1:29" ht="15.75" customHeight="1" x14ac:dyDescent="0.35">
      <c r="A877" s="1" t="s">
        <v>81</v>
      </c>
      <c r="B877" s="1" t="s">
        <v>4991</v>
      </c>
      <c r="C877" s="1" t="s">
        <v>3668</v>
      </c>
      <c r="D877" s="1" t="s">
        <v>4072</v>
      </c>
      <c r="E877" s="1" t="s">
        <v>4177</v>
      </c>
      <c r="F877" s="1" t="s">
        <v>3943</v>
      </c>
      <c r="G877" s="1" t="s">
        <v>2521</v>
      </c>
      <c r="H877" s="1" t="s">
        <v>4761</v>
      </c>
      <c r="I877" s="1" t="s">
        <v>120</v>
      </c>
      <c r="K877" s="1" t="s">
        <v>101</v>
      </c>
      <c r="L877" s="1" t="s">
        <v>4992</v>
      </c>
      <c r="M877" s="1" t="s">
        <v>4255</v>
      </c>
      <c r="N877" s="1" t="s">
        <v>2468</v>
      </c>
      <c r="O877" s="1" t="s">
        <v>4993</v>
      </c>
      <c r="P877" s="1" t="s">
        <v>4994</v>
      </c>
      <c r="Q877" s="1" t="s">
        <v>4995</v>
      </c>
      <c r="R877" s="1" t="s">
        <v>4259</v>
      </c>
      <c r="S877" s="1" t="s">
        <v>78</v>
      </c>
      <c r="T877" s="1">
        <v>38000</v>
      </c>
      <c r="U877" s="1" t="s">
        <v>1082</v>
      </c>
      <c r="V877" s="1" t="s">
        <v>4430</v>
      </c>
    </row>
    <row r="878" spans="1:29" ht="15.75" customHeight="1" x14ac:dyDescent="0.35">
      <c r="A878" s="1" t="s">
        <v>112</v>
      </c>
      <c r="B878" s="1" t="s">
        <v>4996</v>
      </c>
      <c r="C878" s="1" t="s">
        <v>4590</v>
      </c>
      <c r="D878" s="1" t="s">
        <v>4186</v>
      </c>
      <c r="E878" s="1" t="s">
        <v>4923</v>
      </c>
      <c r="F878" s="1" t="s">
        <v>4997</v>
      </c>
      <c r="G878" s="1" t="s">
        <v>3940</v>
      </c>
      <c r="H878" s="1" t="s">
        <v>4519</v>
      </c>
      <c r="I878" s="1" t="s">
        <v>3653</v>
      </c>
      <c r="J878" s="1" t="s">
        <v>971</v>
      </c>
      <c r="K878" s="1" t="s">
        <v>2507</v>
      </c>
      <c r="L878" s="1" t="s">
        <v>3847</v>
      </c>
      <c r="M878" s="1" t="s">
        <v>3245</v>
      </c>
      <c r="N878" s="1" t="s">
        <v>3233</v>
      </c>
      <c r="O878" s="1" t="s">
        <v>4998</v>
      </c>
      <c r="P878" s="1" t="s">
        <v>4986</v>
      </c>
      <c r="Q878" s="1" t="s">
        <v>3276</v>
      </c>
      <c r="R878" s="1" t="s">
        <v>64</v>
      </c>
      <c r="S878" s="1" t="s">
        <v>78</v>
      </c>
      <c r="T878" s="1">
        <v>38000</v>
      </c>
      <c r="U878" s="1" t="s">
        <v>1082</v>
      </c>
      <c r="V878" s="1" t="s">
        <v>4999</v>
      </c>
    </row>
    <row r="879" spans="1:29" ht="15.75" customHeight="1" x14ac:dyDescent="0.35">
      <c r="A879" s="1" t="s">
        <v>81</v>
      </c>
      <c r="B879" s="1" t="s">
        <v>5000</v>
      </c>
      <c r="C879" s="1" t="s">
        <v>4708</v>
      </c>
      <c r="D879" s="1" t="s">
        <v>3315</v>
      </c>
      <c r="E879" s="1" t="s">
        <v>5001</v>
      </c>
      <c r="F879" s="1" t="s">
        <v>5002</v>
      </c>
      <c r="G879" s="1" t="s">
        <v>4089</v>
      </c>
      <c r="H879" s="1" t="s">
        <v>5003</v>
      </c>
      <c r="I879" s="1" t="s">
        <v>120</v>
      </c>
      <c r="J879" s="1" t="s">
        <v>971</v>
      </c>
      <c r="K879" s="1" t="s">
        <v>5004</v>
      </c>
      <c r="M879" s="1" t="s">
        <v>5005</v>
      </c>
      <c r="N879" s="1" t="s">
        <v>5006</v>
      </c>
      <c r="O879" s="1" t="s">
        <v>5007</v>
      </c>
      <c r="P879" s="1" t="s">
        <v>5008</v>
      </c>
      <c r="Q879" s="1" t="s">
        <v>5009</v>
      </c>
      <c r="R879" s="1" t="s">
        <v>301</v>
      </c>
      <c r="S879" s="1" t="s">
        <v>5010</v>
      </c>
      <c r="T879" s="1">
        <v>38000</v>
      </c>
      <c r="U879" s="1" t="s">
        <v>1082</v>
      </c>
      <c r="V879" s="1" t="s">
        <v>5011</v>
      </c>
      <c r="X879" s="1" t="s">
        <v>5012</v>
      </c>
      <c r="Z879" s="1" t="s">
        <v>2438</v>
      </c>
      <c r="AA879" s="1" t="s">
        <v>4876</v>
      </c>
      <c r="AC879" s="1" t="s">
        <v>2438</v>
      </c>
    </row>
    <row r="880" spans="1:29" ht="15.75" customHeight="1" x14ac:dyDescent="0.35">
      <c r="A880" s="1" t="s">
        <v>151</v>
      </c>
      <c r="B880" s="1" t="s">
        <v>5013</v>
      </c>
      <c r="C880" s="1" t="s">
        <v>4099</v>
      </c>
      <c r="D880" s="1" t="s">
        <v>3369</v>
      </c>
      <c r="F880" s="1" t="s">
        <v>5014</v>
      </c>
      <c r="G880" s="1" t="s">
        <v>4061</v>
      </c>
      <c r="H880" s="1" t="s">
        <v>5015</v>
      </c>
      <c r="I880" s="1" t="s">
        <v>120</v>
      </c>
      <c r="J880" s="1" t="s">
        <v>971</v>
      </c>
      <c r="K880" s="1" t="s">
        <v>2507</v>
      </c>
      <c r="L880" s="1" t="s">
        <v>1317</v>
      </c>
      <c r="M880" s="1" t="s">
        <v>5016</v>
      </c>
      <c r="N880" s="1" t="s">
        <v>3233</v>
      </c>
      <c r="O880" s="1" t="s">
        <v>5017</v>
      </c>
      <c r="P880" s="1" t="s">
        <v>3995</v>
      </c>
      <c r="Q880" s="1" t="s">
        <v>3321</v>
      </c>
      <c r="R880" s="1" t="s">
        <v>5018</v>
      </c>
      <c r="S880" s="1" t="s">
        <v>78</v>
      </c>
      <c r="T880" s="1">
        <v>19000</v>
      </c>
      <c r="U880" s="1" t="s">
        <v>2181</v>
      </c>
      <c r="V880" s="1" t="s">
        <v>5019</v>
      </c>
      <c r="X880" s="1" t="s">
        <v>5020</v>
      </c>
      <c r="Z880" s="1" t="s">
        <v>2438</v>
      </c>
      <c r="AA880" s="1" t="s">
        <v>2439</v>
      </c>
      <c r="AC880" s="1" t="s">
        <v>2438</v>
      </c>
    </row>
    <row r="881" spans="1:29" ht="15.75" customHeight="1" x14ac:dyDescent="0.35">
      <c r="A881" s="1" t="s">
        <v>30</v>
      </c>
      <c r="B881" s="1" t="s">
        <v>5021</v>
      </c>
      <c r="C881" s="1" t="s">
        <v>4099</v>
      </c>
      <c r="D881" s="1" t="s">
        <v>3315</v>
      </c>
      <c r="F881" s="1" t="s">
        <v>5022</v>
      </c>
      <c r="G881" s="1" t="s">
        <v>5023</v>
      </c>
      <c r="H881" s="1" t="s">
        <v>4335</v>
      </c>
      <c r="I881" s="1" t="s">
        <v>120</v>
      </c>
      <c r="J881" s="1" t="s">
        <v>971</v>
      </c>
      <c r="K881" s="1" t="s">
        <v>2507</v>
      </c>
      <c r="L881" s="1" t="s">
        <v>2434</v>
      </c>
      <c r="M881" s="1" t="s">
        <v>5024</v>
      </c>
      <c r="N881" s="1" t="s">
        <v>373</v>
      </c>
      <c r="O881" s="1" t="s">
        <v>5025</v>
      </c>
      <c r="P881" s="1" t="s">
        <v>5026</v>
      </c>
      <c r="Q881" s="1" t="s">
        <v>4249</v>
      </c>
      <c r="R881" s="1" t="s">
        <v>2879</v>
      </c>
      <c r="S881" s="1" t="s">
        <v>129</v>
      </c>
      <c r="T881" s="1">
        <v>19000</v>
      </c>
      <c r="U881" s="1" t="s">
        <v>2181</v>
      </c>
      <c r="V881" s="1" t="s">
        <v>5027</v>
      </c>
      <c r="X881" s="1" t="s">
        <v>4990</v>
      </c>
      <c r="AA881" s="1" t="s">
        <v>4876</v>
      </c>
      <c r="AC881" s="1" t="s">
        <v>2438</v>
      </c>
    </row>
    <row r="882" spans="1:29" ht="15.75" customHeight="1" x14ac:dyDescent="0.35">
      <c r="A882" s="1" t="s">
        <v>3729</v>
      </c>
      <c r="B882" s="1" t="s">
        <v>5028</v>
      </c>
      <c r="C882" s="1" t="s">
        <v>3731</v>
      </c>
      <c r="F882" s="1" t="s">
        <v>491</v>
      </c>
      <c r="G882" s="1" t="s">
        <v>322</v>
      </c>
      <c r="H882" s="1" t="s">
        <v>5029</v>
      </c>
      <c r="K882" s="1" t="s">
        <v>555</v>
      </c>
      <c r="M882" s="1" t="s">
        <v>5030</v>
      </c>
      <c r="N882" s="1" t="s">
        <v>5031</v>
      </c>
      <c r="O882" s="1" t="s">
        <v>5032</v>
      </c>
      <c r="Q882" s="1" t="s">
        <v>3735</v>
      </c>
      <c r="R882" s="1" t="s">
        <v>64</v>
      </c>
      <c r="S882" s="1" t="s">
        <v>78</v>
      </c>
      <c r="T882" s="1">
        <v>135000</v>
      </c>
    </row>
    <row r="883" spans="1:29" ht="15.75" customHeight="1" x14ac:dyDescent="0.35">
      <c r="A883" s="1" t="s">
        <v>151</v>
      </c>
      <c r="B883" s="1" t="s">
        <v>5033</v>
      </c>
      <c r="C883" s="1" t="s">
        <v>5034</v>
      </c>
      <c r="D883" s="1" t="s">
        <v>3270</v>
      </c>
      <c r="F883" s="1" t="s">
        <v>5035</v>
      </c>
      <c r="G883" s="1" t="s">
        <v>5036</v>
      </c>
      <c r="H883" s="1" t="s">
        <v>5037</v>
      </c>
      <c r="I883" s="1" t="s">
        <v>1015</v>
      </c>
      <c r="K883" s="1" t="s">
        <v>101</v>
      </c>
      <c r="N883" s="1" t="s">
        <v>5038</v>
      </c>
      <c r="O883" s="1" t="s">
        <v>5039</v>
      </c>
      <c r="R883" s="1" t="s">
        <v>64</v>
      </c>
      <c r="S883" s="1" t="s">
        <v>78</v>
      </c>
      <c r="T883" s="1">
        <v>35777</v>
      </c>
      <c r="W883" s="1" t="s">
        <v>5040</v>
      </c>
    </row>
    <row r="884" spans="1:29" ht="15.75" customHeight="1" x14ac:dyDescent="0.35">
      <c r="A884" s="1" t="s">
        <v>151</v>
      </c>
      <c r="B884" s="1" t="s">
        <v>3976</v>
      </c>
      <c r="C884" s="1" t="s">
        <v>5041</v>
      </c>
      <c r="D884" s="1" t="s">
        <v>3541</v>
      </c>
      <c r="F884" s="1" t="s">
        <v>3327</v>
      </c>
      <c r="G884" s="1" t="s">
        <v>156</v>
      </c>
      <c r="H884" s="1" t="s">
        <v>3342</v>
      </c>
      <c r="I884" s="1" t="s">
        <v>74</v>
      </c>
      <c r="K884" s="1" t="s">
        <v>121</v>
      </c>
      <c r="L884" s="1" t="s">
        <v>3329</v>
      </c>
      <c r="M884" s="1" t="s">
        <v>3343</v>
      </c>
      <c r="N884" s="1" t="s">
        <v>160</v>
      </c>
      <c r="O884" s="1" t="s">
        <v>3426</v>
      </c>
      <c r="P884" s="1" t="s">
        <v>3979</v>
      </c>
      <c r="Q884" s="1" t="s">
        <v>3321</v>
      </c>
      <c r="R884" s="1" t="s">
        <v>64</v>
      </c>
      <c r="S884" s="1" t="s">
        <v>129</v>
      </c>
      <c r="T884" s="1">
        <v>19999</v>
      </c>
      <c r="U884" s="1" t="s">
        <v>166</v>
      </c>
      <c r="V884" s="1" t="s">
        <v>3347</v>
      </c>
      <c r="W884" s="1" t="s">
        <v>5042</v>
      </c>
    </row>
    <row r="885" spans="1:29" ht="15.75" customHeight="1" x14ac:dyDescent="0.35">
      <c r="A885" s="1" t="s">
        <v>151</v>
      </c>
      <c r="B885" s="1" t="s">
        <v>5043</v>
      </c>
      <c r="C885" s="1" t="s">
        <v>5044</v>
      </c>
      <c r="D885" s="1" t="s">
        <v>3541</v>
      </c>
      <c r="F885" s="1" t="s">
        <v>5045</v>
      </c>
      <c r="G885" s="1" t="s">
        <v>5046</v>
      </c>
      <c r="H885" s="1" t="s">
        <v>5047</v>
      </c>
      <c r="I885" s="1" t="s">
        <v>1015</v>
      </c>
      <c r="K885" s="1" t="s">
        <v>101</v>
      </c>
      <c r="L885" s="1" t="s">
        <v>5048</v>
      </c>
      <c r="M885" s="1" t="s">
        <v>3575</v>
      </c>
      <c r="N885" s="1" t="s">
        <v>941</v>
      </c>
      <c r="O885" s="1" t="s">
        <v>5049</v>
      </c>
      <c r="P885" s="1" t="s">
        <v>5050</v>
      </c>
      <c r="Q885" s="1" t="s">
        <v>5051</v>
      </c>
      <c r="R885" s="1" t="s">
        <v>1409</v>
      </c>
      <c r="S885" s="1" t="s">
        <v>78</v>
      </c>
      <c r="T885" s="1">
        <v>37999</v>
      </c>
      <c r="U885" s="1" t="s">
        <v>79</v>
      </c>
      <c r="V885" s="1" t="s">
        <v>5052</v>
      </c>
      <c r="W885" s="1" t="s">
        <v>5053</v>
      </c>
    </row>
    <row r="886" spans="1:29" ht="15.75" customHeight="1" x14ac:dyDescent="0.35">
      <c r="A886" s="1" t="s">
        <v>234</v>
      </c>
      <c r="B886" s="1" t="s">
        <v>5054</v>
      </c>
      <c r="C886" s="1" t="s">
        <v>3894</v>
      </c>
      <c r="D886" s="1" t="s">
        <v>3782</v>
      </c>
      <c r="F886" s="1" t="s">
        <v>5055</v>
      </c>
      <c r="G886" s="1" t="s">
        <v>5056</v>
      </c>
      <c r="H886" s="1" t="s">
        <v>5057</v>
      </c>
      <c r="I886" s="1" t="s">
        <v>120</v>
      </c>
      <c r="K886" s="1" t="s">
        <v>101</v>
      </c>
      <c r="L886" s="1" t="s">
        <v>5058</v>
      </c>
      <c r="M886" s="1" t="s">
        <v>5059</v>
      </c>
      <c r="O886" s="1" t="s">
        <v>5060</v>
      </c>
      <c r="P886" s="1" t="s">
        <v>5061</v>
      </c>
      <c r="Q886" s="1" t="s">
        <v>4092</v>
      </c>
      <c r="R886" s="1" t="s">
        <v>2234</v>
      </c>
      <c r="S886" s="1" t="s">
        <v>78</v>
      </c>
      <c r="T886" s="1">
        <v>23999</v>
      </c>
      <c r="U886" s="1" t="s">
        <v>166</v>
      </c>
      <c r="V886" s="1" t="s">
        <v>5062</v>
      </c>
    </row>
    <row r="887" spans="1:29" ht="15.75" customHeight="1" x14ac:dyDescent="0.35">
      <c r="A887" s="1" t="s">
        <v>81</v>
      </c>
      <c r="B887" s="1" t="s">
        <v>5063</v>
      </c>
      <c r="C887" s="1" t="s">
        <v>5064</v>
      </c>
      <c r="D887" s="1" t="s">
        <v>5065</v>
      </c>
      <c r="F887" s="1" t="s">
        <v>5066</v>
      </c>
      <c r="G887" s="1" t="s">
        <v>72</v>
      </c>
      <c r="H887" s="1" t="s">
        <v>5067</v>
      </c>
      <c r="K887" s="1" t="s">
        <v>101</v>
      </c>
      <c r="L887" s="1" t="s">
        <v>5068</v>
      </c>
      <c r="M887" s="1" t="s">
        <v>5069</v>
      </c>
      <c r="P887" s="1" t="s">
        <v>5070</v>
      </c>
      <c r="R887" s="1" t="s">
        <v>1252</v>
      </c>
      <c r="S887" s="1" t="s">
        <v>425</v>
      </c>
      <c r="T887" s="1">
        <v>57777</v>
      </c>
      <c r="V887" s="1" t="s">
        <v>5071</v>
      </c>
    </row>
    <row r="888" spans="1:29" ht="15.75" customHeight="1" x14ac:dyDescent="0.35">
      <c r="A888" s="1" t="s">
        <v>81</v>
      </c>
      <c r="B888" s="1" t="s">
        <v>5063</v>
      </c>
      <c r="C888" s="1" t="s">
        <v>5064</v>
      </c>
      <c r="D888" s="1" t="s">
        <v>5065</v>
      </c>
      <c r="F888" s="1" t="s">
        <v>5072</v>
      </c>
      <c r="G888" s="1" t="s">
        <v>72</v>
      </c>
      <c r="H888" s="1" t="s">
        <v>5067</v>
      </c>
      <c r="K888" s="1" t="s">
        <v>101</v>
      </c>
      <c r="L888" s="1" t="s">
        <v>5068</v>
      </c>
      <c r="M888" s="1" t="s">
        <v>5069</v>
      </c>
      <c r="O888" s="1" t="s">
        <v>5070</v>
      </c>
      <c r="R888" s="1" t="s">
        <v>1252</v>
      </c>
      <c r="S888" s="1" t="s">
        <v>425</v>
      </c>
      <c r="T888" s="1">
        <v>56999</v>
      </c>
      <c r="V888" s="1" t="s">
        <v>5071</v>
      </c>
    </row>
    <row r="889" spans="1:29" ht="15.75" customHeight="1" x14ac:dyDescent="0.35">
      <c r="A889" s="1" t="s">
        <v>81</v>
      </c>
      <c r="B889" s="1" t="s">
        <v>5073</v>
      </c>
      <c r="C889" s="1" t="s">
        <v>5074</v>
      </c>
      <c r="D889" s="1" t="s">
        <v>5065</v>
      </c>
      <c r="F889" s="1" t="s">
        <v>5066</v>
      </c>
      <c r="G889" s="1" t="s">
        <v>5075</v>
      </c>
      <c r="H889" s="1" t="s">
        <v>5076</v>
      </c>
      <c r="K889" s="1" t="s">
        <v>101</v>
      </c>
      <c r="L889" s="1" t="s">
        <v>5077</v>
      </c>
      <c r="M889" s="1" t="s">
        <v>5069</v>
      </c>
      <c r="O889" s="1" t="s">
        <v>5078</v>
      </c>
      <c r="R889" s="1" t="s">
        <v>1252</v>
      </c>
      <c r="S889" s="1" t="s">
        <v>425</v>
      </c>
      <c r="T889" s="1">
        <v>57777</v>
      </c>
      <c r="V889" s="1" t="s">
        <v>5079</v>
      </c>
    </row>
    <row r="890" spans="1:29" ht="15.75" customHeight="1" x14ac:dyDescent="0.35">
      <c r="A890" s="1" t="s">
        <v>81</v>
      </c>
      <c r="B890" s="1" t="s">
        <v>5073</v>
      </c>
      <c r="C890" s="1" t="s">
        <v>5080</v>
      </c>
      <c r="D890" s="1" t="s">
        <v>5065</v>
      </c>
      <c r="F890" s="1" t="s">
        <v>5081</v>
      </c>
      <c r="G890" s="1" t="s">
        <v>72</v>
      </c>
      <c r="H890" s="1" t="s">
        <v>5082</v>
      </c>
      <c r="K890" s="1" t="s">
        <v>101</v>
      </c>
      <c r="L890" s="1" t="s">
        <v>5083</v>
      </c>
      <c r="M890" s="1" t="s">
        <v>5084</v>
      </c>
      <c r="O890" s="1" t="s">
        <v>5070</v>
      </c>
      <c r="R890" s="1" t="s">
        <v>1252</v>
      </c>
      <c r="S890" s="1" t="s">
        <v>425</v>
      </c>
      <c r="T890" s="1">
        <v>43499</v>
      </c>
      <c r="V890" s="1" t="s">
        <v>5085</v>
      </c>
    </row>
    <row r="891" spans="1:29" ht="15.75" customHeight="1" x14ac:dyDescent="0.35">
      <c r="A891" s="1" t="s">
        <v>81</v>
      </c>
      <c r="B891" s="1" t="s">
        <v>5073</v>
      </c>
      <c r="C891" s="1" t="s">
        <v>3376</v>
      </c>
      <c r="D891" s="1" t="s">
        <v>5086</v>
      </c>
      <c r="F891" s="1" t="s">
        <v>5087</v>
      </c>
      <c r="G891" s="1" t="s">
        <v>72</v>
      </c>
      <c r="H891" s="1" t="s">
        <v>5088</v>
      </c>
      <c r="K891" s="1" t="s">
        <v>101</v>
      </c>
      <c r="L891" s="1" t="s">
        <v>5083</v>
      </c>
      <c r="M891" s="1" t="s">
        <v>5089</v>
      </c>
      <c r="N891" s="1" t="s">
        <v>5090</v>
      </c>
      <c r="R891" s="1" t="s">
        <v>5091</v>
      </c>
      <c r="S891" s="1" t="s">
        <v>425</v>
      </c>
      <c r="T891" s="1">
        <v>37999</v>
      </c>
      <c r="U891" s="1" t="s">
        <v>166</v>
      </c>
    </row>
    <row r="892" spans="1:29" ht="15.75" customHeight="1" x14ac:dyDescent="0.35">
      <c r="A892" s="1" t="s">
        <v>112</v>
      </c>
      <c r="B892" s="1" t="s">
        <v>5092</v>
      </c>
      <c r="C892" s="1" t="s">
        <v>3594</v>
      </c>
      <c r="D892" s="1" t="s">
        <v>3270</v>
      </c>
      <c r="F892" s="1" t="s">
        <v>5093</v>
      </c>
      <c r="G892" s="1" t="s">
        <v>5094</v>
      </c>
      <c r="H892" s="1" t="s">
        <v>5095</v>
      </c>
      <c r="I892" s="1" t="s">
        <v>275</v>
      </c>
      <c r="K892" s="1" t="s">
        <v>101</v>
      </c>
      <c r="L892" s="1" t="s">
        <v>5096</v>
      </c>
      <c r="M892" s="1" t="s">
        <v>5097</v>
      </c>
      <c r="N892" s="1" t="s">
        <v>277</v>
      </c>
      <c r="O892" s="1" t="s">
        <v>5098</v>
      </c>
      <c r="P892" s="1" t="s">
        <v>5099</v>
      </c>
      <c r="Q892" s="1" t="s">
        <v>3850</v>
      </c>
      <c r="R892" s="1" t="s">
        <v>5100</v>
      </c>
      <c r="S892" s="1" t="s">
        <v>78</v>
      </c>
      <c r="T892" s="1">
        <v>35999</v>
      </c>
      <c r="V892" s="1" t="s">
        <v>3602</v>
      </c>
      <c r="W892" s="1" t="s">
        <v>5101</v>
      </c>
    </row>
    <row r="893" spans="1:29" ht="15.75" customHeight="1" x14ac:dyDescent="0.35">
      <c r="A893" s="1" t="s">
        <v>112</v>
      </c>
      <c r="B893" s="1" t="s">
        <v>5102</v>
      </c>
      <c r="C893" s="1" t="s">
        <v>3314</v>
      </c>
      <c r="D893" s="1" t="s">
        <v>3522</v>
      </c>
      <c r="F893" s="1" t="s">
        <v>117</v>
      </c>
      <c r="G893" s="1" t="s">
        <v>5094</v>
      </c>
      <c r="H893" s="1" t="s">
        <v>5103</v>
      </c>
      <c r="I893" s="1" t="s">
        <v>120</v>
      </c>
      <c r="K893" s="1" t="s">
        <v>101</v>
      </c>
      <c r="L893" s="1" t="s">
        <v>5096</v>
      </c>
      <c r="M893" s="1" t="s">
        <v>5104</v>
      </c>
      <c r="N893" s="1" t="s">
        <v>465</v>
      </c>
      <c r="O893" s="1" t="s">
        <v>5105</v>
      </c>
      <c r="P893" s="1" t="s">
        <v>5106</v>
      </c>
      <c r="Q893" s="1" t="s">
        <v>5107</v>
      </c>
      <c r="R893" s="1" t="s">
        <v>5100</v>
      </c>
      <c r="S893" s="1" t="s">
        <v>78</v>
      </c>
      <c r="T893" s="1">
        <v>28777</v>
      </c>
      <c r="U893" s="1" t="s">
        <v>79</v>
      </c>
      <c r="V893" s="1" t="s">
        <v>3591</v>
      </c>
      <c r="W893" s="1" t="s">
        <v>5108</v>
      </c>
    </row>
    <row r="894" spans="1:29" ht="15.75" customHeight="1" x14ac:dyDescent="0.35">
      <c r="A894" s="1" t="s">
        <v>112</v>
      </c>
      <c r="B894" s="1" t="s">
        <v>5102</v>
      </c>
      <c r="C894" s="1" t="s">
        <v>3758</v>
      </c>
      <c r="D894" s="1" t="s">
        <v>3522</v>
      </c>
      <c r="F894" s="1" t="s">
        <v>363</v>
      </c>
      <c r="G894" s="1" t="s">
        <v>5094</v>
      </c>
      <c r="H894" s="1" t="s">
        <v>5109</v>
      </c>
      <c r="I894" s="1" t="s">
        <v>120</v>
      </c>
      <c r="K894" s="1" t="s">
        <v>101</v>
      </c>
      <c r="L894" s="1" t="s">
        <v>5096</v>
      </c>
      <c r="M894" s="1" t="s">
        <v>5104</v>
      </c>
      <c r="N894" s="1" t="s">
        <v>465</v>
      </c>
      <c r="O894" s="1" t="s">
        <v>5105</v>
      </c>
      <c r="P894" s="1" t="s">
        <v>5106</v>
      </c>
      <c r="Q894" s="1" t="s">
        <v>5107</v>
      </c>
      <c r="R894" s="1" t="s">
        <v>5100</v>
      </c>
      <c r="S894" s="1" t="s">
        <v>78</v>
      </c>
      <c r="T894" s="1">
        <v>28999</v>
      </c>
      <c r="U894" s="1" t="s">
        <v>79</v>
      </c>
      <c r="V894" s="1" t="s">
        <v>3591</v>
      </c>
      <c r="W894" s="1" t="s">
        <v>5110</v>
      </c>
    </row>
    <row r="895" spans="1:29" ht="15.75" customHeight="1" x14ac:dyDescent="0.35">
      <c r="A895" s="1" t="s">
        <v>151</v>
      </c>
      <c r="B895" s="1" t="s">
        <v>5111</v>
      </c>
      <c r="C895" s="1" t="s">
        <v>3437</v>
      </c>
      <c r="D895" s="1" t="s">
        <v>5112</v>
      </c>
      <c r="F895" s="1" t="s">
        <v>1349</v>
      </c>
      <c r="G895" s="1" t="s">
        <v>5046</v>
      </c>
      <c r="H895" s="1" t="s">
        <v>5113</v>
      </c>
      <c r="I895" s="1" t="s">
        <v>1015</v>
      </c>
      <c r="J895" s="1" t="s">
        <v>971</v>
      </c>
      <c r="K895" s="1" t="s">
        <v>101</v>
      </c>
      <c r="L895" s="1" t="s">
        <v>1099</v>
      </c>
      <c r="M895" s="1" t="s">
        <v>5114</v>
      </c>
      <c r="N895" s="1" t="s">
        <v>5115</v>
      </c>
      <c r="O895" s="1" t="s">
        <v>5116</v>
      </c>
      <c r="P895" s="1" t="s">
        <v>5117</v>
      </c>
      <c r="Q895" s="1" t="s">
        <v>5118</v>
      </c>
      <c r="R895" s="1" t="s">
        <v>64</v>
      </c>
      <c r="S895" s="1" t="s">
        <v>78</v>
      </c>
      <c r="T895" s="1">
        <v>46999</v>
      </c>
      <c r="V895" s="1" t="s">
        <v>5119</v>
      </c>
      <c r="W895" s="1" t="s">
        <v>5120</v>
      </c>
    </row>
    <row r="896" spans="1:29" ht="15.75" customHeight="1" x14ac:dyDescent="0.35">
      <c r="A896" s="1" t="s">
        <v>112</v>
      </c>
      <c r="B896" s="1" t="s">
        <v>5092</v>
      </c>
      <c r="C896" s="1" t="s">
        <v>1095</v>
      </c>
      <c r="D896" s="1" t="s">
        <v>350</v>
      </c>
      <c r="E896" s="1" t="s">
        <v>439</v>
      </c>
      <c r="F896" s="1" t="s">
        <v>773</v>
      </c>
      <c r="G896" s="1" t="s">
        <v>5094</v>
      </c>
      <c r="H896" s="1" t="s">
        <v>5121</v>
      </c>
      <c r="I896" s="1" t="s">
        <v>275</v>
      </c>
      <c r="K896" s="1" t="s">
        <v>101</v>
      </c>
      <c r="L896" s="1" t="s">
        <v>5096</v>
      </c>
      <c r="M896" s="1" t="s">
        <v>5097</v>
      </c>
      <c r="N896" s="1" t="s">
        <v>277</v>
      </c>
      <c r="O896" s="1" t="s">
        <v>5098</v>
      </c>
      <c r="P896" s="1" t="s">
        <v>5122</v>
      </c>
      <c r="Q896" s="1" t="s">
        <v>3850</v>
      </c>
      <c r="R896" s="1" t="s">
        <v>5100</v>
      </c>
      <c r="S896" s="1" t="s">
        <v>78</v>
      </c>
      <c r="T896" s="1">
        <v>44444</v>
      </c>
      <c r="V896" s="1" t="s">
        <v>5123</v>
      </c>
      <c r="W896" s="1" t="s">
        <v>5124</v>
      </c>
    </row>
    <row r="897" spans="1:26" ht="15.75" customHeight="1" x14ac:dyDescent="0.35">
      <c r="A897" s="1" t="s">
        <v>151</v>
      </c>
      <c r="B897" s="1" t="s">
        <v>5125</v>
      </c>
      <c r="C897" s="1" t="s">
        <v>3437</v>
      </c>
      <c r="D897" s="1" t="s">
        <v>5126</v>
      </c>
      <c r="F897" s="1" t="s">
        <v>221</v>
      </c>
      <c r="G897" s="1" t="s">
        <v>5046</v>
      </c>
      <c r="H897" s="1" t="s">
        <v>3710</v>
      </c>
      <c r="I897" s="1" t="s">
        <v>275</v>
      </c>
      <c r="J897" s="1" t="s">
        <v>971</v>
      </c>
      <c r="K897" s="1" t="s">
        <v>101</v>
      </c>
      <c r="L897" s="1" t="s">
        <v>5127</v>
      </c>
      <c r="M897" s="1" t="s">
        <v>5114</v>
      </c>
      <c r="N897" s="1" t="s">
        <v>5115</v>
      </c>
      <c r="O897" s="1" t="s">
        <v>5128</v>
      </c>
      <c r="P897" s="1" t="s">
        <v>5129</v>
      </c>
      <c r="Q897" s="1" t="s">
        <v>3346</v>
      </c>
      <c r="R897" s="1" t="s">
        <v>64</v>
      </c>
      <c r="S897" s="1" t="s">
        <v>129</v>
      </c>
      <c r="T897" s="1">
        <v>46666</v>
      </c>
      <c r="V897" s="1" t="s">
        <v>5119</v>
      </c>
      <c r="W897" s="1" t="s">
        <v>5130</v>
      </c>
    </row>
    <row r="898" spans="1:26" ht="15.75" customHeight="1" x14ac:dyDescent="0.35">
      <c r="A898" s="1" t="s">
        <v>30</v>
      </c>
      <c r="B898" s="1" t="s">
        <v>5131</v>
      </c>
      <c r="C898" s="1" t="s">
        <v>5132</v>
      </c>
      <c r="D898" s="1" t="s">
        <v>3438</v>
      </c>
      <c r="F898" s="1" t="s">
        <v>5133</v>
      </c>
      <c r="G898" s="1" t="s">
        <v>54</v>
      </c>
      <c r="H898" s="1" t="s">
        <v>5134</v>
      </c>
      <c r="I898" s="1" t="s">
        <v>275</v>
      </c>
      <c r="K898" s="1" t="s">
        <v>40</v>
      </c>
      <c r="L898" s="1" t="s">
        <v>3317</v>
      </c>
      <c r="M898" s="1" t="s">
        <v>5135</v>
      </c>
      <c r="N898" s="1" t="s">
        <v>43</v>
      </c>
      <c r="O898" s="1" t="s">
        <v>5136</v>
      </c>
      <c r="P898" s="1" t="s">
        <v>5137</v>
      </c>
      <c r="Q898" s="1" t="s">
        <v>5138</v>
      </c>
      <c r="R898" s="1" t="s">
        <v>64</v>
      </c>
      <c r="S898" s="1" t="s">
        <v>165</v>
      </c>
      <c r="T898" s="1">
        <v>94999</v>
      </c>
    </row>
    <row r="899" spans="1:26" ht="15.75" customHeight="1" x14ac:dyDescent="0.35">
      <c r="A899" s="1" t="s">
        <v>81</v>
      </c>
      <c r="B899" s="1" t="s">
        <v>5139</v>
      </c>
      <c r="C899" s="1" t="s">
        <v>3758</v>
      </c>
      <c r="D899" s="1" t="s">
        <v>5140</v>
      </c>
      <c r="F899" s="1" t="s">
        <v>5081</v>
      </c>
      <c r="G899" s="1" t="s">
        <v>5141</v>
      </c>
      <c r="H899" s="1" t="s">
        <v>5142</v>
      </c>
      <c r="I899" s="1" t="s">
        <v>120</v>
      </c>
      <c r="J899" s="1" t="s">
        <v>971</v>
      </c>
      <c r="K899" s="1" t="s">
        <v>101</v>
      </c>
      <c r="L899" s="1" t="s">
        <v>5143</v>
      </c>
      <c r="M899" s="1" t="s">
        <v>5089</v>
      </c>
      <c r="N899" s="1" t="s">
        <v>5090</v>
      </c>
      <c r="R899" s="1" t="s">
        <v>985</v>
      </c>
      <c r="S899" s="1" t="s">
        <v>78</v>
      </c>
      <c r="T899" s="1">
        <v>33333</v>
      </c>
      <c r="U899" s="1" t="s">
        <v>79</v>
      </c>
      <c r="V899" s="1" t="s">
        <v>5144</v>
      </c>
    </row>
    <row r="900" spans="1:26" ht="15.75" customHeight="1" x14ac:dyDescent="0.35">
      <c r="B900" s="1" t="s">
        <v>5145</v>
      </c>
      <c r="C900" s="1" t="s">
        <v>3588</v>
      </c>
      <c r="D900" s="1" t="s">
        <v>4163</v>
      </c>
      <c r="F900" s="1" t="s">
        <v>363</v>
      </c>
      <c r="G900" s="1" t="s">
        <v>2718</v>
      </c>
      <c r="H900" s="1" t="s">
        <v>3756</v>
      </c>
      <c r="I900" s="1" t="s">
        <v>120</v>
      </c>
      <c r="K900" s="1" t="s">
        <v>101</v>
      </c>
      <c r="L900" s="1" t="s">
        <v>3354</v>
      </c>
      <c r="M900" s="1" t="s">
        <v>3355</v>
      </c>
      <c r="N900" s="1" t="s">
        <v>3356</v>
      </c>
      <c r="O900" s="1" t="s">
        <v>3357</v>
      </c>
      <c r="P900" s="1" t="s">
        <v>3646</v>
      </c>
      <c r="Q900" s="1" t="s">
        <v>3288</v>
      </c>
      <c r="R900" s="1" t="s">
        <v>767</v>
      </c>
      <c r="S900" s="1" t="s">
        <v>78</v>
      </c>
      <c r="T900" s="1">
        <v>22999</v>
      </c>
      <c r="U900" s="1" t="s">
        <v>79</v>
      </c>
      <c r="V900" s="1" t="s">
        <v>3591</v>
      </c>
      <c r="W900" s="1" t="s">
        <v>5146</v>
      </c>
    </row>
    <row r="901" spans="1:26" ht="15.75" customHeight="1" x14ac:dyDescent="0.35">
      <c r="A901" s="1" t="s">
        <v>151</v>
      </c>
      <c r="B901" s="1" t="s">
        <v>5043</v>
      </c>
      <c r="C901" s="1" t="s">
        <v>3476</v>
      </c>
      <c r="D901" s="1" t="s">
        <v>3306</v>
      </c>
      <c r="F901" s="1" t="s">
        <v>3507</v>
      </c>
      <c r="G901" s="1" t="s">
        <v>5036</v>
      </c>
      <c r="H901" s="1" t="s">
        <v>5147</v>
      </c>
      <c r="I901" s="1" t="s">
        <v>1015</v>
      </c>
      <c r="K901" s="1" t="s">
        <v>101</v>
      </c>
      <c r="L901" s="1" t="s">
        <v>3284</v>
      </c>
      <c r="M901" s="1" t="s">
        <v>159</v>
      </c>
      <c r="N901" s="1" t="s">
        <v>5148</v>
      </c>
      <c r="O901" s="1" t="s">
        <v>5149</v>
      </c>
      <c r="P901" s="1" t="s">
        <v>5050</v>
      </c>
      <c r="Q901" s="1" t="s">
        <v>5051</v>
      </c>
      <c r="R901" s="1" t="s">
        <v>1409</v>
      </c>
      <c r="S901" s="1" t="s">
        <v>78</v>
      </c>
      <c r="T901" s="1">
        <v>37777</v>
      </c>
      <c r="U901" s="1" t="s">
        <v>79</v>
      </c>
      <c r="W901" s="1" t="s">
        <v>5150</v>
      </c>
    </row>
    <row r="902" spans="1:26" ht="15.75" customHeight="1" x14ac:dyDescent="0.35">
      <c r="A902" s="1" t="s">
        <v>112</v>
      </c>
      <c r="B902" s="1" t="s">
        <v>5151</v>
      </c>
      <c r="C902" s="1" t="s">
        <v>4590</v>
      </c>
      <c r="D902" s="1" t="s">
        <v>3522</v>
      </c>
      <c r="F902" s="1" t="s">
        <v>3939</v>
      </c>
      <c r="G902" s="1" t="s">
        <v>5152</v>
      </c>
      <c r="H902" s="1" t="s">
        <v>5153</v>
      </c>
      <c r="I902" s="1" t="s">
        <v>5154</v>
      </c>
      <c r="K902" s="1" t="s">
        <v>101</v>
      </c>
      <c r="L902" s="1" t="s">
        <v>5155</v>
      </c>
      <c r="M902" s="1" t="s">
        <v>5156</v>
      </c>
      <c r="N902" s="1" t="s">
        <v>5157</v>
      </c>
      <c r="R902" s="1" t="s">
        <v>985</v>
      </c>
      <c r="S902" s="1" t="s">
        <v>78</v>
      </c>
      <c r="T902" s="1">
        <v>24499</v>
      </c>
      <c r="U902" s="1" t="s">
        <v>1082</v>
      </c>
      <c r="V902" s="1" t="s">
        <v>4184</v>
      </c>
      <c r="W902" s="1" t="s">
        <v>5158</v>
      </c>
    </row>
    <row r="903" spans="1:26" ht="15.75" customHeight="1" x14ac:dyDescent="0.35">
      <c r="A903" s="1" t="s">
        <v>151</v>
      </c>
      <c r="B903" s="1" t="s">
        <v>5033</v>
      </c>
      <c r="C903" s="1" t="s">
        <v>1356</v>
      </c>
      <c r="D903" s="1" t="s">
        <v>5159</v>
      </c>
      <c r="F903" s="1" t="s">
        <v>1349</v>
      </c>
      <c r="G903" s="1" t="s">
        <v>5046</v>
      </c>
      <c r="H903" s="1" t="s">
        <v>5160</v>
      </c>
      <c r="I903" s="1" t="s">
        <v>1015</v>
      </c>
      <c r="K903" s="1" t="s">
        <v>101</v>
      </c>
      <c r="L903" s="1" t="s">
        <v>1099</v>
      </c>
      <c r="M903" s="1" t="s">
        <v>159</v>
      </c>
      <c r="N903" s="1" t="s">
        <v>5115</v>
      </c>
      <c r="O903" s="1" t="s">
        <v>5161</v>
      </c>
      <c r="P903" s="1" t="s">
        <v>5162</v>
      </c>
      <c r="Q903" s="1" t="s">
        <v>3547</v>
      </c>
      <c r="R903" s="1" t="s">
        <v>64</v>
      </c>
      <c r="S903" s="1" t="s">
        <v>129</v>
      </c>
      <c r="T903" s="1">
        <v>47999</v>
      </c>
      <c r="V903" s="1" t="s">
        <v>1106</v>
      </c>
      <c r="W903" s="1" t="s">
        <v>5163</v>
      </c>
    </row>
    <row r="904" spans="1:26" ht="15.75" customHeight="1" x14ac:dyDescent="0.35">
      <c r="A904" s="1" t="s">
        <v>151</v>
      </c>
      <c r="B904" s="1" t="s">
        <v>5164</v>
      </c>
      <c r="C904" s="1" t="s">
        <v>1356</v>
      </c>
      <c r="D904" s="1" t="s">
        <v>5159</v>
      </c>
      <c r="F904" s="1" t="s">
        <v>1349</v>
      </c>
      <c r="G904" s="1" t="s">
        <v>5046</v>
      </c>
      <c r="H904" s="1" t="s">
        <v>5047</v>
      </c>
      <c r="I904" s="1" t="s">
        <v>1015</v>
      </c>
      <c r="K904" s="1" t="s">
        <v>101</v>
      </c>
      <c r="L904" s="1" t="s">
        <v>5127</v>
      </c>
      <c r="M904" s="1" t="s">
        <v>159</v>
      </c>
      <c r="N904" s="1" t="s">
        <v>5115</v>
      </c>
      <c r="O904" s="1" t="s">
        <v>5161</v>
      </c>
      <c r="P904" s="1" t="s">
        <v>5050</v>
      </c>
      <c r="Q904" s="1" t="s">
        <v>5165</v>
      </c>
      <c r="R904" s="1" t="s">
        <v>64</v>
      </c>
      <c r="S904" s="1" t="s">
        <v>78</v>
      </c>
      <c r="T904" s="1">
        <v>45499</v>
      </c>
      <c r="V904" s="1" t="s">
        <v>1106</v>
      </c>
      <c r="W904" s="1" t="s">
        <v>5166</v>
      </c>
    </row>
    <row r="905" spans="1:26" ht="15.75" customHeight="1" x14ac:dyDescent="0.35">
      <c r="A905" s="1" t="s">
        <v>112</v>
      </c>
      <c r="B905" s="1" t="s">
        <v>3506</v>
      </c>
      <c r="C905" s="1" t="s">
        <v>3376</v>
      </c>
      <c r="D905" s="1" t="s">
        <v>3460</v>
      </c>
      <c r="F905" s="1" t="s">
        <v>3507</v>
      </c>
      <c r="G905" s="1" t="s">
        <v>118</v>
      </c>
      <c r="H905" s="1" t="s">
        <v>3508</v>
      </c>
      <c r="I905" s="1" t="s">
        <v>275</v>
      </c>
      <c r="K905" s="1" t="s">
        <v>201</v>
      </c>
      <c r="L905" s="1" t="s">
        <v>3509</v>
      </c>
      <c r="M905" s="1" t="s">
        <v>3510</v>
      </c>
      <c r="N905" s="1" t="s">
        <v>3511</v>
      </c>
      <c r="O905" s="1" t="s">
        <v>3512</v>
      </c>
      <c r="R905" s="1" t="s">
        <v>767</v>
      </c>
      <c r="S905" s="1" t="s">
        <v>78</v>
      </c>
      <c r="T905" s="1">
        <v>32999</v>
      </c>
      <c r="V905" s="1" t="s">
        <v>3513</v>
      </c>
      <c r="W905" s="1" t="s">
        <v>3514</v>
      </c>
    </row>
    <row r="906" spans="1:26" ht="15.75" customHeight="1" x14ac:dyDescent="0.35">
      <c r="A906" s="1" t="s">
        <v>112</v>
      </c>
      <c r="B906" s="1" t="s">
        <v>3528</v>
      </c>
      <c r="C906" s="1" t="s">
        <v>3269</v>
      </c>
      <c r="D906" s="1" t="s">
        <v>3522</v>
      </c>
      <c r="F906" s="1" t="s">
        <v>3529</v>
      </c>
      <c r="G906" s="1" t="s">
        <v>118</v>
      </c>
      <c r="H906" s="1" t="s">
        <v>3508</v>
      </c>
      <c r="I906" s="1" t="s">
        <v>120</v>
      </c>
      <c r="K906" s="1" t="s">
        <v>90</v>
      </c>
      <c r="L906" s="1" t="s">
        <v>3509</v>
      </c>
      <c r="M906" s="1" t="s">
        <v>3530</v>
      </c>
      <c r="N906" s="1" t="s">
        <v>3511</v>
      </c>
      <c r="O906" s="1" t="s">
        <v>3512</v>
      </c>
      <c r="P906" s="1" t="s">
        <v>3531</v>
      </c>
      <c r="Q906" s="1" t="s">
        <v>3532</v>
      </c>
      <c r="R906" s="1" t="s">
        <v>767</v>
      </c>
      <c r="S906" s="1" t="s">
        <v>78</v>
      </c>
      <c r="T906" s="1">
        <v>42888</v>
      </c>
      <c r="V906" s="1" t="s">
        <v>3389</v>
      </c>
      <c r="W906" s="1" t="s">
        <v>3533</v>
      </c>
    </row>
    <row r="907" spans="1:26" ht="15.75" customHeight="1" x14ac:dyDescent="0.35">
      <c r="A907" s="1" t="s">
        <v>151</v>
      </c>
      <c r="B907" s="1" t="s">
        <v>5043</v>
      </c>
      <c r="C907" s="1" t="s">
        <v>3540</v>
      </c>
      <c r="D907" s="1" t="s">
        <v>5167</v>
      </c>
      <c r="E907" s="1" t="s">
        <v>3670</v>
      </c>
      <c r="F907" s="1" t="s">
        <v>3327</v>
      </c>
      <c r="G907" s="1" t="s">
        <v>5046</v>
      </c>
      <c r="H907" s="1" t="s">
        <v>5147</v>
      </c>
      <c r="I907" s="1" t="s">
        <v>1015</v>
      </c>
      <c r="K907" s="1" t="s">
        <v>101</v>
      </c>
      <c r="L907" s="1" t="s">
        <v>3284</v>
      </c>
      <c r="M907" s="1" t="s">
        <v>159</v>
      </c>
      <c r="N907" s="1" t="s">
        <v>941</v>
      </c>
      <c r="O907" s="1" t="s">
        <v>5049</v>
      </c>
      <c r="P907" s="1" t="s">
        <v>5050</v>
      </c>
      <c r="Q907" s="1" t="s">
        <v>5051</v>
      </c>
      <c r="R907" s="1" t="s">
        <v>1409</v>
      </c>
      <c r="S907" s="1" t="s">
        <v>78</v>
      </c>
      <c r="T907" s="1">
        <v>37777</v>
      </c>
      <c r="U907" s="1" t="s">
        <v>79</v>
      </c>
      <c r="V907" s="1" t="s">
        <v>3957</v>
      </c>
      <c r="W907" s="1" t="s">
        <v>5168</v>
      </c>
      <c r="Z907" s="1" t="s">
        <v>5169</v>
      </c>
    </row>
    <row r="908" spans="1:26" ht="15.75" customHeight="1" x14ac:dyDescent="0.35">
      <c r="A908" s="1" t="s">
        <v>112</v>
      </c>
      <c r="B908" s="1" t="s">
        <v>5170</v>
      </c>
      <c r="C908" s="1" t="s">
        <v>4590</v>
      </c>
      <c r="D908" s="1" t="s">
        <v>3522</v>
      </c>
      <c r="F908" s="1" t="s">
        <v>2110</v>
      </c>
      <c r="G908" s="1" t="s">
        <v>5171</v>
      </c>
      <c r="H908" s="1" t="s">
        <v>5172</v>
      </c>
      <c r="I908" s="1" t="s">
        <v>120</v>
      </c>
      <c r="K908" s="1" t="s">
        <v>101</v>
      </c>
      <c r="R908" s="1" t="s">
        <v>985</v>
      </c>
      <c r="S908" s="1" t="s">
        <v>78</v>
      </c>
      <c r="T908" s="1">
        <v>39999</v>
      </c>
      <c r="U908" s="1" t="s">
        <v>1082</v>
      </c>
      <c r="V908" s="1" t="s">
        <v>4194</v>
      </c>
      <c r="W908" s="1" t="s">
        <v>5173</v>
      </c>
    </row>
    <row r="909" spans="1:26" ht="15.75" customHeight="1" x14ac:dyDescent="0.35">
      <c r="A909" s="1" t="s">
        <v>151</v>
      </c>
      <c r="B909" s="1" t="s">
        <v>5043</v>
      </c>
      <c r="C909" s="1" t="s">
        <v>4081</v>
      </c>
      <c r="D909" s="1" t="s">
        <v>5174</v>
      </c>
      <c r="E909" s="1" t="s">
        <v>3670</v>
      </c>
      <c r="F909" s="1" t="s">
        <v>3327</v>
      </c>
      <c r="G909" s="1" t="s">
        <v>5046</v>
      </c>
      <c r="H909" s="1" t="s">
        <v>5047</v>
      </c>
      <c r="I909" s="1" t="s">
        <v>275</v>
      </c>
      <c r="K909" s="1" t="s">
        <v>101</v>
      </c>
      <c r="L909" s="1" t="s">
        <v>3284</v>
      </c>
      <c r="M909" s="1" t="s">
        <v>159</v>
      </c>
      <c r="N909" s="1" t="s">
        <v>941</v>
      </c>
      <c r="O909" s="1" t="s">
        <v>5175</v>
      </c>
      <c r="P909" s="1" t="s">
        <v>5050</v>
      </c>
      <c r="Q909" s="1" t="s">
        <v>5051</v>
      </c>
      <c r="R909" s="1" t="s">
        <v>301</v>
      </c>
      <c r="S909" s="1" t="s">
        <v>78</v>
      </c>
      <c r="T909" s="1">
        <v>39999</v>
      </c>
      <c r="U909" s="1" t="s">
        <v>79</v>
      </c>
      <c r="V909" s="1" t="s">
        <v>5052</v>
      </c>
    </row>
    <row r="910" spans="1:26" ht="15.75" customHeight="1" x14ac:dyDescent="0.35">
      <c r="A910" s="1" t="s">
        <v>81</v>
      </c>
      <c r="B910" s="1" t="s">
        <v>5176</v>
      </c>
      <c r="C910" s="1" t="s">
        <v>4140</v>
      </c>
      <c r="D910" s="1" t="s">
        <v>3522</v>
      </c>
      <c r="F910" s="1" t="s">
        <v>5177</v>
      </c>
      <c r="G910" s="1" t="s">
        <v>5178</v>
      </c>
      <c r="H910" s="1" t="s">
        <v>5179</v>
      </c>
      <c r="I910" s="1" t="s">
        <v>616</v>
      </c>
      <c r="J910" s="1" t="s">
        <v>971</v>
      </c>
      <c r="K910" s="1" t="s">
        <v>101</v>
      </c>
      <c r="L910" s="1" t="s">
        <v>5180</v>
      </c>
      <c r="M910" s="1" t="s">
        <v>5181</v>
      </c>
      <c r="N910" s="1" t="s">
        <v>5182</v>
      </c>
      <c r="O910" s="1" t="s">
        <v>5183</v>
      </c>
      <c r="P910" s="1" t="s">
        <v>5184</v>
      </c>
      <c r="Q910" s="1" t="s">
        <v>3547</v>
      </c>
      <c r="R910" s="1" t="s">
        <v>246</v>
      </c>
      <c r="S910" s="1" t="s">
        <v>78</v>
      </c>
      <c r="T910" s="1">
        <v>31999</v>
      </c>
      <c r="U910" s="1" t="s">
        <v>79</v>
      </c>
      <c r="V910" s="1" t="s">
        <v>5144</v>
      </c>
    </row>
    <row r="911" spans="1:26" ht="15.75" customHeight="1" x14ac:dyDescent="0.35">
      <c r="A911" s="1" t="s">
        <v>81</v>
      </c>
      <c r="B911" s="1" t="s">
        <v>5063</v>
      </c>
      <c r="C911" s="1" t="s">
        <v>5185</v>
      </c>
      <c r="D911" s="1" t="s">
        <v>5065</v>
      </c>
      <c r="F911" s="1" t="s">
        <v>5087</v>
      </c>
      <c r="G911" s="1" t="s">
        <v>72</v>
      </c>
      <c r="H911" s="1" t="s">
        <v>5067</v>
      </c>
      <c r="K911" s="1" t="s">
        <v>101</v>
      </c>
      <c r="L911" s="1" t="s">
        <v>5186</v>
      </c>
      <c r="M911" s="1" t="s">
        <v>5069</v>
      </c>
      <c r="O911" s="1" t="s">
        <v>5187</v>
      </c>
      <c r="R911" s="1" t="s">
        <v>1252</v>
      </c>
      <c r="S911" s="1" t="s">
        <v>425</v>
      </c>
      <c r="T911" s="1">
        <v>43499</v>
      </c>
      <c r="V911" s="1" t="s">
        <v>5188</v>
      </c>
    </row>
    <row r="912" spans="1:26" ht="15.75" customHeight="1" x14ac:dyDescent="0.35">
      <c r="A912" s="1" t="s">
        <v>81</v>
      </c>
      <c r="B912" s="1" t="s">
        <v>5063</v>
      </c>
      <c r="C912" s="1" t="s">
        <v>3376</v>
      </c>
      <c r="D912" s="1" t="s">
        <v>5086</v>
      </c>
      <c r="F912" s="1" t="s">
        <v>5189</v>
      </c>
      <c r="G912" s="1" t="s">
        <v>5075</v>
      </c>
      <c r="H912" s="1" t="s">
        <v>5190</v>
      </c>
      <c r="K912" s="1" t="s">
        <v>101</v>
      </c>
      <c r="L912" s="1" t="s">
        <v>5068</v>
      </c>
      <c r="M912" s="1" t="s">
        <v>5084</v>
      </c>
      <c r="N912" s="1" t="s">
        <v>5191</v>
      </c>
      <c r="O912" s="1" t="s">
        <v>5070</v>
      </c>
      <c r="R912" s="1" t="s">
        <v>5091</v>
      </c>
      <c r="S912" s="1" t="s">
        <v>425</v>
      </c>
      <c r="T912" s="1">
        <v>37999</v>
      </c>
      <c r="U912" s="1" t="s">
        <v>166</v>
      </c>
      <c r="V912" s="1" t="s">
        <v>5085</v>
      </c>
    </row>
    <row r="913" spans="1:23" ht="15.75" customHeight="1" x14ac:dyDescent="0.35">
      <c r="A913" s="1" t="s">
        <v>151</v>
      </c>
      <c r="B913" s="1" t="s">
        <v>5033</v>
      </c>
      <c r="C913" s="1" t="s">
        <v>3709</v>
      </c>
      <c r="D913" s="1" t="s">
        <v>5192</v>
      </c>
      <c r="F913" s="1" t="s">
        <v>5193</v>
      </c>
      <c r="G913" s="1" t="s">
        <v>5036</v>
      </c>
      <c r="H913" s="1" t="s">
        <v>5160</v>
      </c>
      <c r="I913" s="1" t="s">
        <v>1015</v>
      </c>
      <c r="K913" s="1" t="s">
        <v>101</v>
      </c>
      <c r="N913" s="1" t="s">
        <v>5038</v>
      </c>
      <c r="O913" s="1" t="s">
        <v>5194</v>
      </c>
      <c r="P913" s="1" t="s">
        <v>5162</v>
      </c>
      <c r="Q913" s="1" t="s">
        <v>3547</v>
      </c>
      <c r="R913" s="1" t="s">
        <v>64</v>
      </c>
      <c r="S913" s="1" t="s">
        <v>78</v>
      </c>
      <c r="T913" s="1">
        <v>32999</v>
      </c>
      <c r="W913" s="1" t="s">
        <v>5195</v>
      </c>
    </row>
    <row r="914" spans="1:23" ht="15.75" customHeight="1" x14ac:dyDescent="0.35">
      <c r="A914" s="1" t="s">
        <v>151</v>
      </c>
      <c r="B914" s="1" t="s">
        <v>5164</v>
      </c>
      <c r="C914" s="1" t="s">
        <v>3709</v>
      </c>
      <c r="D914" s="1" t="s">
        <v>3438</v>
      </c>
      <c r="F914" s="1" t="s">
        <v>5193</v>
      </c>
      <c r="G914" s="1" t="s">
        <v>5036</v>
      </c>
      <c r="H914" s="1" t="s">
        <v>5047</v>
      </c>
      <c r="I914" s="1" t="s">
        <v>1015</v>
      </c>
      <c r="K914" s="1" t="s">
        <v>101</v>
      </c>
      <c r="N914" s="1" t="s">
        <v>5196</v>
      </c>
      <c r="O914" s="1" t="s">
        <v>5197</v>
      </c>
      <c r="P914" s="1" t="s">
        <v>5050</v>
      </c>
      <c r="Q914" s="1" t="s">
        <v>5165</v>
      </c>
      <c r="R914" s="1" t="s">
        <v>64</v>
      </c>
      <c r="S914" s="1" t="s">
        <v>78</v>
      </c>
      <c r="T914" s="1">
        <v>33999</v>
      </c>
      <c r="W914" s="1" t="s">
        <v>5198</v>
      </c>
    </row>
    <row r="915" spans="1:23" ht="15.75" customHeight="1" x14ac:dyDescent="0.35">
      <c r="A915" s="1" t="s">
        <v>112</v>
      </c>
      <c r="B915" s="1" t="s">
        <v>5092</v>
      </c>
      <c r="C915" s="1" t="s">
        <v>5034</v>
      </c>
      <c r="D915" s="1" t="s">
        <v>3270</v>
      </c>
      <c r="F915" s="1" t="s">
        <v>773</v>
      </c>
      <c r="G915" s="1" t="s">
        <v>5094</v>
      </c>
      <c r="H915" s="1" t="s">
        <v>5095</v>
      </c>
      <c r="I915" s="1" t="s">
        <v>275</v>
      </c>
      <c r="K915" s="1" t="s">
        <v>101</v>
      </c>
      <c r="L915" s="1" t="s">
        <v>5096</v>
      </c>
      <c r="M915" s="1" t="s">
        <v>5097</v>
      </c>
      <c r="N915" s="1" t="s">
        <v>277</v>
      </c>
      <c r="O915" s="1" t="s">
        <v>5098</v>
      </c>
      <c r="P915" s="1" t="s">
        <v>5099</v>
      </c>
      <c r="Q915" s="1" t="s">
        <v>3850</v>
      </c>
      <c r="R915" s="1" t="s">
        <v>5100</v>
      </c>
      <c r="S915" s="1" t="s">
        <v>78</v>
      </c>
      <c r="T915" s="1">
        <v>30499</v>
      </c>
      <c r="V915" s="1" t="s">
        <v>5199</v>
      </c>
      <c r="W915" s="1" t="s">
        <v>5200</v>
      </c>
    </row>
    <row r="916" spans="1:23" ht="15.75" customHeight="1" x14ac:dyDescent="0.35">
      <c r="A916" s="1" t="s">
        <v>112</v>
      </c>
      <c r="B916" s="1" t="s">
        <v>5102</v>
      </c>
      <c r="C916" s="1" t="s">
        <v>3476</v>
      </c>
      <c r="D916" s="1" t="s">
        <v>3522</v>
      </c>
      <c r="F916" s="1" t="s">
        <v>1426</v>
      </c>
      <c r="G916" s="1" t="s">
        <v>5094</v>
      </c>
      <c r="H916" s="1" t="s">
        <v>5103</v>
      </c>
      <c r="I916" s="1" t="s">
        <v>120</v>
      </c>
      <c r="K916" s="1" t="s">
        <v>101</v>
      </c>
      <c r="L916" s="1" t="s">
        <v>5096</v>
      </c>
      <c r="M916" s="1" t="s">
        <v>5104</v>
      </c>
      <c r="N916" s="1" t="s">
        <v>465</v>
      </c>
      <c r="O916" s="1" t="s">
        <v>5105</v>
      </c>
      <c r="P916" s="1" t="s">
        <v>5106</v>
      </c>
      <c r="Q916" s="1" t="s">
        <v>5107</v>
      </c>
      <c r="R916" s="1" t="s">
        <v>5100</v>
      </c>
      <c r="S916" s="1" t="s">
        <v>78</v>
      </c>
      <c r="T916" s="1">
        <v>33333</v>
      </c>
      <c r="U916" s="1" t="s">
        <v>79</v>
      </c>
      <c r="V916" s="1" t="s">
        <v>3385</v>
      </c>
      <c r="W916" s="1" t="s">
        <v>5201</v>
      </c>
    </row>
    <row r="917" spans="1:23" ht="15.75" customHeight="1" x14ac:dyDescent="0.35">
      <c r="A917" s="1" t="s">
        <v>112</v>
      </c>
      <c r="B917" s="1" t="s">
        <v>5102</v>
      </c>
      <c r="C917" s="1" t="s">
        <v>3758</v>
      </c>
      <c r="D917" s="1" t="s">
        <v>350</v>
      </c>
      <c r="E917" s="1" t="s">
        <v>507</v>
      </c>
      <c r="F917" s="1" t="s">
        <v>5202</v>
      </c>
      <c r="G917" s="1" t="s">
        <v>5094</v>
      </c>
      <c r="H917" s="1" t="s">
        <v>5203</v>
      </c>
      <c r="I917" s="1" t="s">
        <v>120</v>
      </c>
      <c r="K917" s="1" t="s">
        <v>101</v>
      </c>
      <c r="L917" s="1" t="s">
        <v>5096</v>
      </c>
      <c r="M917" s="1" t="s">
        <v>5104</v>
      </c>
      <c r="N917" s="1" t="s">
        <v>465</v>
      </c>
      <c r="O917" s="1" t="s">
        <v>5105</v>
      </c>
      <c r="P917" s="1" t="s">
        <v>5106</v>
      </c>
      <c r="Q917" s="1" t="s">
        <v>5107</v>
      </c>
      <c r="R917" s="1" t="s">
        <v>5100</v>
      </c>
      <c r="S917" s="1" t="s">
        <v>78</v>
      </c>
      <c r="T917" s="1">
        <v>33333</v>
      </c>
      <c r="U917" s="1" t="s">
        <v>79</v>
      </c>
      <c r="V917" s="1" t="s">
        <v>3591</v>
      </c>
      <c r="W917" s="1" t="s">
        <v>5204</v>
      </c>
    </row>
    <row r="918" spans="1:23" ht="15.75" customHeight="1" x14ac:dyDescent="0.35">
      <c r="A918" s="1" t="s">
        <v>112</v>
      </c>
      <c r="B918" s="1" t="s">
        <v>5102</v>
      </c>
      <c r="C918" s="1" t="s">
        <v>3314</v>
      </c>
      <c r="D918" s="1" t="s">
        <v>3522</v>
      </c>
      <c r="F918" s="1" t="s">
        <v>363</v>
      </c>
      <c r="G918" s="1" t="s">
        <v>5094</v>
      </c>
      <c r="H918" s="1" t="s">
        <v>5103</v>
      </c>
      <c r="I918" s="1" t="s">
        <v>120</v>
      </c>
      <c r="K918" s="1" t="s">
        <v>101</v>
      </c>
      <c r="L918" s="1" t="s">
        <v>5096</v>
      </c>
      <c r="M918" s="1" t="s">
        <v>5205</v>
      </c>
      <c r="N918" s="1" t="s">
        <v>465</v>
      </c>
      <c r="O918" s="1" t="s">
        <v>5105</v>
      </c>
      <c r="P918" s="1" t="s">
        <v>5106</v>
      </c>
      <c r="Q918" s="1" t="s">
        <v>5107</v>
      </c>
      <c r="R918" s="1" t="s">
        <v>5100</v>
      </c>
      <c r="S918" s="1" t="s">
        <v>78</v>
      </c>
      <c r="T918" s="1">
        <v>27777</v>
      </c>
      <c r="U918" s="1" t="s">
        <v>79</v>
      </c>
      <c r="V918" s="1" t="s">
        <v>3591</v>
      </c>
      <c r="W918" s="1" t="s">
        <v>5206</v>
      </c>
    </row>
    <row r="919" spans="1:23" ht="15.75" customHeight="1" x14ac:dyDescent="0.35">
      <c r="A919" s="1" t="s">
        <v>112</v>
      </c>
      <c r="B919" s="1" t="s">
        <v>5092</v>
      </c>
      <c r="C919" s="1" t="s">
        <v>1356</v>
      </c>
      <c r="D919" s="1" t="s">
        <v>1445</v>
      </c>
      <c r="E919" s="1" t="s">
        <v>439</v>
      </c>
      <c r="F919" s="1" t="s">
        <v>5093</v>
      </c>
      <c r="G919" s="1" t="s">
        <v>5207</v>
      </c>
      <c r="H919" s="1" t="s">
        <v>5121</v>
      </c>
      <c r="I919" s="1" t="s">
        <v>275</v>
      </c>
      <c r="K919" s="1" t="s">
        <v>101</v>
      </c>
      <c r="L919" s="1" t="s">
        <v>5096</v>
      </c>
      <c r="M919" s="1" t="s">
        <v>5097</v>
      </c>
      <c r="N919" s="1" t="s">
        <v>277</v>
      </c>
      <c r="O919" s="1" t="s">
        <v>5098</v>
      </c>
      <c r="P919" s="1" t="s">
        <v>5122</v>
      </c>
      <c r="Q919" s="1" t="s">
        <v>3850</v>
      </c>
      <c r="R919" s="1" t="s">
        <v>5208</v>
      </c>
      <c r="S919" s="1" t="s">
        <v>129</v>
      </c>
      <c r="T919" s="1">
        <v>46666</v>
      </c>
      <c r="V919" s="1" t="s">
        <v>5123</v>
      </c>
      <c r="W919" s="1" t="s">
        <v>5209</v>
      </c>
    </row>
    <row r="920" spans="1:23" ht="15.75" customHeight="1" x14ac:dyDescent="0.35">
      <c r="A920" s="1" t="s">
        <v>81</v>
      </c>
      <c r="B920" s="1" t="s">
        <v>5210</v>
      </c>
      <c r="C920" s="1" t="s">
        <v>3476</v>
      </c>
      <c r="D920" s="1" t="s">
        <v>5211</v>
      </c>
      <c r="F920" s="1" t="s">
        <v>5212</v>
      </c>
      <c r="G920" s="1" t="s">
        <v>5213</v>
      </c>
      <c r="H920" s="1" t="s">
        <v>5214</v>
      </c>
      <c r="I920" s="1" t="s">
        <v>74</v>
      </c>
      <c r="J920" s="1" t="s">
        <v>971</v>
      </c>
      <c r="K920" s="1" t="s">
        <v>101</v>
      </c>
      <c r="L920" s="1" t="s">
        <v>5215</v>
      </c>
      <c r="M920" s="1" t="s">
        <v>5216</v>
      </c>
      <c r="N920" s="1" t="s">
        <v>5191</v>
      </c>
      <c r="R920" s="1" t="s">
        <v>246</v>
      </c>
      <c r="S920" s="1" t="s">
        <v>78</v>
      </c>
      <c r="T920" s="1">
        <v>48888</v>
      </c>
      <c r="U920" s="1" t="s">
        <v>79</v>
      </c>
      <c r="V920" s="1" t="s">
        <v>5217</v>
      </c>
    </row>
    <row r="921" spans="1:23" ht="15.75" customHeight="1" x14ac:dyDescent="0.35">
      <c r="A921" s="1" t="s">
        <v>234</v>
      </c>
      <c r="B921" s="1" t="s">
        <v>915</v>
      </c>
      <c r="C921" s="1" t="s">
        <v>83</v>
      </c>
      <c r="D921" s="1" t="s">
        <v>154</v>
      </c>
      <c r="E921" s="1" t="s">
        <v>70</v>
      </c>
      <c r="F921" s="1" t="s">
        <v>916</v>
      </c>
      <c r="G921" s="1" t="s">
        <v>629</v>
      </c>
      <c r="H921" s="1" t="s">
        <v>917</v>
      </c>
      <c r="I921" s="1" t="s">
        <v>275</v>
      </c>
      <c r="J921" s="1" t="s">
        <v>75</v>
      </c>
      <c r="K921" s="1" t="s">
        <v>40</v>
      </c>
      <c r="L921" s="1" t="s">
        <v>918</v>
      </c>
      <c r="M921" s="1" t="s">
        <v>919</v>
      </c>
      <c r="N921" s="1" t="s">
        <v>920</v>
      </c>
      <c r="O921" s="1" t="s">
        <v>921</v>
      </c>
      <c r="P921" s="1" t="s">
        <v>922</v>
      </c>
      <c r="Q921" s="1" t="s">
        <v>923</v>
      </c>
      <c r="R921" s="1" t="s">
        <v>64</v>
      </c>
      <c r="S921" s="1" t="s">
        <v>129</v>
      </c>
      <c r="T921" s="1">
        <v>39999</v>
      </c>
      <c r="V921" s="1" t="s">
        <v>924</v>
      </c>
    </row>
    <row r="922" spans="1:23" ht="15.75" customHeight="1" x14ac:dyDescent="0.35">
      <c r="A922" s="1" t="s">
        <v>151</v>
      </c>
      <c r="B922" s="1" t="s">
        <v>5218</v>
      </c>
      <c r="C922" s="1" t="s">
        <v>5219</v>
      </c>
      <c r="D922" s="1" t="s">
        <v>5086</v>
      </c>
      <c r="F922" s="1" t="s">
        <v>5220</v>
      </c>
      <c r="G922" s="1" t="s">
        <v>5221</v>
      </c>
      <c r="H922" s="1" t="s">
        <v>5222</v>
      </c>
      <c r="I922" s="1" t="s">
        <v>1015</v>
      </c>
      <c r="J922" s="1" t="s">
        <v>971</v>
      </c>
      <c r="K922" s="1" t="s">
        <v>725</v>
      </c>
      <c r="L922" s="1" t="s">
        <v>3963</v>
      </c>
      <c r="M922" s="1" t="s">
        <v>856</v>
      </c>
      <c r="O922" s="1" t="s">
        <v>5223</v>
      </c>
      <c r="P922" s="1" t="s">
        <v>5224</v>
      </c>
      <c r="Q922" s="1" t="s">
        <v>5225</v>
      </c>
      <c r="R922" s="1" t="s">
        <v>64</v>
      </c>
      <c r="S922" s="1" t="s">
        <v>425</v>
      </c>
      <c r="T922" s="1">
        <v>105000</v>
      </c>
      <c r="U922" s="1" t="s">
        <v>166</v>
      </c>
      <c r="V922" s="1" t="s">
        <v>3839</v>
      </c>
      <c r="W922" s="1" t="s">
        <v>5226</v>
      </c>
    </row>
    <row r="923" spans="1:23" ht="15.75" customHeight="1" x14ac:dyDescent="0.35">
      <c r="A923" s="1" t="s">
        <v>30</v>
      </c>
      <c r="B923" s="1" t="s">
        <v>5227</v>
      </c>
      <c r="C923" s="1" t="s">
        <v>3437</v>
      </c>
      <c r="D923" s="1" t="s">
        <v>3438</v>
      </c>
      <c r="F923" s="1" t="s">
        <v>1565</v>
      </c>
      <c r="G923" s="1" t="s">
        <v>54</v>
      </c>
      <c r="H923" s="1" t="s">
        <v>5228</v>
      </c>
      <c r="I923" s="1" t="s">
        <v>275</v>
      </c>
      <c r="J923" s="1" t="s">
        <v>75</v>
      </c>
      <c r="K923" s="1" t="s">
        <v>40</v>
      </c>
      <c r="L923" s="1" t="s">
        <v>3317</v>
      </c>
      <c r="M923" s="1" t="s">
        <v>5229</v>
      </c>
      <c r="N923" s="1" t="s">
        <v>43</v>
      </c>
      <c r="O923" s="1" t="s">
        <v>5230</v>
      </c>
      <c r="P923" s="1" t="s">
        <v>4023</v>
      </c>
      <c r="Q923" s="1" t="s">
        <v>3321</v>
      </c>
      <c r="R923" s="1" t="s">
        <v>3557</v>
      </c>
      <c r="S923" s="1" t="s">
        <v>165</v>
      </c>
      <c r="T923" s="1">
        <v>56800</v>
      </c>
    </row>
    <row r="924" spans="1:23" ht="15.75" customHeight="1" x14ac:dyDescent="0.35">
      <c r="A924" s="1" t="s">
        <v>112</v>
      </c>
      <c r="B924" s="1" t="s">
        <v>5102</v>
      </c>
      <c r="C924" s="1" t="s">
        <v>3758</v>
      </c>
      <c r="D924" s="1" t="s">
        <v>350</v>
      </c>
      <c r="E924" s="1" t="s">
        <v>439</v>
      </c>
      <c r="F924" s="1" t="s">
        <v>5231</v>
      </c>
      <c r="G924" s="1" t="s">
        <v>735</v>
      </c>
      <c r="H924" s="1" t="s">
        <v>5232</v>
      </c>
      <c r="I924" s="1" t="s">
        <v>120</v>
      </c>
      <c r="K924" s="1" t="s">
        <v>101</v>
      </c>
      <c r="L924" s="1" t="s">
        <v>5096</v>
      </c>
      <c r="M924" s="1" t="s">
        <v>5104</v>
      </c>
      <c r="N924" s="1" t="s">
        <v>465</v>
      </c>
      <c r="O924" s="1" t="s">
        <v>5105</v>
      </c>
      <c r="P924" s="1" t="s">
        <v>5106</v>
      </c>
      <c r="Q924" s="1" t="s">
        <v>5107</v>
      </c>
      <c r="R924" s="1" t="s">
        <v>985</v>
      </c>
      <c r="S924" s="1" t="s">
        <v>129</v>
      </c>
      <c r="T924" s="1">
        <v>33999</v>
      </c>
      <c r="U924" s="1" t="s">
        <v>79</v>
      </c>
      <c r="V924" s="1" t="s">
        <v>3591</v>
      </c>
      <c r="W924" s="1" t="s">
        <v>5233</v>
      </c>
    </row>
    <row r="925" spans="1:23" ht="15.75" customHeight="1" x14ac:dyDescent="0.35">
      <c r="A925" s="1" t="s">
        <v>151</v>
      </c>
      <c r="B925" s="1" t="s">
        <v>5234</v>
      </c>
      <c r="C925" s="1" t="s">
        <v>3540</v>
      </c>
      <c r="D925" s="1" t="s">
        <v>3541</v>
      </c>
      <c r="F925" s="1" t="s">
        <v>1723</v>
      </c>
      <c r="G925" s="1" t="s">
        <v>156</v>
      </c>
      <c r="H925" s="1" t="s">
        <v>5160</v>
      </c>
      <c r="I925" s="1" t="s">
        <v>1015</v>
      </c>
      <c r="K925" s="1" t="s">
        <v>101</v>
      </c>
      <c r="L925" s="1" t="s">
        <v>3284</v>
      </c>
      <c r="M925" s="1" t="s">
        <v>5235</v>
      </c>
      <c r="N925" s="1" t="s">
        <v>160</v>
      </c>
      <c r="O925" s="1" t="s">
        <v>2135</v>
      </c>
      <c r="P925" s="1" t="s">
        <v>5236</v>
      </c>
      <c r="Q925" s="1" t="s">
        <v>3321</v>
      </c>
      <c r="R925" s="1" t="s">
        <v>1105</v>
      </c>
      <c r="S925" s="1" t="s">
        <v>78</v>
      </c>
      <c r="T925" s="1">
        <v>23499</v>
      </c>
      <c r="U925" s="1" t="s">
        <v>79</v>
      </c>
      <c r="V925" s="1" t="s">
        <v>3957</v>
      </c>
      <c r="W925" s="1" t="s">
        <v>5237</v>
      </c>
    </row>
    <row r="926" spans="1:23" ht="15.75" customHeight="1" x14ac:dyDescent="0.35">
      <c r="A926" s="1" t="s">
        <v>151</v>
      </c>
      <c r="B926" s="1" t="s">
        <v>5238</v>
      </c>
      <c r="C926" s="1" t="s">
        <v>4071</v>
      </c>
      <c r="D926" s="1" t="s">
        <v>3541</v>
      </c>
      <c r="F926" s="1" t="s">
        <v>5239</v>
      </c>
      <c r="G926" s="1" t="s">
        <v>1120</v>
      </c>
      <c r="H926" s="1" t="s">
        <v>5240</v>
      </c>
      <c r="I926" s="1" t="s">
        <v>1015</v>
      </c>
      <c r="K926" s="1" t="s">
        <v>2991</v>
      </c>
      <c r="N926" s="1" t="s">
        <v>5241</v>
      </c>
      <c r="O926" s="1" t="s">
        <v>5242</v>
      </c>
      <c r="R926" s="1" t="s">
        <v>64</v>
      </c>
      <c r="S926" s="1" t="s">
        <v>129</v>
      </c>
      <c r="T926" s="1">
        <v>33333</v>
      </c>
      <c r="U926" s="1" t="s">
        <v>1082</v>
      </c>
      <c r="V926" s="1" t="s">
        <v>3966</v>
      </c>
    </row>
    <row r="927" spans="1:23" ht="15.75" customHeight="1" x14ac:dyDescent="0.35">
      <c r="A927" s="1" t="s">
        <v>30</v>
      </c>
      <c r="B927" s="1" t="s">
        <v>5243</v>
      </c>
      <c r="C927" s="1" t="s">
        <v>4081</v>
      </c>
      <c r="D927" s="1" t="s">
        <v>4864</v>
      </c>
      <c r="F927" s="1" t="s">
        <v>1134</v>
      </c>
      <c r="G927" s="1" t="s">
        <v>369</v>
      </c>
      <c r="H927" s="1" t="s">
        <v>3888</v>
      </c>
      <c r="I927" s="1" t="s">
        <v>74</v>
      </c>
      <c r="J927" s="1" t="s">
        <v>971</v>
      </c>
      <c r="K927" s="1" t="s">
        <v>101</v>
      </c>
      <c r="L927" s="1" t="s">
        <v>3317</v>
      </c>
      <c r="M927" s="1" t="s">
        <v>5244</v>
      </c>
      <c r="N927" s="1" t="s">
        <v>373</v>
      </c>
      <c r="O927" s="1" t="s">
        <v>5245</v>
      </c>
      <c r="P927" s="1" t="s">
        <v>5246</v>
      </c>
      <c r="Q927" s="1" t="s">
        <v>2584</v>
      </c>
      <c r="R927" s="1" t="s">
        <v>5247</v>
      </c>
      <c r="S927" s="1" t="s">
        <v>129</v>
      </c>
      <c r="T927" s="1">
        <v>31249</v>
      </c>
      <c r="U927" s="1" t="s">
        <v>79</v>
      </c>
      <c r="V927" s="1" t="s">
        <v>5248</v>
      </c>
    </row>
    <row r="928" spans="1:23" ht="15.75" customHeight="1" x14ac:dyDescent="0.35">
      <c r="A928" s="1" t="s">
        <v>30</v>
      </c>
      <c r="B928" s="1" t="s">
        <v>5243</v>
      </c>
      <c r="C928" s="1" t="s">
        <v>4081</v>
      </c>
      <c r="D928" s="1" t="s">
        <v>4864</v>
      </c>
      <c r="F928" s="1" t="s">
        <v>1134</v>
      </c>
      <c r="G928" s="1" t="s">
        <v>369</v>
      </c>
      <c r="H928" s="1" t="s">
        <v>3888</v>
      </c>
      <c r="I928" s="1" t="s">
        <v>74</v>
      </c>
      <c r="J928" s="1" t="s">
        <v>971</v>
      </c>
      <c r="K928" s="1" t="s">
        <v>101</v>
      </c>
      <c r="L928" s="1" t="s">
        <v>3317</v>
      </c>
      <c r="M928" s="1" t="s">
        <v>5244</v>
      </c>
      <c r="N928" s="1" t="s">
        <v>373</v>
      </c>
      <c r="O928" s="1" t="s">
        <v>5245</v>
      </c>
      <c r="P928" s="1" t="s">
        <v>5246</v>
      </c>
      <c r="Q928" s="1" t="s">
        <v>2584</v>
      </c>
      <c r="R928" s="1" t="s">
        <v>5249</v>
      </c>
      <c r="S928" s="1" t="s">
        <v>129</v>
      </c>
      <c r="T928" s="1">
        <v>24999</v>
      </c>
      <c r="U928" s="1" t="s">
        <v>79</v>
      </c>
      <c r="V928" s="1" t="s">
        <v>5248</v>
      </c>
    </row>
    <row r="929" spans="1:25" ht="15.75" customHeight="1" x14ac:dyDescent="0.35">
      <c r="A929" s="1" t="s">
        <v>81</v>
      </c>
      <c r="B929" s="1" t="s">
        <v>5250</v>
      </c>
      <c r="C929" s="1" t="s">
        <v>3758</v>
      </c>
      <c r="D929" s="1" t="s">
        <v>5251</v>
      </c>
      <c r="F929" s="1" t="s">
        <v>5252</v>
      </c>
      <c r="G929" s="1" t="s">
        <v>5141</v>
      </c>
      <c r="H929" s="1" t="s">
        <v>5253</v>
      </c>
      <c r="I929" s="1" t="s">
        <v>74</v>
      </c>
      <c r="K929" s="1" t="s">
        <v>101</v>
      </c>
      <c r="L929" s="1" t="s">
        <v>5254</v>
      </c>
      <c r="M929" s="1" t="s">
        <v>5255</v>
      </c>
      <c r="N929" s="1" t="s">
        <v>5191</v>
      </c>
      <c r="R929" s="1" t="s">
        <v>985</v>
      </c>
      <c r="S929" s="1" t="s">
        <v>78</v>
      </c>
      <c r="T929" s="1">
        <v>30999</v>
      </c>
      <c r="U929" s="1" t="s">
        <v>79</v>
      </c>
      <c r="V929" s="1" t="s">
        <v>5144</v>
      </c>
    </row>
    <row r="930" spans="1:25" ht="15.75" customHeight="1" x14ac:dyDescent="0.35">
      <c r="A930" s="1" t="s">
        <v>81</v>
      </c>
      <c r="B930" s="1" t="s">
        <v>5210</v>
      </c>
      <c r="C930" s="1" t="s">
        <v>5256</v>
      </c>
      <c r="D930" s="1" t="s">
        <v>5257</v>
      </c>
      <c r="F930" s="1" t="s">
        <v>5081</v>
      </c>
      <c r="G930" s="1" t="s">
        <v>5213</v>
      </c>
      <c r="H930" s="1" t="s">
        <v>5258</v>
      </c>
      <c r="I930" s="1" t="s">
        <v>74</v>
      </c>
      <c r="J930" s="1" t="s">
        <v>971</v>
      </c>
      <c r="K930" s="1" t="s">
        <v>101</v>
      </c>
      <c r="L930" s="1" t="s">
        <v>5215</v>
      </c>
      <c r="M930" s="1" t="s">
        <v>5259</v>
      </c>
      <c r="N930" s="1" t="s">
        <v>5260</v>
      </c>
      <c r="R930" s="1" t="s">
        <v>246</v>
      </c>
      <c r="S930" s="1" t="s">
        <v>78</v>
      </c>
      <c r="T930" s="1">
        <v>38999</v>
      </c>
      <c r="V930" s="1" t="s">
        <v>5261</v>
      </c>
    </row>
    <row r="931" spans="1:25" ht="15.75" customHeight="1" x14ac:dyDescent="0.35">
      <c r="A931" s="1" t="s">
        <v>81</v>
      </c>
      <c r="B931" s="1" t="s">
        <v>5262</v>
      </c>
      <c r="C931" s="1" t="s">
        <v>5256</v>
      </c>
      <c r="D931" s="1" t="s">
        <v>5257</v>
      </c>
      <c r="F931" s="1" t="s">
        <v>5263</v>
      </c>
      <c r="G931" s="1" t="s">
        <v>5213</v>
      </c>
      <c r="H931" s="1" t="s">
        <v>5264</v>
      </c>
      <c r="I931" s="1" t="s">
        <v>74</v>
      </c>
      <c r="K931" s="1" t="s">
        <v>101</v>
      </c>
      <c r="L931" s="1" t="s">
        <v>5254</v>
      </c>
      <c r="M931" s="1" t="s">
        <v>5259</v>
      </c>
      <c r="N931" s="1" t="s">
        <v>5265</v>
      </c>
      <c r="R931" s="1" t="s">
        <v>246</v>
      </c>
      <c r="S931" s="1" t="s">
        <v>78</v>
      </c>
      <c r="T931" s="1">
        <v>38999</v>
      </c>
    </row>
    <row r="932" spans="1:25" ht="15.75" customHeight="1" x14ac:dyDescent="0.35">
      <c r="A932" s="1" t="s">
        <v>151</v>
      </c>
      <c r="B932" s="1" t="s">
        <v>5266</v>
      </c>
      <c r="C932" s="1" t="s">
        <v>5267</v>
      </c>
      <c r="D932" s="1" t="s">
        <v>3834</v>
      </c>
      <c r="F932" s="1" t="s">
        <v>5268</v>
      </c>
      <c r="G932" s="1" t="s">
        <v>156</v>
      </c>
      <c r="H932" s="1" t="s">
        <v>5113</v>
      </c>
      <c r="I932" s="1" t="s">
        <v>1015</v>
      </c>
      <c r="J932" s="1" t="s">
        <v>971</v>
      </c>
      <c r="K932" s="1" t="s">
        <v>101</v>
      </c>
      <c r="L932" s="1" t="s">
        <v>5127</v>
      </c>
      <c r="M932" s="1" t="s">
        <v>5235</v>
      </c>
      <c r="N932" s="1" t="s">
        <v>941</v>
      </c>
      <c r="O932" s="1" t="s">
        <v>5269</v>
      </c>
      <c r="P932" s="1" t="s">
        <v>5270</v>
      </c>
      <c r="Q932" s="1" t="s">
        <v>4389</v>
      </c>
      <c r="R932" s="1" t="s">
        <v>1105</v>
      </c>
      <c r="S932" s="1" t="s">
        <v>78</v>
      </c>
      <c r="T932" s="1">
        <v>30999</v>
      </c>
      <c r="V932" s="1" t="s">
        <v>5271</v>
      </c>
      <c r="W932" s="1" t="s">
        <v>5272</v>
      </c>
      <c r="Y932" s="1" t="s">
        <v>1105</v>
      </c>
    </row>
    <row r="933" spans="1:25" ht="15.75" customHeight="1" x14ac:dyDescent="0.35">
      <c r="A933" s="1" t="s">
        <v>151</v>
      </c>
      <c r="B933" s="1" t="s">
        <v>5266</v>
      </c>
      <c r="C933" s="1" t="s">
        <v>1356</v>
      </c>
      <c r="D933" s="1" t="s">
        <v>5273</v>
      </c>
      <c r="F933" s="1" t="s">
        <v>5268</v>
      </c>
      <c r="G933" s="1" t="s">
        <v>156</v>
      </c>
      <c r="H933" s="1" t="s">
        <v>5113</v>
      </c>
      <c r="I933" s="1" t="s">
        <v>1015</v>
      </c>
      <c r="J933" s="1" t="s">
        <v>971</v>
      </c>
      <c r="K933" s="1" t="s">
        <v>101</v>
      </c>
      <c r="L933" s="1" t="s">
        <v>5127</v>
      </c>
      <c r="M933" s="1" t="s">
        <v>394</v>
      </c>
      <c r="N933" s="1" t="s">
        <v>941</v>
      </c>
      <c r="O933" s="1" t="s">
        <v>5269</v>
      </c>
      <c r="P933" s="1" t="s">
        <v>5270</v>
      </c>
      <c r="Q933" s="1" t="s">
        <v>4389</v>
      </c>
      <c r="R933" s="1" t="s">
        <v>1105</v>
      </c>
      <c r="S933" s="1" t="s">
        <v>78</v>
      </c>
      <c r="T933" s="1">
        <v>36999</v>
      </c>
      <c r="V933" s="1" t="s">
        <v>1106</v>
      </c>
      <c r="W933" s="1" t="s">
        <v>5274</v>
      </c>
      <c r="Y933" s="1" t="s">
        <v>1105</v>
      </c>
    </row>
    <row r="934" spans="1:25" ht="15.75" customHeight="1" x14ac:dyDescent="0.35">
      <c r="A934" s="1" t="s">
        <v>151</v>
      </c>
      <c r="B934" s="1" t="s">
        <v>5275</v>
      </c>
      <c r="C934" s="1" t="s">
        <v>3594</v>
      </c>
      <c r="D934" s="1" t="s">
        <v>3834</v>
      </c>
      <c r="F934" s="1" t="s">
        <v>5276</v>
      </c>
      <c r="G934" s="1" t="s">
        <v>5277</v>
      </c>
      <c r="H934" s="1" t="s">
        <v>5278</v>
      </c>
      <c r="I934" s="1" t="s">
        <v>275</v>
      </c>
      <c r="K934" s="1" t="s">
        <v>725</v>
      </c>
      <c r="L934" s="1" t="s">
        <v>1099</v>
      </c>
      <c r="M934" s="1" t="s">
        <v>5279</v>
      </c>
      <c r="N934" s="1" t="s">
        <v>5280</v>
      </c>
      <c r="O934" s="1" t="s">
        <v>5223</v>
      </c>
      <c r="P934" s="1" t="s">
        <v>5281</v>
      </c>
      <c r="Q934" s="1" t="s">
        <v>5282</v>
      </c>
      <c r="R934" s="1" t="s">
        <v>64</v>
      </c>
      <c r="S934" s="1" t="s">
        <v>78</v>
      </c>
      <c r="T934" s="1">
        <v>119000</v>
      </c>
      <c r="V934" s="1" t="s">
        <v>3839</v>
      </c>
      <c r="W934" s="1" t="s">
        <v>5283</v>
      </c>
    </row>
    <row r="935" spans="1:25" ht="15.75" customHeight="1" x14ac:dyDescent="0.35">
      <c r="A935" s="1" t="s">
        <v>151</v>
      </c>
      <c r="B935" s="1" t="s">
        <v>5284</v>
      </c>
      <c r="C935" s="1" t="s">
        <v>3476</v>
      </c>
      <c r="D935" s="1" t="s">
        <v>3522</v>
      </c>
      <c r="F935" s="1" t="s">
        <v>3644</v>
      </c>
      <c r="G935" s="1" t="s">
        <v>5285</v>
      </c>
      <c r="H935" s="1" t="s">
        <v>5286</v>
      </c>
      <c r="I935" s="1" t="s">
        <v>275</v>
      </c>
      <c r="K935" s="1" t="s">
        <v>725</v>
      </c>
      <c r="L935" s="1" t="s">
        <v>1099</v>
      </c>
      <c r="M935" s="1" t="s">
        <v>5287</v>
      </c>
      <c r="N935" s="1" t="s">
        <v>941</v>
      </c>
      <c r="O935" s="1" t="s">
        <v>5288</v>
      </c>
      <c r="P935" s="1" t="s">
        <v>5289</v>
      </c>
      <c r="Q935" s="1" t="s">
        <v>5290</v>
      </c>
      <c r="R935" s="1" t="s">
        <v>64</v>
      </c>
      <c r="S935" s="1" t="s">
        <v>78</v>
      </c>
      <c r="T935" s="1">
        <v>78000</v>
      </c>
      <c r="U935" s="1" t="s">
        <v>79</v>
      </c>
      <c r="V935" s="1" t="s">
        <v>5052</v>
      </c>
      <c r="W935" s="1" t="s">
        <v>5291</v>
      </c>
    </row>
    <row r="936" spans="1:25" ht="15.75" customHeight="1" x14ac:dyDescent="0.35">
      <c r="A936" s="1" t="s">
        <v>151</v>
      </c>
      <c r="B936" s="1" t="s">
        <v>5292</v>
      </c>
      <c r="C936" s="1" t="s">
        <v>3594</v>
      </c>
      <c r="D936" s="1" t="s">
        <v>3834</v>
      </c>
      <c r="F936" s="1" t="s">
        <v>5220</v>
      </c>
      <c r="G936" s="1" t="s">
        <v>5285</v>
      </c>
      <c r="H936" s="1" t="s">
        <v>5293</v>
      </c>
      <c r="I936" s="1" t="s">
        <v>275</v>
      </c>
      <c r="K936" s="1" t="s">
        <v>725</v>
      </c>
      <c r="L936" s="1" t="s">
        <v>1099</v>
      </c>
      <c r="M936" s="1" t="s">
        <v>5294</v>
      </c>
      <c r="N936" s="1" t="s">
        <v>5280</v>
      </c>
      <c r="O936" s="1" t="s">
        <v>5223</v>
      </c>
      <c r="P936" s="1" t="s">
        <v>5295</v>
      </c>
      <c r="Q936" s="1" t="s">
        <v>4562</v>
      </c>
      <c r="R936" s="1" t="s">
        <v>64</v>
      </c>
      <c r="S936" s="1" t="s">
        <v>78</v>
      </c>
      <c r="T936" s="1">
        <v>118900</v>
      </c>
      <c r="V936" s="1" t="s">
        <v>3839</v>
      </c>
      <c r="W936" s="1" t="s">
        <v>5296</v>
      </c>
    </row>
    <row r="937" spans="1:25" ht="15.75" customHeight="1" x14ac:dyDescent="0.35">
      <c r="A937" s="1" t="s">
        <v>151</v>
      </c>
      <c r="B937" s="1" t="s">
        <v>5297</v>
      </c>
      <c r="C937" s="1" t="s">
        <v>3594</v>
      </c>
      <c r="D937" s="1" t="s">
        <v>5086</v>
      </c>
      <c r="F937" s="1" t="s">
        <v>221</v>
      </c>
      <c r="G937" s="1" t="s">
        <v>5285</v>
      </c>
      <c r="H937" s="1" t="s">
        <v>5298</v>
      </c>
      <c r="I937" s="1" t="s">
        <v>275</v>
      </c>
      <c r="J937" s="1" t="s">
        <v>971</v>
      </c>
      <c r="K937" s="1" t="s">
        <v>725</v>
      </c>
      <c r="L937" s="1" t="s">
        <v>1099</v>
      </c>
      <c r="M937" s="1" t="s">
        <v>3581</v>
      </c>
      <c r="N937" s="1" t="s">
        <v>5280</v>
      </c>
      <c r="O937" s="1" t="s">
        <v>5299</v>
      </c>
      <c r="P937" s="1" t="s">
        <v>5300</v>
      </c>
      <c r="Q937" s="1" t="s">
        <v>4389</v>
      </c>
      <c r="R937" s="1" t="s">
        <v>64</v>
      </c>
      <c r="S937" s="1" t="s">
        <v>78</v>
      </c>
      <c r="T937" s="1">
        <v>113000</v>
      </c>
      <c r="V937" s="1" t="s">
        <v>3839</v>
      </c>
      <c r="W937" s="1" t="s">
        <v>5301</v>
      </c>
    </row>
    <row r="938" spans="1:25" ht="15.75" customHeight="1" x14ac:dyDescent="0.35">
      <c r="A938" s="1" t="s">
        <v>151</v>
      </c>
      <c r="B938" s="1" t="s">
        <v>5297</v>
      </c>
      <c r="C938" s="1" t="s">
        <v>3594</v>
      </c>
      <c r="D938" s="1" t="s">
        <v>5086</v>
      </c>
      <c r="F938" s="1" t="s">
        <v>221</v>
      </c>
      <c r="G938" s="1" t="s">
        <v>5302</v>
      </c>
      <c r="H938" s="1" t="s">
        <v>5298</v>
      </c>
      <c r="I938" s="1" t="s">
        <v>275</v>
      </c>
      <c r="J938" s="1" t="s">
        <v>971</v>
      </c>
      <c r="K938" s="1" t="s">
        <v>725</v>
      </c>
      <c r="L938" s="1" t="s">
        <v>1099</v>
      </c>
      <c r="M938" s="1" t="s">
        <v>3581</v>
      </c>
      <c r="N938" s="1" t="s">
        <v>5280</v>
      </c>
      <c r="O938" s="1" t="s">
        <v>5299</v>
      </c>
      <c r="P938" s="1" t="s">
        <v>5300</v>
      </c>
      <c r="Q938" s="1" t="s">
        <v>4389</v>
      </c>
      <c r="R938" s="1" t="s">
        <v>64</v>
      </c>
      <c r="S938" s="1" t="s">
        <v>78</v>
      </c>
      <c r="T938" s="1">
        <v>100300</v>
      </c>
      <c r="V938" s="1" t="s">
        <v>3839</v>
      </c>
      <c r="W938" s="1" t="s">
        <v>5303</v>
      </c>
    </row>
    <row r="939" spans="1:25" ht="15.75" customHeight="1" x14ac:dyDescent="0.35">
      <c r="A939" s="1" t="s">
        <v>151</v>
      </c>
      <c r="B939" s="1" t="s">
        <v>5304</v>
      </c>
      <c r="C939" s="1" t="s">
        <v>3594</v>
      </c>
      <c r="D939" s="1" t="s">
        <v>5086</v>
      </c>
      <c r="F939" s="1" t="s">
        <v>5305</v>
      </c>
      <c r="G939" s="1" t="s">
        <v>5302</v>
      </c>
      <c r="H939" s="1" t="s">
        <v>5306</v>
      </c>
      <c r="I939" s="1" t="s">
        <v>275</v>
      </c>
      <c r="K939" s="1" t="s">
        <v>257</v>
      </c>
      <c r="L939" s="1" t="s">
        <v>1099</v>
      </c>
      <c r="M939" s="1" t="s">
        <v>5307</v>
      </c>
      <c r="N939" s="1" t="s">
        <v>5308</v>
      </c>
      <c r="O939" s="1" t="s">
        <v>5309</v>
      </c>
      <c r="P939" s="1" t="s">
        <v>5310</v>
      </c>
      <c r="Q939" s="1" t="s">
        <v>4884</v>
      </c>
      <c r="R939" s="1" t="s">
        <v>64</v>
      </c>
      <c r="S939" s="1" t="s">
        <v>78</v>
      </c>
      <c r="T939" s="1">
        <v>92000</v>
      </c>
      <c r="V939" s="1" t="s">
        <v>3839</v>
      </c>
      <c r="W939" s="1" t="s">
        <v>5311</v>
      </c>
    </row>
    <row r="940" spans="1:25" ht="15.75" customHeight="1" x14ac:dyDescent="0.35">
      <c r="A940" s="1" t="s">
        <v>151</v>
      </c>
      <c r="B940" s="1" t="s">
        <v>5297</v>
      </c>
      <c r="C940" s="1" t="s">
        <v>5034</v>
      </c>
      <c r="D940" s="1" t="s">
        <v>5086</v>
      </c>
      <c r="F940" s="1" t="s">
        <v>221</v>
      </c>
      <c r="G940" s="1" t="s">
        <v>5302</v>
      </c>
      <c r="H940" s="1" t="s">
        <v>5298</v>
      </c>
      <c r="I940" s="1" t="s">
        <v>275</v>
      </c>
      <c r="J940" s="1" t="s">
        <v>971</v>
      </c>
      <c r="K940" s="1" t="s">
        <v>725</v>
      </c>
      <c r="L940" s="1" t="s">
        <v>1099</v>
      </c>
      <c r="M940" s="1" t="s">
        <v>3581</v>
      </c>
      <c r="N940" s="1" t="s">
        <v>5280</v>
      </c>
      <c r="O940" s="1" t="s">
        <v>5299</v>
      </c>
      <c r="P940" s="1" t="s">
        <v>5300</v>
      </c>
      <c r="Q940" s="1" t="s">
        <v>4389</v>
      </c>
      <c r="R940" s="1" t="s">
        <v>64</v>
      </c>
      <c r="S940" s="1" t="s">
        <v>78</v>
      </c>
      <c r="T940" s="1">
        <v>80850</v>
      </c>
      <c r="V940" s="1" t="s">
        <v>5271</v>
      </c>
      <c r="W940" s="1" t="s">
        <v>5312</v>
      </c>
    </row>
    <row r="941" spans="1:25" ht="15.75" customHeight="1" x14ac:dyDescent="0.35">
      <c r="A941" s="1" t="s">
        <v>151</v>
      </c>
      <c r="B941" s="1" t="s">
        <v>5313</v>
      </c>
      <c r="C941" s="1" t="s">
        <v>687</v>
      </c>
      <c r="D941" s="1" t="s">
        <v>3315</v>
      </c>
      <c r="F941" s="1" t="s">
        <v>3327</v>
      </c>
      <c r="G941" s="1" t="s">
        <v>5046</v>
      </c>
      <c r="H941" s="1" t="s">
        <v>5314</v>
      </c>
      <c r="I941" s="1" t="s">
        <v>275</v>
      </c>
      <c r="K941" s="1" t="s">
        <v>101</v>
      </c>
      <c r="L941" s="1" t="s">
        <v>1099</v>
      </c>
      <c r="M941" s="1" t="s">
        <v>3575</v>
      </c>
      <c r="N941" s="1" t="s">
        <v>941</v>
      </c>
      <c r="O941" s="1" t="s">
        <v>5049</v>
      </c>
      <c r="P941" s="1" t="s">
        <v>5162</v>
      </c>
      <c r="Q941" s="1" t="s">
        <v>3547</v>
      </c>
      <c r="R941" s="1" t="s">
        <v>1409</v>
      </c>
      <c r="S941" s="1" t="s">
        <v>78</v>
      </c>
      <c r="T941" s="1">
        <v>36999</v>
      </c>
      <c r="U941" s="1" t="s">
        <v>79</v>
      </c>
      <c r="V941" s="1" t="s">
        <v>80</v>
      </c>
      <c r="W941" s="1" t="s">
        <v>5315</v>
      </c>
    </row>
    <row r="942" spans="1:25" ht="15.75" customHeight="1" x14ac:dyDescent="0.35">
      <c r="A942" s="1" t="s">
        <v>151</v>
      </c>
      <c r="B942" s="1" t="s">
        <v>5164</v>
      </c>
      <c r="C942" s="1" t="s">
        <v>1095</v>
      </c>
      <c r="D942" s="1" t="s">
        <v>3438</v>
      </c>
      <c r="F942" s="1" t="s">
        <v>221</v>
      </c>
      <c r="G942" s="1" t="s">
        <v>5316</v>
      </c>
      <c r="H942" s="1" t="s">
        <v>5047</v>
      </c>
      <c r="I942" s="1" t="s">
        <v>275</v>
      </c>
      <c r="K942" s="1" t="s">
        <v>101</v>
      </c>
      <c r="L942" s="1" t="s">
        <v>1099</v>
      </c>
      <c r="M942" s="1" t="s">
        <v>856</v>
      </c>
      <c r="N942" s="1" t="s">
        <v>5115</v>
      </c>
      <c r="O942" s="1" t="s">
        <v>5161</v>
      </c>
      <c r="P942" s="1" t="s">
        <v>5050</v>
      </c>
      <c r="Q942" s="1" t="s">
        <v>5165</v>
      </c>
      <c r="R942" s="1" t="s">
        <v>64</v>
      </c>
      <c r="S942" s="1" t="s">
        <v>78</v>
      </c>
      <c r="T942" s="1">
        <v>57000</v>
      </c>
      <c r="V942" s="1" t="s">
        <v>1106</v>
      </c>
      <c r="W942" s="1" t="s">
        <v>5317</v>
      </c>
    </row>
    <row r="943" spans="1:25" ht="15.75" customHeight="1" x14ac:dyDescent="0.35">
      <c r="A943" s="1" t="s">
        <v>151</v>
      </c>
      <c r="B943" s="1" t="s">
        <v>5043</v>
      </c>
      <c r="C943" s="1" t="s">
        <v>693</v>
      </c>
      <c r="D943" s="1" t="s">
        <v>3341</v>
      </c>
      <c r="F943" s="1" t="s">
        <v>3860</v>
      </c>
      <c r="G943" s="1" t="s">
        <v>5046</v>
      </c>
      <c r="H943" s="1" t="s">
        <v>5047</v>
      </c>
      <c r="I943" s="1" t="s">
        <v>275</v>
      </c>
      <c r="K943" s="1" t="s">
        <v>101</v>
      </c>
      <c r="L943" s="1" t="s">
        <v>1099</v>
      </c>
      <c r="M943" s="1" t="s">
        <v>856</v>
      </c>
      <c r="N943" s="1" t="s">
        <v>941</v>
      </c>
      <c r="O943" s="1" t="s">
        <v>5049</v>
      </c>
      <c r="P943" s="1" t="s">
        <v>5050</v>
      </c>
      <c r="Q943" s="1" t="s">
        <v>5051</v>
      </c>
      <c r="R943" s="1" t="s">
        <v>1409</v>
      </c>
      <c r="S943" s="1" t="s">
        <v>78</v>
      </c>
      <c r="T943" s="1">
        <v>53000</v>
      </c>
      <c r="U943" s="1" t="s">
        <v>79</v>
      </c>
      <c r="V943" s="1" t="s">
        <v>803</v>
      </c>
      <c r="W943" s="1" t="s">
        <v>5318</v>
      </c>
    </row>
    <row r="944" spans="1:25" ht="15.75" customHeight="1" x14ac:dyDescent="0.35">
      <c r="A944" s="1" t="s">
        <v>151</v>
      </c>
      <c r="B944" s="1" t="s">
        <v>5043</v>
      </c>
      <c r="C944" s="1" t="s">
        <v>3758</v>
      </c>
      <c r="D944" s="1" t="s">
        <v>3341</v>
      </c>
      <c r="F944" s="1" t="s">
        <v>3327</v>
      </c>
      <c r="G944" s="1" t="s">
        <v>5046</v>
      </c>
      <c r="H944" s="1" t="s">
        <v>5047</v>
      </c>
      <c r="I944" s="1" t="s">
        <v>275</v>
      </c>
      <c r="K944" s="1" t="s">
        <v>101</v>
      </c>
      <c r="L944" s="1" t="s">
        <v>1099</v>
      </c>
      <c r="M944" s="1" t="s">
        <v>3575</v>
      </c>
      <c r="N944" s="1" t="s">
        <v>941</v>
      </c>
      <c r="O944" s="1" t="s">
        <v>5049</v>
      </c>
      <c r="P944" s="1" t="s">
        <v>5050</v>
      </c>
      <c r="Q944" s="1" t="s">
        <v>5051</v>
      </c>
      <c r="R944" s="1" t="s">
        <v>1409</v>
      </c>
      <c r="S944" s="1" t="s">
        <v>78</v>
      </c>
      <c r="T944" s="1">
        <v>40500</v>
      </c>
      <c r="U944" s="1" t="s">
        <v>79</v>
      </c>
      <c r="V944" s="1" t="s">
        <v>3957</v>
      </c>
      <c r="W944" s="1" t="s">
        <v>5319</v>
      </c>
    </row>
    <row r="945" spans="1:24" ht="15.75" customHeight="1" x14ac:dyDescent="0.35">
      <c r="A945" s="1" t="s">
        <v>151</v>
      </c>
      <c r="B945" s="1" t="s">
        <v>5033</v>
      </c>
      <c r="C945" s="1" t="s">
        <v>5034</v>
      </c>
      <c r="D945" s="1" t="s">
        <v>3270</v>
      </c>
      <c r="F945" s="1" t="s">
        <v>5320</v>
      </c>
      <c r="G945" s="1" t="s">
        <v>5046</v>
      </c>
      <c r="H945" s="1" t="s">
        <v>5160</v>
      </c>
      <c r="I945" s="1" t="s">
        <v>275</v>
      </c>
      <c r="K945" s="1" t="s">
        <v>101</v>
      </c>
      <c r="L945" s="1" t="s">
        <v>3963</v>
      </c>
      <c r="M945" s="1" t="s">
        <v>3575</v>
      </c>
      <c r="N945" s="1" t="s">
        <v>5115</v>
      </c>
      <c r="O945" s="1" t="s">
        <v>5161</v>
      </c>
      <c r="P945" s="1" t="s">
        <v>5162</v>
      </c>
      <c r="Q945" s="1" t="s">
        <v>3547</v>
      </c>
      <c r="R945" s="1" t="s">
        <v>64</v>
      </c>
      <c r="S945" s="1" t="s">
        <v>78</v>
      </c>
      <c r="T945" s="1">
        <v>32333</v>
      </c>
      <c r="V945" s="1" t="s">
        <v>5271</v>
      </c>
      <c r="W945" s="1" t="s">
        <v>5321</v>
      </c>
    </row>
    <row r="946" spans="1:24" ht="15.75" customHeight="1" x14ac:dyDescent="0.35">
      <c r="A946" s="1" t="s">
        <v>151</v>
      </c>
      <c r="B946" s="1" t="s">
        <v>5218</v>
      </c>
      <c r="C946" s="1" t="s">
        <v>3833</v>
      </c>
      <c r="D946" s="1" t="s">
        <v>3834</v>
      </c>
      <c r="F946" s="1" t="s">
        <v>5220</v>
      </c>
      <c r="G946" s="1" t="s">
        <v>5322</v>
      </c>
      <c r="H946" s="1" t="s">
        <v>5323</v>
      </c>
      <c r="I946" s="1" t="s">
        <v>275</v>
      </c>
      <c r="J946" s="1" t="s">
        <v>971</v>
      </c>
      <c r="K946" s="1" t="s">
        <v>257</v>
      </c>
      <c r="L946" s="1" t="s">
        <v>1099</v>
      </c>
      <c r="M946" s="1" t="s">
        <v>856</v>
      </c>
      <c r="N946" s="1" t="s">
        <v>5324</v>
      </c>
      <c r="O946" s="1" t="s">
        <v>5223</v>
      </c>
      <c r="P946" s="1" t="s">
        <v>5224</v>
      </c>
      <c r="Q946" s="1" t="s">
        <v>5225</v>
      </c>
      <c r="R946" s="1" t="s">
        <v>64</v>
      </c>
      <c r="S946" s="1" t="s">
        <v>425</v>
      </c>
      <c r="T946" s="1">
        <v>136599</v>
      </c>
      <c r="V946" s="1" t="s">
        <v>3839</v>
      </c>
      <c r="W946" s="1" t="s">
        <v>5325</v>
      </c>
    </row>
    <row r="947" spans="1:24" ht="15.75" customHeight="1" x14ac:dyDescent="0.35">
      <c r="A947" s="1" t="s">
        <v>3729</v>
      </c>
      <c r="B947" s="1" t="s">
        <v>5326</v>
      </c>
      <c r="C947" s="1" t="s">
        <v>693</v>
      </c>
      <c r="D947" s="1" t="s">
        <v>3522</v>
      </c>
      <c r="F947" s="1" t="s">
        <v>491</v>
      </c>
      <c r="G947" s="1" t="s">
        <v>1120</v>
      </c>
      <c r="H947" s="1" t="s">
        <v>5327</v>
      </c>
      <c r="I947" s="1" t="s">
        <v>5328</v>
      </c>
      <c r="K947" s="1" t="s">
        <v>90</v>
      </c>
      <c r="M947" s="1" t="s">
        <v>5329</v>
      </c>
      <c r="O947" s="1" t="s">
        <v>5330</v>
      </c>
      <c r="P947" s="1" t="s">
        <v>5331</v>
      </c>
      <c r="Q947" s="1" t="s">
        <v>5332</v>
      </c>
      <c r="R947" s="1" t="s">
        <v>3736</v>
      </c>
      <c r="S947" s="1" t="s">
        <v>78</v>
      </c>
      <c r="T947" s="1">
        <v>109999</v>
      </c>
      <c r="U947" s="1" t="s">
        <v>79</v>
      </c>
      <c r="W947" s="1" t="s">
        <v>5333</v>
      </c>
    </row>
    <row r="948" spans="1:24" ht="15.75" customHeight="1" x14ac:dyDescent="0.35">
      <c r="A948" s="1" t="s">
        <v>151</v>
      </c>
      <c r="B948" s="1" t="s">
        <v>5218</v>
      </c>
      <c r="C948" s="1" t="s">
        <v>5334</v>
      </c>
      <c r="D948" s="1" t="s">
        <v>3834</v>
      </c>
      <c r="F948" s="1" t="s">
        <v>5335</v>
      </c>
      <c r="G948" s="1" t="s">
        <v>5322</v>
      </c>
      <c r="H948" s="1" t="s">
        <v>5323</v>
      </c>
      <c r="I948" s="1" t="s">
        <v>1015</v>
      </c>
      <c r="J948" s="1" t="s">
        <v>971</v>
      </c>
      <c r="K948" s="1" t="s">
        <v>201</v>
      </c>
      <c r="L948" s="1" t="s">
        <v>1099</v>
      </c>
      <c r="M948" s="1" t="s">
        <v>159</v>
      </c>
      <c r="N948" s="1" t="s">
        <v>5324</v>
      </c>
      <c r="O948" s="1" t="s">
        <v>5223</v>
      </c>
      <c r="P948" s="1" t="s">
        <v>5224</v>
      </c>
      <c r="Q948" s="1" t="s">
        <v>5225</v>
      </c>
      <c r="R948" s="1" t="s">
        <v>64</v>
      </c>
      <c r="S948" s="1" t="s">
        <v>425</v>
      </c>
      <c r="T948" s="1">
        <v>137999</v>
      </c>
      <c r="V948" s="1" t="s">
        <v>3839</v>
      </c>
      <c r="W948" s="1" t="s">
        <v>5336</v>
      </c>
    </row>
    <row r="949" spans="1:24" ht="15.75" customHeight="1" x14ac:dyDescent="0.35">
      <c r="A949" s="1" t="s">
        <v>81</v>
      </c>
      <c r="B949" s="1" t="s">
        <v>5337</v>
      </c>
      <c r="C949" s="1" t="s">
        <v>349</v>
      </c>
      <c r="D949" s="1" t="s">
        <v>3522</v>
      </c>
      <c r="F949" s="1" t="s">
        <v>5338</v>
      </c>
      <c r="G949" s="1" t="s">
        <v>5339</v>
      </c>
      <c r="H949" s="1" t="s">
        <v>5340</v>
      </c>
      <c r="I949" s="1" t="s">
        <v>120</v>
      </c>
      <c r="K949" s="1" t="s">
        <v>101</v>
      </c>
      <c r="L949" s="1" t="s">
        <v>5341</v>
      </c>
      <c r="M949" s="1" t="s">
        <v>5342</v>
      </c>
      <c r="R949" s="1" t="s">
        <v>246</v>
      </c>
      <c r="S949" s="1" t="s">
        <v>129</v>
      </c>
      <c r="T949" s="1">
        <v>33333</v>
      </c>
      <c r="U949" s="1" t="s">
        <v>166</v>
      </c>
      <c r="V949" s="1" t="s">
        <v>5343</v>
      </c>
    </row>
    <row r="950" spans="1:24" ht="15.75" customHeight="1" x14ac:dyDescent="0.35">
      <c r="A950" s="1" t="s">
        <v>151</v>
      </c>
      <c r="B950" s="1" t="s">
        <v>5313</v>
      </c>
      <c r="C950" s="1" t="s">
        <v>3476</v>
      </c>
      <c r="D950" s="1" t="s">
        <v>3315</v>
      </c>
      <c r="F950" s="1" t="s">
        <v>5344</v>
      </c>
      <c r="G950" s="1" t="s">
        <v>5171</v>
      </c>
      <c r="H950" s="1" t="s">
        <v>5160</v>
      </c>
      <c r="I950" s="1" t="s">
        <v>1015</v>
      </c>
      <c r="K950" s="1" t="s">
        <v>101</v>
      </c>
      <c r="L950" s="1" t="s">
        <v>5127</v>
      </c>
      <c r="M950" s="1" t="s">
        <v>159</v>
      </c>
      <c r="N950" s="1" t="s">
        <v>5345</v>
      </c>
      <c r="O950" s="1" t="s">
        <v>5346</v>
      </c>
      <c r="P950" s="1" t="s">
        <v>5162</v>
      </c>
      <c r="Q950" s="1" t="s">
        <v>3547</v>
      </c>
      <c r="R950" s="1" t="s">
        <v>1409</v>
      </c>
      <c r="S950" s="1" t="s">
        <v>78</v>
      </c>
      <c r="T950" s="1">
        <v>38888</v>
      </c>
      <c r="U950" s="1" t="s">
        <v>79</v>
      </c>
      <c r="V950" s="1" t="s">
        <v>5052</v>
      </c>
      <c r="W950" s="1" t="s">
        <v>5347</v>
      </c>
    </row>
    <row r="951" spans="1:24" ht="15.75" customHeight="1" x14ac:dyDescent="0.35">
      <c r="A951" s="1" t="s">
        <v>151</v>
      </c>
      <c r="B951" s="1" t="s">
        <v>5313</v>
      </c>
      <c r="C951" s="1" t="s">
        <v>5348</v>
      </c>
      <c r="D951" s="1" t="s">
        <v>3315</v>
      </c>
      <c r="F951" s="1" t="s">
        <v>5344</v>
      </c>
      <c r="G951" s="1" t="s">
        <v>5046</v>
      </c>
      <c r="H951" s="1" t="s">
        <v>5314</v>
      </c>
      <c r="I951" s="1" t="s">
        <v>1015</v>
      </c>
      <c r="K951" s="1" t="s">
        <v>101</v>
      </c>
      <c r="L951" s="1" t="s">
        <v>3329</v>
      </c>
      <c r="M951" s="1" t="s">
        <v>159</v>
      </c>
      <c r="N951" s="1" t="s">
        <v>5345</v>
      </c>
      <c r="O951" s="1" t="s">
        <v>5346</v>
      </c>
      <c r="P951" s="1" t="s">
        <v>5162</v>
      </c>
      <c r="Q951" s="1" t="s">
        <v>3547</v>
      </c>
      <c r="R951" s="1" t="s">
        <v>1409</v>
      </c>
      <c r="S951" s="1" t="s">
        <v>78</v>
      </c>
      <c r="T951" s="1">
        <v>33999</v>
      </c>
      <c r="U951" s="1" t="s">
        <v>79</v>
      </c>
      <c r="V951" s="1" t="s">
        <v>3957</v>
      </c>
      <c r="W951" s="1" t="s">
        <v>5349</v>
      </c>
    </row>
    <row r="952" spans="1:24" ht="15.75" customHeight="1" x14ac:dyDescent="0.35">
      <c r="A952" s="1" t="s">
        <v>151</v>
      </c>
      <c r="B952" s="1" t="s">
        <v>5043</v>
      </c>
      <c r="C952" s="1" t="s">
        <v>4140</v>
      </c>
      <c r="D952" s="1" t="s">
        <v>3306</v>
      </c>
      <c r="F952" s="1" t="s">
        <v>3507</v>
      </c>
      <c r="G952" s="1" t="s">
        <v>5036</v>
      </c>
      <c r="H952" s="1" t="s">
        <v>5147</v>
      </c>
      <c r="I952" s="1" t="s">
        <v>1015</v>
      </c>
      <c r="K952" s="1" t="s">
        <v>101</v>
      </c>
      <c r="L952" s="1" t="s">
        <v>3284</v>
      </c>
      <c r="M952" s="1" t="s">
        <v>159</v>
      </c>
      <c r="O952" s="1" t="s">
        <v>5149</v>
      </c>
      <c r="P952" s="1" t="s">
        <v>5050</v>
      </c>
      <c r="Q952" s="1" t="s">
        <v>5051</v>
      </c>
      <c r="R952" s="1" t="s">
        <v>1409</v>
      </c>
      <c r="S952" s="1" t="s">
        <v>78</v>
      </c>
      <c r="T952" s="1">
        <v>31999</v>
      </c>
      <c r="U952" s="1" t="s">
        <v>79</v>
      </c>
      <c r="V952" s="1" t="s">
        <v>3957</v>
      </c>
      <c r="W952" s="1" t="s">
        <v>5350</v>
      </c>
    </row>
    <row r="953" spans="1:24" ht="15.75" customHeight="1" x14ac:dyDescent="0.35">
      <c r="A953" s="1" t="s">
        <v>151</v>
      </c>
      <c r="B953" s="1" t="s">
        <v>5351</v>
      </c>
      <c r="C953" s="1" t="s">
        <v>3858</v>
      </c>
      <c r="D953" s="1" t="s">
        <v>5352</v>
      </c>
      <c r="E953" s="1" t="s">
        <v>5353</v>
      </c>
      <c r="F953" s="1" t="s">
        <v>3327</v>
      </c>
      <c r="G953" s="1" t="s">
        <v>156</v>
      </c>
      <c r="H953" s="1" t="s">
        <v>3424</v>
      </c>
      <c r="I953" s="1" t="s">
        <v>74</v>
      </c>
      <c r="K953" s="1" t="s">
        <v>121</v>
      </c>
      <c r="L953" s="1" t="s">
        <v>3284</v>
      </c>
      <c r="M953" s="1" t="s">
        <v>831</v>
      </c>
      <c r="N953" s="1" t="s">
        <v>160</v>
      </c>
      <c r="O953" s="1" t="s">
        <v>5354</v>
      </c>
      <c r="P953" s="1" t="s">
        <v>5355</v>
      </c>
      <c r="Q953" s="1" t="s">
        <v>3321</v>
      </c>
      <c r="R953" s="1" t="s">
        <v>5356</v>
      </c>
      <c r="S953" s="1" t="s">
        <v>129</v>
      </c>
      <c r="T953" s="1">
        <v>30999</v>
      </c>
      <c r="U953" s="1" t="s">
        <v>166</v>
      </c>
      <c r="V953" s="1" t="s">
        <v>3664</v>
      </c>
      <c r="W953" s="1" t="s">
        <v>5357</v>
      </c>
    </row>
    <row r="954" spans="1:24" ht="15.75" customHeight="1" x14ac:dyDescent="0.35">
      <c r="A954" s="1" t="s">
        <v>151</v>
      </c>
      <c r="B954" s="1" t="s">
        <v>5358</v>
      </c>
      <c r="C954" s="1" t="s">
        <v>3748</v>
      </c>
      <c r="D954" s="1" t="s">
        <v>5359</v>
      </c>
      <c r="E954" s="1" t="s">
        <v>3670</v>
      </c>
      <c r="F954" s="1" t="s">
        <v>3327</v>
      </c>
      <c r="G954" s="1" t="s">
        <v>5360</v>
      </c>
      <c r="H954" s="1" t="s">
        <v>5361</v>
      </c>
      <c r="I954" s="1" t="s">
        <v>616</v>
      </c>
      <c r="K954" s="1" t="s">
        <v>101</v>
      </c>
      <c r="L954" s="1" t="s">
        <v>3329</v>
      </c>
      <c r="M954" s="1" t="s">
        <v>831</v>
      </c>
      <c r="N954" s="1" t="s">
        <v>160</v>
      </c>
      <c r="O954" s="1" t="s">
        <v>5362</v>
      </c>
      <c r="P954" s="1" t="s">
        <v>5355</v>
      </c>
      <c r="Q954" s="1" t="s">
        <v>3321</v>
      </c>
      <c r="R954" s="1" t="s">
        <v>5356</v>
      </c>
      <c r="S954" s="1" t="s">
        <v>129</v>
      </c>
      <c r="T954" s="1">
        <v>29999</v>
      </c>
      <c r="U954" s="1" t="s">
        <v>1082</v>
      </c>
      <c r="V954" s="1" t="s">
        <v>5363</v>
      </c>
      <c r="W954" s="1" t="s">
        <v>5364</v>
      </c>
    </row>
    <row r="955" spans="1:24" ht="15.75" customHeight="1" x14ac:dyDescent="0.35">
      <c r="A955" s="1" t="s">
        <v>81</v>
      </c>
      <c r="B955" s="1" t="s">
        <v>5365</v>
      </c>
      <c r="C955" s="1" t="s">
        <v>4071</v>
      </c>
      <c r="D955" s="1" t="s">
        <v>3522</v>
      </c>
      <c r="F955" s="1" t="s">
        <v>5366</v>
      </c>
      <c r="G955" s="1" t="s">
        <v>5367</v>
      </c>
      <c r="H955" s="1" t="s">
        <v>5368</v>
      </c>
      <c r="I955" s="1" t="s">
        <v>616</v>
      </c>
      <c r="K955" s="1" t="s">
        <v>2991</v>
      </c>
      <c r="L955" s="1" t="s">
        <v>5180</v>
      </c>
      <c r="M955" s="1" t="s">
        <v>5369</v>
      </c>
      <c r="N955" s="1" t="s">
        <v>5370</v>
      </c>
      <c r="O955" s="1" t="s">
        <v>5371</v>
      </c>
      <c r="P955" s="1" t="s">
        <v>5372</v>
      </c>
      <c r="Q955" s="1" t="s">
        <v>5373</v>
      </c>
      <c r="R955" s="1" t="s">
        <v>246</v>
      </c>
      <c r="S955" s="1" t="s">
        <v>129</v>
      </c>
      <c r="T955" s="1">
        <v>30499</v>
      </c>
      <c r="U955" s="1" t="s">
        <v>1082</v>
      </c>
      <c r="V955" s="1" t="s">
        <v>5374</v>
      </c>
      <c r="X955" s="1" t="s">
        <v>5375</v>
      </c>
    </row>
    <row r="956" spans="1:24" ht="15.75" customHeight="1" x14ac:dyDescent="0.35">
      <c r="A956" s="1" t="s">
        <v>81</v>
      </c>
      <c r="B956" s="1" t="s">
        <v>5337</v>
      </c>
      <c r="C956" s="1" t="s">
        <v>349</v>
      </c>
      <c r="D956" s="1" t="s">
        <v>4007</v>
      </c>
      <c r="F956" s="1" t="s">
        <v>5376</v>
      </c>
      <c r="G956" s="1" t="s">
        <v>5377</v>
      </c>
      <c r="H956" s="1" t="s">
        <v>5378</v>
      </c>
      <c r="I956" s="1" t="s">
        <v>3829</v>
      </c>
      <c r="K956" s="1" t="s">
        <v>101</v>
      </c>
      <c r="L956" s="1" t="s">
        <v>5180</v>
      </c>
      <c r="M956" s="1" t="s">
        <v>5379</v>
      </c>
      <c r="N956" s="1" t="s">
        <v>5380</v>
      </c>
      <c r="R956" s="1" t="s">
        <v>246</v>
      </c>
      <c r="S956" s="1" t="s">
        <v>129</v>
      </c>
      <c r="T956" s="1">
        <v>24999</v>
      </c>
      <c r="U956" s="1" t="s">
        <v>166</v>
      </c>
      <c r="V956" s="1" t="s">
        <v>5343</v>
      </c>
    </row>
    <row r="957" spans="1:24" ht="15.75" customHeight="1" x14ac:dyDescent="0.35">
      <c r="A957" s="1" t="s">
        <v>151</v>
      </c>
      <c r="B957" s="1" t="s">
        <v>5313</v>
      </c>
      <c r="C957" s="1" t="s">
        <v>3540</v>
      </c>
      <c r="D957" s="1" t="s">
        <v>5167</v>
      </c>
      <c r="E957" s="1" t="s">
        <v>3670</v>
      </c>
      <c r="F957" s="1" t="s">
        <v>3327</v>
      </c>
      <c r="G957" s="1" t="s">
        <v>5046</v>
      </c>
      <c r="H957" s="1" t="s">
        <v>5314</v>
      </c>
      <c r="I957" s="1" t="s">
        <v>1015</v>
      </c>
      <c r="K957" s="1" t="s">
        <v>101</v>
      </c>
      <c r="L957" s="1" t="s">
        <v>3329</v>
      </c>
      <c r="M957" s="1" t="s">
        <v>159</v>
      </c>
      <c r="N957" s="1" t="s">
        <v>941</v>
      </c>
      <c r="O957" s="1" t="s">
        <v>5049</v>
      </c>
      <c r="P957" s="1" t="s">
        <v>5162</v>
      </c>
      <c r="Q957" s="1" t="s">
        <v>3547</v>
      </c>
      <c r="R957" s="1" t="s">
        <v>1409</v>
      </c>
      <c r="S957" s="1" t="s">
        <v>78</v>
      </c>
      <c r="T957" s="1">
        <v>38888</v>
      </c>
      <c r="U957" s="1" t="s">
        <v>79</v>
      </c>
      <c r="V957" s="1" t="s">
        <v>3957</v>
      </c>
      <c r="W957" s="1" t="s">
        <v>5381</v>
      </c>
    </row>
    <row r="958" spans="1:24" ht="15.75" customHeight="1" x14ac:dyDescent="0.35">
      <c r="A958" s="1" t="s">
        <v>151</v>
      </c>
      <c r="B958" s="1" t="s">
        <v>5351</v>
      </c>
      <c r="C958" s="1" t="s">
        <v>3858</v>
      </c>
      <c r="D958" s="1" t="s">
        <v>3541</v>
      </c>
      <c r="F958" s="1" t="s">
        <v>3327</v>
      </c>
      <c r="G958" s="1" t="s">
        <v>156</v>
      </c>
      <c r="H958" s="1" t="s">
        <v>3424</v>
      </c>
      <c r="I958" s="1" t="s">
        <v>74</v>
      </c>
      <c r="K958" s="1" t="s">
        <v>101</v>
      </c>
      <c r="L958" s="1" t="s">
        <v>3284</v>
      </c>
      <c r="M958" s="1" t="s">
        <v>831</v>
      </c>
      <c r="N958" s="1" t="s">
        <v>160</v>
      </c>
      <c r="O958" s="1" t="s">
        <v>2135</v>
      </c>
      <c r="P958" s="1" t="s">
        <v>5355</v>
      </c>
      <c r="Q958" s="1" t="s">
        <v>3321</v>
      </c>
      <c r="R958" s="1" t="s">
        <v>246</v>
      </c>
      <c r="S958" s="1" t="s">
        <v>78</v>
      </c>
      <c r="T958" s="1">
        <v>29999</v>
      </c>
      <c r="U958" s="1" t="s">
        <v>166</v>
      </c>
      <c r="V958" s="1" t="s">
        <v>3664</v>
      </c>
      <c r="W958" s="1" t="s">
        <v>5382</v>
      </c>
    </row>
    <row r="959" spans="1:24" ht="15.75" customHeight="1" x14ac:dyDescent="0.35">
      <c r="A959" s="1" t="s">
        <v>3729</v>
      </c>
      <c r="B959" s="1" t="s">
        <v>5383</v>
      </c>
      <c r="C959" s="1" t="s">
        <v>5384</v>
      </c>
      <c r="D959" s="1" t="s">
        <v>5385</v>
      </c>
      <c r="F959" s="1" t="s">
        <v>5386</v>
      </c>
      <c r="G959" s="1" t="s">
        <v>1120</v>
      </c>
      <c r="H959" s="1" t="s">
        <v>5387</v>
      </c>
      <c r="I959" s="1" t="s">
        <v>4771</v>
      </c>
      <c r="J959" s="1" t="s">
        <v>39</v>
      </c>
      <c r="K959" s="1" t="s">
        <v>90</v>
      </c>
      <c r="M959" s="1" t="s">
        <v>5388</v>
      </c>
      <c r="N959" s="1" t="s">
        <v>5389</v>
      </c>
      <c r="O959" s="1" t="s">
        <v>5390</v>
      </c>
      <c r="P959" s="1" t="s">
        <v>5391</v>
      </c>
      <c r="Q959" s="1" t="s">
        <v>5392</v>
      </c>
      <c r="R959" s="1" t="s">
        <v>64</v>
      </c>
      <c r="S959" s="1" t="s">
        <v>78</v>
      </c>
      <c r="T959" s="1">
        <v>79999</v>
      </c>
      <c r="W959" s="1" t="s">
        <v>5393</v>
      </c>
      <c r="X959" s="1" t="s">
        <v>5394</v>
      </c>
    </row>
    <row r="960" spans="1:24" ht="15.75" customHeight="1" x14ac:dyDescent="0.35">
      <c r="A960" s="1" t="s">
        <v>151</v>
      </c>
      <c r="B960" s="1" t="s">
        <v>5313</v>
      </c>
      <c r="C960" s="1" t="s">
        <v>5395</v>
      </c>
      <c r="D960" s="1" t="s">
        <v>5167</v>
      </c>
      <c r="E960" s="1" t="s">
        <v>3670</v>
      </c>
      <c r="F960" s="1" t="s">
        <v>3860</v>
      </c>
      <c r="G960" s="1" t="s">
        <v>5171</v>
      </c>
      <c r="H960" s="1" t="s">
        <v>5160</v>
      </c>
      <c r="I960" s="1" t="s">
        <v>1015</v>
      </c>
      <c r="K960" s="1" t="s">
        <v>101</v>
      </c>
      <c r="L960" s="1" t="s">
        <v>5048</v>
      </c>
      <c r="M960" s="1" t="s">
        <v>159</v>
      </c>
      <c r="N960" s="1" t="s">
        <v>941</v>
      </c>
      <c r="O960" s="1" t="s">
        <v>5396</v>
      </c>
      <c r="P960" s="1" t="s">
        <v>5162</v>
      </c>
      <c r="Q960" s="1" t="s">
        <v>3547</v>
      </c>
      <c r="R960" s="1" t="s">
        <v>1409</v>
      </c>
      <c r="S960" s="1" t="s">
        <v>78</v>
      </c>
      <c r="T960" s="1">
        <v>44444</v>
      </c>
      <c r="U960" s="1" t="s">
        <v>79</v>
      </c>
      <c r="V960" s="1" t="s">
        <v>5052</v>
      </c>
      <c r="W960" s="1" t="s">
        <v>5397</v>
      </c>
    </row>
    <row r="961" spans="1:26" ht="15.75" customHeight="1" x14ac:dyDescent="0.35">
      <c r="A961" s="1" t="s">
        <v>151</v>
      </c>
      <c r="B961" s="1" t="s">
        <v>5313</v>
      </c>
      <c r="C961" s="1" t="s">
        <v>402</v>
      </c>
      <c r="D961" s="1" t="s">
        <v>3522</v>
      </c>
      <c r="F961" s="1" t="s">
        <v>3860</v>
      </c>
      <c r="G961" s="1" t="s">
        <v>5046</v>
      </c>
      <c r="H961" s="1" t="s">
        <v>5314</v>
      </c>
      <c r="I961" s="1" t="s">
        <v>1015</v>
      </c>
      <c r="K961" s="1" t="s">
        <v>101</v>
      </c>
      <c r="L961" s="1" t="s">
        <v>5048</v>
      </c>
      <c r="M961" s="1" t="s">
        <v>159</v>
      </c>
      <c r="N961" s="1" t="s">
        <v>941</v>
      </c>
      <c r="O961" s="1" t="s">
        <v>5396</v>
      </c>
      <c r="P961" s="1" t="s">
        <v>5162</v>
      </c>
      <c r="Q961" s="1" t="s">
        <v>3547</v>
      </c>
      <c r="R961" s="1" t="s">
        <v>64</v>
      </c>
      <c r="S961" s="1" t="s">
        <v>78</v>
      </c>
      <c r="T961" s="1">
        <v>43999</v>
      </c>
      <c r="U961" s="1" t="s">
        <v>79</v>
      </c>
      <c r="V961" s="1" t="s">
        <v>803</v>
      </c>
      <c r="W961" s="1" t="s">
        <v>5398</v>
      </c>
    </row>
    <row r="962" spans="1:26" ht="15.75" customHeight="1" x14ac:dyDescent="0.35">
      <c r="A962" s="1" t="s">
        <v>81</v>
      </c>
      <c r="B962" s="1" t="s">
        <v>5399</v>
      </c>
      <c r="C962" s="1" t="s">
        <v>1095</v>
      </c>
      <c r="D962" s="1" t="s">
        <v>3438</v>
      </c>
      <c r="F962" s="1" t="s">
        <v>491</v>
      </c>
      <c r="G962" s="1" t="s">
        <v>871</v>
      </c>
      <c r="H962" s="1" t="s">
        <v>5400</v>
      </c>
      <c r="I962" s="1" t="s">
        <v>1015</v>
      </c>
      <c r="J962" s="1" t="s">
        <v>971</v>
      </c>
      <c r="K962" s="1" t="s">
        <v>90</v>
      </c>
      <c r="M962" s="1" t="s">
        <v>1318</v>
      </c>
      <c r="O962" s="1" t="s">
        <v>5401</v>
      </c>
      <c r="P962" s="1" t="s">
        <v>5402</v>
      </c>
      <c r="Q962" s="1" t="s">
        <v>1488</v>
      </c>
      <c r="R962" s="1" t="s">
        <v>3277</v>
      </c>
      <c r="S962" s="1" t="s">
        <v>78</v>
      </c>
      <c r="T962" s="1">
        <v>55999</v>
      </c>
      <c r="V962" s="1" t="s">
        <v>5403</v>
      </c>
    </row>
    <row r="963" spans="1:26" ht="15.75" customHeight="1" x14ac:dyDescent="0.35">
      <c r="A963" s="1" t="s">
        <v>112</v>
      </c>
      <c r="B963" s="1" t="s">
        <v>5404</v>
      </c>
      <c r="C963" s="1" t="s">
        <v>5267</v>
      </c>
      <c r="D963" s="1" t="s">
        <v>3460</v>
      </c>
      <c r="F963" s="1" t="s">
        <v>5405</v>
      </c>
      <c r="G963" s="1" t="s">
        <v>118</v>
      </c>
      <c r="H963" s="1" t="s">
        <v>3808</v>
      </c>
      <c r="I963" s="1" t="s">
        <v>275</v>
      </c>
      <c r="K963" s="1" t="s">
        <v>201</v>
      </c>
      <c r="L963" s="1" t="s">
        <v>3509</v>
      </c>
      <c r="M963" s="1" t="s">
        <v>3380</v>
      </c>
      <c r="N963" s="1" t="s">
        <v>5406</v>
      </c>
      <c r="O963" s="1" t="s">
        <v>5407</v>
      </c>
      <c r="P963" s="1" t="s">
        <v>5408</v>
      </c>
      <c r="Q963" s="1" t="s">
        <v>5409</v>
      </c>
      <c r="R963" s="1" t="s">
        <v>3384</v>
      </c>
      <c r="S963" s="1" t="s">
        <v>78</v>
      </c>
      <c r="T963" s="1">
        <v>38499</v>
      </c>
      <c r="V963" s="1" t="s">
        <v>5199</v>
      </c>
      <c r="W963" s="1" t="s">
        <v>1647</v>
      </c>
    </row>
    <row r="964" spans="1:26" ht="15.75" customHeight="1" x14ac:dyDescent="0.35">
      <c r="A964" s="1" t="s">
        <v>151</v>
      </c>
      <c r="B964" s="1" t="s">
        <v>5238</v>
      </c>
      <c r="C964" s="1" t="s">
        <v>3960</v>
      </c>
      <c r="D964" s="1" t="s">
        <v>3541</v>
      </c>
      <c r="F964" s="1" t="s">
        <v>5239</v>
      </c>
      <c r="G964" s="1" t="s">
        <v>5410</v>
      </c>
      <c r="H964" s="1" t="s">
        <v>5411</v>
      </c>
      <c r="I964" s="1" t="s">
        <v>1015</v>
      </c>
      <c r="K964" s="1" t="s">
        <v>2991</v>
      </c>
      <c r="N964" s="1" t="s">
        <v>5241</v>
      </c>
      <c r="O964" s="1" t="s">
        <v>5242</v>
      </c>
      <c r="R964" s="1" t="s">
        <v>64</v>
      </c>
      <c r="S964" s="1" t="s">
        <v>78</v>
      </c>
      <c r="T964" s="1">
        <v>34999</v>
      </c>
      <c r="U964" s="1" t="s">
        <v>1082</v>
      </c>
      <c r="V964" s="1" t="s">
        <v>3966</v>
      </c>
      <c r="W964" s="1" t="s">
        <v>5412</v>
      </c>
    </row>
    <row r="965" spans="1:26" ht="15.75" customHeight="1" x14ac:dyDescent="0.35">
      <c r="A965" s="1" t="s">
        <v>3729</v>
      </c>
      <c r="B965" s="1" t="s">
        <v>4368</v>
      </c>
      <c r="C965" s="1" t="s">
        <v>5413</v>
      </c>
      <c r="D965" s="1" t="s">
        <v>3541</v>
      </c>
      <c r="F965" s="1" t="s">
        <v>656</v>
      </c>
      <c r="G965" s="1" t="s">
        <v>5414</v>
      </c>
      <c r="H965" s="1" t="s">
        <v>5415</v>
      </c>
      <c r="I965" s="1" t="s">
        <v>4771</v>
      </c>
      <c r="K965" s="1" t="s">
        <v>90</v>
      </c>
      <c r="N965" s="1" t="s">
        <v>5416</v>
      </c>
      <c r="O965" s="1" t="s">
        <v>5417</v>
      </c>
      <c r="P965" s="1" t="s">
        <v>5418</v>
      </c>
      <c r="Q965" s="1">
        <v>1.98</v>
      </c>
      <c r="R965" s="1" t="s">
        <v>5419</v>
      </c>
      <c r="S965" s="1" t="s">
        <v>78</v>
      </c>
      <c r="T965" s="1">
        <v>79999</v>
      </c>
      <c r="U965" s="1" t="s">
        <v>166</v>
      </c>
    </row>
    <row r="966" spans="1:26" ht="15.75" customHeight="1" x14ac:dyDescent="0.35">
      <c r="A966" s="1" t="s">
        <v>112</v>
      </c>
      <c r="B966" s="1" t="s">
        <v>5102</v>
      </c>
      <c r="C966" s="1" t="s">
        <v>3866</v>
      </c>
      <c r="D966" s="1" t="s">
        <v>438</v>
      </c>
      <c r="E966" s="1" t="s">
        <v>507</v>
      </c>
      <c r="F966" s="1" t="s">
        <v>1525</v>
      </c>
      <c r="G966" s="1" t="s">
        <v>5094</v>
      </c>
      <c r="H966" s="1" t="s">
        <v>5103</v>
      </c>
      <c r="I966" s="1" t="s">
        <v>120</v>
      </c>
      <c r="K966" s="1" t="s">
        <v>101</v>
      </c>
      <c r="L966" s="1" t="s">
        <v>5096</v>
      </c>
      <c r="M966" s="1" t="s">
        <v>5104</v>
      </c>
      <c r="N966" s="1" t="s">
        <v>465</v>
      </c>
      <c r="O966" s="1" t="s">
        <v>5105</v>
      </c>
      <c r="P966" s="1" t="s">
        <v>5106</v>
      </c>
      <c r="Q966" s="1" t="s">
        <v>5107</v>
      </c>
      <c r="R966" s="1" t="s">
        <v>985</v>
      </c>
      <c r="S966" s="1" t="s">
        <v>78</v>
      </c>
      <c r="T966" s="1">
        <v>40199</v>
      </c>
      <c r="U966" s="1" t="s">
        <v>79</v>
      </c>
      <c r="V966" s="1" t="s">
        <v>3385</v>
      </c>
      <c r="W966" s="1" t="s">
        <v>5420</v>
      </c>
    </row>
    <row r="967" spans="1:26" ht="15.75" customHeight="1" x14ac:dyDescent="0.35">
      <c r="A967" s="1" t="s">
        <v>81</v>
      </c>
      <c r="B967" s="1" t="s">
        <v>5421</v>
      </c>
      <c r="C967" s="1" t="s">
        <v>3758</v>
      </c>
      <c r="D967" s="1" t="s">
        <v>3522</v>
      </c>
      <c r="F967" s="1" t="s">
        <v>2110</v>
      </c>
      <c r="G967" s="1" t="s">
        <v>5422</v>
      </c>
      <c r="H967" s="1" t="s">
        <v>5423</v>
      </c>
      <c r="I967" s="1" t="s">
        <v>120</v>
      </c>
      <c r="J967" s="1" t="s">
        <v>971</v>
      </c>
      <c r="K967" s="1" t="s">
        <v>725</v>
      </c>
      <c r="M967" s="1" t="s">
        <v>5424</v>
      </c>
      <c r="O967" s="1" t="s">
        <v>5425</v>
      </c>
      <c r="P967" s="1" t="s">
        <v>5426</v>
      </c>
      <c r="Q967" s="1" t="s">
        <v>5138</v>
      </c>
      <c r="R967" s="1" t="s">
        <v>985</v>
      </c>
      <c r="S967" s="1" t="s">
        <v>78</v>
      </c>
      <c r="T967" s="1">
        <v>30999</v>
      </c>
      <c r="U967" s="1" t="s">
        <v>79</v>
      </c>
      <c r="V967" s="1" t="s">
        <v>5427</v>
      </c>
    </row>
    <row r="968" spans="1:26" ht="15.75" customHeight="1" x14ac:dyDescent="0.35">
      <c r="A968" s="1" t="s">
        <v>151</v>
      </c>
      <c r="B968" s="1" t="s">
        <v>5428</v>
      </c>
      <c r="C968" s="1" t="s">
        <v>4933</v>
      </c>
      <c r="D968" s="1" t="s">
        <v>3541</v>
      </c>
      <c r="F968" s="1" t="s">
        <v>5429</v>
      </c>
      <c r="G968" s="1" t="s">
        <v>5430</v>
      </c>
      <c r="H968" s="1" t="s">
        <v>5431</v>
      </c>
      <c r="I968" s="1" t="s">
        <v>74</v>
      </c>
      <c r="K968" s="1" t="s">
        <v>101</v>
      </c>
      <c r="L968" s="1" t="s">
        <v>3284</v>
      </c>
      <c r="M968" s="1" t="s">
        <v>831</v>
      </c>
      <c r="N968" s="1" t="s">
        <v>160</v>
      </c>
      <c r="O968" s="1" t="s">
        <v>5362</v>
      </c>
      <c r="P968" s="1" t="s">
        <v>5432</v>
      </c>
      <c r="Q968" s="1" t="s">
        <v>3892</v>
      </c>
      <c r="R968" s="1" t="s">
        <v>5356</v>
      </c>
      <c r="S968" s="1" t="s">
        <v>78</v>
      </c>
      <c r="T968" s="1">
        <v>23999</v>
      </c>
      <c r="U968" s="1" t="s">
        <v>1082</v>
      </c>
      <c r="V968" s="1" t="s">
        <v>5363</v>
      </c>
      <c r="W968" s="1" t="s">
        <v>5433</v>
      </c>
    </row>
    <row r="969" spans="1:26" ht="15.75" customHeight="1" x14ac:dyDescent="0.35">
      <c r="A969" s="1" t="s">
        <v>81</v>
      </c>
      <c r="B969" s="1" t="s">
        <v>5434</v>
      </c>
      <c r="C969" s="1" t="s">
        <v>5435</v>
      </c>
      <c r="D969" s="1" t="s">
        <v>3522</v>
      </c>
      <c r="F969" s="1" t="s">
        <v>1245</v>
      </c>
      <c r="G969" s="1" t="s">
        <v>322</v>
      </c>
      <c r="H969" s="1" t="s">
        <v>5436</v>
      </c>
      <c r="I969" s="1" t="s">
        <v>1015</v>
      </c>
      <c r="J969" s="1" t="s">
        <v>971</v>
      </c>
      <c r="K969" s="1" t="s">
        <v>201</v>
      </c>
      <c r="L969" s="1" t="s">
        <v>5437</v>
      </c>
      <c r="M969" s="1" t="s">
        <v>3480</v>
      </c>
      <c r="N969" s="1" t="s">
        <v>5438</v>
      </c>
      <c r="O969" s="1" t="s">
        <v>5439</v>
      </c>
      <c r="P969" s="1" t="s">
        <v>5440</v>
      </c>
      <c r="Q969" s="1" t="s">
        <v>5441</v>
      </c>
      <c r="R969" s="1" t="s">
        <v>1252</v>
      </c>
      <c r="S969" s="1" t="s">
        <v>78</v>
      </c>
      <c r="T969" s="1">
        <v>52999</v>
      </c>
      <c r="U969" s="1" t="s">
        <v>79</v>
      </c>
      <c r="V969" s="1" t="s">
        <v>3478</v>
      </c>
    </row>
    <row r="970" spans="1:26" ht="15.75" customHeight="1" x14ac:dyDescent="0.35">
      <c r="A970" s="1" t="s">
        <v>112</v>
      </c>
      <c r="B970" s="1" t="s">
        <v>5102</v>
      </c>
      <c r="C970" s="1" t="s">
        <v>4140</v>
      </c>
      <c r="D970" s="1" t="s">
        <v>1445</v>
      </c>
      <c r="E970" s="1" t="s">
        <v>439</v>
      </c>
      <c r="F970" s="1" t="s">
        <v>1525</v>
      </c>
      <c r="G970" s="1" t="s">
        <v>5094</v>
      </c>
      <c r="H970" s="1" t="s">
        <v>5103</v>
      </c>
      <c r="I970" s="1" t="s">
        <v>120</v>
      </c>
      <c r="K970" s="1" t="s">
        <v>101</v>
      </c>
      <c r="L970" s="1" t="s">
        <v>5096</v>
      </c>
      <c r="M970" s="1" t="s">
        <v>5104</v>
      </c>
      <c r="N970" s="1" t="s">
        <v>465</v>
      </c>
      <c r="O970" s="1" t="s">
        <v>5105</v>
      </c>
      <c r="P970" s="1" t="s">
        <v>5106</v>
      </c>
      <c r="Q970" s="1" t="s">
        <v>5107</v>
      </c>
      <c r="R970" s="1" t="s">
        <v>5208</v>
      </c>
      <c r="S970" s="1" t="s">
        <v>78</v>
      </c>
      <c r="T970" s="1">
        <v>31999</v>
      </c>
      <c r="U970" s="1" t="s">
        <v>79</v>
      </c>
      <c r="V970" s="1" t="s">
        <v>3591</v>
      </c>
    </row>
    <row r="971" spans="1:26" ht="15.75" customHeight="1" x14ac:dyDescent="0.35">
      <c r="A971" s="1" t="s">
        <v>151</v>
      </c>
      <c r="B971" s="1" t="s">
        <v>5442</v>
      </c>
      <c r="C971" s="1" t="s">
        <v>3516</v>
      </c>
      <c r="D971" s="1" t="s">
        <v>5443</v>
      </c>
      <c r="E971" s="1" t="s">
        <v>3670</v>
      </c>
      <c r="F971" s="1" t="s">
        <v>5444</v>
      </c>
      <c r="G971" s="1" t="s">
        <v>5036</v>
      </c>
      <c r="H971" s="1" t="s">
        <v>3861</v>
      </c>
      <c r="I971" s="1" t="s">
        <v>120</v>
      </c>
      <c r="K971" s="1" t="s">
        <v>101</v>
      </c>
      <c r="M971" s="1" t="s">
        <v>159</v>
      </c>
      <c r="N971" s="1" t="s">
        <v>5148</v>
      </c>
      <c r="O971" s="1" t="s">
        <v>5445</v>
      </c>
      <c r="P971" s="1" t="s">
        <v>5446</v>
      </c>
      <c r="Q971" s="1" t="s">
        <v>3321</v>
      </c>
      <c r="R971" s="1" t="s">
        <v>64</v>
      </c>
      <c r="S971" s="1" t="s">
        <v>78</v>
      </c>
      <c r="T971" s="1">
        <v>34777</v>
      </c>
      <c r="U971" s="1" t="s">
        <v>166</v>
      </c>
      <c r="V971" s="1" t="s">
        <v>3347</v>
      </c>
      <c r="W971" s="1" t="s">
        <v>5447</v>
      </c>
    </row>
    <row r="972" spans="1:26" ht="15.75" customHeight="1" x14ac:dyDescent="0.35">
      <c r="A972" s="1" t="s">
        <v>234</v>
      </c>
      <c r="B972" s="1" t="s">
        <v>5448</v>
      </c>
      <c r="C972" s="1" t="s">
        <v>402</v>
      </c>
      <c r="D972" s="1" t="s">
        <v>4007</v>
      </c>
      <c r="F972" s="1" t="s">
        <v>3924</v>
      </c>
      <c r="G972" s="1" t="s">
        <v>629</v>
      </c>
      <c r="H972" s="1" t="s">
        <v>5449</v>
      </c>
      <c r="I972" s="1" t="s">
        <v>2201</v>
      </c>
      <c r="J972" s="1" t="s">
        <v>39</v>
      </c>
      <c r="K972" s="1" t="s">
        <v>201</v>
      </c>
      <c r="L972" s="1" t="s">
        <v>5450</v>
      </c>
      <c r="M972" s="1" t="s">
        <v>3724</v>
      </c>
      <c r="N972" s="1" t="s">
        <v>920</v>
      </c>
      <c r="O972" s="1" t="s">
        <v>5451</v>
      </c>
      <c r="P972" s="1" t="s">
        <v>5452</v>
      </c>
      <c r="Q972" s="1" t="s">
        <v>3500</v>
      </c>
      <c r="R972" s="1" t="s">
        <v>5453</v>
      </c>
      <c r="S972" s="1" t="s">
        <v>1471</v>
      </c>
      <c r="T972" s="1">
        <v>36199</v>
      </c>
      <c r="U972" s="1" t="s">
        <v>79</v>
      </c>
      <c r="V972" s="1" t="s">
        <v>1260</v>
      </c>
      <c r="W972" s="1" t="s">
        <v>5454</v>
      </c>
    </row>
    <row r="973" spans="1:26" ht="15.75" customHeight="1" x14ac:dyDescent="0.35">
      <c r="A973" s="1" t="s">
        <v>151</v>
      </c>
      <c r="B973" s="1" t="s">
        <v>5455</v>
      </c>
      <c r="C973" s="1" t="s">
        <v>3476</v>
      </c>
      <c r="D973" s="1" t="s">
        <v>5167</v>
      </c>
      <c r="E973" s="1" t="s">
        <v>5456</v>
      </c>
      <c r="F973" s="1" t="s">
        <v>3327</v>
      </c>
      <c r="G973" s="1" t="s">
        <v>5457</v>
      </c>
      <c r="H973" s="1" t="s">
        <v>5458</v>
      </c>
      <c r="I973" s="1" t="s">
        <v>5459</v>
      </c>
      <c r="K973" s="1" t="s">
        <v>101</v>
      </c>
      <c r="L973" s="1" t="s">
        <v>3284</v>
      </c>
      <c r="M973" s="1" t="s">
        <v>159</v>
      </c>
      <c r="N973" s="1" t="s">
        <v>5345</v>
      </c>
      <c r="O973" s="1" t="s">
        <v>5346</v>
      </c>
      <c r="P973" s="1" t="s">
        <v>5460</v>
      </c>
      <c r="Q973" s="1" t="s">
        <v>3547</v>
      </c>
      <c r="R973" s="1" t="s">
        <v>1409</v>
      </c>
      <c r="S973" s="1" t="s">
        <v>78</v>
      </c>
      <c r="T973" s="1">
        <v>45999</v>
      </c>
      <c r="U973" s="1" t="s">
        <v>79</v>
      </c>
      <c r="V973" s="1" t="s">
        <v>5461</v>
      </c>
      <c r="W973" s="1" t="s">
        <v>5462</v>
      </c>
      <c r="Z973" s="1" t="s">
        <v>5463</v>
      </c>
    </row>
    <row r="974" spans="1:26" ht="15.75" customHeight="1" x14ac:dyDescent="0.35">
      <c r="A974" s="1" t="s">
        <v>81</v>
      </c>
      <c r="B974" s="1" t="s">
        <v>5464</v>
      </c>
      <c r="C974" s="1" t="s">
        <v>3476</v>
      </c>
      <c r="D974" s="1" t="s">
        <v>5465</v>
      </c>
      <c r="F974" s="1" t="s">
        <v>5466</v>
      </c>
      <c r="G974" s="1" t="s">
        <v>5178</v>
      </c>
      <c r="H974" s="1" t="s">
        <v>5467</v>
      </c>
      <c r="I974" s="1" t="s">
        <v>120</v>
      </c>
      <c r="K974" s="1" t="s">
        <v>101</v>
      </c>
      <c r="L974" s="1" t="s">
        <v>5468</v>
      </c>
      <c r="M974" s="1" t="s">
        <v>5469</v>
      </c>
      <c r="N974" s="1" t="s">
        <v>5470</v>
      </c>
      <c r="O974" s="1" t="s">
        <v>5471</v>
      </c>
      <c r="P974" s="1" t="s">
        <v>5472</v>
      </c>
      <c r="Q974" s="1" t="s">
        <v>4135</v>
      </c>
      <c r="R974" s="1" t="s">
        <v>246</v>
      </c>
      <c r="S974" s="1" t="s">
        <v>78</v>
      </c>
      <c r="T974" s="1">
        <v>55449</v>
      </c>
      <c r="U974" s="1" t="s">
        <v>79</v>
      </c>
      <c r="V974" s="1" t="s">
        <v>5473</v>
      </c>
    </row>
    <row r="975" spans="1:26" ht="15.75" customHeight="1" x14ac:dyDescent="0.35">
      <c r="A975" s="1" t="s">
        <v>81</v>
      </c>
      <c r="B975" s="1" t="s">
        <v>5474</v>
      </c>
      <c r="C975" s="1" t="s">
        <v>3476</v>
      </c>
      <c r="D975" s="1" t="s">
        <v>5475</v>
      </c>
      <c r="F975" s="1" t="s">
        <v>5476</v>
      </c>
      <c r="G975" s="1" t="s">
        <v>5477</v>
      </c>
      <c r="H975" s="1" t="s">
        <v>5478</v>
      </c>
      <c r="I975" s="1" t="s">
        <v>120</v>
      </c>
      <c r="K975" s="1" t="s">
        <v>101</v>
      </c>
      <c r="L975" s="1" t="s">
        <v>5479</v>
      </c>
      <c r="M975" s="1" t="s">
        <v>5480</v>
      </c>
      <c r="N975" s="1" t="s">
        <v>5481</v>
      </c>
      <c r="O975" s="1" t="s">
        <v>5482</v>
      </c>
      <c r="P975" s="1" t="s">
        <v>5483</v>
      </c>
      <c r="Q975" s="1" t="s">
        <v>5484</v>
      </c>
      <c r="R975" s="1" t="s">
        <v>246</v>
      </c>
      <c r="S975" s="1" t="s">
        <v>78</v>
      </c>
      <c r="T975" s="1">
        <v>56999</v>
      </c>
      <c r="U975" s="1" t="s">
        <v>79</v>
      </c>
      <c r="V975" s="1" t="s">
        <v>5473</v>
      </c>
    </row>
    <row r="976" spans="1:26" ht="15.75" customHeight="1" x14ac:dyDescent="0.35">
      <c r="A976" s="1" t="s">
        <v>81</v>
      </c>
      <c r="B976" s="1" t="s">
        <v>5485</v>
      </c>
      <c r="C976" s="1" t="s">
        <v>4071</v>
      </c>
      <c r="D976" s="1" t="s">
        <v>3522</v>
      </c>
      <c r="F976" s="1" t="s">
        <v>5476</v>
      </c>
      <c r="G976" s="1" t="s">
        <v>5486</v>
      </c>
      <c r="H976" s="1" t="s">
        <v>5487</v>
      </c>
      <c r="I976" s="1" t="s">
        <v>616</v>
      </c>
      <c r="K976" s="1" t="s">
        <v>101</v>
      </c>
      <c r="L976" s="1" t="s">
        <v>5488</v>
      </c>
      <c r="M976" s="1" t="s">
        <v>5489</v>
      </c>
      <c r="O976" s="1" t="s">
        <v>5490</v>
      </c>
      <c r="P976" s="1" t="s">
        <v>5491</v>
      </c>
      <c r="Q976" s="1" t="s">
        <v>4873</v>
      </c>
      <c r="R976" s="1" t="s">
        <v>64</v>
      </c>
      <c r="S976" s="1" t="s">
        <v>78</v>
      </c>
      <c r="T976" s="1">
        <v>25799</v>
      </c>
      <c r="U976" s="1" t="s">
        <v>1082</v>
      </c>
      <c r="V976" s="1" t="s">
        <v>5492</v>
      </c>
    </row>
    <row r="977" spans="1:23" ht="15.75" customHeight="1" x14ac:dyDescent="0.35">
      <c r="A977" s="1" t="s">
        <v>112</v>
      </c>
      <c r="B977" s="1" t="s">
        <v>5493</v>
      </c>
      <c r="C977" s="1" t="s">
        <v>4140</v>
      </c>
      <c r="D977" s="1" t="s">
        <v>3315</v>
      </c>
      <c r="F977" s="1" t="s">
        <v>2487</v>
      </c>
      <c r="G977" s="1" t="s">
        <v>4192</v>
      </c>
      <c r="H977" s="1" t="s">
        <v>5494</v>
      </c>
      <c r="I977" s="1" t="s">
        <v>120</v>
      </c>
      <c r="K977" s="1" t="s">
        <v>5495</v>
      </c>
      <c r="L977" s="1" t="s">
        <v>5496</v>
      </c>
      <c r="M977" s="1" t="s">
        <v>5104</v>
      </c>
      <c r="N977" s="1" t="s">
        <v>465</v>
      </c>
      <c r="O977" s="1" t="s">
        <v>5497</v>
      </c>
      <c r="P977" s="1" t="s">
        <v>5498</v>
      </c>
      <c r="Q977" s="1" t="s">
        <v>4389</v>
      </c>
      <c r="R977" s="1" t="s">
        <v>5208</v>
      </c>
      <c r="S977" s="1" t="s">
        <v>129</v>
      </c>
      <c r="T977" s="1">
        <v>38888</v>
      </c>
      <c r="U977" s="1" t="s">
        <v>79</v>
      </c>
      <c r="V977" s="1" t="s">
        <v>5499</v>
      </c>
    </row>
    <row r="978" spans="1:23" ht="15.75" customHeight="1" x14ac:dyDescent="0.35">
      <c r="A978" s="1" t="s">
        <v>112</v>
      </c>
      <c r="B978" s="1" t="s">
        <v>5102</v>
      </c>
      <c r="C978" s="1" t="s">
        <v>4140</v>
      </c>
      <c r="D978" s="1" t="s">
        <v>3315</v>
      </c>
      <c r="F978" s="1" t="s">
        <v>2487</v>
      </c>
      <c r="G978" s="1" t="s">
        <v>4192</v>
      </c>
      <c r="H978" s="1" t="s">
        <v>5500</v>
      </c>
      <c r="I978" s="1" t="s">
        <v>3653</v>
      </c>
      <c r="K978" s="1" t="s">
        <v>5495</v>
      </c>
      <c r="L978" s="1" t="s">
        <v>5096</v>
      </c>
      <c r="M978" s="1" t="s">
        <v>5104</v>
      </c>
      <c r="N978" s="1" t="s">
        <v>465</v>
      </c>
      <c r="O978" s="1" t="s">
        <v>5497</v>
      </c>
      <c r="P978" s="1" t="s">
        <v>5106</v>
      </c>
      <c r="Q978" s="1" t="s">
        <v>5107</v>
      </c>
      <c r="R978" s="1" t="s">
        <v>5208</v>
      </c>
      <c r="S978" s="1" t="s">
        <v>129</v>
      </c>
      <c r="T978" s="1">
        <v>38888</v>
      </c>
      <c r="U978" s="1" t="s">
        <v>79</v>
      </c>
      <c r="V978" s="1" t="s">
        <v>5499</v>
      </c>
    </row>
    <row r="979" spans="1:23" ht="15.75" customHeight="1" x14ac:dyDescent="0.35">
      <c r="A979" s="1" t="s">
        <v>81</v>
      </c>
      <c r="B979" s="1" t="s">
        <v>5501</v>
      </c>
      <c r="C979" s="1" t="s">
        <v>3516</v>
      </c>
      <c r="D979" s="1" t="s">
        <v>3522</v>
      </c>
      <c r="F979" s="1" t="s">
        <v>5476</v>
      </c>
      <c r="G979" s="1" t="s">
        <v>5367</v>
      </c>
      <c r="H979" s="1" t="s">
        <v>5502</v>
      </c>
      <c r="I979" s="1" t="s">
        <v>616</v>
      </c>
      <c r="K979" s="1" t="s">
        <v>101</v>
      </c>
      <c r="L979" s="1" t="s">
        <v>5503</v>
      </c>
      <c r="M979" s="1" t="s">
        <v>5342</v>
      </c>
      <c r="N979" s="1" t="s">
        <v>5380</v>
      </c>
      <c r="P979" s="1" t="s">
        <v>5504</v>
      </c>
      <c r="Q979" s="1" t="s">
        <v>4135</v>
      </c>
      <c r="R979" s="1" t="s">
        <v>246</v>
      </c>
      <c r="S979" s="1" t="s">
        <v>78</v>
      </c>
      <c r="T979" s="1">
        <v>43500</v>
      </c>
      <c r="U979" s="1" t="s">
        <v>166</v>
      </c>
      <c r="V979" s="1" t="s">
        <v>5343</v>
      </c>
    </row>
    <row r="980" spans="1:23" ht="15.75" customHeight="1" x14ac:dyDescent="0.35">
      <c r="A980" s="1" t="s">
        <v>112</v>
      </c>
      <c r="B980" s="1" t="s">
        <v>5505</v>
      </c>
      <c r="C980" s="1" t="s">
        <v>4071</v>
      </c>
      <c r="D980" s="1" t="s">
        <v>3522</v>
      </c>
      <c r="F980" s="1" t="s">
        <v>1525</v>
      </c>
      <c r="G980" s="1" t="s">
        <v>5094</v>
      </c>
      <c r="H980" s="1" t="s">
        <v>5232</v>
      </c>
      <c r="I980" s="1" t="s">
        <v>616</v>
      </c>
      <c r="K980" s="1" t="s">
        <v>90</v>
      </c>
      <c r="L980" s="1" t="s">
        <v>5096</v>
      </c>
      <c r="M980" s="1" t="s">
        <v>5156</v>
      </c>
      <c r="N980" s="1" t="s">
        <v>5157</v>
      </c>
      <c r="O980" s="1" t="s">
        <v>5506</v>
      </c>
      <c r="P980" s="1" t="s">
        <v>5106</v>
      </c>
      <c r="Q980" s="1" t="s">
        <v>3850</v>
      </c>
      <c r="R980" s="1" t="s">
        <v>985</v>
      </c>
      <c r="S980" s="1" t="s">
        <v>78</v>
      </c>
      <c r="T980" s="1">
        <v>39999</v>
      </c>
      <c r="U980" s="1" t="s">
        <v>1082</v>
      </c>
      <c r="V980" s="1" t="s">
        <v>4184</v>
      </c>
      <c r="W980" s="1" t="s">
        <v>5507</v>
      </c>
    </row>
    <row r="981" spans="1:23" ht="15.75" customHeight="1" x14ac:dyDescent="0.35">
      <c r="A981" s="1" t="s">
        <v>151</v>
      </c>
      <c r="B981" s="1" t="s">
        <v>5508</v>
      </c>
      <c r="C981" s="1" t="s">
        <v>4071</v>
      </c>
      <c r="D981" s="1" t="s">
        <v>3315</v>
      </c>
      <c r="F981" s="1" t="s">
        <v>5509</v>
      </c>
      <c r="G981" s="1" t="s">
        <v>5036</v>
      </c>
      <c r="H981" s="1" t="s">
        <v>5510</v>
      </c>
      <c r="I981" s="1" t="s">
        <v>616</v>
      </c>
      <c r="K981" s="1" t="s">
        <v>725</v>
      </c>
      <c r="M981" s="1" t="s">
        <v>5511</v>
      </c>
      <c r="N981" s="1" t="s">
        <v>5512</v>
      </c>
      <c r="O981" s="1" t="s">
        <v>5513</v>
      </c>
      <c r="P981" s="1" t="s">
        <v>5514</v>
      </c>
      <c r="Q981" s="1" t="s">
        <v>5165</v>
      </c>
      <c r="R981" s="1" t="s">
        <v>64</v>
      </c>
      <c r="S981" s="1" t="s">
        <v>78</v>
      </c>
      <c r="T981" s="1">
        <v>38899</v>
      </c>
      <c r="U981" s="1" t="s">
        <v>1082</v>
      </c>
      <c r="V981" s="1" t="s">
        <v>3966</v>
      </c>
    </row>
    <row r="982" spans="1:23" ht="15.75" customHeight="1" x14ac:dyDescent="0.35">
      <c r="A982" s="1" t="s">
        <v>234</v>
      </c>
      <c r="B982" s="1" t="s">
        <v>4115</v>
      </c>
      <c r="C982" s="1" t="s">
        <v>3748</v>
      </c>
      <c r="D982" s="1" t="s">
        <v>4116</v>
      </c>
      <c r="F982" s="1" t="s">
        <v>4117</v>
      </c>
      <c r="G982" s="1" t="s">
        <v>4118</v>
      </c>
      <c r="H982" s="1" t="s">
        <v>4119</v>
      </c>
      <c r="I982" s="1" t="s">
        <v>616</v>
      </c>
      <c r="K982" s="1" t="s">
        <v>2991</v>
      </c>
      <c r="L982" s="1" t="s">
        <v>4120</v>
      </c>
      <c r="M982" s="1" t="s">
        <v>4121</v>
      </c>
      <c r="N982" s="1" t="s">
        <v>4122</v>
      </c>
      <c r="O982" s="1" t="s">
        <v>4123</v>
      </c>
      <c r="P982" s="1" t="s">
        <v>4124</v>
      </c>
      <c r="R982" s="1" t="s">
        <v>64</v>
      </c>
      <c r="S982" s="1" t="s">
        <v>339</v>
      </c>
      <c r="T982" s="1">
        <v>37499</v>
      </c>
      <c r="U982" s="1" t="s">
        <v>1082</v>
      </c>
      <c r="V982" s="1" t="s">
        <v>4125</v>
      </c>
      <c r="W982" s="1" t="s">
        <v>4126</v>
      </c>
    </row>
    <row r="983" spans="1:23" ht="15.75" customHeight="1" x14ac:dyDescent="0.35">
      <c r="A983" s="1" t="s">
        <v>112</v>
      </c>
      <c r="B983" s="1" t="s">
        <v>4139</v>
      </c>
      <c r="C983" s="1" t="s">
        <v>4140</v>
      </c>
      <c r="D983" s="1" t="s">
        <v>3522</v>
      </c>
      <c r="F983" s="1" t="s">
        <v>4141</v>
      </c>
      <c r="G983" s="1" t="s">
        <v>2718</v>
      </c>
      <c r="H983" s="1" t="s">
        <v>4142</v>
      </c>
      <c r="I983" s="1" t="s">
        <v>616</v>
      </c>
      <c r="K983" s="1" t="s">
        <v>90</v>
      </c>
      <c r="L983" s="1" t="s">
        <v>3509</v>
      </c>
      <c r="M983" s="1" t="s">
        <v>4143</v>
      </c>
      <c r="N983" s="1" t="s">
        <v>3511</v>
      </c>
      <c r="O983" s="1" t="s">
        <v>3512</v>
      </c>
      <c r="P983" s="1" t="s">
        <v>4144</v>
      </c>
      <c r="Q983" s="1" t="s">
        <v>3532</v>
      </c>
      <c r="R983" s="1" t="s">
        <v>767</v>
      </c>
      <c r="S983" s="1" t="s">
        <v>78</v>
      </c>
      <c r="T983" s="1">
        <v>36000</v>
      </c>
      <c r="U983" s="1" t="s">
        <v>79</v>
      </c>
      <c r="V983" s="1" t="s">
        <v>4145</v>
      </c>
      <c r="W983" s="1" t="s">
        <v>4146</v>
      </c>
    </row>
    <row r="984" spans="1:23" ht="15.75" customHeight="1" x14ac:dyDescent="0.35">
      <c r="A984" s="1" t="s">
        <v>112</v>
      </c>
      <c r="B984" s="1" t="s">
        <v>5515</v>
      </c>
      <c r="C984" s="1" t="s">
        <v>3661</v>
      </c>
      <c r="D984" s="1" t="s">
        <v>3541</v>
      </c>
      <c r="F984" s="1" t="s">
        <v>5516</v>
      </c>
      <c r="G984" s="1" t="s">
        <v>5094</v>
      </c>
      <c r="H984" s="1" t="s">
        <v>5517</v>
      </c>
      <c r="I984" s="1" t="s">
        <v>275</v>
      </c>
      <c r="K984" s="1" t="s">
        <v>2991</v>
      </c>
      <c r="L984" s="1" t="s">
        <v>5496</v>
      </c>
      <c r="M984" s="1" t="s">
        <v>5104</v>
      </c>
      <c r="N984" s="1" t="s">
        <v>5406</v>
      </c>
      <c r="O984" s="1" t="s">
        <v>5518</v>
      </c>
      <c r="P984" s="1" t="s">
        <v>5519</v>
      </c>
      <c r="Q984" s="1" t="s">
        <v>4884</v>
      </c>
      <c r="R984" s="1" t="s">
        <v>985</v>
      </c>
      <c r="S984" s="1" t="s">
        <v>5520</v>
      </c>
      <c r="T984" s="1">
        <v>62499</v>
      </c>
      <c r="U984" s="1" t="s">
        <v>166</v>
      </c>
      <c r="V984" s="1" t="s">
        <v>5521</v>
      </c>
    </row>
    <row r="985" spans="1:23" ht="15.75" customHeight="1" x14ac:dyDescent="0.35">
      <c r="A985" s="1" t="s">
        <v>234</v>
      </c>
      <c r="B985" s="1" t="s">
        <v>4154</v>
      </c>
      <c r="C985" s="1" t="s">
        <v>4155</v>
      </c>
      <c r="D985" s="1" t="s">
        <v>3306</v>
      </c>
      <c r="F985" s="1" t="s">
        <v>491</v>
      </c>
      <c r="G985" s="1" t="s">
        <v>4156</v>
      </c>
      <c r="H985" s="1" t="s">
        <v>4157</v>
      </c>
      <c r="I985" s="1" t="s">
        <v>616</v>
      </c>
      <c r="K985" s="1" t="s">
        <v>1722</v>
      </c>
      <c r="L985" s="1" t="s">
        <v>4158</v>
      </c>
      <c r="N985" s="1" t="s">
        <v>4122</v>
      </c>
      <c r="O985" s="1" t="s">
        <v>4159</v>
      </c>
      <c r="P985" s="1" t="s">
        <v>4124</v>
      </c>
      <c r="R985" s="1" t="s">
        <v>64</v>
      </c>
      <c r="S985" s="1" t="s">
        <v>165</v>
      </c>
      <c r="T985" s="1">
        <v>41999</v>
      </c>
      <c r="U985" s="1" t="s">
        <v>2181</v>
      </c>
      <c r="V985" s="1" t="s">
        <v>4160</v>
      </c>
      <c r="W985" s="1" t="s">
        <v>4161</v>
      </c>
    </row>
    <row r="986" spans="1:23" ht="15.75" customHeight="1" x14ac:dyDescent="0.35">
      <c r="A986" s="1" t="s">
        <v>81</v>
      </c>
      <c r="B986" s="1" t="s">
        <v>5176</v>
      </c>
      <c r="C986" s="1" t="s">
        <v>4081</v>
      </c>
      <c r="D986" s="1" t="s">
        <v>3522</v>
      </c>
      <c r="F986" s="1" t="s">
        <v>5522</v>
      </c>
      <c r="G986" s="1" t="s">
        <v>5523</v>
      </c>
      <c r="H986" s="1" t="s">
        <v>5524</v>
      </c>
      <c r="I986" s="1" t="s">
        <v>616</v>
      </c>
      <c r="J986" s="1" t="s">
        <v>971</v>
      </c>
      <c r="K986" s="1" t="s">
        <v>101</v>
      </c>
      <c r="L986" s="1" t="s">
        <v>5180</v>
      </c>
      <c r="M986" s="1" t="s">
        <v>5181</v>
      </c>
      <c r="N986" s="1" t="s">
        <v>5182</v>
      </c>
      <c r="O986" s="1" t="s">
        <v>5183</v>
      </c>
      <c r="P986" s="1" t="s">
        <v>5184</v>
      </c>
      <c r="Q986" s="1" t="s">
        <v>3547</v>
      </c>
      <c r="R986" s="1" t="s">
        <v>246</v>
      </c>
      <c r="S986" s="1" t="s">
        <v>78</v>
      </c>
      <c r="T986" s="1">
        <v>39888</v>
      </c>
      <c r="U986" s="1" t="s">
        <v>79</v>
      </c>
      <c r="V986" s="1" t="s">
        <v>5525</v>
      </c>
    </row>
    <row r="987" spans="1:23" ht="15.75" customHeight="1" x14ac:dyDescent="0.35">
      <c r="A987" s="1" t="s">
        <v>112</v>
      </c>
      <c r="B987" s="1" t="s">
        <v>5526</v>
      </c>
      <c r="C987" s="1" t="s">
        <v>3661</v>
      </c>
      <c r="D987" s="1" t="s">
        <v>5527</v>
      </c>
      <c r="E987" s="1" t="s">
        <v>5528</v>
      </c>
      <c r="F987" s="1" t="s">
        <v>2487</v>
      </c>
      <c r="G987" s="1" t="s">
        <v>2718</v>
      </c>
      <c r="H987" s="1" t="s">
        <v>5529</v>
      </c>
      <c r="I987" s="1" t="s">
        <v>616</v>
      </c>
      <c r="K987" s="1" t="s">
        <v>101</v>
      </c>
      <c r="L987" s="1" t="s">
        <v>5530</v>
      </c>
      <c r="M987" s="1" t="s">
        <v>5104</v>
      </c>
      <c r="N987" s="1" t="s">
        <v>5157</v>
      </c>
      <c r="O987" s="1" t="s">
        <v>5531</v>
      </c>
      <c r="P987" s="1" t="s">
        <v>5106</v>
      </c>
      <c r="Q987" s="1" t="s">
        <v>3850</v>
      </c>
      <c r="R987" s="1" t="s">
        <v>985</v>
      </c>
      <c r="S987" s="1" t="s">
        <v>78</v>
      </c>
      <c r="T987" s="1">
        <v>36000</v>
      </c>
      <c r="U987" s="1" t="s">
        <v>166</v>
      </c>
      <c r="V987" s="1" t="s">
        <v>5521</v>
      </c>
      <c r="W987" s="1" t="s">
        <v>5532</v>
      </c>
    </row>
    <row r="988" spans="1:23" ht="15.75" customHeight="1" x14ac:dyDescent="0.35">
      <c r="A988" s="1" t="s">
        <v>81</v>
      </c>
      <c r="B988" s="1" t="s">
        <v>5533</v>
      </c>
      <c r="C988" s="1" t="s">
        <v>4071</v>
      </c>
      <c r="D988" s="1" t="s">
        <v>4525</v>
      </c>
      <c r="E988" s="1" t="s">
        <v>4177</v>
      </c>
      <c r="F988" s="1" t="s">
        <v>2110</v>
      </c>
      <c r="G988" s="1" t="s">
        <v>5486</v>
      </c>
      <c r="H988" s="1" t="s">
        <v>5534</v>
      </c>
      <c r="I988" s="1" t="s">
        <v>616</v>
      </c>
      <c r="K988" s="1" t="s">
        <v>101</v>
      </c>
      <c r="L988" s="1" t="s">
        <v>5535</v>
      </c>
      <c r="M988" s="1" t="s">
        <v>5536</v>
      </c>
      <c r="O988" s="1" t="s">
        <v>5537</v>
      </c>
      <c r="P988" s="1" t="s">
        <v>5538</v>
      </c>
      <c r="Q988" s="1" t="s">
        <v>5539</v>
      </c>
      <c r="R988" s="1" t="s">
        <v>64</v>
      </c>
      <c r="S988" s="1" t="s">
        <v>78</v>
      </c>
      <c r="T988" s="1">
        <v>31777</v>
      </c>
      <c r="U988" s="1" t="s">
        <v>1082</v>
      </c>
      <c r="V988" s="1" t="s">
        <v>5492</v>
      </c>
    </row>
    <row r="989" spans="1:23" ht="15.75" customHeight="1" x14ac:dyDescent="0.35">
      <c r="A989" s="1" t="s">
        <v>151</v>
      </c>
      <c r="B989" s="1" t="s">
        <v>5540</v>
      </c>
      <c r="C989" s="1" t="s">
        <v>3661</v>
      </c>
      <c r="D989" s="1" t="s">
        <v>3903</v>
      </c>
      <c r="E989" s="1" t="s">
        <v>3670</v>
      </c>
      <c r="F989" s="1" t="s">
        <v>3327</v>
      </c>
      <c r="G989" s="1" t="s">
        <v>5046</v>
      </c>
      <c r="H989" s="1" t="s">
        <v>5541</v>
      </c>
      <c r="I989" s="1" t="s">
        <v>616</v>
      </c>
      <c r="K989" s="1" t="s">
        <v>101</v>
      </c>
      <c r="L989" s="1" t="s">
        <v>3284</v>
      </c>
      <c r="M989" s="1" t="s">
        <v>159</v>
      </c>
      <c r="N989" s="1" t="s">
        <v>941</v>
      </c>
      <c r="O989" s="1" t="s">
        <v>5445</v>
      </c>
      <c r="P989" s="1" t="s">
        <v>5542</v>
      </c>
      <c r="Q989" s="1" t="s">
        <v>5543</v>
      </c>
      <c r="R989" s="1" t="s">
        <v>64</v>
      </c>
      <c r="S989" s="1" t="s">
        <v>78</v>
      </c>
      <c r="T989" s="1">
        <v>40999</v>
      </c>
      <c r="U989" s="1" t="s">
        <v>166</v>
      </c>
      <c r="V989" s="1" t="s">
        <v>3664</v>
      </c>
      <c r="W989" s="1" t="s">
        <v>5544</v>
      </c>
    </row>
    <row r="990" spans="1:23" ht="15.75" customHeight="1" x14ac:dyDescent="0.35">
      <c r="A990" s="1" t="s">
        <v>151</v>
      </c>
      <c r="B990" s="1" t="s">
        <v>5442</v>
      </c>
      <c r="C990" s="1" t="s">
        <v>3661</v>
      </c>
      <c r="D990" s="1" t="s">
        <v>5443</v>
      </c>
      <c r="E990" s="1" t="s">
        <v>3670</v>
      </c>
      <c r="F990" s="1" t="s">
        <v>3327</v>
      </c>
      <c r="G990" s="1" t="s">
        <v>5046</v>
      </c>
      <c r="H990" s="1" t="s">
        <v>3861</v>
      </c>
      <c r="I990" s="1" t="s">
        <v>616</v>
      </c>
      <c r="K990" s="1" t="s">
        <v>101</v>
      </c>
      <c r="L990" s="1" t="s">
        <v>3284</v>
      </c>
      <c r="M990" s="1" t="s">
        <v>159</v>
      </c>
      <c r="N990" s="1" t="s">
        <v>941</v>
      </c>
      <c r="O990" s="1" t="s">
        <v>5445</v>
      </c>
      <c r="P990" s="1" t="s">
        <v>5446</v>
      </c>
      <c r="Q990" s="1" t="s">
        <v>3321</v>
      </c>
      <c r="R990" s="1" t="s">
        <v>64</v>
      </c>
      <c r="S990" s="1" t="s">
        <v>78</v>
      </c>
      <c r="T990" s="1">
        <v>41777</v>
      </c>
      <c r="U990" s="1" t="s">
        <v>166</v>
      </c>
      <c r="V990" s="1" t="s">
        <v>5545</v>
      </c>
      <c r="W990" s="3" t="s">
        <v>5546</v>
      </c>
    </row>
    <row r="991" spans="1:23" ht="15.75" customHeight="1" x14ac:dyDescent="0.35">
      <c r="A991" s="1" t="s">
        <v>151</v>
      </c>
      <c r="B991" s="1" t="s">
        <v>5547</v>
      </c>
      <c r="C991" s="1" t="s">
        <v>3960</v>
      </c>
      <c r="D991" s="1" t="s">
        <v>5359</v>
      </c>
      <c r="E991" s="1" t="s">
        <v>4073</v>
      </c>
      <c r="F991" s="1" t="s">
        <v>1448</v>
      </c>
      <c r="G991" s="1" t="s">
        <v>2016</v>
      </c>
      <c r="H991" s="1" t="s">
        <v>5548</v>
      </c>
      <c r="I991" s="1" t="s">
        <v>616</v>
      </c>
      <c r="K991" s="1" t="s">
        <v>101</v>
      </c>
      <c r="L991" s="1" t="s">
        <v>3329</v>
      </c>
      <c r="M991" s="1" t="s">
        <v>831</v>
      </c>
      <c r="N991" s="1" t="s">
        <v>160</v>
      </c>
      <c r="O991" s="1" t="s">
        <v>5549</v>
      </c>
      <c r="P991" s="1" t="s">
        <v>5446</v>
      </c>
      <c r="Q991" s="1" t="s">
        <v>3321</v>
      </c>
      <c r="R991" s="1" t="s">
        <v>64</v>
      </c>
      <c r="S991" s="1" t="s">
        <v>78</v>
      </c>
      <c r="T991" s="1">
        <v>37999</v>
      </c>
      <c r="U991" s="1" t="s">
        <v>1082</v>
      </c>
      <c r="V991" s="1" t="s">
        <v>3966</v>
      </c>
      <c r="W991" s="1" t="s">
        <v>5550</v>
      </c>
    </row>
    <row r="992" spans="1:23" ht="15.75" customHeight="1" x14ac:dyDescent="0.35">
      <c r="A992" s="1" t="s">
        <v>81</v>
      </c>
      <c r="B992" s="1" t="s">
        <v>5551</v>
      </c>
      <c r="C992" s="1" t="s">
        <v>5552</v>
      </c>
      <c r="D992" s="1" t="s">
        <v>3522</v>
      </c>
      <c r="F992" s="1" t="s">
        <v>5553</v>
      </c>
      <c r="G992" s="1" t="s">
        <v>5367</v>
      </c>
      <c r="H992" s="1" t="s">
        <v>5554</v>
      </c>
      <c r="I992" s="1" t="s">
        <v>120</v>
      </c>
      <c r="K992" s="1" t="s">
        <v>121</v>
      </c>
      <c r="L992" s="1" t="s">
        <v>5479</v>
      </c>
      <c r="M992" s="1" t="s">
        <v>5555</v>
      </c>
      <c r="N992" s="1" t="s">
        <v>5370</v>
      </c>
      <c r="O992" s="1" t="s">
        <v>5556</v>
      </c>
      <c r="P992" s="1" t="s">
        <v>5557</v>
      </c>
      <c r="Q992" s="1" t="s">
        <v>5558</v>
      </c>
      <c r="R992" s="1" t="s">
        <v>64</v>
      </c>
      <c r="S992" s="1" t="s">
        <v>78</v>
      </c>
      <c r="T992" s="1">
        <v>25000</v>
      </c>
      <c r="U992" s="1" t="s">
        <v>1082</v>
      </c>
      <c r="V992" s="1" t="s">
        <v>5559</v>
      </c>
    </row>
    <row r="993" spans="1:26" ht="15.75" customHeight="1" x14ac:dyDescent="0.35">
      <c r="A993" s="1" t="s">
        <v>151</v>
      </c>
      <c r="B993" s="1" t="s">
        <v>5547</v>
      </c>
      <c r="C993" s="1" t="s">
        <v>3748</v>
      </c>
      <c r="D993" s="1" t="s">
        <v>5359</v>
      </c>
      <c r="E993" s="1" t="s">
        <v>4073</v>
      </c>
      <c r="F993" s="1" t="s">
        <v>1448</v>
      </c>
      <c r="G993" s="1" t="s">
        <v>2016</v>
      </c>
      <c r="H993" s="1" t="s">
        <v>5560</v>
      </c>
      <c r="I993" s="1" t="s">
        <v>120</v>
      </c>
      <c r="K993" s="1" t="s">
        <v>101</v>
      </c>
      <c r="L993" s="1" t="s">
        <v>3329</v>
      </c>
      <c r="M993" s="1" t="s">
        <v>831</v>
      </c>
      <c r="N993" s="1" t="s">
        <v>160</v>
      </c>
      <c r="O993" s="1" t="s">
        <v>5549</v>
      </c>
      <c r="P993" s="1" t="s">
        <v>5446</v>
      </c>
      <c r="Q993" s="1" t="s">
        <v>3321</v>
      </c>
      <c r="R993" s="1" t="s">
        <v>64</v>
      </c>
      <c r="S993" s="1" t="s">
        <v>78</v>
      </c>
      <c r="T993" s="1">
        <v>35999</v>
      </c>
      <c r="U993" s="1" t="s">
        <v>1082</v>
      </c>
      <c r="V993" s="1" t="s">
        <v>3675</v>
      </c>
      <c r="W993" s="1" t="s">
        <v>5561</v>
      </c>
      <c r="Z993" s="1" t="s">
        <v>5169</v>
      </c>
    </row>
    <row r="994" spans="1:26" ht="15.75" customHeight="1" x14ac:dyDescent="0.35">
      <c r="A994" s="1" t="s">
        <v>3729</v>
      </c>
      <c r="B994" s="1" t="s">
        <v>4368</v>
      </c>
      <c r="C994" s="1" t="s">
        <v>4369</v>
      </c>
      <c r="D994" s="1" t="s">
        <v>3541</v>
      </c>
      <c r="F994" s="1" t="s">
        <v>4370</v>
      </c>
      <c r="G994" s="1" t="s">
        <v>1120</v>
      </c>
      <c r="H994" s="1" t="s">
        <v>4371</v>
      </c>
      <c r="I994" s="1" t="s">
        <v>4372</v>
      </c>
      <c r="J994" s="1" t="s">
        <v>39</v>
      </c>
      <c r="K994" s="1" t="s">
        <v>90</v>
      </c>
      <c r="L994" s="1" t="s">
        <v>4373</v>
      </c>
      <c r="M994" s="1" t="s">
        <v>4374</v>
      </c>
      <c r="N994" s="1" t="s">
        <v>4375</v>
      </c>
      <c r="O994" s="1" t="s">
        <v>4376</v>
      </c>
      <c r="P994" s="1" t="s">
        <v>4377</v>
      </c>
      <c r="Q994" s="1" t="s">
        <v>4378</v>
      </c>
      <c r="S994" s="1" t="s">
        <v>4379</v>
      </c>
      <c r="T994" s="1">
        <v>104999</v>
      </c>
      <c r="U994" s="1" t="s">
        <v>166</v>
      </c>
      <c r="V994" s="1" t="s">
        <v>4380</v>
      </c>
      <c r="Y994" s="1" t="s">
        <v>1105</v>
      </c>
    </row>
    <row r="995" spans="1:26" ht="15.75" customHeight="1" x14ac:dyDescent="0.35">
      <c r="A995" s="1" t="s">
        <v>112</v>
      </c>
      <c r="B995" s="1" t="s">
        <v>4492</v>
      </c>
      <c r="C995" s="1" t="s">
        <v>4108</v>
      </c>
      <c r="D995" s="1" t="s">
        <v>3363</v>
      </c>
      <c r="F995" s="1" t="s">
        <v>351</v>
      </c>
      <c r="G995" s="1" t="s">
        <v>1120</v>
      </c>
      <c r="H995" s="1" t="s">
        <v>4493</v>
      </c>
      <c r="I995" s="1" t="s">
        <v>120</v>
      </c>
      <c r="K995" s="1" t="s">
        <v>101</v>
      </c>
      <c r="L995" s="1" t="s">
        <v>4494</v>
      </c>
      <c r="M995" s="1" t="s">
        <v>4495</v>
      </c>
      <c r="N995" s="1" t="s">
        <v>4496</v>
      </c>
      <c r="O995" s="1" t="s">
        <v>4497</v>
      </c>
      <c r="P995" s="1" t="s">
        <v>4066</v>
      </c>
      <c r="Q995" s="1" t="s">
        <v>3850</v>
      </c>
      <c r="R995" s="1" t="s">
        <v>4498</v>
      </c>
      <c r="S995" s="1" t="s">
        <v>78</v>
      </c>
      <c r="T995" s="1">
        <v>17499</v>
      </c>
      <c r="V995" s="1" t="s">
        <v>4443</v>
      </c>
    </row>
    <row r="996" spans="1:26" ht="15.75" customHeight="1" x14ac:dyDescent="0.35">
      <c r="A996" s="1" t="s">
        <v>112</v>
      </c>
      <c r="B996" s="1" t="s">
        <v>4058</v>
      </c>
      <c r="C996" s="1" t="s">
        <v>4295</v>
      </c>
      <c r="D996" s="1" t="s">
        <v>3522</v>
      </c>
      <c r="F996" s="1" t="s">
        <v>512</v>
      </c>
      <c r="G996" s="1" t="s">
        <v>2388</v>
      </c>
      <c r="H996" s="1" t="s">
        <v>4697</v>
      </c>
      <c r="I996" s="1" t="s">
        <v>3653</v>
      </c>
      <c r="K996" s="1" t="s">
        <v>1722</v>
      </c>
      <c r="M996" s="1" t="s">
        <v>4700</v>
      </c>
      <c r="N996" s="1" t="s">
        <v>5006</v>
      </c>
      <c r="O996" s="1" t="s">
        <v>4702</v>
      </c>
      <c r="P996" s="1" t="s">
        <v>4703</v>
      </c>
      <c r="Q996" s="1" t="s">
        <v>2078</v>
      </c>
      <c r="R996" s="1" t="s">
        <v>64</v>
      </c>
      <c r="S996" s="1" t="s">
        <v>78</v>
      </c>
      <c r="T996" s="1">
        <v>12999</v>
      </c>
      <c r="U996" s="1" t="s">
        <v>1082</v>
      </c>
      <c r="V996" s="1" t="s">
        <v>5562</v>
      </c>
      <c r="W996" s="1" t="s">
        <v>5563</v>
      </c>
    </row>
    <row r="997" spans="1:26" ht="15.75" customHeight="1" x14ac:dyDescent="0.35">
      <c r="A997" s="1" t="s">
        <v>81</v>
      </c>
      <c r="B997" s="1" t="s">
        <v>5533</v>
      </c>
      <c r="C997" s="1" t="s">
        <v>4071</v>
      </c>
      <c r="D997" s="1" t="s">
        <v>3522</v>
      </c>
      <c r="F997" s="1" t="s">
        <v>5564</v>
      </c>
      <c r="G997" s="1" t="s">
        <v>2388</v>
      </c>
      <c r="H997" s="1" t="s">
        <v>5565</v>
      </c>
      <c r="I997" s="1" t="s">
        <v>3653</v>
      </c>
      <c r="K997" s="1" t="s">
        <v>121</v>
      </c>
      <c r="L997" s="1" t="s">
        <v>5535</v>
      </c>
      <c r="M997" s="1" t="s">
        <v>5536</v>
      </c>
      <c r="O997" s="1" t="s">
        <v>5537</v>
      </c>
      <c r="P997" s="1" t="s">
        <v>5538</v>
      </c>
      <c r="Q997" s="1" t="s">
        <v>5539</v>
      </c>
      <c r="R997" s="1" t="s">
        <v>64</v>
      </c>
      <c r="S997" s="1" t="s">
        <v>78</v>
      </c>
      <c r="T997" s="1">
        <v>28899</v>
      </c>
      <c r="U997" s="1" t="s">
        <v>1082</v>
      </c>
      <c r="V997" s="1" t="s">
        <v>5566</v>
      </c>
    </row>
    <row r="998" spans="1:26" ht="15.75" customHeight="1" x14ac:dyDescent="0.35">
      <c r="A998" s="1" t="s">
        <v>81</v>
      </c>
      <c r="B998" s="1" t="s">
        <v>5533</v>
      </c>
      <c r="C998" s="1" t="s">
        <v>3748</v>
      </c>
      <c r="D998" s="1" t="s">
        <v>3522</v>
      </c>
      <c r="F998" s="1" t="s">
        <v>5564</v>
      </c>
      <c r="G998" s="1" t="s">
        <v>5367</v>
      </c>
      <c r="H998" s="1" t="s">
        <v>5567</v>
      </c>
      <c r="I998" s="1" t="s">
        <v>3653</v>
      </c>
      <c r="K998" s="1" t="s">
        <v>121</v>
      </c>
      <c r="L998" s="1" t="s">
        <v>5535</v>
      </c>
      <c r="M998" s="1" t="s">
        <v>5536</v>
      </c>
      <c r="O998" s="1" t="s">
        <v>5568</v>
      </c>
      <c r="P998" s="1" t="s">
        <v>5538</v>
      </c>
      <c r="Q998" s="1" t="s">
        <v>5539</v>
      </c>
      <c r="R998" s="1" t="s">
        <v>64</v>
      </c>
      <c r="S998" s="1" t="s">
        <v>78</v>
      </c>
      <c r="T998" s="1">
        <v>37888</v>
      </c>
      <c r="U998" s="1" t="s">
        <v>1082</v>
      </c>
      <c r="V998" s="1" t="s">
        <v>5569</v>
      </c>
      <c r="Z998" s="1" t="s">
        <v>5570</v>
      </c>
    </row>
    <row r="999" spans="1:26" ht="15.75" customHeight="1" x14ac:dyDescent="0.35">
      <c r="A999" s="1" t="s">
        <v>112</v>
      </c>
      <c r="B999" s="1" t="s">
        <v>5526</v>
      </c>
      <c r="C999" s="1" t="s">
        <v>3661</v>
      </c>
      <c r="D999" s="1" t="s">
        <v>5527</v>
      </c>
      <c r="E999" s="1" t="s">
        <v>5528</v>
      </c>
      <c r="F999" s="1" t="s">
        <v>1525</v>
      </c>
      <c r="G999" s="1" t="s">
        <v>5094</v>
      </c>
      <c r="H999" s="1" t="s">
        <v>5571</v>
      </c>
      <c r="I999" s="1" t="s">
        <v>3653</v>
      </c>
      <c r="K999" s="1" t="s">
        <v>121</v>
      </c>
      <c r="L999" s="1" t="s">
        <v>5572</v>
      </c>
      <c r="M999" s="1" t="s">
        <v>5573</v>
      </c>
      <c r="N999" s="1" t="s">
        <v>5157</v>
      </c>
      <c r="O999" s="1" t="s">
        <v>5531</v>
      </c>
      <c r="P999" s="1" t="s">
        <v>5106</v>
      </c>
      <c r="Q999" s="1" t="s">
        <v>3850</v>
      </c>
      <c r="R999" s="1" t="s">
        <v>985</v>
      </c>
      <c r="S999" s="1" t="s">
        <v>129</v>
      </c>
      <c r="T999" s="1">
        <v>42499</v>
      </c>
      <c r="U999" s="1" t="s">
        <v>166</v>
      </c>
      <c r="V999" s="1" t="s">
        <v>5521</v>
      </c>
    </row>
    <row r="1000" spans="1:26" ht="15.75" customHeight="1" x14ac:dyDescent="0.35">
      <c r="A1000" s="1" t="s">
        <v>81</v>
      </c>
      <c r="B1000" s="1" t="s">
        <v>5533</v>
      </c>
      <c r="C1000" s="1" t="s">
        <v>3748</v>
      </c>
      <c r="D1000" s="1" t="s">
        <v>3522</v>
      </c>
      <c r="F1000" s="1" t="s">
        <v>5564</v>
      </c>
      <c r="G1000" s="1" t="s">
        <v>5486</v>
      </c>
      <c r="H1000" s="1" t="s">
        <v>5567</v>
      </c>
      <c r="I1000" s="1" t="s">
        <v>3653</v>
      </c>
      <c r="K1000" s="1" t="s">
        <v>2507</v>
      </c>
      <c r="L1000" s="1" t="s">
        <v>5574</v>
      </c>
      <c r="M1000" s="1" t="s">
        <v>5536</v>
      </c>
      <c r="N1000" s="1" t="s">
        <v>2468</v>
      </c>
      <c r="O1000" s="1" t="s">
        <v>5537</v>
      </c>
      <c r="P1000" s="1" t="s">
        <v>5538</v>
      </c>
      <c r="Q1000" s="1" t="s">
        <v>5539</v>
      </c>
      <c r="R1000" s="1" t="s">
        <v>64</v>
      </c>
      <c r="S1000" s="1" t="s">
        <v>78</v>
      </c>
      <c r="T1000" s="1">
        <v>28350</v>
      </c>
      <c r="U1000" s="1" t="s">
        <v>1082</v>
      </c>
      <c r="V1000" s="1" t="s">
        <v>5569</v>
      </c>
    </row>
    <row r="1001" spans="1:26" ht="15.75" customHeight="1" x14ac:dyDescent="0.35">
      <c r="A1001" s="1" t="s">
        <v>112</v>
      </c>
      <c r="B1001" s="1" t="s">
        <v>5526</v>
      </c>
      <c r="C1001" s="1" t="s">
        <v>3516</v>
      </c>
      <c r="D1001" s="1" t="s">
        <v>5575</v>
      </c>
      <c r="E1001" s="1" t="s">
        <v>5528</v>
      </c>
      <c r="F1001" s="1" t="s">
        <v>1525</v>
      </c>
      <c r="G1001" s="1" t="s">
        <v>5094</v>
      </c>
      <c r="H1001" s="1" t="s">
        <v>4697</v>
      </c>
      <c r="I1001" s="1" t="s">
        <v>3653</v>
      </c>
      <c r="K1001" s="1" t="s">
        <v>2507</v>
      </c>
      <c r="L1001" s="1" t="s">
        <v>5530</v>
      </c>
      <c r="M1001" s="1" t="s">
        <v>5104</v>
      </c>
      <c r="N1001" s="1" t="s">
        <v>2468</v>
      </c>
      <c r="O1001" s="1" t="s">
        <v>5576</v>
      </c>
      <c r="P1001" s="1" t="s">
        <v>5106</v>
      </c>
      <c r="Q1001" s="1" t="s">
        <v>3850</v>
      </c>
      <c r="S1001" s="1" t="s">
        <v>78</v>
      </c>
      <c r="T1001" s="1">
        <v>29999</v>
      </c>
      <c r="U1001" s="1" t="s">
        <v>166</v>
      </c>
      <c r="V1001" s="1" t="s">
        <v>4152</v>
      </c>
      <c r="W1001" s="1" t="s">
        <v>5577</v>
      </c>
    </row>
    <row r="1002" spans="1:26" ht="15.75" customHeight="1" x14ac:dyDescent="0.35">
      <c r="A1002" s="1" t="s">
        <v>81</v>
      </c>
      <c r="B1002" s="1" t="s">
        <v>5578</v>
      </c>
      <c r="C1002" s="1" t="s">
        <v>3748</v>
      </c>
      <c r="D1002" s="1" t="s">
        <v>3522</v>
      </c>
      <c r="F1002" s="1" t="s">
        <v>5579</v>
      </c>
      <c r="G1002" s="1" t="s">
        <v>5580</v>
      </c>
      <c r="H1002" s="1" t="s">
        <v>5581</v>
      </c>
      <c r="I1002" s="1" t="s">
        <v>120</v>
      </c>
      <c r="K1002" s="1" t="s">
        <v>555</v>
      </c>
      <c r="M1002" s="1" t="s">
        <v>5582</v>
      </c>
      <c r="N1002" s="1" t="s">
        <v>2468</v>
      </c>
      <c r="O1002" s="1" t="s">
        <v>5583</v>
      </c>
      <c r="P1002" s="1" t="s">
        <v>5584</v>
      </c>
      <c r="Q1002" s="1" t="s">
        <v>5585</v>
      </c>
      <c r="S1002" s="1" t="s">
        <v>129</v>
      </c>
      <c r="T1002" s="1">
        <v>45650</v>
      </c>
      <c r="U1002" s="1" t="s">
        <v>1082</v>
      </c>
      <c r="V1002" s="1" t="s">
        <v>5586</v>
      </c>
    </row>
    <row r="1003" spans="1:26" ht="15.75" customHeight="1" x14ac:dyDescent="0.35">
      <c r="A1003" s="1" t="s">
        <v>81</v>
      </c>
      <c r="B1003" s="1" t="s">
        <v>5578</v>
      </c>
      <c r="C1003" s="1" t="s">
        <v>4071</v>
      </c>
      <c r="D1003" s="1" t="s">
        <v>3522</v>
      </c>
      <c r="F1003" s="1" t="s">
        <v>5587</v>
      </c>
      <c r="G1003" s="1" t="s">
        <v>5580</v>
      </c>
      <c r="H1003" s="1" t="s">
        <v>5581</v>
      </c>
      <c r="I1003" s="1" t="s">
        <v>120</v>
      </c>
      <c r="K1003" s="1" t="s">
        <v>555</v>
      </c>
      <c r="M1003" s="1" t="s">
        <v>5582</v>
      </c>
      <c r="N1003" s="1" t="s">
        <v>2468</v>
      </c>
      <c r="O1003" s="1" t="s">
        <v>5583</v>
      </c>
      <c r="P1003" s="1" t="s">
        <v>5584</v>
      </c>
      <c r="Q1003" s="1" t="s">
        <v>5585</v>
      </c>
      <c r="S1003" s="1" t="s">
        <v>129</v>
      </c>
      <c r="T1003" s="1">
        <v>33000</v>
      </c>
      <c r="U1003" s="1" t="s">
        <v>1082</v>
      </c>
      <c r="V1003" s="1" t="s">
        <v>5588</v>
      </c>
    </row>
    <row r="1004" spans="1:26" ht="15.75" customHeight="1" x14ac:dyDescent="0.35">
      <c r="A1004" s="1" t="s">
        <v>112</v>
      </c>
      <c r="B1004" s="1" t="s">
        <v>5505</v>
      </c>
      <c r="C1004" s="1" t="s">
        <v>3668</v>
      </c>
      <c r="D1004" s="1" t="s">
        <v>4212</v>
      </c>
      <c r="E1004" s="1" t="s">
        <v>5589</v>
      </c>
      <c r="F1004" s="1" t="s">
        <v>1525</v>
      </c>
      <c r="G1004" s="1" t="s">
        <v>5094</v>
      </c>
      <c r="H1004" s="1" t="s">
        <v>5103</v>
      </c>
      <c r="I1004" s="1" t="s">
        <v>120</v>
      </c>
      <c r="K1004" s="1" t="s">
        <v>101</v>
      </c>
      <c r="L1004" s="1" t="s">
        <v>5096</v>
      </c>
      <c r="M1004" s="1" t="s">
        <v>5156</v>
      </c>
      <c r="N1004" s="1" t="s">
        <v>5157</v>
      </c>
      <c r="O1004" s="1" t="s">
        <v>5590</v>
      </c>
      <c r="P1004" s="1" t="s">
        <v>5106</v>
      </c>
      <c r="Q1004" s="1" t="s">
        <v>3850</v>
      </c>
      <c r="S1004" s="1" t="s">
        <v>78</v>
      </c>
      <c r="T1004" s="1">
        <v>26249</v>
      </c>
      <c r="U1004" s="1" t="s">
        <v>1082</v>
      </c>
      <c r="V1004" s="1" t="s">
        <v>4168</v>
      </c>
      <c r="W1004" s="1" t="s">
        <v>5591</v>
      </c>
    </row>
    <row r="1005" spans="1:26" ht="15.75" customHeight="1" x14ac:dyDescent="0.35">
      <c r="A1005" s="1" t="s">
        <v>112</v>
      </c>
      <c r="B1005" s="1" t="s">
        <v>5505</v>
      </c>
      <c r="C1005" s="1" t="s">
        <v>3668</v>
      </c>
      <c r="D1005" s="1" t="s">
        <v>4163</v>
      </c>
      <c r="F1005" s="1" t="s">
        <v>1525</v>
      </c>
      <c r="G1005" s="1" t="s">
        <v>5094</v>
      </c>
      <c r="H1005" s="1" t="s">
        <v>5103</v>
      </c>
      <c r="I1005" s="1" t="s">
        <v>120</v>
      </c>
      <c r="K1005" s="1" t="s">
        <v>121</v>
      </c>
      <c r="L1005" s="1" t="s">
        <v>5096</v>
      </c>
      <c r="M1005" s="1" t="s">
        <v>5156</v>
      </c>
      <c r="N1005" s="1" t="s">
        <v>5157</v>
      </c>
      <c r="O1005" s="1" t="s">
        <v>5506</v>
      </c>
      <c r="P1005" s="1" t="s">
        <v>5106</v>
      </c>
      <c r="Q1005" s="1" t="s">
        <v>3850</v>
      </c>
      <c r="S1005" s="1" t="s">
        <v>129</v>
      </c>
      <c r="T1005" s="1">
        <v>27600</v>
      </c>
      <c r="U1005" s="1" t="s">
        <v>1082</v>
      </c>
      <c r="V1005" s="1" t="s">
        <v>4729</v>
      </c>
      <c r="W1005" s="1" t="s">
        <v>5592</v>
      </c>
    </row>
    <row r="1006" spans="1:26" ht="15.75" customHeight="1" x14ac:dyDescent="0.35">
      <c r="A1006" s="1" t="s">
        <v>81</v>
      </c>
      <c r="B1006" s="1" t="s">
        <v>5533</v>
      </c>
      <c r="C1006" s="1" t="s">
        <v>4071</v>
      </c>
      <c r="D1006" s="1" t="s">
        <v>4525</v>
      </c>
      <c r="E1006" s="1" t="s">
        <v>4177</v>
      </c>
      <c r="F1006" s="1" t="s">
        <v>5564</v>
      </c>
      <c r="G1006" s="1" t="s">
        <v>5593</v>
      </c>
      <c r="H1006" s="1" t="s">
        <v>5565</v>
      </c>
      <c r="I1006" s="1" t="s">
        <v>3653</v>
      </c>
      <c r="K1006" s="1" t="s">
        <v>101</v>
      </c>
      <c r="L1006" s="1" t="s">
        <v>1317</v>
      </c>
      <c r="M1006" s="1" t="s">
        <v>5594</v>
      </c>
      <c r="N1006" s="1" t="s">
        <v>2468</v>
      </c>
      <c r="O1006" s="1" t="s">
        <v>5537</v>
      </c>
      <c r="P1006" s="1" t="s">
        <v>5538</v>
      </c>
      <c r="Q1006" s="1" t="s">
        <v>5539</v>
      </c>
      <c r="R1006" s="1" t="s">
        <v>64</v>
      </c>
      <c r="S1006" s="1" t="s">
        <v>78</v>
      </c>
      <c r="T1006" s="1">
        <v>17299</v>
      </c>
      <c r="U1006" s="1" t="s">
        <v>1082</v>
      </c>
      <c r="V1006" s="1" t="s">
        <v>5492</v>
      </c>
      <c r="X1006" s="1" t="s">
        <v>4036</v>
      </c>
    </row>
    <row r="1007" spans="1:26" ht="15.75" customHeight="1" x14ac:dyDescent="0.35">
      <c r="A1007" s="1" t="s">
        <v>151</v>
      </c>
      <c r="B1007" s="1" t="s">
        <v>5595</v>
      </c>
      <c r="C1007" s="1" t="s">
        <v>4590</v>
      </c>
      <c r="D1007" s="1" t="s">
        <v>4601</v>
      </c>
      <c r="E1007" s="1" t="s">
        <v>4900</v>
      </c>
      <c r="F1007" s="1" t="s">
        <v>1448</v>
      </c>
      <c r="G1007" s="1" t="s">
        <v>5596</v>
      </c>
      <c r="H1007" s="1" t="s">
        <v>5597</v>
      </c>
      <c r="I1007" s="1" t="s">
        <v>120</v>
      </c>
      <c r="K1007" s="1" t="s">
        <v>101</v>
      </c>
      <c r="L1007" s="1" t="s">
        <v>3329</v>
      </c>
      <c r="M1007" s="1" t="s">
        <v>831</v>
      </c>
      <c r="N1007" s="1" t="s">
        <v>160</v>
      </c>
      <c r="O1007" s="1" t="s">
        <v>5598</v>
      </c>
      <c r="P1007" s="1" t="s">
        <v>5599</v>
      </c>
      <c r="Q1007" s="1" t="s">
        <v>5543</v>
      </c>
      <c r="R1007" s="1" t="s">
        <v>64</v>
      </c>
      <c r="S1007" s="1" t="s">
        <v>78</v>
      </c>
      <c r="T1007" s="1">
        <v>18999</v>
      </c>
      <c r="U1007" s="1" t="s">
        <v>1082</v>
      </c>
      <c r="V1007" s="1" t="s">
        <v>4603</v>
      </c>
      <c r="W1007" s="1" t="s">
        <v>5600</v>
      </c>
      <c r="Z1007" s="1" t="s">
        <v>5601</v>
      </c>
    </row>
    <row r="1008" spans="1:26" ht="15.75" customHeight="1" x14ac:dyDescent="0.35">
      <c r="A1008" s="1" t="s">
        <v>151</v>
      </c>
      <c r="B1008" s="1" t="s">
        <v>5602</v>
      </c>
      <c r="C1008" s="1" t="s">
        <v>5603</v>
      </c>
      <c r="D1008" s="1" t="s">
        <v>5086</v>
      </c>
      <c r="F1008" s="1" t="s">
        <v>5604</v>
      </c>
      <c r="G1008" s="1" t="s">
        <v>5605</v>
      </c>
      <c r="H1008" s="1" t="s">
        <v>5606</v>
      </c>
      <c r="I1008" s="1" t="s">
        <v>120</v>
      </c>
      <c r="K1008" s="1" t="s">
        <v>2991</v>
      </c>
      <c r="L1008" s="1" t="s">
        <v>5607</v>
      </c>
      <c r="M1008" s="1" t="s">
        <v>5608</v>
      </c>
      <c r="N1008" s="1" t="s">
        <v>5609</v>
      </c>
      <c r="O1008" s="1" t="s">
        <v>5610</v>
      </c>
      <c r="P1008" s="1" t="s">
        <v>5611</v>
      </c>
      <c r="Q1008" s="1" t="s">
        <v>5612</v>
      </c>
      <c r="S1008" s="1" t="s">
        <v>425</v>
      </c>
      <c r="T1008" s="1">
        <v>33249</v>
      </c>
      <c r="U1008" s="1" t="s">
        <v>1082</v>
      </c>
      <c r="V1008" s="1" t="s">
        <v>5613</v>
      </c>
      <c r="Z1008" s="1" t="s">
        <v>2439</v>
      </c>
    </row>
    <row r="1009" spans="1:29" ht="15.75" customHeight="1" x14ac:dyDescent="0.35">
      <c r="A1009" s="1" t="s">
        <v>151</v>
      </c>
      <c r="B1009" s="1" t="s">
        <v>5614</v>
      </c>
      <c r="C1009" s="1" t="s">
        <v>5552</v>
      </c>
      <c r="D1009" s="1" t="s">
        <v>3315</v>
      </c>
      <c r="F1009" s="1" t="s">
        <v>5615</v>
      </c>
      <c r="G1009" s="1" t="s">
        <v>2388</v>
      </c>
      <c r="H1009" s="1" t="s">
        <v>5616</v>
      </c>
      <c r="I1009" s="1" t="s">
        <v>1015</v>
      </c>
      <c r="K1009" s="1" t="s">
        <v>1722</v>
      </c>
      <c r="L1009" s="1" t="s">
        <v>5617</v>
      </c>
      <c r="M1009" s="1" t="s">
        <v>5618</v>
      </c>
      <c r="N1009" s="1" t="s">
        <v>5619</v>
      </c>
      <c r="O1009" s="1" t="s">
        <v>5620</v>
      </c>
      <c r="P1009" s="1" t="s">
        <v>5621</v>
      </c>
      <c r="Q1009" s="1" t="s">
        <v>309</v>
      </c>
      <c r="R1009" s="1" t="s">
        <v>64</v>
      </c>
      <c r="S1009" s="1" t="s">
        <v>78</v>
      </c>
      <c r="T1009" s="1">
        <v>42299</v>
      </c>
      <c r="U1009" s="1" t="s">
        <v>1082</v>
      </c>
      <c r="V1009" s="1" t="s">
        <v>5622</v>
      </c>
      <c r="X1009" s="1" t="s">
        <v>5623</v>
      </c>
      <c r="Z1009" s="1" t="s">
        <v>2439</v>
      </c>
    </row>
    <row r="1010" spans="1:29" ht="15.75" customHeight="1" x14ac:dyDescent="0.35">
      <c r="A1010" s="1" t="s">
        <v>151</v>
      </c>
      <c r="B1010" s="1" t="s">
        <v>5624</v>
      </c>
      <c r="C1010" s="1" t="s">
        <v>4768</v>
      </c>
      <c r="D1010" s="1" t="s">
        <v>3522</v>
      </c>
      <c r="F1010" s="1" t="s">
        <v>5625</v>
      </c>
      <c r="G1010" s="1" t="s">
        <v>5626</v>
      </c>
      <c r="H1010" s="1" t="s">
        <v>5627</v>
      </c>
      <c r="I1010" s="1" t="s">
        <v>1015</v>
      </c>
      <c r="K1010" s="1" t="s">
        <v>2991</v>
      </c>
      <c r="L1010" s="1" t="s">
        <v>5617</v>
      </c>
      <c r="M1010" s="1" t="s">
        <v>159</v>
      </c>
      <c r="N1010" s="1" t="s">
        <v>5619</v>
      </c>
      <c r="O1010" s="1" t="s">
        <v>5628</v>
      </c>
      <c r="P1010" s="1" t="s">
        <v>5629</v>
      </c>
      <c r="Q1010" s="1" t="s">
        <v>5630</v>
      </c>
      <c r="R1010" s="1" t="s">
        <v>64</v>
      </c>
      <c r="S1010" s="1" t="s">
        <v>78</v>
      </c>
      <c r="T1010" s="1">
        <v>48349</v>
      </c>
      <c r="U1010" s="1" t="s">
        <v>1082</v>
      </c>
      <c r="V1010" s="1" t="s">
        <v>5631</v>
      </c>
      <c r="Z1010" s="1" t="s">
        <v>2439</v>
      </c>
      <c r="AB1010" s="1" t="s">
        <v>3096</v>
      </c>
    </row>
    <row r="1011" spans="1:29" ht="15.75" customHeight="1" x14ac:dyDescent="0.35">
      <c r="A1011" s="1" t="s">
        <v>81</v>
      </c>
      <c r="B1011" s="1" t="s">
        <v>5533</v>
      </c>
      <c r="C1011" s="1" t="s">
        <v>3668</v>
      </c>
      <c r="D1011" s="1" t="s">
        <v>3522</v>
      </c>
      <c r="F1011" s="1" t="s">
        <v>5632</v>
      </c>
      <c r="G1011" s="1" t="s">
        <v>5633</v>
      </c>
      <c r="H1011" s="1" t="s">
        <v>5634</v>
      </c>
      <c r="I1011" s="1" t="s">
        <v>3653</v>
      </c>
      <c r="K1011" s="1" t="s">
        <v>121</v>
      </c>
      <c r="L1011" s="1" t="s">
        <v>354</v>
      </c>
      <c r="M1011" s="1" t="s">
        <v>5635</v>
      </c>
      <c r="O1011" s="1" t="s">
        <v>5568</v>
      </c>
      <c r="P1011" s="1" t="s">
        <v>5538</v>
      </c>
      <c r="Q1011" s="1" t="s">
        <v>5539</v>
      </c>
      <c r="R1011" s="1" t="s">
        <v>301</v>
      </c>
      <c r="S1011" s="1" t="s">
        <v>78</v>
      </c>
      <c r="T1011" s="1">
        <v>18699</v>
      </c>
      <c r="U1011" s="1" t="s">
        <v>1082</v>
      </c>
      <c r="V1011" s="1" t="s">
        <v>5636</v>
      </c>
      <c r="X1011" s="1" t="s">
        <v>4885</v>
      </c>
    </row>
    <row r="1012" spans="1:29" ht="15.75" customHeight="1" x14ac:dyDescent="0.35">
      <c r="A1012" s="1" t="s">
        <v>81</v>
      </c>
      <c r="B1012" s="1" t="s">
        <v>5533</v>
      </c>
      <c r="C1012" s="1" t="s">
        <v>4071</v>
      </c>
      <c r="D1012" s="1" t="s">
        <v>3522</v>
      </c>
      <c r="F1012" s="1" t="s">
        <v>5376</v>
      </c>
      <c r="G1012" s="1" t="s">
        <v>5637</v>
      </c>
      <c r="H1012" s="1" t="s">
        <v>5638</v>
      </c>
      <c r="I1012" s="1" t="s">
        <v>3653</v>
      </c>
      <c r="K1012" s="1" t="s">
        <v>121</v>
      </c>
      <c r="L1012" s="1" t="s">
        <v>5639</v>
      </c>
      <c r="M1012" s="1" t="s">
        <v>5640</v>
      </c>
      <c r="O1012" s="1" t="s">
        <v>5537</v>
      </c>
      <c r="P1012" s="1" t="s">
        <v>5538</v>
      </c>
      <c r="Q1012" s="1" t="s">
        <v>5539</v>
      </c>
      <c r="R1012" s="1" t="s">
        <v>64</v>
      </c>
      <c r="S1012" s="1" t="s">
        <v>78</v>
      </c>
      <c r="T1012" s="1">
        <v>20000</v>
      </c>
      <c r="U1012" s="1" t="s">
        <v>1082</v>
      </c>
      <c r="V1012" s="1" t="s">
        <v>5492</v>
      </c>
      <c r="X1012" s="1" t="s">
        <v>5375</v>
      </c>
    </row>
    <row r="1013" spans="1:29" ht="15.75" customHeight="1" x14ac:dyDescent="0.35">
      <c r="A1013" s="1" t="s">
        <v>81</v>
      </c>
      <c r="B1013" s="1" t="s">
        <v>5365</v>
      </c>
      <c r="C1013" s="1" t="s">
        <v>4071</v>
      </c>
      <c r="D1013" s="1" t="s">
        <v>3522</v>
      </c>
      <c r="F1013" s="1" t="s">
        <v>5376</v>
      </c>
      <c r="G1013" s="1" t="s">
        <v>5641</v>
      </c>
      <c r="H1013" s="1" t="s">
        <v>5642</v>
      </c>
      <c r="I1013" s="1" t="s">
        <v>3653</v>
      </c>
      <c r="K1013" s="1" t="s">
        <v>2507</v>
      </c>
      <c r="L1013" s="1" t="s">
        <v>5643</v>
      </c>
      <c r="M1013" s="1" t="s">
        <v>5644</v>
      </c>
      <c r="N1013" s="1" t="s">
        <v>5370</v>
      </c>
      <c r="O1013" s="1" t="s">
        <v>5371</v>
      </c>
      <c r="P1013" s="1" t="s">
        <v>5372</v>
      </c>
      <c r="Q1013" s="1" t="s">
        <v>5373</v>
      </c>
      <c r="R1013" s="1" t="s">
        <v>3459</v>
      </c>
      <c r="S1013" s="1" t="s">
        <v>129</v>
      </c>
      <c r="T1013" s="1">
        <v>19950</v>
      </c>
      <c r="U1013" s="1" t="s">
        <v>1082</v>
      </c>
      <c r="V1013" s="1" t="s">
        <v>5492</v>
      </c>
    </row>
    <row r="1014" spans="1:29" ht="15.75" customHeight="1" x14ac:dyDescent="0.35">
      <c r="A1014" s="1" t="s">
        <v>81</v>
      </c>
      <c r="B1014" s="1" t="s">
        <v>5551</v>
      </c>
      <c r="C1014" s="1" t="s">
        <v>4071</v>
      </c>
      <c r="D1014" s="1" t="s">
        <v>3522</v>
      </c>
      <c r="F1014" s="1" t="s">
        <v>5376</v>
      </c>
      <c r="G1014" s="1" t="s">
        <v>5645</v>
      </c>
      <c r="H1014" s="1" t="s">
        <v>5646</v>
      </c>
      <c r="I1014" s="1" t="s">
        <v>3653</v>
      </c>
      <c r="K1014" s="1" t="s">
        <v>121</v>
      </c>
      <c r="L1014" s="1" t="s">
        <v>5479</v>
      </c>
      <c r="M1014" s="1" t="s">
        <v>5647</v>
      </c>
      <c r="N1014" s="1" t="s">
        <v>5370</v>
      </c>
      <c r="O1014" s="1" t="s">
        <v>5556</v>
      </c>
      <c r="P1014" s="1" t="s">
        <v>5557</v>
      </c>
      <c r="Q1014" s="1" t="s">
        <v>5558</v>
      </c>
      <c r="R1014" s="1" t="s">
        <v>985</v>
      </c>
      <c r="S1014" s="1" t="s">
        <v>78</v>
      </c>
      <c r="T1014" s="1">
        <v>18599</v>
      </c>
      <c r="U1014" s="1" t="s">
        <v>1082</v>
      </c>
      <c r="V1014" s="1" t="s">
        <v>5492</v>
      </c>
    </row>
    <row r="1015" spans="1:29" ht="15.75" customHeight="1" x14ac:dyDescent="0.35">
      <c r="A1015" s="1" t="s">
        <v>81</v>
      </c>
      <c r="B1015" s="1" t="s">
        <v>5533</v>
      </c>
      <c r="C1015" s="1" t="s">
        <v>4071</v>
      </c>
      <c r="D1015" s="1" t="s">
        <v>3522</v>
      </c>
      <c r="F1015" s="1" t="s">
        <v>5648</v>
      </c>
      <c r="G1015" s="1" t="s">
        <v>4342</v>
      </c>
      <c r="H1015" s="1" t="s">
        <v>5649</v>
      </c>
      <c r="I1015" s="1" t="s">
        <v>3653</v>
      </c>
      <c r="K1015" s="1" t="s">
        <v>121</v>
      </c>
      <c r="L1015" s="1" t="s">
        <v>5535</v>
      </c>
      <c r="M1015" s="1" t="s">
        <v>5650</v>
      </c>
      <c r="O1015" s="1" t="s">
        <v>5651</v>
      </c>
      <c r="P1015" s="1" t="s">
        <v>5538</v>
      </c>
      <c r="Q1015" s="1" t="s">
        <v>5539</v>
      </c>
      <c r="R1015" s="1" t="s">
        <v>2994</v>
      </c>
      <c r="S1015" s="1" t="s">
        <v>78</v>
      </c>
      <c r="T1015" s="1">
        <v>21750</v>
      </c>
      <c r="U1015" s="1" t="s">
        <v>1082</v>
      </c>
      <c r="V1015" s="1" t="s">
        <v>5652</v>
      </c>
      <c r="X1015" s="1" t="s">
        <v>4036</v>
      </c>
      <c r="Z1015" s="1" t="s">
        <v>2439</v>
      </c>
      <c r="AB1015" s="1" t="s">
        <v>3096</v>
      </c>
    </row>
    <row r="1016" spans="1:29" ht="15.75" customHeight="1" x14ac:dyDescent="0.35">
      <c r="A1016" s="1" t="s">
        <v>151</v>
      </c>
      <c r="B1016" s="1" t="s">
        <v>5653</v>
      </c>
      <c r="C1016" s="1" t="s">
        <v>5654</v>
      </c>
      <c r="D1016" s="1" t="s">
        <v>4601</v>
      </c>
      <c r="E1016" s="1" t="s">
        <v>4177</v>
      </c>
      <c r="F1016" s="1" t="s">
        <v>2110</v>
      </c>
      <c r="G1016" s="1" t="s">
        <v>2388</v>
      </c>
      <c r="H1016" s="1" t="s">
        <v>5655</v>
      </c>
      <c r="I1016" s="1" t="s">
        <v>120</v>
      </c>
      <c r="K1016" s="1" t="s">
        <v>121</v>
      </c>
      <c r="L1016" s="1" t="s">
        <v>1317</v>
      </c>
      <c r="N1016" s="1" t="s">
        <v>2468</v>
      </c>
      <c r="O1016" s="1" t="s">
        <v>5656</v>
      </c>
      <c r="P1016" s="1" t="s">
        <v>5657</v>
      </c>
      <c r="Q1016" s="1" t="s">
        <v>5658</v>
      </c>
      <c r="R1016" s="1" t="s">
        <v>64</v>
      </c>
      <c r="S1016" s="1" t="s">
        <v>78</v>
      </c>
      <c r="T1016" s="1">
        <v>15407</v>
      </c>
      <c r="U1016" s="1" t="s">
        <v>1082</v>
      </c>
      <c r="V1016" s="1" t="s">
        <v>5659</v>
      </c>
      <c r="AB1016" s="1" t="s">
        <v>3096</v>
      </c>
    </row>
    <row r="1017" spans="1:29" ht="15.75" customHeight="1" x14ac:dyDescent="0.35">
      <c r="A1017" s="1" t="s">
        <v>151</v>
      </c>
      <c r="B1017" s="1" t="s">
        <v>5660</v>
      </c>
      <c r="C1017" s="1" t="s">
        <v>4590</v>
      </c>
      <c r="D1017" s="1" t="s">
        <v>5661</v>
      </c>
      <c r="E1017" s="1" t="s">
        <v>4923</v>
      </c>
      <c r="F1017" s="1" t="s">
        <v>5662</v>
      </c>
      <c r="G1017" s="1" t="s">
        <v>4101</v>
      </c>
      <c r="H1017" s="1" t="s">
        <v>5663</v>
      </c>
      <c r="I1017" s="1" t="s">
        <v>5664</v>
      </c>
      <c r="K1017" s="1" t="s">
        <v>101</v>
      </c>
      <c r="L1017" s="1" t="s">
        <v>3284</v>
      </c>
      <c r="M1017" s="1" t="s">
        <v>831</v>
      </c>
      <c r="N1017" s="1" t="s">
        <v>2468</v>
      </c>
      <c r="O1017" s="1" t="s">
        <v>5665</v>
      </c>
      <c r="P1017" s="1" t="s">
        <v>5666</v>
      </c>
      <c r="Q1017" s="1" t="s">
        <v>359</v>
      </c>
      <c r="R1017" s="1" t="s">
        <v>5356</v>
      </c>
      <c r="S1017" s="1" t="s">
        <v>5667</v>
      </c>
      <c r="T1017" s="1">
        <v>35000</v>
      </c>
      <c r="U1017" s="1" t="s">
        <v>1082</v>
      </c>
      <c r="V1017" s="1" t="s">
        <v>5668</v>
      </c>
      <c r="W1017" s="1" t="s">
        <v>5669</v>
      </c>
      <c r="AA1017" s="1" t="s">
        <v>2439</v>
      </c>
    </row>
    <row r="1018" spans="1:29" ht="15.75" customHeight="1" x14ac:dyDescent="0.35">
      <c r="A1018" s="1" t="s">
        <v>151</v>
      </c>
      <c r="B1018" s="1" t="s">
        <v>5670</v>
      </c>
      <c r="C1018" s="1" t="s">
        <v>5671</v>
      </c>
      <c r="D1018" s="1" t="s">
        <v>5672</v>
      </c>
      <c r="E1018" s="1" t="s">
        <v>4073</v>
      </c>
      <c r="F1018" s="1" t="s">
        <v>5673</v>
      </c>
      <c r="G1018" s="1" t="s">
        <v>4061</v>
      </c>
      <c r="H1018" s="1" t="s">
        <v>5674</v>
      </c>
      <c r="I1018" s="1" t="s">
        <v>120</v>
      </c>
      <c r="J1018" s="1" t="s">
        <v>971</v>
      </c>
      <c r="K1018" s="1" t="s">
        <v>2507</v>
      </c>
      <c r="M1018" s="1" t="s">
        <v>3264</v>
      </c>
      <c r="N1018" s="1" t="s">
        <v>3233</v>
      </c>
      <c r="O1018" s="1" t="s">
        <v>5675</v>
      </c>
      <c r="P1018" s="1" t="s">
        <v>5676</v>
      </c>
      <c r="Q1018" s="1" t="s">
        <v>2584</v>
      </c>
      <c r="R1018" s="1" t="s">
        <v>5356</v>
      </c>
      <c r="S1018" s="1" t="s">
        <v>5010</v>
      </c>
      <c r="T1018" s="1">
        <v>20000</v>
      </c>
      <c r="U1018" s="1" t="s">
        <v>2181</v>
      </c>
      <c r="V1018" s="1" t="s">
        <v>5677</v>
      </c>
      <c r="W1018" s="1" t="s">
        <v>5678</v>
      </c>
      <c r="X1018" s="1" t="s">
        <v>4990</v>
      </c>
      <c r="Z1018" s="1" t="s">
        <v>2439</v>
      </c>
      <c r="AA1018" s="1" t="s">
        <v>2439</v>
      </c>
      <c r="AC1018" s="1" t="s">
        <v>2438</v>
      </c>
    </row>
    <row r="1019" spans="1:29" ht="15.75" customHeight="1" x14ac:dyDescent="0.35">
      <c r="A1019" s="1" t="s">
        <v>81</v>
      </c>
      <c r="B1019" s="1" t="s">
        <v>5679</v>
      </c>
      <c r="C1019" s="1" t="s">
        <v>5680</v>
      </c>
      <c r="D1019" s="1" t="s">
        <v>5681</v>
      </c>
      <c r="E1019" s="1" t="s">
        <v>4073</v>
      </c>
      <c r="F1019" s="1" t="s">
        <v>5682</v>
      </c>
      <c r="G1019" s="1" t="s">
        <v>5593</v>
      </c>
      <c r="H1019" s="1" t="s">
        <v>5683</v>
      </c>
      <c r="I1019" s="1" t="s">
        <v>120</v>
      </c>
      <c r="J1019" s="1" t="s">
        <v>971</v>
      </c>
      <c r="K1019" s="1" t="s">
        <v>2507</v>
      </c>
      <c r="L1019" s="1" t="s">
        <v>5684</v>
      </c>
      <c r="M1019" s="1" t="s">
        <v>5685</v>
      </c>
      <c r="N1019" s="1" t="s">
        <v>2468</v>
      </c>
      <c r="O1019" s="1" t="s">
        <v>5686</v>
      </c>
      <c r="P1019" s="1" t="s">
        <v>5687</v>
      </c>
      <c r="Q1019" s="1" t="s">
        <v>5107</v>
      </c>
      <c r="R1019" s="1" t="s">
        <v>5688</v>
      </c>
      <c r="S1019" s="1" t="s">
        <v>78</v>
      </c>
      <c r="T1019" s="1">
        <v>25000</v>
      </c>
      <c r="U1019" s="1" t="s">
        <v>2181</v>
      </c>
      <c r="V1019" s="1" t="s">
        <v>5689</v>
      </c>
      <c r="X1019" s="1" t="s">
        <v>4885</v>
      </c>
      <c r="AA1019" s="1" t="s">
        <v>2439</v>
      </c>
      <c r="AC1019" s="1" t="s">
        <v>2438</v>
      </c>
    </row>
    <row r="1020" spans="1:29" ht="15.75" customHeight="1" x14ac:dyDescent="0.35">
      <c r="A1020" s="1" t="s">
        <v>234</v>
      </c>
      <c r="B1020" s="1" t="s">
        <v>3447</v>
      </c>
      <c r="C1020" s="1" t="s">
        <v>1018</v>
      </c>
      <c r="D1020" s="1" t="s">
        <v>734</v>
      </c>
      <c r="E1020" s="1" t="s">
        <v>410</v>
      </c>
      <c r="F1020" s="1" t="s">
        <v>968</v>
      </c>
      <c r="G1020" s="1" t="s">
        <v>1156</v>
      </c>
      <c r="H1020" s="1" t="s">
        <v>3448</v>
      </c>
      <c r="I1020" s="1" t="s">
        <v>345</v>
      </c>
      <c r="J1020" s="1" t="s">
        <v>971</v>
      </c>
      <c r="K1020" s="1" t="s">
        <v>201</v>
      </c>
      <c r="L1020" s="1" t="s">
        <v>972</v>
      </c>
      <c r="M1020" s="1" t="s">
        <v>241</v>
      </c>
      <c r="N1020" s="1" t="s">
        <v>973</v>
      </c>
      <c r="O1020" s="1" t="s">
        <v>1159</v>
      </c>
      <c r="P1020" s="1" t="s">
        <v>3449</v>
      </c>
      <c r="Q1020" s="1" t="s">
        <v>976</v>
      </c>
      <c r="R1020" s="1" t="s">
        <v>977</v>
      </c>
      <c r="S1020" s="1" t="s">
        <v>78</v>
      </c>
      <c r="T1020" s="1">
        <v>136666</v>
      </c>
      <c r="V1020" s="1" t="s">
        <v>3450</v>
      </c>
      <c r="W1020" s="1" t="s">
        <v>3451</v>
      </c>
    </row>
    <row r="1021" spans="1:29" ht="15.75" customHeight="1" x14ac:dyDescent="0.35">
      <c r="A1021" s="1" t="s">
        <v>234</v>
      </c>
      <c r="B1021" s="1" t="s">
        <v>5690</v>
      </c>
      <c r="C1021" s="1" t="s">
        <v>586</v>
      </c>
      <c r="D1021" s="1" t="s">
        <v>69</v>
      </c>
      <c r="E1021" s="1" t="s">
        <v>70</v>
      </c>
      <c r="F1021" s="1" t="s">
        <v>5691</v>
      </c>
      <c r="G1021" s="1" t="s">
        <v>1156</v>
      </c>
      <c r="H1021" s="1" t="s">
        <v>5692</v>
      </c>
      <c r="I1021" s="1" t="s">
        <v>2201</v>
      </c>
      <c r="J1021" s="1" t="s">
        <v>111</v>
      </c>
      <c r="K1021" s="1" t="s">
        <v>40</v>
      </c>
      <c r="L1021" s="1" t="s">
        <v>5693</v>
      </c>
      <c r="M1021" s="1" t="s">
        <v>3417</v>
      </c>
      <c r="N1021" s="1" t="s">
        <v>5694</v>
      </c>
      <c r="O1021" s="1" t="s">
        <v>5695</v>
      </c>
      <c r="P1021" s="1" t="s">
        <v>5696</v>
      </c>
      <c r="Q1021" s="1" t="s">
        <v>636</v>
      </c>
      <c r="R1021" s="1" t="s">
        <v>5697</v>
      </c>
      <c r="S1021" s="1" t="s">
        <v>129</v>
      </c>
      <c r="T1021" s="1">
        <v>69499</v>
      </c>
      <c r="V1021" s="1" t="s">
        <v>595</v>
      </c>
      <c r="W1021" s="1" t="s">
        <v>5698</v>
      </c>
    </row>
    <row r="1022" spans="1:29" ht="15.75" customHeight="1" x14ac:dyDescent="0.35">
      <c r="A1022" s="1" t="s">
        <v>234</v>
      </c>
      <c r="B1022" s="1" t="s">
        <v>1014</v>
      </c>
      <c r="C1022" s="1" t="s">
        <v>320</v>
      </c>
      <c r="D1022" s="1" t="s">
        <v>482</v>
      </c>
      <c r="E1022" s="1" t="s">
        <v>272</v>
      </c>
      <c r="F1022" s="1" t="s">
        <v>483</v>
      </c>
      <c r="G1022" s="1" t="s">
        <v>239</v>
      </c>
      <c r="H1022" s="1" t="s">
        <v>484</v>
      </c>
      <c r="I1022" s="1" t="s">
        <v>1015</v>
      </c>
      <c r="J1022" s="1" t="s">
        <v>57</v>
      </c>
      <c r="K1022" s="1" t="s">
        <v>90</v>
      </c>
      <c r="L1022" s="1" t="s">
        <v>288</v>
      </c>
      <c r="M1022" s="1" t="s">
        <v>241</v>
      </c>
      <c r="N1022" s="1" t="s">
        <v>242</v>
      </c>
      <c r="O1022" s="1" t="s">
        <v>475</v>
      </c>
      <c r="P1022" s="1" t="s">
        <v>486</v>
      </c>
      <c r="Q1022" s="1" t="s">
        <v>487</v>
      </c>
      <c r="S1022" s="1" t="s">
        <v>78</v>
      </c>
      <c r="T1022" s="1">
        <v>134999</v>
      </c>
      <c r="V1022" s="1" t="s">
        <v>479</v>
      </c>
      <c r="W1022" s="1" t="s">
        <v>1016</v>
      </c>
    </row>
    <row r="1023" spans="1:29" ht="15.75" customHeight="1" x14ac:dyDescent="0.35">
      <c r="A1023" s="1" t="s">
        <v>112</v>
      </c>
      <c r="B1023" s="1" t="s">
        <v>5699</v>
      </c>
      <c r="C1023" s="1" t="s">
        <v>818</v>
      </c>
      <c r="D1023" s="1" t="s">
        <v>3522</v>
      </c>
      <c r="F1023" s="1" t="s">
        <v>3529</v>
      </c>
      <c r="G1023" s="1" t="s">
        <v>136</v>
      </c>
      <c r="H1023" s="1" t="s">
        <v>5700</v>
      </c>
      <c r="I1023" s="1" t="s">
        <v>5701</v>
      </c>
      <c r="K1023" s="1" t="s">
        <v>90</v>
      </c>
      <c r="L1023" s="1" t="s">
        <v>5702</v>
      </c>
      <c r="M1023" s="1" t="s">
        <v>213</v>
      </c>
      <c r="N1023" s="1" t="s">
        <v>763</v>
      </c>
      <c r="O1023" s="1" t="s">
        <v>5703</v>
      </c>
      <c r="P1023" s="1" t="s">
        <v>5704</v>
      </c>
      <c r="Q1023" s="1" t="s">
        <v>5705</v>
      </c>
      <c r="R1023" s="1" t="s">
        <v>5706</v>
      </c>
      <c r="S1023" s="1" t="s">
        <v>78</v>
      </c>
      <c r="T1023" s="1">
        <v>68888</v>
      </c>
      <c r="U1023" s="1" t="s">
        <v>79</v>
      </c>
      <c r="V1023" s="1" t="s">
        <v>1857</v>
      </c>
      <c r="W1023" s="1" t="s">
        <v>5707</v>
      </c>
      <c r="X1023" s="1" t="s">
        <v>5708</v>
      </c>
    </row>
    <row r="1024" spans="1:29" ht="15.75" customHeight="1" x14ac:dyDescent="0.35">
      <c r="A1024" s="1" t="s">
        <v>234</v>
      </c>
      <c r="B1024" s="1" t="s">
        <v>1885</v>
      </c>
      <c r="C1024" s="1" t="s">
        <v>1886</v>
      </c>
      <c r="D1024" s="1" t="s">
        <v>1732</v>
      </c>
      <c r="E1024" s="1" t="s">
        <v>552</v>
      </c>
      <c r="F1024" s="1" t="s">
        <v>1887</v>
      </c>
      <c r="G1024" s="1" t="s">
        <v>1888</v>
      </c>
      <c r="H1024" s="1" t="s">
        <v>1889</v>
      </c>
      <c r="I1024" s="1" t="s">
        <v>1890</v>
      </c>
      <c r="J1024" s="1" t="s">
        <v>39</v>
      </c>
      <c r="K1024" s="1" t="s">
        <v>90</v>
      </c>
      <c r="L1024" s="1" t="s">
        <v>1891</v>
      </c>
      <c r="M1024" s="1" t="s">
        <v>241</v>
      </c>
      <c r="N1024" s="1" t="s">
        <v>465</v>
      </c>
      <c r="O1024" s="1" t="s">
        <v>1892</v>
      </c>
      <c r="P1024" s="1" t="s">
        <v>1893</v>
      </c>
      <c r="Q1024" s="1" t="s">
        <v>1894</v>
      </c>
      <c r="R1024" s="1" t="s">
        <v>64</v>
      </c>
      <c r="S1024" s="1" t="s">
        <v>165</v>
      </c>
      <c r="T1024" s="1">
        <v>117699</v>
      </c>
      <c r="U1024" s="1" t="s">
        <v>1082</v>
      </c>
      <c r="V1024" s="1" t="s">
        <v>1895</v>
      </c>
      <c r="W1024" s="1" t="s">
        <v>1896</v>
      </c>
    </row>
    <row r="1025" spans="1:24" ht="15.75" customHeight="1" x14ac:dyDescent="0.35">
      <c r="A1025" s="1" t="s">
        <v>234</v>
      </c>
      <c r="B1025" s="1" t="s">
        <v>2198</v>
      </c>
      <c r="C1025" s="1" t="s">
        <v>1711</v>
      </c>
      <c r="D1025" s="1" t="s">
        <v>2199</v>
      </c>
      <c r="E1025" s="1" t="s">
        <v>507</v>
      </c>
      <c r="F1025" s="1" t="s">
        <v>462</v>
      </c>
      <c r="G1025" s="1" t="s">
        <v>1604</v>
      </c>
      <c r="H1025" s="1" t="s">
        <v>2200</v>
      </c>
      <c r="I1025" s="1" t="s">
        <v>2201</v>
      </c>
      <c r="J1025" s="1" t="s">
        <v>39</v>
      </c>
      <c r="K1025" s="1" t="s">
        <v>90</v>
      </c>
      <c r="L1025" s="1" t="s">
        <v>972</v>
      </c>
      <c r="M1025" s="1" t="s">
        <v>1258</v>
      </c>
      <c r="N1025" s="1" t="s">
        <v>920</v>
      </c>
      <c r="O1025" s="1" t="s">
        <v>2202</v>
      </c>
      <c r="P1025" s="1" t="s">
        <v>2203</v>
      </c>
      <c r="Q1025" s="1" t="s">
        <v>2204</v>
      </c>
      <c r="R1025" s="1" t="s">
        <v>1610</v>
      </c>
      <c r="S1025" s="1" t="s">
        <v>165</v>
      </c>
      <c r="T1025" s="1">
        <v>49500</v>
      </c>
      <c r="V1025" s="1" t="s">
        <v>2154</v>
      </c>
      <c r="W1025" s="1" t="s">
        <v>2205</v>
      </c>
    </row>
    <row r="1026" spans="1:24" ht="15.75" customHeight="1" x14ac:dyDescent="0.35">
      <c r="A1026" s="1" t="s">
        <v>234</v>
      </c>
      <c r="B1026" s="1" t="s">
        <v>2206</v>
      </c>
      <c r="C1026" s="1" t="s">
        <v>2207</v>
      </c>
      <c r="D1026" s="1" t="s">
        <v>2208</v>
      </c>
      <c r="E1026" s="1" t="s">
        <v>507</v>
      </c>
      <c r="F1026" s="1" t="s">
        <v>965</v>
      </c>
      <c r="G1026" s="1" t="s">
        <v>1936</v>
      </c>
      <c r="H1026" s="1" t="s">
        <v>2209</v>
      </c>
      <c r="I1026" s="1" t="s">
        <v>345</v>
      </c>
      <c r="J1026" s="1" t="s">
        <v>971</v>
      </c>
      <c r="K1026" s="1" t="s">
        <v>90</v>
      </c>
      <c r="L1026" s="1" t="s">
        <v>972</v>
      </c>
      <c r="M1026" s="1" t="s">
        <v>2210</v>
      </c>
      <c r="N1026" s="1" t="s">
        <v>633</v>
      </c>
      <c r="O1026" s="1" t="s">
        <v>1607</v>
      </c>
      <c r="P1026" s="1" t="s">
        <v>2211</v>
      </c>
      <c r="Q1026" s="1" t="s">
        <v>518</v>
      </c>
      <c r="R1026" s="1" t="s">
        <v>2212</v>
      </c>
      <c r="S1026" s="1" t="s">
        <v>165</v>
      </c>
      <c r="T1026" s="1">
        <v>39999</v>
      </c>
      <c r="V1026" s="1" t="s">
        <v>1948</v>
      </c>
      <c r="W1026" s="1" t="s">
        <v>2213</v>
      </c>
    </row>
    <row r="1027" spans="1:24" ht="15.75" customHeight="1" x14ac:dyDescent="0.35">
      <c r="A1027" s="1" t="s">
        <v>234</v>
      </c>
      <c r="B1027" s="1" t="s">
        <v>2225</v>
      </c>
      <c r="C1027" s="1" t="s">
        <v>1075</v>
      </c>
      <c r="D1027" s="1" t="s">
        <v>2226</v>
      </c>
      <c r="E1027" s="1" t="s">
        <v>1584</v>
      </c>
      <c r="F1027" s="1" t="s">
        <v>2227</v>
      </c>
      <c r="G1027" s="1" t="s">
        <v>2228</v>
      </c>
      <c r="H1027" s="1" t="s">
        <v>2229</v>
      </c>
      <c r="I1027" s="1" t="s">
        <v>345</v>
      </c>
      <c r="J1027" s="1" t="s">
        <v>971</v>
      </c>
      <c r="K1027" s="1" t="s">
        <v>90</v>
      </c>
      <c r="L1027" s="1" t="s">
        <v>1257</v>
      </c>
      <c r="M1027" s="1" t="s">
        <v>241</v>
      </c>
      <c r="N1027" s="1" t="s">
        <v>2230</v>
      </c>
      <c r="O1027" s="1" t="s">
        <v>2231</v>
      </c>
      <c r="P1027" s="1" t="s">
        <v>2232</v>
      </c>
      <c r="Q1027" s="1" t="s">
        <v>2233</v>
      </c>
      <c r="R1027" s="1" t="s">
        <v>2234</v>
      </c>
      <c r="S1027" s="1" t="s">
        <v>165</v>
      </c>
      <c r="T1027" s="1">
        <v>73999</v>
      </c>
      <c r="U1027" s="1" t="s">
        <v>1082</v>
      </c>
      <c r="V1027" s="1" t="s">
        <v>2235</v>
      </c>
      <c r="W1027" s="1" t="s">
        <v>2236</v>
      </c>
    </row>
    <row r="1028" spans="1:24" ht="15.75" customHeight="1" x14ac:dyDescent="0.35">
      <c r="A1028" s="1" t="s">
        <v>234</v>
      </c>
      <c r="B1028" s="1" t="s">
        <v>2237</v>
      </c>
      <c r="C1028" s="1" t="s">
        <v>2238</v>
      </c>
      <c r="D1028" s="1" t="s">
        <v>2239</v>
      </c>
      <c r="E1028" s="1" t="s">
        <v>1584</v>
      </c>
      <c r="F1028" s="1" t="s">
        <v>2227</v>
      </c>
      <c r="G1028" s="1" t="s">
        <v>2240</v>
      </c>
      <c r="H1028" s="1" t="s">
        <v>2241</v>
      </c>
      <c r="I1028" s="1" t="s">
        <v>345</v>
      </c>
      <c r="J1028" s="1" t="s">
        <v>971</v>
      </c>
      <c r="K1028" s="1" t="s">
        <v>90</v>
      </c>
      <c r="L1028" s="1" t="s">
        <v>1257</v>
      </c>
      <c r="M1028" s="1" t="s">
        <v>241</v>
      </c>
      <c r="N1028" s="1" t="s">
        <v>2230</v>
      </c>
      <c r="O1028" s="1" t="s">
        <v>2242</v>
      </c>
      <c r="P1028" s="1" t="s">
        <v>2232</v>
      </c>
      <c r="Q1028" s="1" t="s">
        <v>2233</v>
      </c>
      <c r="R1028" s="1" t="s">
        <v>2234</v>
      </c>
      <c r="S1028" s="1" t="s">
        <v>165</v>
      </c>
      <c r="T1028" s="1">
        <v>85699</v>
      </c>
      <c r="V1028" s="1" t="s">
        <v>2243</v>
      </c>
      <c r="W1028" s="1" t="s">
        <v>2244</v>
      </c>
    </row>
    <row r="1029" spans="1:24" ht="15.75" customHeight="1" x14ac:dyDescent="0.35">
      <c r="A1029" s="1" t="s">
        <v>234</v>
      </c>
      <c r="B1029" s="1" t="s">
        <v>5709</v>
      </c>
      <c r="C1029" s="1" t="s">
        <v>5710</v>
      </c>
      <c r="D1029" s="1" t="s">
        <v>115</v>
      </c>
      <c r="E1029" s="1" t="s">
        <v>507</v>
      </c>
      <c r="F1029" s="1" t="s">
        <v>2989</v>
      </c>
      <c r="G1029" s="1" t="s">
        <v>3085</v>
      </c>
      <c r="H1029" s="1" t="s">
        <v>5711</v>
      </c>
      <c r="I1029" s="1" t="s">
        <v>275</v>
      </c>
      <c r="J1029" s="1" t="s">
        <v>39</v>
      </c>
      <c r="K1029" s="1" t="s">
        <v>1722</v>
      </c>
      <c r="L1029" s="1" t="s">
        <v>1929</v>
      </c>
      <c r="M1029" s="1" t="s">
        <v>1960</v>
      </c>
      <c r="N1029" s="1" t="s">
        <v>465</v>
      </c>
      <c r="O1029" s="1" t="s">
        <v>2938</v>
      </c>
      <c r="P1029" s="1" t="s">
        <v>2993</v>
      </c>
      <c r="Q1029" s="1" t="s">
        <v>1963</v>
      </c>
      <c r="R1029" s="1" t="s">
        <v>1034</v>
      </c>
      <c r="S1029" s="1" t="s">
        <v>339</v>
      </c>
      <c r="T1029" s="1">
        <v>89999</v>
      </c>
      <c r="V1029" s="1" t="s">
        <v>5712</v>
      </c>
      <c r="W1029" s="1" t="s">
        <v>5713</v>
      </c>
    </row>
    <row r="1030" spans="1:24" ht="15.75" customHeight="1" x14ac:dyDescent="0.35">
      <c r="A1030" s="1" t="s">
        <v>234</v>
      </c>
      <c r="B1030" s="1" t="s">
        <v>2249</v>
      </c>
      <c r="C1030" s="1" t="s">
        <v>2250</v>
      </c>
      <c r="D1030" s="1" t="s">
        <v>2251</v>
      </c>
      <c r="E1030" s="1" t="s">
        <v>70</v>
      </c>
      <c r="F1030" s="1" t="s">
        <v>2252</v>
      </c>
      <c r="G1030" s="1" t="s">
        <v>2253</v>
      </c>
      <c r="H1030" s="1" t="s">
        <v>2254</v>
      </c>
      <c r="I1030" s="1" t="s">
        <v>1890</v>
      </c>
      <c r="J1030" s="1" t="s">
        <v>971</v>
      </c>
      <c r="K1030" s="1" t="s">
        <v>2255</v>
      </c>
      <c r="L1030" s="1" t="s">
        <v>1257</v>
      </c>
      <c r="M1030" s="1" t="s">
        <v>2256</v>
      </c>
      <c r="N1030" s="1" t="s">
        <v>2257</v>
      </c>
      <c r="O1030" s="1" t="s">
        <v>2258</v>
      </c>
      <c r="P1030" s="1" t="s">
        <v>2259</v>
      </c>
      <c r="Q1030" s="1" t="s">
        <v>766</v>
      </c>
      <c r="R1030" s="1" t="s">
        <v>2260</v>
      </c>
      <c r="S1030" s="1" t="s">
        <v>165</v>
      </c>
      <c r="T1030" s="1">
        <v>135500</v>
      </c>
      <c r="U1030" s="1" t="s">
        <v>166</v>
      </c>
      <c r="V1030" s="1" t="s">
        <v>2261</v>
      </c>
      <c r="W1030" s="1" t="s">
        <v>2262</v>
      </c>
    </row>
    <row r="1031" spans="1:24" ht="15.75" customHeight="1" x14ac:dyDescent="0.35">
      <c r="A1031" s="1" t="s">
        <v>234</v>
      </c>
      <c r="B1031" s="1" t="s">
        <v>5714</v>
      </c>
      <c r="C1031" s="1" t="s">
        <v>1756</v>
      </c>
      <c r="D1031" s="1" t="s">
        <v>2109</v>
      </c>
      <c r="E1031" s="1" t="s">
        <v>507</v>
      </c>
      <c r="F1031" s="1" t="s">
        <v>5715</v>
      </c>
      <c r="G1031" s="1" t="s">
        <v>239</v>
      </c>
      <c r="H1031" s="1" t="s">
        <v>5716</v>
      </c>
      <c r="I1031" s="1" t="s">
        <v>345</v>
      </c>
      <c r="J1031" s="1" t="s">
        <v>971</v>
      </c>
      <c r="K1031" s="1" t="s">
        <v>90</v>
      </c>
      <c r="L1031" s="1" t="s">
        <v>1971</v>
      </c>
      <c r="M1031" s="1" t="s">
        <v>464</v>
      </c>
      <c r="N1031" s="1" t="s">
        <v>1972</v>
      </c>
      <c r="O1031" s="1" t="s">
        <v>1973</v>
      </c>
      <c r="P1031" s="1" t="s">
        <v>5717</v>
      </c>
      <c r="Q1031" s="1" t="s">
        <v>1975</v>
      </c>
      <c r="R1031" s="1" t="s">
        <v>64</v>
      </c>
      <c r="S1031" s="1" t="s">
        <v>165</v>
      </c>
      <c r="T1031" s="1">
        <v>106000</v>
      </c>
      <c r="U1031" s="1" t="s">
        <v>166</v>
      </c>
      <c r="V1031" s="1" t="s">
        <v>1760</v>
      </c>
      <c r="W1031" s="1" t="s">
        <v>5718</v>
      </c>
    </row>
    <row r="1032" spans="1:24" ht="15.75" customHeight="1" x14ac:dyDescent="0.35">
      <c r="A1032" s="1" t="s">
        <v>2779</v>
      </c>
      <c r="B1032" s="1" t="s">
        <v>2780</v>
      </c>
      <c r="C1032" s="1" t="s">
        <v>2851</v>
      </c>
      <c r="D1032" s="1" t="s">
        <v>3010</v>
      </c>
      <c r="E1032" s="1" t="s">
        <v>3011</v>
      </c>
      <c r="F1032" s="1" t="s">
        <v>3012</v>
      </c>
      <c r="G1032" s="1" t="s">
        <v>3013</v>
      </c>
      <c r="H1032" s="1" t="s">
        <v>3014</v>
      </c>
      <c r="I1032" s="1" t="s">
        <v>1890</v>
      </c>
      <c r="J1032" s="1" t="s">
        <v>971</v>
      </c>
      <c r="K1032" s="1" t="s">
        <v>1722</v>
      </c>
      <c r="L1032" s="1" t="s">
        <v>3015</v>
      </c>
      <c r="M1032" s="1" t="s">
        <v>3016</v>
      </c>
      <c r="N1032" s="1" t="s">
        <v>3017</v>
      </c>
      <c r="O1032" s="1" t="s">
        <v>3018</v>
      </c>
      <c r="P1032" s="1" t="s">
        <v>2789</v>
      </c>
      <c r="Q1032" s="1" t="s">
        <v>3019</v>
      </c>
      <c r="S1032" s="1" t="s">
        <v>78</v>
      </c>
      <c r="T1032" s="1">
        <v>64422</v>
      </c>
      <c r="U1032" s="1" t="s">
        <v>1082</v>
      </c>
      <c r="V1032" s="1" t="s">
        <v>3020</v>
      </c>
      <c r="W1032" s="1" t="s">
        <v>3021</v>
      </c>
      <c r="X1032" s="1" t="s">
        <v>2792</v>
      </c>
    </row>
    <row r="1033" spans="1:24" ht="15.75" customHeight="1" x14ac:dyDescent="0.35">
      <c r="B1033" s="1" t="s">
        <v>5719</v>
      </c>
      <c r="C1033" s="1" t="s">
        <v>3092</v>
      </c>
      <c r="D1033" s="1" t="s">
        <v>3074</v>
      </c>
      <c r="E1033" s="1" t="s">
        <v>2342</v>
      </c>
      <c r="F1033" s="1" t="s">
        <v>5720</v>
      </c>
      <c r="G1033" s="1" t="s">
        <v>3105</v>
      </c>
      <c r="H1033" s="1" t="s">
        <v>5721</v>
      </c>
      <c r="I1033" s="1" t="s">
        <v>345</v>
      </c>
      <c r="K1033" s="1" t="s">
        <v>4815</v>
      </c>
      <c r="L1033" s="1" t="s">
        <v>4804</v>
      </c>
      <c r="M1033" s="1" t="s">
        <v>2210</v>
      </c>
      <c r="N1033" s="1" t="s">
        <v>633</v>
      </c>
      <c r="O1033" s="1" t="s">
        <v>1607</v>
      </c>
      <c r="P1033" s="1" t="s">
        <v>2211</v>
      </c>
      <c r="Q1033" s="1" t="s">
        <v>518</v>
      </c>
      <c r="R1033" s="1" t="s">
        <v>64</v>
      </c>
      <c r="S1033" s="1" t="s">
        <v>165</v>
      </c>
      <c r="T1033" s="1">
        <v>34888</v>
      </c>
      <c r="V1033" s="1" t="s">
        <v>1948</v>
      </c>
      <c r="W1033" s="1" t="s">
        <v>5722</v>
      </c>
      <c r="X1033" s="1" t="s">
        <v>2556</v>
      </c>
    </row>
    <row r="1034" spans="1:24" ht="15.75" customHeight="1" x14ac:dyDescent="0.35">
      <c r="B1034" s="1" t="s">
        <v>5723</v>
      </c>
      <c r="C1034" s="1" t="s">
        <v>5724</v>
      </c>
      <c r="D1034" s="1" t="s">
        <v>5725</v>
      </c>
      <c r="E1034" s="1" t="s">
        <v>70</v>
      </c>
      <c r="F1034" s="1" t="s">
        <v>5726</v>
      </c>
      <c r="G1034" s="1" t="s">
        <v>1936</v>
      </c>
      <c r="H1034" s="1" t="s">
        <v>5727</v>
      </c>
      <c r="I1034" s="1" t="s">
        <v>5728</v>
      </c>
      <c r="J1034" s="1" t="s">
        <v>39</v>
      </c>
      <c r="K1034" s="1" t="s">
        <v>1722</v>
      </c>
      <c r="L1034" s="1" t="s">
        <v>972</v>
      </c>
      <c r="M1034" s="1" t="s">
        <v>1876</v>
      </c>
      <c r="O1034" s="1" t="s">
        <v>5729</v>
      </c>
      <c r="P1034" s="1" t="s">
        <v>1931</v>
      </c>
      <c r="Q1034" s="1" t="s">
        <v>1932</v>
      </c>
      <c r="R1034" s="1" t="s">
        <v>281</v>
      </c>
      <c r="S1034" s="1" t="s">
        <v>2139</v>
      </c>
      <c r="T1034" s="1">
        <v>45100</v>
      </c>
      <c r="V1034" s="1" t="s">
        <v>2243</v>
      </c>
      <c r="W1034" s="1" t="s">
        <v>5730</v>
      </c>
      <c r="X1034" s="1" t="s">
        <v>2986</v>
      </c>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15"/>
  <sheetViews>
    <sheetView workbookViewId="0">
      <pane ySplit="2" topLeftCell="A3" activePane="bottomLeft" state="frozen"/>
      <selection pane="bottomLeft" activeCell="B4" sqref="B4"/>
    </sheetView>
  </sheetViews>
  <sheetFormatPr defaultColWidth="14.453125" defaultRowHeight="15" customHeight="1" x14ac:dyDescent="0.35"/>
  <cols>
    <col min="1" max="2" width="9.08984375" customWidth="1"/>
    <col min="3" max="5" width="43.26953125" customWidth="1"/>
    <col min="6" max="8" width="32.08984375" customWidth="1"/>
    <col min="9" max="9" width="38.453125" customWidth="1"/>
    <col min="10" max="10" width="74" customWidth="1"/>
    <col min="11" max="11" width="74.26953125" customWidth="1"/>
    <col min="12" max="12" width="101.26953125" customWidth="1"/>
    <col min="13" max="15" width="72.453125" customWidth="1"/>
    <col min="16" max="16" width="30.7265625" customWidth="1"/>
    <col min="17" max="17" width="26.81640625" customWidth="1"/>
    <col min="18" max="18" width="33.7265625" customWidth="1"/>
    <col min="19" max="19" width="21.08984375" customWidth="1"/>
    <col min="20" max="21" width="64.81640625" customWidth="1"/>
    <col min="22" max="22" width="41" customWidth="1"/>
    <col min="23" max="23" width="13.81640625" customWidth="1"/>
    <col min="24" max="24" width="41.453125" customWidth="1"/>
    <col min="25" max="25" width="29.81640625" customWidth="1"/>
    <col min="26" max="26" width="11.26953125" customWidth="1"/>
    <col min="27" max="27" width="19.453125" customWidth="1"/>
    <col min="28" max="30" width="8.7265625" customWidth="1"/>
    <col min="31" max="31" width="19.453125" customWidth="1"/>
    <col min="32" max="32" width="15.81640625" customWidth="1"/>
    <col min="33" max="33" width="14.7265625" customWidth="1"/>
    <col min="34" max="34" width="17" customWidth="1"/>
    <col min="35" max="35" width="22.08984375" customWidth="1"/>
  </cols>
  <sheetData>
    <row r="1" spans="1:35" ht="14.5" x14ac:dyDescent="0.35">
      <c r="A1" s="1" t="s">
        <v>5731</v>
      </c>
      <c r="C1" s="1" t="s">
        <v>5732</v>
      </c>
      <c r="F1" s="1" t="s">
        <v>2</v>
      </c>
      <c r="I1" s="1" t="s">
        <v>5733</v>
      </c>
      <c r="J1" s="1">
        <v>0</v>
      </c>
      <c r="K1" s="1" t="s">
        <v>5</v>
      </c>
      <c r="M1" s="1" t="s">
        <v>5734</v>
      </c>
      <c r="P1" s="1" t="s">
        <v>8</v>
      </c>
      <c r="R1" s="1" t="s">
        <v>9</v>
      </c>
      <c r="T1" s="1" t="s">
        <v>10</v>
      </c>
      <c r="V1" s="1" t="s">
        <v>16</v>
      </c>
      <c r="X1" s="1" t="s">
        <v>18</v>
      </c>
      <c r="Z1" s="4" t="s">
        <v>19</v>
      </c>
      <c r="AA1" s="1" t="s">
        <v>20</v>
      </c>
    </row>
    <row r="2" spans="1:35" ht="14.5" x14ac:dyDescent="0.35">
      <c r="A2" s="1" t="s">
        <v>30</v>
      </c>
      <c r="B2" s="1" t="str">
        <f t="shared" ref="B2:B123" si="0">IF(OR(UPPER(TRIM(A2))="MSI", UPPER(TRIM(A2))="HP", UPPER(TRIM(A2))="ASUS"), UPPER(TRIM(A2)), PROPER(TRIM(A2)))</f>
        <v>MSI</v>
      </c>
      <c r="C2" s="1" t="s">
        <v>31</v>
      </c>
      <c r="D2" s="1" t="str">
        <f t="shared" ref="D2:D1015" si="1">TRIM(CLEAN(SUBSTITUTE(C2,CHAR(160)," ")))</f>
        <v>Titan 18 HX Dragon Edition Norse Myth A2XWJG</v>
      </c>
      <c r="E2" s="1" t="str">
        <f t="array" aca="1" ref="E2" ca="1">IFERROR(
INDEX(Family_Map!$B$2:$B$35,
_xludf.AGGREGATE(14,6,(ROW(Family_Map!$A$2:$A$35)-ROW(Family_Map!$A$2)+1)/(ISNUMBER(SEARCH(Family_Map!$A$2:$A$35,D2))),1)
),
"Other")</f>
        <v>Other</v>
      </c>
      <c r="F2" s="1" t="s">
        <v>32</v>
      </c>
      <c r="G2" s="1" t="e">
        <f t="shared" ref="G2:G1015" ca="1" si="2">TRIM(SUBSTITUTE(SUBSTITUTE(SUBSTITUTE(SUBSTITUTE(SUBSTITUTE(F2,"®",""),"™",""),CHAR(160)," "),_xludf.UNICHAR(8203),""),"  "," "))</f>
        <v>#NAME?</v>
      </c>
      <c r="H2" s="1" t="str">
        <f ca="1">IF(ISNUMBER(SEARCH("CORE ULTRA 9",G3)),"Intel Core Ultra 9",
IF(ISNUMBER(SEARCH("CORE ULTRA 7",G3)),"Intel Core Ultra 7",IF(ISNUMBER(SEARCH("CORE I3",G3)),"Intel Core i3",
IF(ISNUMBER(SEARCH("CORE ULTRA 5",G3)),"Intel Core Ultra 5",
IF(ISNUMBER(SEARCH("CORE I9",G3)),"Intel Core i9",
IF(ISNUMBER(SEARCH("CORE I7",G3)),"Intel Core i7",
IF(ISNUMBER(SEARCH("CORE I5",G3)),"Intel Core i5",
IF(ISNUMBER(SEARCH("CORE 9",G3)),"Intel Core 9",
IF(ISNUMBER(SEARCH("CORE 7",G3)),"Intel Core 7",
IF(ISNUMBER(SEARCH("CORE 5",G3)),"Intel Core 5",
IF(ISNUMBER(SEARCH("RYZEN AI 9",G3)),"AMD Ryzen AI 9",
IF(ISNUMBER(SEARCH("RYZEN AI 7",G3)),"AMD Ryzen AI 7",
IF(ISNUMBER(SEARCH("RYZEN 9",G3)),"AMD Ryzen 9",
IF(ISNUMBER(SEARCH("RYZEN 7",G3)),"AMD Ryzen 7",
IF(ISNUMBER(SEARCH("RYZEN 5",G3)),"AMD Ryzen 5",
IF(ISNUMBER(SEARCH("SNAPDRAGON",G3)),
IF(ISNUMBER(SEARCH("ELITE",G3)),"Snapdragon X Elite",
IF(ISNUMBER(SEARCH("PLUS",G3)),"Snapdragon X Plus","Snapdragon")),
"Other"))))))))))))))))</f>
        <v>Other</v>
      </c>
      <c r="I2" s="1" t="s">
        <v>34</v>
      </c>
      <c r="J2" s="1" t="str">
        <f t="shared" ref="J2:J1015" si="3">IFERROR(
  LEFT(
    TRIM(MID(I2, MIN(FIND({0,1,2,3,4,5,6,7,8,9}, I2&amp;"0123456789")), 100)),
    FIND("G", UPPER(TRIM(MID(I2, MIN(FIND({0,1,2,3,4,5,6,7,8,9}, I2&amp;"0123456789")), 100))))
  ) &amp; "B",
  ""
)</f>
        <v>24GB</v>
      </c>
      <c r="K2" s="1" t="s">
        <v>35</v>
      </c>
      <c r="L2" s="1">
        <f t="shared" ref="L2:L183" si="4">IFERROR(
VALUE(SUBSTITUTE(SUBSTITUTE(LEFT(UPPER(TRIM(K2)),FIND("GB",UPPER(K2)&amp;"GB")+1),"GB","")," ","")),
IFERROR(
VALUE(SUBSTITUTE(SUBSTITUTE(MID(UPPER(K2),FIND("GB",UPPER(K2)&amp;"GB")-3,3),"GB","")," ",""))
*
IF(
OR(
ISNUMBER(SEARCH("2X",UPPER(K2))),
ISNUMBER(SEARCH("X 2",UPPER(K2))),
ISNUMBER(SEARCH("*2",UPPER(K2))),
ISNUMBER(SEARCH("2*",UPPER(K2))),
ISNUMBER(SEARCH("(2 X",UPPER(K2)))
),
2,1),
"")
)</f>
        <v>96</v>
      </c>
      <c r="M2" s="1" t="s">
        <v>36</v>
      </c>
      <c r="N2" s="1" t="str">
        <f t="shared" ref="N2:N1015" si="5">IFERROR(
  LEFT(
    TRIM(MID(M2, MIN(FIND({0,1,2,3,4,5,6,7,8,9}, M2&amp;"0123456789")), 100)),
    FIND("B", UPPER(TRIM(MID(M2, MIN(FIND({0,1,2,3,4,5,6,7,8,9}, M2&amp;"0123456789")), 100))))
  ),
  ""
)</f>
        <v>6TB</v>
      </c>
      <c r="O2" s="1" t="str">
        <f t="shared" ref="O2:O1015" si="6">IFERROR(
  IF(RIGHT(TRIM(N2),2)="TB",
    VALUE(LEFT(TRIM(N2),LEN(TRIM(N2))-2))*1024 &amp; "GB",
    TRIM(N2)
  ),
"")</f>
        <v>6144GB</v>
      </c>
      <c r="P2" s="1" t="s">
        <v>38</v>
      </c>
      <c r="Q2" s="1" t="str">
        <f t="shared" ref="Q2:Q1015" si="7">IFERROR(
  SUBSTITUTE(SUBSTITUTE(SUBSTITUTE(SUBSTITUTE(SUBSTITUTE(SUBSTITUTE(
    TRIM(P2),
  "*","x"),"×","x"),"X","x")," x ","x"),"x ","x")," x","x"),
"")</f>
        <v>3840x2400</v>
      </c>
      <c r="R2" s="1" t="s">
        <v>39</v>
      </c>
      <c r="S2" s="1" t="str">
        <f t="shared" ref="S2:S1015" si="8">IFERROR(
  TRIM(LEFT(TRIM(R2), FIND(UPPER("H"), UPPER(TRIM(R2)))-1)) &amp; "Hz",
"")</f>
        <v>120Hz</v>
      </c>
      <c r="T2" s="1" t="s">
        <v>40</v>
      </c>
      <c r="U2" s="1" t="str">
        <f t="shared" ref="U2:U1015" si="9">IFERROR(
  IF(AND(ISNUMBER(SEARCH("11",T2)),ISNUMBER(SEARCH("pro",T2))),"Windows 11 Pro",
  IF(AND(ISNUMBER(SEARCH("10",T2)),ISNUMBER(SEARCH("pro",T2))),"Windows 10 Pro",
  IF(ISNUMBER(SEARCH("11",T2)),"Windows 11 Home",
  IF(ISNUMBER(SEARCH("10",T2)),"Windows 10 Home",
  IF(OR(ISNUMBER(SEARCH("dos",T2)),ISNUMBER(SEARCH("DOS",T2))),"DOS",
  "Unknown"))))),
"Unknown")</f>
        <v>Windows 11 Home</v>
      </c>
      <c r="V2" s="1" t="s">
        <v>46</v>
      </c>
      <c r="W2" s="1" t="str">
        <f t="shared" ref="W2:W1015" si="10">IFERROR(
  IF(ISNUMBER(SEARCH(" g",SUBSTITUTE(V2,"gk","kg"))),
    ROUND(VALUE(TRIM(LEFT(SUBSTITUTE(V2,"gk","kg"),FIND(" ",SUBSTITUTE(V2,"gk","kg"))-1)))/1000,2) &amp; " kg",
  IF(ISNUMBER(SEARCH("lb",V2)),
    ROUND(VALUE(TRIM(LEFT(V2,FIND(" ",V2)-1)))*0.453592,2) &amp; " kg",
    ROUND(VALUE(TRIM(SUBSTITUTE(SUBSTITUTE(SUBSTITUTE(SUBSTITUTE(SUBSTITUTE(V2,"kg",""),"Kg",""),"KG",""),"gk",""),"g",""))),2) &amp; " kg"
  )),
"")</f>
        <v>3.6 kg</v>
      </c>
      <c r="X2" s="1" t="s">
        <v>48</v>
      </c>
      <c r="Y2" s="1" t="str">
        <f t="shared" ref="Y2:Y1015" si="11">IFERROR(
  IF(ISNUMBER(SEARCH("3",X2)), "3 Years",
  IF(ISNUMBER(SEARCH("2",X2)), "2 Years",
  IF(ISNUMBER(SEARCH("1",X2)), "1 Year",
  "Check Manually"))),
"")</f>
        <v>2 Years</v>
      </c>
      <c r="Z2" s="4">
        <v>320000</v>
      </c>
      <c r="AA2" s="1" t="s">
        <v>5735</v>
      </c>
    </row>
    <row r="3" spans="1:35" ht="14.5" x14ac:dyDescent="0.35">
      <c r="A3" s="1" t="s">
        <v>30</v>
      </c>
      <c r="B3" s="1" t="str">
        <f t="shared" si="0"/>
        <v>MSI</v>
      </c>
      <c r="C3" s="1" t="s">
        <v>49</v>
      </c>
      <c r="D3" s="1" t="str">
        <f t="shared" si="1"/>
        <v>Katana 15 HX 14XWGK</v>
      </c>
      <c r="E3" s="1" t="str">
        <f t="array" aca="1" ref="E3" ca="1">IFERROR(
INDEX(Family_Map!$B$2:$B$35,
_xludf.AGGREGATE(14,6,(ROW(Family_Map!$A$2:$A$35)-ROW(Family_Map!$A$2)+1)/(ISNUMBER(SEARCH(Family_Map!$A$2:$A$35,D3))),1)
),
"Other")</f>
        <v>Other</v>
      </c>
      <c r="F3" s="1" t="s">
        <v>5736</v>
      </c>
      <c r="G3" s="1" t="e">
        <f t="shared" ca="1" si="2"/>
        <v>#NAME?</v>
      </c>
      <c r="H3" s="1" t="str">
        <f t="shared" ref="H3:H1015" ca="1" si="12">IF(ISNUMBER(SEARCH("CORE ULTRA 9",G3)),"Intel Core Ultra 9",
IF(ISNUMBER(SEARCH("CORE ULTRA 7",G3)),"Intel Core Ultra 7",IF(ISNUMBER(SEARCH("CORE I3",G3)),"Intel Core i3",
IF(ISNUMBER(SEARCH("CORE ULTRA 5",G3)),"Intel Core Ultra 5",
IF(ISNUMBER(SEARCH("CORE I9",G3)),"Intel Core i9",
IF(ISNUMBER(SEARCH("CORE I7",G3)),"Intel Core i7",
IF(ISNUMBER(SEARCH("CORE I5",G3)),"Intel Core i5",
IF(ISNUMBER(SEARCH("CORE 9",G3)),"Intel Core 9",
IF(ISNUMBER(SEARCH("CORE 7",G3)),"Intel Core 7",
IF(ISNUMBER(SEARCH("CORE 5",G3)),"Intel Core 5",
IF(ISNUMBER(SEARCH("RYZEN AI 9",G3)),"AMD Ryzen AI 9",
IF(ISNUMBER(SEARCH("RYZEN AI 7",G3)),"AMD Ryzen AI 7",
IF(ISNUMBER(SEARCH("RYZEN 9",G3)),"AMD Ryzen 9",
IF(ISNUMBER(SEARCH("RYZEN 7",G3)),"AMD Ryzen 7",
IF(ISNUMBER(SEARCH("RYZEN 5",G3)),"AMD Ryzen 5",
IF(ISNUMBER(SEARCH("SNAPDRAGON",G3)),
IF(ISNUMBER(SEARCH("ELITE",G3)),"Snapdragon X Elite",
IF(ISNUMBER(SEARCH("PLUS",G3)),"Snapdragon X Plus","Snapdragon")),
"Other"))))))))))))))))</f>
        <v>Other</v>
      </c>
      <c r="I3" s="1" t="s">
        <v>52</v>
      </c>
      <c r="J3" s="1" t="str">
        <f t="shared" si="3"/>
        <v>8GB</v>
      </c>
      <c r="K3" s="1" t="s">
        <v>53</v>
      </c>
      <c r="L3" s="1">
        <f t="shared" si="4"/>
        <v>16</v>
      </c>
      <c r="M3" s="1" t="s">
        <v>54</v>
      </c>
      <c r="N3" s="1" t="str">
        <f t="shared" si="5"/>
        <v>1TB</v>
      </c>
      <c r="O3" s="1" t="str">
        <f t="shared" si="6"/>
        <v>1024GB</v>
      </c>
      <c r="P3" s="1" t="s">
        <v>56</v>
      </c>
      <c r="Q3" s="1" t="str">
        <f t="shared" si="7"/>
        <v>2560x1440</v>
      </c>
      <c r="R3" s="1" t="s">
        <v>57</v>
      </c>
      <c r="S3" s="1" t="str">
        <f t="shared" si="8"/>
        <v>165Hz</v>
      </c>
      <c r="T3" s="1" t="s">
        <v>40</v>
      </c>
      <c r="U3" s="1" t="str">
        <f t="shared" si="9"/>
        <v>Windows 11 Home</v>
      </c>
      <c r="V3" s="1" t="s">
        <v>63</v>
      </c>
      <c r="W3" s="1" t="str">
        <f t="shared" si="10"/>
        <v>2.4 kg</v>
      </c>
      <c r="X3" s="1" t="s">
        <v>48</v>
      </c>
      <c r="Y3" s="1" t="str">
        <f t="shared" si="11"/>
        <v>2 Years</v>
      </c>
      <c r="Z3" s="4">
        <v>79999</v>
      </c>
      <c r="AA3" s="1" t="s">
        <v>65</v>
      </c>
    </row>
    <row r="4" spans="1:35" ht="14.5" x14ac:dyDescent="0.35">
      <c r="A4" s="1" t="s">
        <v>66</v>
      </c>
      <c r="B4" s="1" t="str">
        <f t="shared" si="0"/>
        <v>Acer</v>
      </c>
      <c r="C4" s="1" t="s">
        <v>67</v>
      </c>
      <c r="D4" s="1" t="str">
        <f t="shared" si="1"/>
        <v>NITRO V15-ANV15-51-51H9</v>
      </c>
      <c r="E4" s="1" t="str">
        <f t="array" aca="1" ref="E4" ca="1">IFERROR(
INDEX(Family_Map!$B$2:$B$35,
_xludf.AGGREGATE(14,6,(ROW(Family_Map!$A$2:$A$35)-ROW(Family_Map!$A$2)+1)/(ISNUMBER(SEARCH(Family_Map!$A$2:$A$35,D4))),1)
),
"Other")</f>
        <v>Other</v>
      </c>
      <c r="F4" s="1" t="s">
        <v>68</v>
      </c>
      <c r="G4" s="1" t="e">
        <f t="shared" ca="1" si="2"/>
        <v>#NAME?</v>
      </c>
      <c r="H4" s="1" t="str">
        <f t="shared" ca="1" si="12"/>
        <v>Other</v>
      </c>
      <c r="I4" s="1" t="s">
        <v>70</v>
      </c>
      <c r="J4" s="1" t="str">
        <f t="shared" si="3"/>
        <v>6GB</v>
      </c>
      <c r="K4" s="1" t="s">
        <v>71</v>
      </c>
      <c r="L4" s="1">
        <f t="shared" si="4"/>
        <v>8</v>
      </c>
      <c r="M4" s="1" t="s">
        <v>72</v>
      </c>
      <c r="N4" s="1" t="str">
        <f t="shared" si="5"/>
        <v>512 GB</v>
      </c>
      <c r="O4" s="1" t="str">
        <f t="shared" si="6"/>
        <v>512 GB</v>
      </c>
      <c r="P4" s="1" t="s">
        <v>74</v>
      </c>
      <c r="Q4" s="1" t="str">
        <f t="shared" si="7"/>
        <v>1920x1080</v>
      </c>
      <c r="R4" s="1" t="s">
        <v>75</v>
      </c>
      <c r="S4" s="1" t="str">
        <f t="shared" si="8"/>
        <v>144Hz</v>
      </c>
      <c r="T4" s="1" t="s">
        <v>40</v>
      </c>
      <c r="U4" s="1" t="str">
        <f t="shared" si="9"/>
        <v>Windows 11 Home</v>
      </c>
      <c r="W4" s="1" t="str">
        <f t="shared" si="10"/>
        <v/>
      </c>
      <c r="X4" s="1" t="s">
        <v>78</v>
      </c>
      <c r="Y4" s="1" t="str">
        <f t="shared" si="11"/>
        <v>1 Year</v>
      </c>
      <c r="Z4" s="4">
        <v>39999</v>
      </c>
      <c r="AA4" s="1" t="s">
        <v>79</v>
      </c>
    </row>
    <row r="5" spans="1:35" ht="14.5" x14ac:dyDescent="0.35">
      <c r="A5" s="1" t="s">
        <v>81</v>
      </c>
      <c r="B5" s="1" t="str">
        <f t="shared" si="0"/>
        <v>Dell</v>
      </c>
      <c r="C5" s="1" t="s">
        <v>82</v>
      </c>
      <c r="D5" s="1" t="str">
        <f t="shared" si="1"/>
        <v>Alienware 16 Aurora AC16250</v>
      </c>
      <c r="E5" s="1" t="str">
        <f t="array" aca="1" ref="E5" ca="1">IFERROR(
INDEX(Family_Map!$B$2:$B$35,
_xludf.AGGREGATE(14,6,(ROW(Family_Map!$A$2:$A$35)-ROW(Family_Map!$A$2)+1)/(ISNUMBER(SEARCH(Family_Map!$A$2:$A$35,D5))),1)
),
"Other")</f>
        <v>Other</v>
      </c>
      <c r="F5" s="1" t="s">
        <v>83</v>
      </c>
      <c r="G5" s="1" t="e">
        <f t="shared" ca="1" si="2"/>
        <v>#NAME?</v>
      </c>
      <c r="H5" s="1" t="str">
        <f t="shared" ca="1" si="12"/>
        <v>Other</v>
      </c>
      <c r="I5" s="1" t="s">
        <v>85</v>
      </c>
      <c r="J5" s="1" t="str">
        <f t="shared" si="3"/>
        <v>8 GB</v>
      </c>
      <c r="K5" s="1" t="s">
        <v>86</v>
      </c>
      <c r="L5" s="1">
        <f t="shared" si="4"/>
        <v>16</v>
      </c>
      <c r="M5" s="1" t="s">
        <v>87</v>
      </c>
      <c r="N5" s="1" t="str">
        <f t="shared" si="5"/>
        <v>512GB</v>
      </c>
      <c r="O5" s="1" t="str">
        <f t="shared" si="6"/>
        <v>512GB</v>
      </c>
      <c r="P5" s="1" t="s">
        <v>89</v>
      </c>
      <c r="Q5" s="1" t="str">
        <f t="shared" si="7"/>
        <v>2560x1600</v>
      </c>
      <c r="R5" s="1" t="s">
        <v>39</v>
      </c>
      <c r="S5" s="1" t="str">
        <f t="shared" si="8"/>
        <v>120Hz</v>
      </c>
      <c r="T5" s="1" t="s">
        <v>90</v>
      </c>
      <c r="U5" s="1" t="str">
        <f t="shared" si="9"/>
        <v>Windows 11 Home</v>
      </c>
      <c r="V5" s="1" t="s">
        <v>94</v>
      </c>
      <c r="W5" s="1" t="str">
        <f t="shared" si="10"/>
        <v>2.49 kg</v>
      </c>
      <c r="X5" s="1" t="s">
        <v>78</v>
      </c>
      <c r="Y5" s="1" t="str">
        <f t="shared" si="11"/>
        <v>1 Year</v>
      </c>
      <c r="Z5" s="4">
        <v>57999</v>
      </c>
      <c r="AA5" s="1" t="s">
        <v>5735</v>
      </c>
    </row>
    <row r="6" spans="1:35" ht="14.5" x14ac:dyDescent="0.35">
      <c r="A6" s="1" t="s">
        <v>81</v>
      </c>
      <c r="B6" s="1" t="str">
        <f t="shared" si="0"/>
        <v>Dell</v>
      </c>
      <c r="C6" s="1" t="s">
        <v>82</v>
      </c>
      <c r="D6" s="1" t="str">
        <f t="shared" si="1"/>
        <v>Alienware 16 Aurora AC16250</v>
      </c>
      <c r="E6" s="1" t="str">
        <f t="array" aca="1" ref="E6" ca="1">IFERROR(
INDEX(Family_Map!$B$2:$B$35,
_xludf.AGGREGATE(14,6,(ROW(Family_Map!$A$2:$A$35)-ROW(Family_Map!$A$2)+1)/(ISNUMBER(SEARCH(Family_Map!$A$2:$A$35,D6))),1)
),
"Other")</f>
        <v>Other</v>
      </c>
      <c r="F6" s="1" t="s">
        <v>96</v>
      </c>
      <c r="G6" s="1" t="e">
        <f t="shared" ca="1" si="2"/>
        <v>#NAME?</v>
      </c>
      <c r="H6" s="1" t="str">
        <f t="shared" ca="1" si="12"/>
        <v>Other</v>
      </c>
      <c r="I6" s="1" t="s">
        <v>52</v>
      </c>
      <c r="J6" s="1" t="str">
        <f t="shared" si="3"/>
        <v>8GB</v>
      </c>
      <c r="K6" s="1" t="s">
        <v>98</v>
      </c>
      <c r="L6" s="1">
        <f t="shared" si="4"/>
        <v>16</v>
      </c>
      <c r="M6" s="1" t="s">
        <v>99</v>
      </c>
      <c r="N6" s="1" t="str">
        <f t="shared" si="5"/>
        <v>1TB</v>
      </c>
      <c r="O6" s="1" t="str">
        <f t="shared" si="6"/>
        <v>1024GB</v>
      </c>
      <c r="P6" s="1" t="s">
        <v>89</v>
      </c>
      <c r="Q6" s="1" t="str">
        <f t="shared" si="7"/>
        <v>2560x1600</v>
      </c>
      <c r="R6" s="1" t="s">
        <v>39</v>
      </c>
      <c r="S6" s="1" t="str">
        <f t="shared" si="8"/>
        <v>120Hz</v>
      </c>
      <c r="T6" s="1" t="s">
        <v>101</v>
      </c>
      <c r="U6" s="1" t="str">
        <f t="shared" si="9"/>
        <v>DOS</v>
      </c>
      <c r="V6" s="1" t="s">
        <v>94</v>
      </c>
      <c r="W6" s="1" t="str">
        <f t="shared" si="10"/>
        <v>2.49 kg</v>
      </c>
      <c r="X6" s="1" t="s">
        <v>78</v>
      </c>
      <c r="Y6" s="1" t="str">
        <f t="shared" si="11"/>
        <v>1 Year</v>
      </c>
      <c r="Z6" s="4">
        <v>89999</v>
      </c>
      <c r="AA6" s="1" t="s">
        <v>5735</v>
      </c>
    </row>
    <row r="7" spans="1:35" ht="15.5" x14ac:dyDescent="0.35">
      <c r="A7" s="1" t="s">
        <v>81</v>
      </c>
      <c r="B7" s="1" t="str">
        <f t="shared" si="0"/>
        <v>Dell</v>
      </c>
      <c r="C7" s="1" t="s">
        <v>82</v>
      </c>
      <c r="D7" s="1" t="str">
        <f t="shared" si="1"/>
        <v>Alienware 16 Aurora AC16250</v>
      </c>
      <c r="E7" s="1" t="str">
        <f t="array" aca="1" ref="E7" ca="1">IFERROR(
INDEX(Family_Map!$B$2:$B$35,
_xludf.AGGREGATE(14,6,(ROW(Family_Map!$A$2:$A$35)-ROW(Family_Map!$A$2)+1)/(ISNUMBER(SEARCH(Family_Map!$A$2:$A$35,D7))),1)
),
"Other")</f>
        <v>Other</v>
      </c>
      <c r="F7" s="1" t="s">
        <v>83</v>
      </c>
      <c r="G7" s="1" t="e">
        <f t="shared" ca="1" si="2"/>
        <v>#NAME?</v>
      </c>
      <c r="H7" s="1" t="str">
        <f t="shared" ca="1" si="12"/>
        <v>Other</v>
      </c>
      <c r="I7" s="1" t="s">
        <v>85</v>
      </c>
      <c r="J7" s="1" t="str">
        <f t="shared" si="3"/>
        <v>8 GB</v>
      </c>
      <c r="K7" s="1" t="s">
        <v>109</v>
      </c>
      <c r="L7" s="1">
        <f t="shared" si="4"/>
        <v>32</v>
      </c>
      <c r="M7" s="1" t="s">
        <v>99</v>
      </c>
      <c r="N7" s="1" t="str">
        <f t="shared" si="5"/>
        <v>1TB</v>
      </c>
      <c r="O7" s="1" t="str">
        <f t="shared" si="6"/>
        <v>1024GB</v>
      </c>
      <c r="P7" s="1" t="s">
        <v>89</v>
      </c>
      <c r="Q7" s="1" t="str">
        <f t="shared" si="7"/>
        <v>2560x1600</v>
      </c>
      <c r="R7" s="1" t="s">
        <v>39</v>
      </c>
      <c r="S7" s="1" t="str">
        <f t="shared" si="8"/>
        <v>120Hz</v>
      </c>
      <c r="T7" s="1" t="s">
        <v>101</v>
      </c>
      <c r="U7" s="1" t="str">
        <f t="shared" si="9"/>
        <v>DOS</v>
      </c>
      <c r="V7" s="1" t="s">
        <v>94</v>
      </c>
      <c r="W7" s="1" t="str">
        <f t="shared" si="10"/>
        <v>2.49 kg</v>
      </c>
      <c r="X7" s="1" t="s">
        <v>78</v>
      </c>
      <c r="Y7" s="1" t="str">
        <f t="shared" si="11"/>
        <v>1 Year</v>
      </c>
      <c r="Z7" s="4">
        <v>67999</v>
      </c>
      <c r="AA7" s="1" t="s">
        <v>5735</v>
      </c>
      <c r="AE7" s="1" t="s">
        <v>5731</v>
      </c>
      <c r="AF7" s="5" t="s">
        <v>5732</v>
      </c>
      <c r="AG7" s="1" t="s">
        <v>2</v>
      </c>
      <c r="AH7" s="1" t="s">
        <v>5737</v>
      </c>
      <c r="AI7" s="1" t="s">
        <v>5733</v>
      </c>
    </row>
    <row r="8" spans="1:35" ht="14.5" x14ac:dyDescent="0.35">
      <c r="A8" s="1" t="s">
        <v>81</v>
      </c>
      <c r="B8" s="1" t="str">
        <f t="shared" si="0"/>
        <v>Dell</v>
      </c>
      <c r="C8" s="1" t="s">
        <v>82</v>
      </c>
      <c r="D8" s="1" t="str">
        <f t="shared" si="1"/>
        <v>Alienware 16 Aurora AC16250</v>
      </c>
      <c r="E8" s="1" t="str">
        <f t="array" aca="1" ref="E8" ca="1">IFERROR(
INDEX(Family_Map!$B$2:$B$35,
_xludf.AGGREGATE(14,6,(ROW(Family_Map!$A$2:$A$35)-ROW(Family_Map!$A$2)+1)/(ISNUMBER(SEARCH(Family_Map!$A$2:$A$35,D8))),1)
),
"Other")</f>
        <v>Other</v>
      </c>
      <c r="F8" s="1" t="s">
        <v>83</v>
      </c>
      <c r="G8" s="1" t="e">
        <f t="shared" ca="1" si="2"/>
        <v>#NAME?</v>
      </c>
      <c r="H8" s="1" t="str">
        <f t="shared" ca="1" si="12"/>
        <v>Other</v>
      </c>
      <c r="I8" s="1" t="s">
        <v>85</v>
      </c>
      <c r="J8" s="1" t="str">
        <f t="shared" si="3"/>
        <v>8 GB</v>
      </c>
      <c r="K8" s="1" t="s">
        <v>86</v>
      </c>
      <c r="L8" s="1">
        <f t="shared" si="4"/>
        <v>16</v>
      </c>
      <c r="M8" s="1" t="s">
        <v>99</v>
      </c>
      <c r="N8" s="1" t="str">
        <f t="shared" si="5"/>
        <v>1TB</v>
      </c>
      <c r="O8" s="1" t="str">
        <f t="shared" si="6"/>
        <v>1024GB</v>
      </c>
      <c r="P8" s="1" t="s">
        <v>89</v>
      </c>
      <c r="Q8" s="1" t="str">
        <f t="shared" si="7"/>
        <v>2560x1600</v>
      </c>
      <c r="R8" s="1" t="s">
        <v>111</v>
      </c>
      <c r="S8" s="1" t="str">
        <f t="shared" si="8"/>
        <v>120Hz</v>
      </c>
      <c r="T8" s="1" t="s">
        <v>101</v>
      </c>
      <c r="U8" s="1" t="str">
        <f t="shared" si="9"/>
        <v>DOS</v>
      </c>
      <c r="V8" s="1" t="s">
        <v>94</v>
      </c>
      <c r="W8" s="1" t="str">
        <f t="shared" si="10"/>
        <v>2.49 kg</v>
      </c>
      <c r="X8" s="1" t="s">
        <v>78</v>
      </c>
      <c r="Y8" s="1" t="str">
        <f t="shared" si="11"/>
        <v>1 Year</v>
      </c>
      <c r="Z8" s="4">
        <v>57999</v>
      </c>
      <c r="AA8" s="1" t="s">
        <v>5735</v>
      </c>
      <c r="AE8" s="1">
        <f>COUNTBLANK(A2:A1015)</f>
        <v>56</v>
      </c>
      <c r="AF8" s="1">
        <f>COUNTBLANK(C2:C1015)</f>
        <v>0</v>
      </c>
      <c r="AG8" s="1">
        <f>COUNTBLANK(F2:F1015)</f>
        <v>0</v>
      </c>
      <c r="AH8" s="1" t="e">
        <f>COUNTBLANK(#REF!)</f>
        <v>#REF!</v>
      </c>
      <c r="AI8" s="1">
        <f>COUNTBLANK(I2:I1015)</f>
        <v>346</v>
      </c>
    </row>
    <row r="9" spans="1:35" ht="14.5" x14ac:dyDescent="0.35">
      <c r="A9" s="1" t="s">
        <v>112</v>
      </c>
      <c r="B9" s="1" t="str">
        <f t="shared" si="0"/>
        <v>HP</v>
      </c>
      <c r="C9" s="1" t="s">
        <v>113</v>
      </c>
      <c r="D9" s="1" t="str">
        <f t="shared" si="1"/>
        <v>Victus 15-fa2318TX</v>
      </c>
      <c r="E9" s="1" t="str">
        <f t="array" aca="1" ref="E9" ca="1">IFERROR(
INDEX(Family_Map!$B$2:$B$35,
_xludf.AGGREGATE(14,6,(ROW(Family_Map!$A$2:$A$35)-ROW(Family_Map!$A$2)+1)/(ISNUMBER(SEARCH(Family_Map!$A$2:$A$35,D9))),1)
),
"Other")</f>
        <v>Other</v>
      </c>
      <c r="F9" s="1" t="s">
        <v>114</v>
      </c>
      <c r="G9" s="1" t="e">
        <f t="shared" ca="1" si="2"/>
        <v>#NAME?</v>
      </c>
      <c r="H9" s="1" t="str">
        <f t="shared" ca="1" si="12"/>
        <v>Other</v>
      </c>
      <c r="I9" s="1" t="s">
        <v>116</v>
      </c>
      <c r="J9" s="1" t="str">
        <f t="shared" si="3"/>
        <v>6 GB</v>
      </c>
      <c r="K9" s="1" t="s">
        <v>117</v>
      </c>
      <c r="L9" s="1">
        <f t="shared" si="4"/>
        <v>16</v>
      </c>
      <c r="M9" s="1" t="s">
        <v>118</v>
      </c>
      <c r="N9" s="1" t="str">
        <f t="shared" si="5"/>
        <v>512 GB</v>
      </c>
      <c r="O9" s="1" t="str">
        <f t="shared" si="6"/>
        <v>512 GB</v>
      </c>
      <c r="P9" s="1" t="s">
        <v>120</v>
      </c>
      <c r="Q9" s="1" t="str">
        <f t="shared" si="7"/>
        <v>1920x1080</v>
      </c>
      <c r="R9" s="1" t="s">
        <v>75</v>
      </c>
      <c r="S9" s="1" t="str">
        <f t="shared" si="8"/>
        <v>144Hz</v>
      </c>
      <c r="T9" s="1" t="s">
        <v>121</v>
      </c>
      <c r="U9" s="1" t="str">
        <f t="shared" si="9"/>
        <v>DOS</v>
      </c>
      <c r="V9" s="1" t="s">
        <v>127</v>
      </c>
      <c r="W9" s="1" t="str">
        <f t="shared" si="10"/>
        <v>2.29 kg</v>
      </c>
      <c r="X9" s="1" t="s">
        <v>129</v>
      </c>
      <c r="Y9" s="1" t="str">
        <f t="shared" si="11"/>
        <v>1 Year</v>
      </c>
      <c r="Z9" s="4">
        <v>40999</v>
      </c>
      <c r="AA9" s="1" t="s">
        <v>79</v>
      </c>
    </row>
    <row r="10" spans="1:35" ht="14.5" x14ac:dyDescent="0.35">
      <c r="A10" s="1" t="s">
        <v>112</v>
      </c>
      <c r="B10" s="1" t="str">
        <f t="shared" si="0"/>
        <v>HP</v>
      </c>
      <c r="C10" s="1" t="s">
        <v>132</v>
      </c>
      <c r="D10" s="1" t="str">
        <f t="shared" si="1"/>
        <v>Victus 16-r1042ne</v>
      </c>
      <c r="E10" s="1" t="str">
        <f t="array" aca="1" ref="E10" ca="1">IFERROR(
INDEX(Family_Map!$B$2:$B$35,
_xludf.AGGREGATE(14,6,(ROW(Family_Map!$A$2:$A$35)-ROW(Family_Map!$A$2)+1)/(ISNUMBER(SEARCH(Family_Map!$A$2:$A$35,D10))),1)
),
"Other")</f>
        <v>Other</v>
      </c>
      <c r="F10" s="1" t="s">
        <v>133</v>
      </c>
      <c r="G10" s="1" t="e">
        <f t="shared" ca="1" si="2"/>
        <v>#NAME?</v>
      </c>
      <c r="H10" s="1" t="str">
        <f t="shared" ca="1" si="12"/>
        <v>Other</v>
      </c>
      <c r="I10" s="1" t="s">
        <v>116</v>
      </c>
      <c r="J10" s="1" t="str">
        <f t="shared" si="3"/>
        <v>6 GB</v>
      </c>
      <c r="K10" s="1" t="s">
        <v>135</v>
      </c>
      <c r="L10" s="1">
        <f t="shared" si="4"/>
        <v>16</v>
      </c>
      <c r="M10" s="1" t="s">
        <v>136</v>
      </c>
      <c r="N10" s="1" t="str">
        <f t="shared" si="5"/>
        <v>512 GB</v>
      </c>
      <c r="O10" s="1" t="str">
        <f t="shared" si="6"/>
        <v>512 GB</v>
      </c>
      <c r="P10" s="1" t="s">
        <v>120</v>
      </c>
      <c r="Q10" s="1" t="str">
        <f t="shared" si="7"/>
        <v>1920x1080</v>
      </c>
      <c r="R10" s="1" t="s">
        <v>75</v>
      </c>
      <c r="S10" s="1" t="str">
        <f t="shared" si="8"/>
        <v>144Hz</v>
      </c>
      <c r="T10" s="1" t="s">
        <v>121</v>
      </c>
      <c r="U10" s="1" t="str">
        <f t="shared" si="9"/>
        <v>DOS</v>
      </c>
      <c r="V10" s="1" t="s">
        <v>142</v>
      </c>
      <c r="W10" s="1" t="str">
        <f t="shared" si="10"/>
        <v>2.31 kg</v>
      </c>
      <c r="X10" s="1" t="s">
        <v>129</v>
      </c>
      <c r="Y10" s="1" t="str">
        <f t="shared" si="11"/>
        <v>1 Year</v>
      </c>
      <c r="Z10" s="4">
        <v>51499</v>
      </c>
      <c r="AA10" s="1" t="s">
        <v>65</v>
      </c>
    </row>
    <row r="11" spans="1:35" ht="14.5" x14ac:dyDescent="0.35">
      <c r="A11" s="1" t="s">
        <v>112</v>
      </c>
      <c r="B11" s="1" t="str">
        <f t="shared" si="0"/>
        <v>HP</v>
      </c>
      <c r="C11" s="1" t="s">
        <v>145</v>
      </c>
      <c r="D11" s="1" t="str">
        <f t="shared" si="1"/>
        <v>Victus 15-FA2317TX</v>
      </c>
      <c r="E11" s="1" t="str">
        <f t="array" aca="1" ref="E11" ca="1">IFERROR(
INDEX(Family_Map!$B$2:$B$35,
_xludf.AGGREGATE(14,6,(ROW(Family_Map!$A$2:$A$35)-ROW(Family_Map!$A$2)+1)/(ISNUMBER(SEARCH(Family_Map!$A$2:$A$35,D11))),1)
),
"Other")</f>
        <v>Other</v>
      </c>
      <c r="F11" s="1" t="s">
        <v>114</v>
      </c>
      <c r="G11" s="1" t="e">
        <f t="shared" ca="1" si="2"/>
        <v>#NAME?</v>
      </c>
      <c r="H11" s="1" t="str">
        <f t="shared" ca="1" si="12"/>
        <v>Other</v>
      </c>
      <c r="I11" s="1" t="s">
        <v>116</v>
      </c>
      <c r="J11" s="1" t="str">
        <f t="shared" si="3"/>
        <v>6 GB</v>
      </c>
      <c r="K11" s="1" t="s">
        <v>146</v>
      </c>
      <c r="L11" s="1">
        <f t="shared" si="4"/>
        <v>16</v>
      </c>
      <c r="M11" s="1" t="s">
        <v>118</v>
      </c>
      <c r="N11" s="1" t="str">
        <f t="shared" si="5"/>
        <v>512 GB</v>
      </c>
      <c r="O11" s="1" t="str">
        <f t="shared" si="6"/>
        <v>512 GB</v>
      </c>
      <c r="P11" s="1" t="s">
        <v>120</v>
      </c>
      <c r="Q11" s="1" t="str">
        <f t="shared" si="7"/>
        <v>1920x1080</v>
      </c>
      <c r="R11" s="1" t="s">
        <v>75</v>
      </c>
      <c r="S11" s="1" t="str">
        <f t="shared" si="8"/>
        <v>144Hz</v>
      </c>
      <c r="T11" s="1" t="s">
        <v>101</v>
      </c>
      <c r="U11" s="1" t="str">
        <f t="shared" si="9"/>
        <v>DOS</v>
      </c>
      <c r="V11" s="1" t="s">
        <v>127</v>
      </c>
      <c r="W11" s="1" t="str">
        <f t="shared" si="10"/>
        <v>2.29 kg</v>
      </c>
      <c r="X11" s="1" t="s">
        <v>78</v>
      </c>
      <c r="Y11" s="1" t="str">
        <f t="shared" si="11"/>
        <v>1 Year</v>
      </c>
      <c r="Z11" s="4">
        <v>47777</v>
      </c>
      <c r="AA11" s="1" t="s">
        <v>79</v>
      </c>
      <c r="AE11" s="1" t="s">
        <v>5</v>
      </c>
      <c r="AF11" s="1" t="s">
        <v>5734</v>
      </c>
      <c r="AG11" s="1" t="s">
        <v>7</v>
      </c>
      <c r="AH11" s="1" t="s">
        <v>8</v>
      </c>
      <c r="AI11" s="1" t="s">
        <v>9</v>
      </c>
    </row>
    <row r="12" spans="1:35" ht="14.5" x14ac:dyDescent="0.35">
      <c r="A12" s="1" t="s">
        <v>151</v>
      </c>
      <c r="B12" s="1" t="str">
        <f t="shared" si="0"/>
        <v>Lenovo</v>
      </c>
      <c r="C12" s="1" t="s">
        <v>152</v>
      </c>
      <c r="D12" s="1" t="str">
        <f t="shared" si="1"/>
        <v>LOQ 15IAX9E</v>
      </c>
      <c r="E12" s="1" t="str">
        <f t="array" aca="1" ref="E12" ca="1">IFERROR(
INDEX(Family_Map!$B$2:$B$35,
_xludf.AGGREGATE(14,6,(ROW(Family_Map!$A$2:$A$35)-ROW(Family_Map!$A$2)+1)/(ISNUMBER(SEARCH(Family_Map!$A$2:$A$35,D12))),1)
),
"Other")</f>
        <v>Other</v>
      </c>
      <c r="F12" s="1" t="s">
        <v>153</v>
      </c>
      <c r="G12" s="1" t="e">
        <f t="shared" ca="1" si="2"/>
        <v>#NAME?</v>
      </c>
      <c r="H12" s="1" t="str">
        <f t="shared" ca="1" si="12"/>
        <v>Other</v>
      </c>
      <c r="I12" s="1" t="s">
        <v>70</v>
      </c>
      <c r="J12" s="1" t="str">
        <f t="shared" si="3"/>
        <v>6GB</v>
      </c>
      <c r="K12" s="1" t="s">
        <v>155</v>
      </c>
      <c r="L12" s="1">
        <f t="shared" si="4"/>
        <v>16</v>
      </c>
      <c r="M12" s="1" t="s">
        <v>156</v>
      </c>
      <c r="N12" s="1" t="str">
        <f t="shared" si="5"/>
        <v>512GB</v>
      </c>
      <c r="O12" s="1" t="str">
        <f t="shared" si="6"/>
        <v>512GB</v>
      </c>
      <c r="P12" s="1" t="s">
        <v>120</v>
      </c>
      <c r="Q12" s="1" t="str">
        <f t="shared" si="7"/>
        <v>1920x1080</v>
      </c>
      <c r="R12" s="1" t="s">
        <v>75</v>
      </c>
      <c r="S12" s="1" t="str">
        <f t="shared" si="8"/>
        <v>144Hz</v>
      </c>
      <c r="T12" s="1" t="s">
        <v>90</v>
      </c>
      <c r="U12" s="1" t="str">
        <f t="shared" si="9"/>
        <v>Windows 11 Home</v>
      </c>
      <c r="V12" s="1" t="s">
        <v>163</v>
      </c>
      <c r="W12" s="1" t="str">
        <f t="shared" si="10"/>
        <v>1.77 kg</v>
      </c>
      <c r="X12" s="1" t="s">
        <v>165</v>
      </c>
      <c r="Y12" s="1" t="str">
        <f t="shared" si="11"/>
        <v>2 Years</v>
      </c>
      <c r="Z12" s="4">
        <v>31999</v>
      </c>
      <c r="AA12" s="1" t="s">
        <v>166</v>
      </c>
      <c r="AE12" s="1">
        <f>COUNTBLANK(K2:K1015)</f>
        <v>0</v>
      </c>
      <c r="AF12" s="1">
        <f>COUNTBLANK(M2:M1015)</f>
        <v>0</v>
      </c>
      <c r="AG12" s="1" t="e">
        <f>COUNTBLANK(#REF!)</f>
        <v>#REF!</v>
      </c>
      <c r="AH12" s="1">
        <f>COUNTBLANK(P2:P1015)</f>
        <v>20</v>
      </c>
      <c r="AI12" s="1">
        <f>COUNTBLANK(R2:R1015)</f>
        <v>347</v>
      </c>
    </row>
    <row r="13" spans="1:35" ht="14.5" x14ac:dyDescent="0.35">
      <c r="A13" s="1" t="s">
        <v>112</v>
      </c>
      <c r="B13" s="1" t="str">
        <f t="shared" si="0"/>
        <v>HP</v>
      </c>
      <c r="C13" s="1" t="s">
        <v>169</v>
      </c>
      <c r="D13" s="1" t="str">
        <f t="shared" si="1"/>
        <v>Victus 16-r1066ne</v>
      </c>
      <c r="E13" s="1" t="str">
        <f t="array" aca="1" ref="E13" ca="1">IFERROR(
INDEX(Family_Map!$B$2:$B$35,
_xludf.AGGREGATE(14,6,(ROW(Family_Map!$A$2:$A$35)-ROW(Family_Map!$A$2)+1)/(ISNUMBER(SEARCH(Family_Map!$A$2:$A$35,D13))),1)
),
"Other")</f>
        <v>Other</v>
      </c>
      <c r="F13" s="1" t="s">
        <v>170</v>
      </c>
      <c r="G13" s="1" t="e">
        <f t="shared" ca="1" si="2"/>
        <v>#NAME?</v>
      </c>
      <c r="H13" s="1" t="str">
        <f t="shared" ca="1" si="12"/>
        <v>Other</v>
      </c>
      <c r="I13" s="1" t="s">
        <v>116</v>
      </c>
      <c r="J13" s="1" t="str">
        <f t="shared" si="3"/>
        <v>6 GB</v>
      </c>
      <c r="K13" s="1" t="s">
        <v>135</v>
      </c>
      <c r="L13" s="1">
        <f t="shared" si="4"/>
        <v>16</v>
      </c>
      <c r="M13" s="1" t="s">
        <v>171</v>
      </c>
      <c r="N13" s="1" t="str">
        <f t="shared" si="5"/>
        <v>1 TB</v>
      </c>
      <c r="O13" s="1" t="str">
        <f t="shared" si="6"/>
        <v>1024GB</v>
      </c>
      <c r="P13" s="1" t="s">
        <v>120</v>
      </c>
      <c r="Q13" s="1" t="str">
        <f t="shared" si="7"/>
        <v>1920x1080</v>
      </c>
      <c r="R13" s="1" t="s">
        <v>75</v>
      </c>
      <c r="S13" s="1" t="str">
        <f t="shared" si="8"/>
        <v>144Hz</v>
      </c>
      <c r="T13" s="1" t="s">
        <v>101</v>
      </c>
      <c r="U13" s="1" t="str">
        <f t="shared" si="9"/>
        <v>DOS</v>
      </c>
      <c r="V13" s="1" t="s">
        <v>142</v>
      </c>
      <c r="W13" s="1" t="str">
        <f t="shared" si="10"/>
        <v>2.31 kg</v>
      </c>
      <c r="X13" s="1" t="s">
        <v>78</v>
      </c>
      <c r="Y13" s="1" t="str">
        <f t="shared" si="11"/>
        <v>1 Year</v>
      </c>
      <c r="Z13" s="4">
        <v>39666</v>
      </c>
      <c r="AA13" s="1" t="s">
        <v>65</v>
      </c>
    </row>
    <row r="14" spans="1:35" ht="14.5" x14ac:dyDescent="0.35">
      <c r="A14" s="1" t="s">
        <v>112</v>
      </c>
      <c r="B14" s="1" t="str">
        <f t="shared" si="0"/>
        <v>HP</v>
      </c>
      <c r="C14" s="1" t="s">
        <v>176</v>
      </c>
      <c r="D14" s="1" t="str">
        <f t="shared" si="1"/>
        <v>Victus 16-r1062ne</v>
      </c>
      <c r="E14" s="1" t="str">
        <f t="array" aca="1" ref="E14" ca="1">IFERROR(
INDEX(Family_Map!$B$2:$B$35,
_xludf.AGGREGATE(14,6,(ROW(Family_Map!$A$2:$A$35)-ROW(Family_Map!$A$2)+1)/(ISNUMBER(SEARCH(Family_Map!$A$2:$A$35,D14))),1)
),
"Other")</f>
        <v>Other</v>
      </c>
      <c r="F14" s="1" t="s">
        <v>170</v>
      </c>
      <c r="G14" s="1" t="e">
        <f t="shared" ca="1" si="2"/>
        <v>#NAME?</v>
      </c>
      <c r="H14" s="1" t="str">
        <f t="shared" ca="1" si="12"/>
        <v>Other</v>
      </c>
      <c r="I14" s="1" t="s">
        <v>116</v>
      </c>
      <c r="J14" s="1" t="str">
        <f t="shared" si="3"/>
        <v>6 GB</v>
      </c>
      <c r="K14" s="1" t="s">
        <v>135</v>
      </c>
      <c r="L14" s="1">
        <f t="shared" si="4"/>
        <v>16</v>
      </c>
      <c r="M14" s="1" t="s">
        <v>171</v>
      </c>
      <c r="N14" s="1" t="str">
        <f t="shared" si="5"/>
        <v>1 TB</v>
      </c>
      <c r="O14" s="1" t="str">
        <f t="shared" si="6"/>
        <v>1024GB</v>
      </c>
      <c r="P14" s="1" t="s">
        <v>120</v>
      </c>
      <c r="Q14" s="1" t="str">
        <f t="shared" si="7"/>
        <v>1920x1080</v>
      </c>
      <c r="R14" s="1" t="s">
        <v>75</v>
      </c>
      <c r="S14" s="1" t="str">
        <f t="shared" si="8"/>
        <v>144Hz</v>
      </c>
      <c r="T14" s="1" t="s">
        <v>101</v>
      </c>
      <c r="U14" s="1" t="str">
        <f t="shared" si="9"/>
        <v>DOS</v>
      </c>
      <c r="V14" s="1" t="s">
        <v>142</v>
      </c>
      <c r="W14" s="1" t="str">
        <f t="shared" si="10"/>
        <v>2.31 kg</v>
      </c>
      <c r="X14" s="1" t="s">
        <v>78</v>
      </c>
      <c r="Y14" s="1" t="str">
        <f t="shared" si="11"/>
        <v>1 Year</v>
      </c>
      <c r="Z14" s="4">
        <v>39666</v>
      </c>
      <c r="AA14" s="1" t="s">
        <v>65</v>
      </c>
      <c r="AE14" s="1" t="s">
        <v>10</v>
      </c>
      <c r="AF14" s="1" t="s">
        <v>11</v>
      </c>
      <c r="AG14" s="1" t="s">
        <v>12</v>
      </c>
      <c r="AH14" s="1" t="s">
        <v>13</v>
      </c>
      <c r="AI14" s="1" t="s">
        <v>14</v>
      </c>
    </row>
    <row r="15" spans="1:35" ht="14.5" x14ac:dyDescent="0.35">
      <c r="A15" s="1" t="s">
        <v>112</v>
      </c>
      <c r="B15" s="1" t="str">
        <f t="shared" si="0"/>
        <v>HP</v>
      </c>
      <c r="C15" s="1" t="s">
        <v>182</v>
      </c>
      <c r="D15" s="1" t="str">
        <f t="shared" si="1"/>
        <v>Victus 15-fa1103ne</v>
      </c>
      <c r="E15" s="1" t="str">
        <f t="array" aca="1" ref="E15" ca="1">IFERROR(
INDEX(Family_Map!$B$2:$B$35,
_xludf.AGGREGATE(14,6,(ROW(Family_Map!$A$2:$A$35)-ROW(Family_Map!$A$2)+1)/(ISNUMBER(SEARCH(Family_Map!$A$2:$A$35,D15))),1)
),
"Other")</f>
        <v>Other</v>
      </c>
      <c r="F15" s="1" t="s">
        <v>183</v>
      </c>
      <c r="G15" s="1" t="e">
        <f t="shared" ca="1" si="2"/>
        <v>#NAME?</v>
      </c>
      <c r="H15" s="1" t="str">
        <f t="shared" ca="1" si="12"/>
        <v>Other</v>
      </c>
      <c r="I15" s="1" t="s">
        <v>116</v>
      </c>
      <c r="J15" s="1" t="str">
        <f t="shared" si="3"/>
        <v>6 GB</v>
      </c>
      <c r="K15" s="1" t="s">
        <v>184</v>
      </c>
      <c r="L15" s="1">
        <f t="shared" si="4"/>
        <v>8</v>
      </c>
      <c r="M15" s="1" t="s">
        <v>118</v>
      </c>
      <c r="N15" s="1" t="str">
        <f t="shared" si="5"/>
        <v>512 GB</v>
      </c>
      <c r="O15" s="1" t="str">
        <f t="shared" si="6"/>
        <v>512 GB</v>
      </c>
      <c r="P15" s="1" t="s">
        <v>120</v>
      </c>
      <c r="Q15" s="1" t="str">
        <f t="shared" si="7"/>
        <v>1920x1080</v>
      </c>
      <c r="R15" s="1" t="s">
        <v>75</v>
      </c>
      <c r="S15" s="1" t="str">
        <f t="shared" si="8"/>
        <v>144Hz</v>
      </c>
      <c r="T15" s="1" t="s">
        <v>101</v>
      </c>
      <c r="U15" s="1" t="str">
        <f t="shared" si="9"/>
        <v>DOS</v>
      </c>
      <c r="V15" s="1" t="s">
        <v>127</v>
      </c>
      <c r="W15" s="1" t="str">
        <f t="shared" si="10"/>
        <v>2.29 kg</v>
      </c>
      <c r="X15" s="1" t="s">
        <v>78</v>
      </c>
      <c r="Y15" s="1" t="str">
        <f t="shared" si="11"/>
        <v>1 Year</v>
      </c>
      <c r="Z15" s="4">
        <v>33999</v>
      </c>
      <c r="AA15" s="1" t="s">
        <v>79</v>
      </c>
      <c r="AE15" s="1">
        <f>COUNTBLANK(T2:T1015)</f>
        <v>7</v>
      </c>
      <c r="AF15" s="1" t="e">
        <f t="shared" ref="AF15:AI15" si="13">COUNTBLANK(#REF!)</f>
        <v>#REF!</v>
      </c>
      <c r="AG15" s="1" t="e">
        <f t="shared" si="13"/>
        <v>#REF!</v>
      </c>
      <c r="AH15" s="1" t="e">
        <f t="shared" si="13"/>
        <v>#REF!</v>
      </c>
      <c r="AI15" s="1" t="e">
        <f t="shared" si="13"/>
        <v>#REF!</v>
      </c>
    </row>
    <row r="16" spans="1:35" ht="14.5" x14ac:dyDescent="0.35">
      <c r="A16" s="1" t="s">
        <v>112</v>
      </c>
      <c r="B16" s="1" t="str">
        <f t="shared" si="0"/>
        <v>HP</v>
      </c>
      <c r="C16" s="1" t="s">
        <v>191</v>
      </c>
      <c r="D16" s="1" t="str">
        <f t="shared" si="1"/>
        <v>VICTUS 15-FA1112NIA</v>
      </c>
      <c r="E16" s="1" t="str">
        <f t="array" aca="1" ref="E16" ca="1">IFERROR(
INDEX(Family_Map!$B$2:$B$35,
_xludf.AGGREGATE(14,6,(ROW(Family_Map!$A$2:$A$35)-ROW(Family_Map!$A$2)+1)/(ISNUMBER(SEARCH(Family_Map!$A$2:$A$35,D16))),1)
),
"Other")</f>
        <v>Other</v>
      </c>
      <c r="F16" s="1" t="s">
        <v>183</v>
      </c>
      <c r="G16" s="1" t="e">
        <f t="shared" ca="1" si="2"/>
        <v>#NAME?</v>
      </c>
      <c r="H16" s="1" t="str">
        <f t="shared" ca="1" si="12"/>
        <v>Other</v>
      </c>
      <c r="I16" s="1" t="s">
        <v>116</v>
      </c>
      <c r="J16" s="1" t="str">
        <f t="shared" si="3"/>
        <v>6 GB</v>
      </c>
      <c r="K16" s="1" t="s">
        <v>184</v>
      </c>
      <c r="L16" s="1">
        <f t="shared" si="4"/>
        <v>8</v>
      </c>
      <c r="M16" s="1" t="s">
        <v>118</v>
      </c>
      <c r="N16" s="1" t="str">
        <f t="shared" si="5"/>
        <v>512 GB</v>
      </c>
      <c r="O16" s="1" t="str">
        <f t="shared" si="6"/>
        <v>512 GB</v>
      </c>
      <c r="P16" s="1" t="s">
        <v>120</v>
      </c>
      <c r="Q16" s="1" t="str">
        <f t="shared" si="7"/>
        <v>1920x1080</v>
      </c>
      <c r="R16" s="1" t="s">
        <v>75</v>
      </c>
      <c r="S16" s="1" t="str">
        <f t="shared" si="8"/>
        <v>144Hz</v>
      </c>
      <c r="T16" s="1" t="s">
        <v>101</v>
      </c>
      <c r="U16" s="1" t="str">
        <f t="shared" si="9"/>
        <v>DOS</v>
      </c>
      <c r="V16" s="1" t="s">
        <v>127</v>
      </c>
      <c r="W16" s="1" t="str">
        <f t="shared" si="10"/>
        <v>2.29 kg</v>
      </c>
      <c r="X16" s="1" t="s">
        <v>78</v>
      </c>
      <c r="Y16" s="1" t="str">
        <f t="shared" si="11"/>
        <v>1 Year</v>
      </c>
      <c r="Z16" s="4">
        <v>33999</v>
      </c>
      <c r="AA16" s="1" t="s">
        <v>79</v>
      </c>
    </row>
    <row r="17" spans="1:35" ht="14.5" x14ac:dyDescent="0.35">
      <c r="A17" s="1" t="s">
        <v>112</v>
      </c>
      <c r="B17" s="1" t="str">
        <f t="shared" si="0"/>
        <v>HP</v>
      </c>
      <c r="C17" s="1" t="s">
        <v>196</v>
      </c>
      <c r="D17" s="1" t="str">
        <f t="shared" si="1"/>
        <v>OMEN Slim 16-an0119nrav</v>
      </c>
      <c r="E17" s="1" t="str">
        <f t="array" aca="1" ref="E17" ca="1">IFERROR(
INDEX(Family_Map!$B$2:$B$35,
_xludf.AGGREGATE(14,6,(ROW(Family_Map!$A$2:$A$35)-ROW(Family_Map!$A$2)+1)/(ISNUMBER(SEARCH(Family_Map!$A$2:$A$35,D17))),1)
),
"Other")</f>
        <v>Other</v>
      </c>
      <c r="F17" s="1" t="s">
        <v>197</v>
      </c>
      <c r="G17" s="1" t="e">
        <f t="shared" ca="1" si="2"/>
        <v>#NAME?</v>
      </c>
      <c r="H17" s="1" t="str">
        <f t="shared" ca="1" si="12"/>
        <v>Other</v>
      </c>
      <c r="I17" s="1" t="s">
        <v>85</v>
      </c>
      <c r="J17" s="1" t="str">
        <f t="shared" si="3"/>
        <v>8 GB</v>
      </c>
      <c r="K17" s="1" t="s">
        <v>135</v>
      </c>
      <c r="L17" s="1">
        <f t="shared" si="4"/>
        <v>16</v>
      </c>
      <c r="M17" s="1" t="s">
        <v>171</v>
      </c>
      <c r="N17" s="1" t="str">
        <f t="shared" si="5"/>
        <v>1 TB</v>
      </c>
      <c r="O17" s="1" t="str">
        <f t="shared" si="6"/>
        <v>1024GB</v>
      </c>
      <c r="P17" s="1" t="s">
        <v>89</v>
      </c>
      <c r="Q17" s="1" t="str">
        <f t="shared" si="7"/>
        <v>2560x1600</v>
      </c>
      <c r="R17" s="1" t="s">
        <v>200</v>
      </c>
      <c r="S17" s="1" t="str">
        <f t="shared" si="8"/>
        <v>240Hz</v>
      </c>
      <c r="T17" s="1" t="s">
        <v>201</v>
      </c>
      <c r="U17" s="1" t="str">
        <f t="shared" si="9"/>
        <v>Windows 11 Home</v>
      </c>
      <c r="V17" s="1" t="s">
        <v>205</v>
      </c>
      <c r="W17" s="1" t="str">
        <f t="shared" si="10"/>
        <v>2.42 kg</v>
      </c>
      <c r="X17" s="1" t="s">
        <v>78</v>
      </c>
      <c r="Y17" s="1" t="str">
        <f t="shared" si="11"/>
        <v>1 Year</v>
      </c>
      <c r="Z17" s="4">
        <v>106999</v>
      </c>
      <c r="AA17" s="1" t="s">
        <v>5735</v>
      </c>
      <c r="AE17" s="1" t="s">
        <v>15</v>
      </c>
      <c r="AF17" s="1" t="s">
        <v>16</v>
      </c>
      <c r="AG17" s="1" t="s">
        <v>17</v>
      </c>
      <c r="AH17" s="1" t="s">
        <v>18</v>
      </c>
      <c r="AI17" s="1" t="s">
        <v>19</v>
      </c>
    </row>
    <row r="18" spans="1:35" ht="14.5" x14ac:dyDescent="0.35">
      <c r="A18" s="1" t="s">
        <v>112</v>
      </c>
      <c r="B18" s="1" t="str">
        <f t="shared" si="0"/>
        <v>HP</v>
      </c>
      <c r="C18" s="1" t="s">
        <v>209</v>
      </c>
      <c r="D18" s="1" t="str">
        <f t="shared" si="1"/>
        <v>OMEN 16-AP0097NR</v>
      </c>
      <c r="E18" s="1" t="str">
        <f t="array" aca="1" ref="E18" ca="1">IFERROR(
INDEX(Family_Map!$B$2:$B$35,
_xludf.AGGREGATE(14,6,(ROW(Family_Map!$A$2:$A$35)-ROW(Family_Map!$A$2)+1)/(ISNUMBER(SEARCH(Family_Map!$A$2:$A$35,D18))),1)
),
"Other")</f>
        <v>Other</v>
      </c>
      <c r="F18" s="1" t="s">
        <v>210</v>
      </c>
      <c r="G18" s="1" t="e">
        <f t="shared" ca="1" si="2"/>
        <v>#NAME?</v>
      </c>
      <c r="H18" s="1" t="str">
        <f t="shared" ca="1" si="12"/>
        <v>Other</v>
      </c>
      <c r="I18" s="1" t="s">
        <v>85</v>
      </c>
      <c r="J18" s="1" t="str">
        <f t="shared" si="3"/>
        <v>8 GB</v>
      </c>
      <c r="K18" s="1" t="s">
        <v>211</v>
      </c>
      <c r="L18" s="1">
        <f t="shared" si="4"/>
        <v>32</v>
      </c>
      <c r="M18" s="1" t="s">
        <v>171</v>
      </c>
      <c r="N18" s="1" t="str">
        <f t="shared" si="5"/>
        <v>1 TB</v>
      </c>
      <c r="O18" s="1" t="str">
        <f t="shared" si="6"/>
        <v>1024GB</v>
      </c>
      <c r="P18" s="1" t="s">
        <v>89</v>
      </c>
      <c r="Q18" s="1" t="str">
        <f t="shared" si="7"/>
        <v>2560x1600</v>
      </c>
      <c r="R18" s="1" t="s">
        <v>200</v>
      </c>
      <c r="S18" s="1" t="str">
        <f t="shared" si="8"/>
        <v>240Hz</v>
      </c>
      <c r="T18" s="1" t="s">
        <v>201</v>
      </c>
      <c r="U18" s="1" t="str">
        <f t="shared" si="9"/>
        <v>Windows 11 Home</v>
      </c>
      <c r="V18" s="1" t="s">
        <v>216</v>
      </c>
      <c r="W18" s="1" t="str">
        <f t="shared" si="10"/>
        <v>2.44 kg</v>
      </c>
      <c r="X18" s="1" t="s">
        <v>78</v>
      </c>
      <c r="Y18" s="1" t="str">
        <f t="shared" si="11"/>
        <v>1 Year</v>
      </c>
      <c r="Z18" s="4">
        <v>104999</v>
      </c>
      <c r="AA18" s="1" t="s">
        <v>5735</v>
      </c>
      <c r="AE18" s="1" t="e">
        <f>COUNTBLANK(#REF!)</f>
        <v>#REF!</v>
      </c>
      <c r="AF18" s="1">
        <f>COUNTBLANK(V2:V1015)</f>
        <v>37</v>
      </c>
      <c r="AG18" s="1" t="e">
        <f>COUNTBLANK(#REF!)</f>
        <v>#REF!</v>
      </c>
      <c r="AH18" s="1">
        <f>COUNTBLANK(X2:X1015)</f>
        <v>0</v>
      </c>
      <c r="AI18" s="1">
        <f>COUNTBLANK(Z2:Z1015)</f>
        <v>0</v>
      </c>
    </row>
    <row r="19" spans="1:35" ht="14.5" x14ac:dyDescent="0.35">
      <c r="A19" s="1" t="s">
        <v>151</v>
      </c>
      <c r="B19" s="1" t="str">
        <f t="shared" si="0"/>
        <v>Lenovo</v>
      </c>
      <c r="C19" s="1" t="s">
        <v>219</v>
      </c>
      <c r="D19" s="1" t="str">
        <f t="shared" si="1"/>
        <v>Legion 5 15IRX10</v>
      </c>
      <c r="E19" s="1" t="str">
        <f t="array" aca="1" ref="E19" ca="1">IFERROR(
INDEX(Family_Map!$B$2:$B$35,
_xludf.AGGREGATE(14,6,(ROW(Family_Map!$A$2:$A$35)-ROW(Family_Map!$A$2)+1)/(ISNUMBER(SEARCH(Family_Map!$A$2:$A$35,D19))),1)
),
"Other")</f>
        <v>Other</v>
      </c>
      <c r="F19" s="1" t="s">
        <v>220</v>
      </c>
      <c r="G19" s="1" t="e">
        <f t="shared" ca="1" si="2"/>
        <v>#NAME?</v>
      </c>
      <c r="H19" s="1" t="str">
        <f t="shared" ca="1" si="12"/>
        <v>Other</v>
      </c>
      <c r="I19" s="1" t="s">
        <v>52</v>
      </c>
      <c r="J19" s="1" t="str">
        <f t="shared" si="3"/>
        <v>8GB</v>
      </c>
      <c r="K19" s="1" t="s">
        <v>221</v>
      </c>
      <c r="L19" s="1">
        <f t="shared" si="4"/>
        <v>16</v>
      </c>
      <c r="M19" s="1" t="s">
        <v>222</v>
      </c>
      <c r="N19" s="1" t="str">
        <f t="shared" si="5"/>
        <v>1TB</v>
      </c>
      <c r="O19" s="1" t="str">
        <f t="shared" si="6"/>
        <v>1024GB</v>
      </c>
      <c r="P19" s="1" t="s">
        <v>224</v>
      </c>
      <c r="Q19" s="1" t="str">
        <f t="shared" si="7"/>
        <v>2560x1600</v>
      </c>
      <c r="R19" s="1" t="s">
        <v>57</v>
      </c>
      <c r="S19" s="1" t="str">
        <f t="shared" si="8"/>
        <v>165Hz</v>
      </c>
      <c r="T19" s="1" t="s">
        <v>90</v>
      </c>
      <c r="U19" s="1" t="str">
        <f t="shared" si="9"/>
        <v>Windows 11 Home</v>
      </c>
      <c r="V19" s="1" t="s">
        <v>230</v>
      </c>
      <c r="W19" s="1" t="str">
        <f t="shared" si="10"/>
        <v>1.9 kg</v>
      </c>
      <c r="X19" s="1" t="s">
        <v>78</v>
      </c>
      <c r="Y19" s="1" t="str">
        <f t="shared" si="11"/>
        <v>1 Year</v>
      </c>
      <c r="Z19" s="4">
        <v>107999</v>
      </c>
      <c r="AA19" s="1" t="s">
        <v>65</v>
      </c>
    </row>
    <row r="20" spans="1:35" ht="14.5" x14ac:dyDescent="0.35">
      <c r="A20" s="1" t="s">
        <v>234</v>
      </c>
      <c r="B20" s="1" t="str">
        <f t="shared" si="0"/>
        <v>ASUS</v>
      </c>
      <c r="C20" s="1" t="s">
        <v>235</v>
      </c>
      <c r="D20" s="1" t="str">
        <f t="shared" si="1"/>
        <v>ROG Zephyrus G16 GA605KP-AI327W</v>
      </c>
      <c r="E20" s="1" t="str">
        <f t="array" aca="1" ref="E20" ca="1">IFERROR(
INDEX(Family_Map!$B$2:$B$35,
_xludf.AGGREGATE(14,6,(ROW(Family_Map!$A$2:$A$35)-ROW(Family_Map!$A$2)+1)/(ISNUMBER(SEARCH(Family_Map!$A$2:$A$35,D20))),1)
),
"Other")</f>
        <v>Other</v>
      </c>
      <c r="F20" s="1" t="s">
        <v>236</v>
      </c>
      <c r="G20" s="1" t="e">
        <f t="shared" ca="1" si="2"/>
        <v>#NAME?</v>
      </c>
      <c r="H20" s="1" t="str">
        <f t="shared" ca="1" si="12"/>
        <v>Other</v>
      </c>
      <c r="I20" s="1" t="s">
        <v>52</v>
      </c>
      <c r="J20" s="1" t="str">
        <f t="shared" si="3"/>
        <v>8GB</v>
      </c>
      <c r="K20" s="1" t="s">
        <v>238</v>
      </c>
      <c r="L20" s="1">
        <f t="shared" si="4"/>
        <v>32</v>
      </c>
      <c r="M20" s="1" t="s">
        <v>239</v>
      </c>
      <c r="N20" s="1" t="str">
        <f t="shared" si="5"/>
        <v>1TB</v>
      </c>
      <c r="O20" s="1" t="str">
        <f t="shared" si="6"/>
        <v>1024GB</v>
      </c>
      <c r="P20" s="1" t="s">
        <v>89</v>
      </c>
      <c r="Q20" s="1" t="str">
        <f t="shared" si="7"/>
        <v>2560x1600</v>
      </c>
      <c r="R20" s="1" t="s">
        <v>200</v>
      </c>
      <c r="S20" s="1" t="str">
        <f t="shared" si="8"/>
        <v>240Hz</v>
      </c>
      <c r="T20" s="1" t="s">
        <v>90</v>
      </c>
      <c r="U20" s="1" t="str">
        <f t="shared" si="9"/>
        <v>Windows 11 Home</v>
      </c>
      <c r="V20" s="1" t="s">
        <v>245</v>
      </c>
      <c r="W20" s="1" t="str">
        <f t="shared" si="10"/>
        <v>1.85 kg</v>
      </c>
      <c r="X20" s="1" t="s">
        <v>129</v>
      </c>
      <c r="Y20" s="1" t="str">
        <f t="shared" si="11"/>
        <v>1 Year</v>
      </c>
      <c r="Z20" s="4">
        <v>105200</v>
      </c>
      <c r="AA20" s="1" t="s">
        <v>5735</v>
      </c>
      <c r="AE20" s="1" t="s">
        <v>20</v>
      </c>
      <c r="AF20" s="1" t="s">
        <v>21</v>
      </c>
      <c r="AG20" s="1" t="s">
        <v>5738</v>
      </c>
      <c r="AH20" s="1" t="s">
        <v>5739</v>
      </c>
      <c r="AI20" s="1" t="s">
        <v>24</v>
      </c>
    </row>
    <row r="21" spans="1:35" ht="15.75" customHeight="1" x14ac:dyDescent="0.35">
      <c r="A21" s="1" t="s">
        <v>151</v>
      </c>
      <c r="B21" s="1" t="str">
        <f t="shared" si="0"/>
        <v>Lenovo</v>
      </c>
      <c r="C21" s="1" t="s">
        <v>249</v>
      </c>
      <c r="D21" s="1" t="str">
        <f t="shared" si="1"/>
        <v>Legion Pro 7 16IAX10H</v>
      </c>
      <c r="E21" s="1" t="str">
        <f t="array" aca="1" ref="E21" ca="1">IFERROR(
INDEX(Family_Map!$B$2:$B$35,
_xludf.AGGREGATE(14,6,(ROW(Family_Map!$A$2:$A$35)-ROW(Family_Map!$A$2)+1)/(ISNUMBER(SEARCH(Family_Map!$A$2:$A$35,D21))),1)
),
"Other")</f>
        <v>Other</v>
      </c>
      <c r="F21" s="1" t="s">
        <v>250</v>
      </c>
      <c r="G21" s="1" t="e">
        <f t="shared" ca="1" si="2"/>
        <v>#NAME?</v>
      </c>
      <c r="H21" s="1" t="str">
        <f t="shared" ca="1" si="12"/>
        <v>Other</v>
      </c>
      <c r="I21" s="1" t="s">
        <v>252</v>
      </c>
      <c r="J21" s="1" t="str">
        <f t="shared" si="3"/>
        <v>16GB</v>
      </c>
      <c r="K21" s="1" t="s">
        <v>253</v>
      </c>
      <c r="L21" s="1">
        <f t="shared" si="4"/>
        <v>64</v>
      </c>
      <c r="M21" s="1" t="s">
        <v>5740</v>
      </c>
      <c r="N21" s="1" t="str">
        <f t="shared" si="5"/>
        <v>2TB</v>
      </c>
      <c r="O21" s="1" t="str">
        <f t="shared" si="6"/>
        <v>2048GB</v>
      </c>
      <c r="P21" s="1" t="s">
        <v>224</v>
      </c>
      <c r="Q21" s="1" t="str">
        <f t="shared" si="7"/>
        <v>2560x1600</v>
      </c>
      <c r="R21" s="1" t="s">
        <v>256</v>
      </c>
      <c r="S21" s="1" t="str">
        <f t="shared" si="8"/>
        <v>240Hz</v>
      </c>
      <c r="T21" s="1" t="s">
        <v>257</v>
      </c>
      <c r="U21" s="1" t="str">
        <f t="shared" si="9"/>
        <v>Windows 11 Pro</v>
      </c>
      <c r="V21" s="1" t="s">
        <v>262</v>
      </c>
      <c r="W21" s="1" t="str">
        <f t="shared" si="10"/>
        <v>2.57 kg</v>
      </c>
      <c r="X21" s="1" t="s">
        <v>78</v>
      </c>
      <c r="Y21" s="1" t="str">
        <f t="shared" si="11"/>
        <v>1 Year</v>
      </c>
      <c r="Z21" s="4">
        <v>205000</v>
      </c>
      <c r="AA21" s="1" t="s">
        <v>5735</v>
      </c>
      <c r="AE21" s="1">
        <f>COUNTBLANK(AA2:AA1015)</f>
        <v>0</v>
      </c>
      <c r="AF21" s="1" t="e">
        <f t="shared" ref="AF21:AI21" si="14">COUNTBLANK(#REF!)</f>
        <v>#REF!</v>
      </c>
      <c r="AG21" s="1" t="e">
        <f t="shared" si="14"/>
        <v>#REF!</v>
      </c>
      <c r="AH21" s="1" t="e">
        <f t="shared" si="14"/>
        <v>#REF!</v>
      </c>
      <c r="AI21" s="1" t="e">
        <f t="shared" si="14"/>
        <v>#REF!</v>
      </c>
    </row>
    <row r="22" spans="1:35" ht="15.75" customHeight="1" x14ac:dyDescent="0.35">
      <c r="A22" s="1" t="s">
        <v>112</v>
      </c>
      <c r="B22" s="1" t="str">
        <f t="shared" si="0"/>
        <v>HP</v>
      </c>
      <c r="C22" s="1" t="s">
        <v>265</v>
      </c>
      <c r="D22" s="1" t="str">
        <f t="shared" si="1"/>
        <v>Victus 16-r1046ne</v>
      </c>
      <c r="E22" s="1" t="str">
        <f t="array" aca="1" ref="E22" ca="1">IFERROR(
INDEX(Family_Map!$B$2:$B$35,
_xludf.AGGREGATE(14,6,(ROW(Family_Map!$A$2:$A$35)-ROW(Family_Map!$A$2)+1)/(ISNUMBER(SEARCH(Family_Map!$A$2:$A$35,D22))),1)
),
"Other")</f>
        <v>Other</v>
      </c>
      <c r="F22" s="1" t="s">
        <v>133</v>
      </c>
      <c r="G22" s="1" t="e">
        <f t="shared" ca="1" si="2"/>
        <v>#NAME?</v>
      </c>
      <c r="H22" s="1" t="str">
        <f t="shared" ca="1" si="12"/>
        <v>Other</v>
      </c>
      <c r="I22" s="1" t="s">
        <v>116</v>
      </c>
      <c r="J22" s="1" t="str">
        <f t="shared" si="3"/>
        <v>6 GB</v>
      </c>
      <c r="K22" s="1" t="s">
        <v>135</v>
      </c>
      <c r="L22" s="1">
        <f t="shared" si="4"/>
        <v>16</v>
      </c>
      <c r="M22" s="1" t="s">
        <v>171</v>
      </c>
      <c r="N22" s="1" t="str">
        <f t="shared" si="5"/>
        <v>1 TB</v>
      </c>
      <c r="O22" s="1" t="str">
        <f t="shared" si="6"/>
        <v>1024GB</v>
      </c>
      <c r="P22" s="1" t="s">
        <v>120</v>
      </c>
      <c r="Q22" s="1" t="str">
        <f t="shared" si="7"/>
        <v>1920x1080</v>
      </c>
      <c r="R22" s="1" t="s">
        <v>75</v>
      </c>
      <c r="S22" s="1" t="str">
        <f t="shared" si="8"/>
        <v>144Hz</v>
      </c>
      <c r="T22" s="1" t="s">
        <v>101</v>
      </c>
      <c r="U22" s="1" t="str">
        <f t="shared" si="9"/>
        <v>DOS</v>
      </c>
      <c r="V22" s="1" t="s">
        <v>267</v>
      </c>
      <c r="W22" s="1" t="str">
        <f t="shared" si="10"/>
        <v>2.33 kg</v>
      </c>
      <c r="X22" s="1" t="s">
        <v>78</v>
      </c>
      <c r="Y22" s="1" t="str">
        <f t="shared" si="11"/>
        <v>1 Year</v>
      </c>
      <c r="Z22" s="4">
        <v>53999</v>
      </c>
      <c r="AA22" s="1" t="s">
        <v>65</v>
      </c>
    </row>
    <row r="23" spans="1:35" ht="15.75" customHeight="1" x14ac:dyDescent="0.35">
      <c r="A23" s="1" t="s">
        <v>234</v>
      </c>
      <c r="B23" s="1" t="str">
        <f t="shared" si="0"/>
        <v>ASUS</v>
      </c>
      <c r="C23" s="1" t="s">
        <v>269</v>
      </c>
      <c r="D23" s="1" t="str">
        <f t="shared" si="1"/>
        <v>ROG Strix G16 G614PR-RV161W</v>
      </c>
      <c r="E23" s="1" t="str">
        <f t="array" aca="1" ref="E23" ca="1">IFERROR(
INDEX(Family_Map!$B$2:$B$35,
_xludf.AGGREGATE(14,6,(ROW(Family_Map!$A$2:$A$35)-ROW(Family_Map!$A$2)+1)/(ISNUMBER(SEARCH(Family_Map!$A$2:$A$35,D23))),1)
),
"Other")</f>
        <v>Other</v>
      </c>
      <c r="F23" s="1" t="s">
        <v>270</v>
      </c>
      <c r="G23" s="1" t="e">
        <f t="shared" ca="1" si="2"/>
        <v>#NAME?</v>
      </c>
      <c r="H23" s="1" t="str">
        <f t="shared" ca="1" si="12"/>
        <v>Other</v>
      </c>
      <c r="I23" s="1" t="s">
        <v>272</v>
      </c>
      <c r="J23" s="1" t="str">
        <f t="shared" si="3"/>
        <v>12GB</v>
      </c>
      <c r="K23" s="1" t="s">
        <v>273</v>
      </c>
      <c r="L23" s="1">
        <f t="shared" si="4"/>
        <v>16</v>
      </c>
      <c r="M23" s="1" t="s">
        <v>239</v>
      </c>
      <c r="N23" s="1" t="str">
        <f t="shared" si="5"/>
        <v>1TB</v>
      </c>
      <c r="O23" s="1" t="str">
        <f t="shared" si="6"/>
        <v>1024GB</v>
      </c>
      <c r="P23" s="1" t="s">
        <v>275</v>
      </c>
      <c r="Q23" s="1" t="str">
        <f t="shared" si="7"/>
        <v>1920x1200</v>
      </c>
      <c r="R23" s="1" t="s">
        <v>57</v>
      </c>
      <c r="S23" s="1" t="str">
        <f t="shared" si="8"/>
        <v>165Hz</v>
      </c>
      <c r="T23" s="1" t="s">
        <v>90</v>
      </c>
      <c r="U23" s="1" t="str">
        <f t="shared" si="9"/>
        <v>Windows 11 Home</v>
      </c>
      <c r="V23" s="1" t="s">
        <v>280</v>
      </c>
      <c r="W23" s="1" t="str">
        <f t="shared" si="10"/>
        <v>2.5 kg</v>
      </c>
      <c r="X23" s="1" t="s">
        <v>78</v>
      </c>
      <c r="Y23" s="1" t="str">
        <f t="shared" si="11"/>
        <v>1 Year</v>
      </c>
      <c r="Z23" s="4">
        <v>109300</v>
      </c>
      <c r="AA23" s="1" t="s">
        <v>5735</v>
      </c>
      <c r="AE23" s="1" t="s">
        <v>25</v>
      </c>
      <c r="AF23" s="1" t="s">
        <v>5741</v>
      </c>
      <c r="AG23" s="1" t="s">
        <v>5742</v>
      </c>
      <c r="AH23" s="1" t="s">
        <v>5743</v>
      </c>
      <c r="AI23" s="1" t="s">
        <v>5744</v>
      </c>
    </row>
    <row r="24" spans="1:35" ht="15.75" customHeight="1" x14ac:dyDescent="0.35">
      <c r="A24" s="1" t="s">
        <v>234</v>
      </c>
      <c r="B24" s="1" t="str">
        <f t="shared" si="0"/>
        <v>ASUS</v>
      </c>
      <c r="C24" s="1" t="s">
        <v>284</v>
      </c>
      <c r="D24" s="1" t="str">
        <f t="shared" si="1"/>
        <v>ROG Strix G16 G614FP-GR169W</v>
      </c>
      <c r="E24" s="1" t="str">
        <f t="array" aca="1" ref="E24" ca="1">IFERROR(
INDEX(Family_Map!$B$2:$B$35,
_xludf.AGGREGATE(14,6,(ROW(Family_Map!$A$2:$A$35)-ROW(Family_Map!$A$2)+1)/(ISNUMBER(SEARCH(Family_Map!$A$2:$A$35,D24))),1)
),
"Other")</f>
        <v>Other</v>
      </c>
      <c r="F24" s="1" t="s">
        <v>285</v>
      </c>
      <c r="G24" s="1" t="e">
        <f t="shared" ca="1" si="2"/>
        <v>#NAME?</v>
      </c>
      <c r="H24" s="1" t="str">
        <f t="shared" ca="1" si="12"/>
        <v>Other</v>
      </c>
      <c r="I24" s="1" t="s">
        <v>52</v>
      </c>
      <c r="J24" s="1" t="str">
        <f t="shared" si="3"/>
        <v>8GB</v>
      </c>
      <c r="K24" s="1" t="s">
        <v>286</v>
      </c>
      <c r="L24" s="1">
        <f t="shared" si="4"/>
        <v>16</v>
      </c>
      <c r="M24" s="1" t="s">
        <v>239</v>
      </c>
      <c r="N24" s="1" t="str">
        <f t="shared" si="5"/>
        <v>1TB</v>
      </c>
      <c r="O24" s="1" t="str">
        <f t="shared" si="6"/>
        <v>1024GB</v>
      </c>
      <c r="P24" s="1" t="s">
        <v>275</v>
      </c>
      <c r="Q24" s="1" t="str">
        <f t="shared" si="7"/>
        <v>1920x1200</v>
      </c>
      <c r="R24" s="1" t="s">
        <v>57</v>
      </c>
      <c r="S24" s="1" t="str">
        <f t="shared" si="8"/>
        <v>165Hz</v>
      </c>
      <c r="T24" s="1" t="s">
        <v>40</v>
      </c>
      <c r="U24" s="1" t="str">
        <f t="shared" si="9"/>
        <v>Windows 11 Home</v>
      </c>
      <c r="V24" s="1" t="s">
        <v>280</v>
      </c>
      <c r="W24" s="1" t="str">
        <f t="shared" si="10"/>
        <v>2.5 kg</v>
      </c>
      <c r="X24" s="1" t="s">
        <v>78</v>
      </c>
      <c r="Y24" s="1" t="str">
        <f t="shared" si="11"/>
        <v>1 Year</v>
      </c>
      <c r="Z24" s="4">
        <v>102000</v>
      </c>
      <c r="AA24" s="1" t="s">
        <v>5735</v>
      </c>
      <c r="AE24" s="1" t="e">
        <f t="shared" ref="AE24:AI24" si="15">COUNTBLANK(#REF!)</f>
        <v>#REF!</v>
      </c>
      <c r="AF24" s="1" t="e">
        <f t="shared" si="15"/>
        <v>#REF!</v>
      </c>
      <c r="AG24" s="1" t="e">
        <f t="shared" si="15"/>
        <v>#REF!</v>
      </c>
      <c r="AH24" s="1" t="e">
        <f t="shared" si="15"/>
        <v>#REF!</v>
      </c>
      <c r="AI24" s="1" t="e">
        <f t="shared" si="15"/>
        <v>#REF!</v>
      </c>
    </row>
    <row r="25" spans="1:35" ht="15.75" customHeight="1" x14ac:dyDescent="0.35">
      <c r="A25" s="1" t="s">
        <v>234</v>
      </c>
      <c r="B25" s="1" t="str">
        <f t="shared" si="0"/>
        <v>ASUS</v>
      </c>
      <c r="C25" s="1" t="s">
        <v>292</v>
      </c>
      <c r="D25" s="1" t="str">
        <f t="shared" si="1"/>
        <v>TUF Gaming A16 FA608UH-RV007W</v>
      </c>
      <c r="E25" s="1" t="str">
        <f t="array" aca="1" ref="E25" ca="1">IFERROR(
INDEX(Family_Map!$B$2:$B$35,
_xludf.AGGREGATE(14,6,(ROW(Family_Map!$A$2:$A$35)-ROW(Family_Map!$A$2)+1)/(ISNUMBER(SEARCH(Family_Map!$A$2:$A$35,D25))),1)
),
"Other")</f>
        <v>Other</v>
      </c>
      <c r="F25" s="1" t="s">
        <v>293</v>
      </c>
      <c r="G25" s="1" t="e">
        <f t="shared" ca="1" si="2"/>
        <v>#NAME?</v>
      </c>
      <c r="H25" s="1" t="str">
        <f t="shared" ca="1" si="12"/>
        <v>Other</v>
      </c>
      <c r="I25" s="1" t="s">
        <v>52</v>
      </c>
      <c r="J25" s="1" t="str">
        <f t="shared" si="3"/>
        <v>8GB</v>
      </c>
      <c r="K25" s="1" t="s">
        <v>286</v>
      </c>
      <c r="L25" s="1">
        <f t="shared" si="4"/>
        <v>16</v>
      </c>
      <c r="M25" s="1" t="s">
        <v>295</v>
      </c>
      <c r="N25" s="1" t="str">
        <f t="shared" si="5"/>
        <v>512GB</v>
      </c>
      <c r="O25" s="1" t="str">
        <f t="shared" si="6"/>
        <v>512GB</v>
      </c>
      <c r="P25" s="1" t="s">
        <v>275</v>
      </c>
      <c r="Q25" s="1" t="str">
        <f t="shared" si="7"/>
        <v>1920x1200</v>
      </c>
      <c r="R25" s="1" t="s">
        <v>57</v>
      </c>
      <c r="S25" s="1" t="str">
        <f t="shared" si="8"/>
        <v>165Hz</v>
      </c>
      <c r="T25" s="1" t="s">
        <v>201</v>
      </c>
      <c r="U25" s="1" t="str">
        <f t="shared" si="9"/>
        <v>Windows 11 Home</v>
      </c>
      <c r="V25" s="1" t="s">
        <v>300</v>
      </c>
      <c r="W25" s="1" t="str">
        <f t="shared" si="10"/>
        <v>2.2 kg</v>
      </c>
      <c r="X25" s="1" t="s">
        <v>78</v>
      </c>
      <c r="Y25" s="1" t="str">
        <f t="shared" si="11"/>
        <v>1 Year</v>
      </c>
      <c r="Z25" s="4">
        <v>56199</v>
      </c>
      <c r="AA25" s="1" t="s">
        <v>5735</v>
      </c>
    </row>
    <row r="26" spans="1:35" ht="15.75" customHeight="1" x14ac:dyDescent="0.35">
      <c r="A26" s="1" t="s">
        <v>234</v>
      </c>
      <c r="B26" s="1" t="str">
        <f t="shared" si="0"/>
        <v>ASUS</v>
      </c>
      <c r="C26" s="1" t="s">
        <v>303</v>
      </c>
      <c r="D26" s="1" t="str">
        <f t="shared" si="1"/>
        <v>TUF Gaming A14 FA401KH-RG019W</v>
      </c>
      <c r="E26" s="1" t="str">
        <f t="array" aca="1" ref="E26" ca="1">IFERROR(
INDEX(Family_Map!$B$2:$B$35,
_xludf.AGGREGATE(14,6,(ROW(Family_Map!$A$2:$A$35)-ROW(Family_Map!$A$2)+1)/(ISNUMBER(SEARCH(Family_Map!$A$2:$A$35,D26))),1)
),
"Other")</f>
        <v>Other</v>
      </c>
      <c r="F26" s="1" t="s">
        <v>236</v>
      </c>
      <c r="G26" s="1" t="e">
        <f t="shared" ca="1" si="2"/>
        <v>#NAME?</v>
      </c>
      <c r="H26" s="1" t="str">
        <f t="shared" ca="1" si="12"/>
        <v>Other</v>
      </c>
      <c r="I26" s="1" t="s">
        <v>52</v>
      </c>
      <c r="J26" s="1" t="str">
        <f t="shared" si="3"/>
        <v>8GB</v>
      </c>
      <c r="K26" s="1" t="s">
        <v>304</v>
      </c>
      <c r="L26" s="1">
        <f t="shared" si="4"/>
        <v>16</v>
      </c>
      <c r="M26" s="1" t="s">
        <v>239</v>
      </c>
      <c r="N26" s="1" t="str">
        <f t="shared" si="5"/>
        <v>1TB</v>
      </c>
      <c r="O26" s="1" t="str">
        <f t="shared" si="6"/>
        <v>1024GB</v>
      </c>
      <c r="P26" s="1" t="s">
        <v>89</v>
      </c>
      <c r="Q26" s="1" t="str">
        <f t="shared" si="7"/>
        <v>2560x1600</v>
      </c>
      <c r="R26" s="1" t="s">
        <v>57</v>
      </c>
      <c r="S26" s="1" t="str">
        <f t="shared" si="8"/>
        <v>165Hz</v>
      </c>
      <c r="T26" s="1" t="s">
        <v>90</v>
      </c>
      <c r="U26" s="1" t="str">
        <f t="shared" si="9"/>
        <v>Windows 11 Home</v>
      </c>
      <c r="V26" s="1" t="s">
        <v>309</v>
      </c>
      <c r="W26" s="1" t="str">
        <f t="shared" si="10"/>
        <v>1.46 kg</v>
      </c>
      <c r="X26" s="1" t="s">
        <v>78</v>
      </c>
      <c r="Y26" s="1" t="str">
        <f t="shared" si="11"/>
        <v>1 Year</v>
      </c>
      <c r="Z26" s="4">
        <v>66999</v>
      </c>
      <c r="AA26" s="1" t="s">
        <v>5735</v>
      </c>
    </row>
    <row r="27" spans="1:35" ht="15.75" customHeight="1" x14ac:dyDescent="0.35">
      <c r="A27" s="1" t="s">
        <v>234</v>
      </c>
      <c r="B27" s="1" t="str">
        <f t="shared" si="0"/>
        <v>ASUS</v>
      </c>
      <c r="C27" s="1" t="s">
        <v>310</v>
      </c>
      <c r="D27" s="1" t="str">
        <f t="shared" si="1"/>
        <v>TUF Gaming A14 FA401UU-RG028W</v>
      </c>
      <c r="E27" s="1" t="str">
        <f t="array" aca="1" ref="E27" ca="1">IFERROR(
INDEX(Family_Map!$B$2:$B$35,
_xludf.AGGREGATE(14,6,(ROW(Family_Map!$A$2:$A$35)-ROW(Family_Map!$A$2)+1)/(ISNUMBER(SEARCH(Family_Map!$A$2:$A$35,D27))),1)
),
"Other")</f>
        <v>Other</v>
      </c>
      <c r="F27" s="1" t="s">
        <v>311</v>
      </c>
      <c r="G27" s="1" t="e">
        <f t="shared" ca="1" si="2"/>
        <v>#NAME?</v>
      </c>
      <c r="H27" s="1" t="str">
        <f t="shared" ca="1" si="12"/>
        <v>Other</v>
      </c>
      <c r="I27" s="1" t="s">
        <v>70</v>
      </c>
      <c r="J27" s="1" t="str">
        <f t="shared" si="3"/>
        <v>6GB</v>
      </c>
      <c r="K27" s="1" t="s">
        <v>313</v>
      </c>
      <c r="L27" s="1">
        <f t="shared" si="4"/>
        <v>16</v>
      </c>
      <c r="M27" s="1" t="s">
        <v>295</v>
      </c>
      <c r="N27" s="1" t="str">
        <f t="shared" si="5"/>
        <v>512GB</v>
      </c>
      <c r="O27" s="1" t="str">
        <f t="shared" si="6"/>
        <v>512GB</v>
      </c>
      <c r="P27" s="1" t="s">
        <v>89</v>
      </c>
      <c r="Q27" s="1" t="str">
        <f t="shared" si="7"/>
        <v>2560x1600</v>
      </c>
      <c r="R27" s="1" t="s">
        <v>57</v>
      </c>
      <c r="S27" s="1" t="str">
        <f t="shared" si="8"/>
        <v>165Hz</v>
      </c>
      <c r="T27" s="1" t="s">
        <v>40</v>
      </c>
      <c r="U27" s="1" t="str">
        <f t="shared" si="9"/>
        <v>Windows 11 Home</v>
      </c>
      <c r="V27" s="1" t="s">
        <v>309</v>
      </c>
      <c r="W27" s="1" t="str">
        <f t="shared" si="10"/>
        <v>1.46 kg</v>
      </c>
      <c r="X27" s="1" t="s">
        <v>78</v>
      </c>
      <c r="Y27" s="1" t="str">
        <f t="shared" si="11"/>
        <v>1 Year</v>
      </c>
      <c r="Z27" s="4">
        <v>48888</v>
      </c>
      <c r="AA27" s="1" t="s">
        <v>5735</v>
      </c>
    </row>
    <row r="28" spans="1:35" ht="15.75" customHeight="1" x14ac:dyDescent="0.35">
      <c r="A28" s="1" t="s">
        <v>30</v>
      </c>
      <c r="B28" s="1" t="str">
        <f t="shared" si="0"/>
        <v>MSI</v>
      </c>
      <c r="C28" s="1" t="s">
        <v>319</v>
      </c>
      <c r="D28" s="1" t="str">
        <f t="shared" si="1"/>
        <v>Crosshair 18 HX AI A2XWGKG</v>
      </c>
      <c r="E28" s="1" t="str">
        <f t="array" aca="1" ref="E28" ca="1">IFERROR(
INDEX(Family_Map!$B$2:$B$35,
_xludf.AGGREGATE(14,6,(ROW(Family_Map!$A$2:$A$35)-ROW(Family_Map!$A$2)+1)/(ISNUMBER(SEARCH(Family_Map!$A$2:$A$35,D28))),1)
),
"Other")</f>
        <v>Other</v>
      </c>
      <c r="F28" s="1" t="s">
        <v>320</v>
      </c>
      <c r="G28" s="1" t="e">
        <f t="shared" ca="1" si="2"/>
        <v>#NAME?</v>
      </c>
      <c r="H28" s="1" t="str">
        <f t="shared" ca="1" si="12"/>
        <v>Other</v>
      </c>
      <c r="I28" s="1" t="s">
        <v>52</v>
      </c>
      <c r="J28" s="1" t="str">
        <f t="shared" si="3"/>
        <v>8GB</v>
      </c>
      <c r="K28" s="1" t="s">
        <v>321</v>
      </c>
      <c r="L28" s="1">
        <f t="shared" si="4"/>
        <v>32</v>
      </c>
      <c r="M28" s="1" t="s">
        <v>322</v>
      </c>
      <c r="N28" s="1" t="str">
        <f t="shared" si="5"/>
        <v>1TB</v>
      </c>
      <c r="O28" s="1" t="str">
        <f t="shared" si="6"/>
        <v>1024GB</v>
      </c>
      <c r="P28" s="1" t="s">
        <v>224</v>
      </c>
      <c r="Q28" s="1" t="str">
        <f t="shared" si="7"/>
        <v>2560x1600</v>
      </c>
      <c r="R28" s="1" t="s">
        <v>256</v>
      </c>
      <c r="S28" s="1" t="str">
        <f t="shared" si="8"/>
        <v>240Hz</v>
      </c>
      <c r="T28" s="1" t="s">
        <v>40</v>
      </c>
      <c r="U28" s="1" t="str">
        <f t="shared" si="9"/>
        <v>Windows 11 Home</v>
      </c>
      <c r="V28" s="1" t="s">
        <v>329</v>
      </c>
      <c r="W28" s="1" t="str">
        <f t="shared" si="10"/>
        <v>3.1 kg</v>
      </c>
      <c r="X28" s="1" t="s">
        <v>165</v>
      </c>
      <c r="Y28" s="1" t="str">
        <f t="shared" si="11"/>
        <v>2 Years</v>
      </c>
      <c r="Z28" s="4">
        <v>94999</v>
      </c>
      <c r="AA28" s="1" t="s">
        <v>5735</v>
      </c>
    </row>
    <row r="29" spans="1:35" ht="15.75" customHeight="1" x14ac:dyDescent="0.35">
      <c r="A29" s="1" t="s">
        <v>30</v>
      </c>
      <c r="B29" s="1" t="str">
        <f t="shared" si="0"/>
        <v>MSI</v>
      </c>
      <c r="C29" s="1" t="s">
        <v>331</v>
      </c>
      <c r="D29" s="1" t="str">
        <f t="shared" si="1"/>
        <v>Vector 17 HX AI A2XWJG</v>
      </c>
      <c r="E29" s="1" t="str">
        <f t="array" aca="1" ref="E29" ca="1">IFERROR(
INDEX(Family_Map!$B$2:$B$35,
_xludf.AGGREGATE(14,6,(ROW(Family_Map!$A$2:$A$35)-ROW(Family_Map!$A$2)+1)/(ISNUMBER(SEARCH(Family_Map!$A$2:$A$35,D29))),1)
),
"Other")</f>
        <v>Other</v>
      </c>
      <c r="F29" s="1" t="s">
        <v>320</v>
      </c>
      <c r="G29" s="1" t="e">
        <f t="shared" ca="1" si="2"/>
        <v>#NAME?</v>
      </c>
      <c r="H29" s="1" t="str">
        <f t="shared" ca="1" si="12"/>
        <v>Other</v>
      </c>
      <c r="I29" s="1" t="s">
        <v>34</v>
      </c>
      <c r="J29" s="1" t="str">
        <f t="shared" si="3"/>
        <v>24GB</v>
      </c>
      <c r="K29" s="1" t="s">
        <v>333</v>
      </c>
      <c r="L29" s="1">
        <f t="shared" si="4"/>
        <v>32</v>
      </c>
      <c r="M29" s="1" t="s">
        <v>322</v>
      </c>
      <c r="N29" s="1" t="str">
        <f t="shared" si="5"/>
        <v>1TB</v>
      </c>
      <c r="O29" s="1" t="str">
        <f t="shared" si="6"/>
        <v>1024GB</v>
      </c>
      <c r="P29" s="1" t="s">
        <v>224</v>
      </c>
      <c r="Q29" s="1" t="str">
        <f t="shared" si="7"/>
        <v>2560x1600</v>
      </c>
      <c r="R29" s="1" t="s">
        <v>256</v>
      </c>
      <c r="S29" s="1" t="str">
        <f t="shared" si="8"/>
        <v>240Hz</v>
      </c>
      <c r="T29" s="1" t="s">
        <v>40</v>
      </c>
      <c r="U29" s="1" t="str">
        <f t="shared" si="9"/>
        <v>Windows 11 Home</v>
      </c>
      <c r="V29" s="1" t="s">
        <v>337</v>
      </c>
      <c r="W29" s="1" t="str">
        <f t="shared" si="10"/>
        <v>3 kg</v>
      </c>
      <c r="X29" s="1" t="s">
        <v>339</v>
      </c>
      <c r="Y29" s="1" t="str">
        <f t="shared" si="11"/>
        <v>2 Years</v>
      </c>
      <c r="Z29" s="4">
        <v>228337</v>
      </c>
      <c r="AA29" s="1" t="s">
        <v>5735</v>
      </c>
    </row>
    <row r="30" spans="1:35" ht="15.75" customHeight="1" x14ac:dyDescent="0.35">
      <c r="A30" s="1" t="s">
        <v>30</v>
      </c>
      <c r="B30" s="1" t="str">
        <f t="shared" si="0"/>
        <v>MSI</v>
      </c>
      <c r="C30" s="1" t="s">
        <v>341</v>
      </c>
      <c r="D30" s="1" t="str">
        <f t="shared" si="1"/>
        <v>Raider 18 HX AI A2XWJG</v>
      </c>
      <c r="E30" s="1" t="str">
        <f t="array" aca="1" ref="E30" ca="1">IFERROR(
INDEX(Family_Map!$B$2:$B$35,
_xludf.AGGREGATE(14,6,(ROW(Family_Map!$A$2:$A$35)-ROW(Family_Map!$A$2)+1)/(ISNUMBER(SEARCH(Family_Map!$A$2:$A$35,D30))),1)
),
"Other")</f>
        <v>Other</v>
      </c>
      <c r="F30" s="1" t="s">
        <v>32</v>
      </c>
      <c r="G30" s="1" t="e">
        <f t="shared" ca="1" si="2"/>
        <v>#NAME?</v>
      </c>
      <c r="H30" s="1" t="str">
        <f t="shared" ca="1" si="12"/>
        <v>Other</v>
      </c>
      <c r="I30" s="1" t="s">
        <v>34</v>
      </c>
      <c r="J30" s="1" t="str">
        <f t="shared" si="3"/>
        <v>24GB</v>
      </c>
      <c r="K30" s="1" t="s">
        <v>342</v>
      </c>
      <c r="L30" s="1">
        <f t="shared" si="4"/>
        <v>64</v>
      </c>
      <c r="M30" s="1" t="s">
        <v>343</v>
      </c>
      <c r="N30" s="1" t="str">
        <f t="shared" si="5"/>
        <v>2TB</v>
      </c>
      <c r="O30" s="1" t="str">
        <f t="shared" si="6"/>
        <v>2048GB</v>
      </c>
      <c r="P30" s="1" t="s">
        <v>345</v>
      </c>
      <c r="Q30" s="1" t="str">
        <f t="shared" si="7"/>
        <v>3840x2400</v>
      </c>
      <c r="R30" s="1" t="s">
        <v>39</v>
      </c>
      <c r="S30" s="1" t="str">
        <f t="shared" si="8"/>
        <v>120Hz</v>
      </c>
      <c r="T30" s="1" t="s">
        <v>40</v>
      </c>
      <c r="U30" s="1" t="str">
        <f t="shared" si="9"/>
        <v>Windows 11 Home</v>
      </c>
      <c r="V30" s="1" t="s">
        <v>46</v>
      </c>
      <c r="W30" s="1" t="str">
        <f t="shared" si="10"/>
        <v>3.6 kg</v>
      </c>
      <c r="X30" s="1" t="s">
        <v>339</v>
      </c>
      <c r="Y30" s="1" t="str">
        <f t="shared" si="11"/>
        <v>2 Years</v>
      </c>
      <c r="Z30" s="4">
        <v>249999</v>
      </c>
      <c r="AA30" s="1" t="s">
        <v>5735</v>
      </c>
    </row>
    <row r="31" spans="1:35" ht="15.75" customHeight="1" x14ac:dyDescent="0.35">
      <c r="A31" s="1" t="s">
        <v>66</v>
      </c>
      <c r="B31" s="1" t="str">
        <f t="shared" si="0"/>
        <v>Acer</v>
      </c>
      <c r="C31" s="1" t="s">
        <v>348</v>
      </c>
      <c r="D31" s="1" t="str">
        <f t="shared" si="1"/>
        <v>Aspire 5 A515-57G-59VY</v>
      </c>
      <c r="E31" s="1" t="str">
        <f t="array" aca="1" ref="E31" ca="1">IFERROR(
INDEX(Family_Map!$B$2:$B$35,
_xludf.AGGREGATE(14,6,(ROW(Family_Map!$A$2:$A$35)-ROW(Family_Map!$A$2)+1)/(ISNUMBER(SEARCH(Family_Map!$A$2:$A$35,D31))),1)
),
"Other")</f>
        <v>Other</v>
      </c>
      <c r="F31" s="1" t="s">
        <v>349</v>
      </c>
      <c r="G31" s="1" t="e">
        <f t="shared" ca="1" si="2"/>
        <v>#NAME?</v>
      </c>
      <c r="H31" s="1" t="str">
        <f t="shared" ca="1" si="12"/>
        <v>Other</v>
      </c>
      <c r="J31" s="1" t="str">
        <f t="shared" si="3"/>
        <v/>
      </c>
      <c r="K31" s="1" t="s">
        <v>351</v>
      </c>
      <c r="L31" s="1">
        <f t="shared" si="4"/>
        <v>8</v>
      </c>
      <c r="M31" s="1" t="s">
        <v>352</v>
      </c>
      <c r="N31" s="1" t="str">
        <f t="shared" si="5"/>
        <v>512GB</v>
      </c>
      <c r="O31" s="1" t="str">
        <f t="shared" si="6"/>
        <v>512GB</v>
      </c>
      <c r="P31" s="1" t="s">
        <v>74</v>
      </c>
      <c r="Q31" s="1" t="str">
        <f t="shared" si="7"/>
        <v>1920x1080</v>
      </c>
      <c r="S31" s="1" t="str">
        <f t="shared" si="8"/>
        <v/>
      </c>
      <c r="T31" s="1" t="s">
        <v>101</v>
      </c>
      <c r="U31" s="1" t="str">
        <f t="shared" si="9"/>
        <v>DOS</v>
      </c>
      <c r="V31" s="1" t="s">
        <v>359</v>
      </c>
      <c r="W31" s="1" t="str">
        <f t="shared" si="10"/>
        <v>1.8 kg</v>
      </c>
      <c r="X31" s="1" t="s">
        <v>78</v>
      </c>
      <c r="Y31" s="1" t="str">
        <f t="shared" si="11"/>
        <v>1 Year</v>
      </c>
      <c r="Z31" s="4">
        <v>26699</v>
      </c>
      <c r="AA31" s="1" t="s">
        <v>166</v>
      </c>
    </row>
    <row r="32" spans="1:35" ht="15.75" customHeight="1" x14ac:dyDescent="0.35">
      <c r="A32" s="1" t="s">
        <v>112</v>
      </c>
      <c r="B32" s="1" t="str">
        <f t="shared" si="0"/>
        <v>HP</v>
      </c>
      <c r="C32" s="1" t="s">
        <v>360</v>
      </c>
      <c r="D32" s="1" t="str">
        <f t="shared" si="1"/>
        <v>Victus 15-FA1023NIA</v>
      </c>
      <c r="E32" s="1" t="str">
        <f t="array" aca="1" ref="E32" ca="1">IFERROR(
INDEX(Family_Map!$B$2:$B$35,
_xludf.AGGREGATE(14,6,(ROW(Family_Map!$A$2:$A$35)-ROW(Family_Map!$A$2)+1)/(ISNUMBER(SEARCH(Family_Map!$A$2:$A$35,D32))),1)
),
"Other")</f>
        <v>Other</v>
      </c>
      <c r="F32" s="1" t="s">
        <v>361</v>
      </c>
      <c r="G32" s="1" t="e">
        <f t="shared" ca="1" si="2"/>
        <v>#NAME?</v>
      </c>
      <c r="H32" s="1" t="str">
        <f t="shared" ca="1" si="12"/>
        <v>Other</v>
      </c>
      <c r="I32" s="1" t="s">
        <v>362</v>
      </c>
      <c r="J32" s="1" t="str">
        <f t="shared" si="3"/>
        <v>6GB</v>
      </c>
      <c r="K32" s="1" t="s">
        <v>363</v>
      </c>
      <c r="L32" s="1">
        <f t="shared" si="4"/>
        <v>8</v>
      </c>
      <c r="M32" s="1" t="s">
        <v>118</v>
      </c>
      <c r="N32" s="1" t="str">
        <f t="shared" si="5"/>
        <v>512 GB</v>
      </c>
      <c r="O32" s="1" t="str">
        <f t="shared" si="6"/>
        <v>512 GB</v>
      </c>
      <c r="P32" s="1" t="s">
        <v>120</v>
      </c>
      <c r="Q32" s="1" t="str">
        <f t="shared" si="7"/>
        <v>1920x1080</v>
      </c>
      <c r="R32" s="1" t="s">
        <v>75</v>
      </c>
      <c r="S32" s="1" t="str">
        <f t="shared" si="8"/>
        <v>144Hz</v>
      </c>
      <c r="T32" s="1" t="s">
        <v>101</v>
      </c>
      <c r="U32" s="1" t="str">
        <f t="shared" si="9"/>
        <v>DOS</v>
      </c>
      <c r="V32" s="1" t="s">
        <v>127</v>
      </c>
      <c r="W32" s="1" t="str">
        <f t="shared" si="10"/>
        <v>2.29 kg</v>
      </c>
      <c r="X32" s="1" t="s">
        <v>78</v>
      </c>
      <c r="Y32" s="1" t="str">
        <f t="shared" si="11"/>
        <v>1 Year</v>
      </c>
      <c r="Z32" s="4">
        <v>34999</v>
      </c>
      <c r="AA32" s="1" t="s">
        <v>79</v>
      </c>
    </row>
    <row r="33" spans="1:27" ht="15.75" customHeight="1" x14ac:dyDescent="0.35">
      <c r="A33" s="1" t="s">
        <v>30</v>
      </c>
      <c r="B33" s="1" t="str">
        <f t="shared" si="0"/>
        <v>MSI</v>
      </c>
      <c r="C33" s="1" t="s">
        <v>367</v>
      </c>
      <c r="D33" s="1" t="str">
        <f t="shared" si="1"/>
        <v>Thin 15 B2RVE</v>
      </c>
      <c r="E33" s="1" t="str">
        <f t="array" aca="1" ref="E33" ca="1">IFERROR(
INDEX(Family_Map!$B$2:$B$35,
_xludf.AGGREGATE(14,6,(ROW(Family_Map!$A$2:$A$35)-ROW(Family_Map!$A$2)+1)/(ISNUMBER(SEARCH(Family_Map!$A$2:$A$35,D33))),1)
),
"Other")</f>
        <v>Other</v>
      </c>
      <c r="F33" s="1" t="s">
        <v>83</v>
      </c>
      <c r="G33" s="1" t="e">
        <f t="shared" ca="1" si="2"/>
        <v>#NAME?</v>
      </c>
      <c r="H33" s="1" t="str">
        <f t="shared" ca="1" si="12"/>
        <v>Other</v>
      </c>
      <c r="I33" s="1" t="s">
        <v>70</v>
      </c>
      <c r="J33" s="1" t="str">
        <f t="shared" si="3"/>
        <v>6GB</v>
      </c>
      <c r="K33" s="1" t="s">
        <v>368</v>
      </c>
      <c r="L33" s="1">
        <f t="shared" si="4"/>
        <v>16</v>
      </c>
      <c r="M33" s="1" t="s">
        <v>369</v>
      </c>
      <c r="N33" s="1" t="str">
        <f t="shared" si="5"/>
        <v>512GB</v>
      </c>
      <c r="O33" s="1" t="str">
        <f t="shared" si="6"/>
        <v>512GB</v>
      </c>
      <c r="P33" s="1" t="s">
        <v>120</v>
      </c>
      <c r="Q33" s="1" t="str">
        <f t="shared" si="7"/>
        <v>1920x1080</v>
      </c>
      <c r="R33" s="1" t="s">
        <v>75</v>
      </c>
      <c r="S33" s="1" t="str">
        <f t="shared" si="8"/>
        <v>144Hz</v>
      </c>
      <c r="T33" s="1" t="s">
        <v>101</v>
      </c>
      <c r="U33" s="1" t="str">
        <f t="shared" si="9"/>
        <v>DOS</v>
      </c>
      <c r="V33" s="1" t="s">
        <v>376</v>
      </c>
      <c r="W33" s="1" t="str">
        <f t="shared" si="10"/>
        <v>1.86 kg</v>
      </c>
      <c r="X33" s="1" t="s">
        <v>165</v>
      </c>
      <c r="Y33" s="1" t="str">
        <f t="shared" si="11"/>
        <v>2 Years</v>
      </c>
      <c r="Z33" s="4">
        <v>41999</v>
      </c>
      <c r="AA33" s="1" t="s">
        <v>5735</v>
      </c>
    </row>
    <row r="34" spans="1:27" ht="15.75" customHeight="1" x14ac:dyDescent="0.35">
      <c r="A34" s="1" t="s">
        <v>30</v>
      </c>
      <c r="B34" s="1" t="str">
        <f t="shared" si="0"/>
        <v>MSI</v>
      </c>
      <c r="C34" s="1" t="s">
        <v>377</v>
      </c>
      <c r="D34" s="1" t="str">
        <f t="shared" si="1"/>
        <v>Katana 15 HX B14WFK</v>
      </c>
      <c r="E34" s="1" t="str">
        <f t="array" aca="1" ref="E34" ca="1">IFERROR(
INDEX(Family_Map!$B$2:$B$35,
_xludf.AGGREGATE(14,6,(ROW(Family_Map!$A$2:$A$35)-ROW(Family_Map!$A$2)+1)/(ISNUMBER(SEARCH(Family_Map!$A$2:$A$35,D34))),1)
),
"Other")</f>
        <v>Other</v>
      </c>
      <c r="F34" s="1" t="s">
        <v>378</v>
      </c>
      <c r="G34" s="1" t="e">
        <f t="shared" ca="1" si="2"/>
        <v>#NAME?</v>
      </c>
      <c r="H34" s="1" t="str">
        <f t="shared" ca="1" si="12"/>
        <v>Other</v>
      </c>
      <c r="I34" s="1" t="s">
        <v>380</v>
      </c>
      <c r="J34" s="1" t="str">
        <f t="shared" si="3"/>
        <v>7 8GB</v>
      </c>
      <c r="K34" s="1" t="s">
        <v>381</v>
      </c>
      <c r="L34" s="1">
        <f t="shared" si="4"/>
        <v>116</v>
      </c>
      <c r="M34" s="1" t="s">
        <v>382</v>
      </c>
      <c r="N34" s="1" t="str">
        <f t="shared" si="5"/>
        <v>512GB</v>
      </c>
      <c r="O34" s="1" t="str">
        <f t="shared" si="6"/>
        <v>512GB</v>
      </c>
      <c r="P34" s="1" t="s">
        <v>56</v>
      </c>
      <c r="Q34" s="1" t="str">
        <f t="shared" si="7"/>
        <v>2560x1440</v>
      </c>
      <c r="S34" s="1" t="str">
        <f t="shared" si="8"/>
        <v/>
      </c>
      <c r="T34" s="1" t="s">
        <v>101</v>
      </c>
      <c r="U34" s="1" t="str">
        <f t="shared" si="9"/>
        <v>DOS</v>
      </c>
      <c r="V34" s="1" t="s">
        <v>63</v>
      </c>
      <c r="W34" s="1" t="str">
        <f t="shared" si="10"/>
        <v>2.4 kg</v>
      </c>
      <c r="X34" s="1" t="s">
        <v>165</v>
      </c>
      <c r="Y34" s="1" t="str">
        <f t="shared" si="11"/>
        <v>2 Years</v>
      </c>
      <c r="Z34" s="4">
        <v>61999</v>
      </c>
      <c r="AA34" s="1" t="s">
        <v>5735</v>
      </c>
    </row>
    <row r="35" spans="1:27" ht="15.75" customHeight="1" x14ac:dyDescent="0.35">
      <c r="A35" s="1" t="s">
        <v>30</v>
      </c>
      <c r="B35" s="1" t="str">
        <f t="shared" si="0"/>
        <v>MSI</v>
      </c>
      <c r="C35" s="1" t="s">
        <v>377</v>
      </c>
      <c r="D35" s="1" t="str">
        <f t="shared" si="1"/>
        <v>Katana 15 HX B14WFK</v>
      </c>
      <c r="E35" s="1" t="str">
        <f t="array" aca="1" ref="E35" ca="1">IFERROR(
INDEX(Family_Map!$B$2:$B$35,
_xludf.AGGREGATE(14,6,(ROW(Family_Map!$A$2:$A$35)-ROW(Family_Map!$A$2)+1)/(ISNUMBER(SEARCH(Family_Map!$A$2:$A$35,D35))),1)
),
"Other")</f>
        <v>Other</v>
      </c>
      <c r="F35" s="1" t="s">
        <v>384</v>
      </c>
      <c r="G35" s="1" t="e">
        <f t="shared" ca="1" si="2"/>
        <v>#NAME?</v>
      </c>
      <c r="H35" s="1" t="str">
        <f t="shared" ca="1" si="12"/>
        <v>Other</v>
      </c>
      <c r="I35" s="1" t="s">
        <v>52</v>
      </c>
      <c r="J35" s="1" t="str">
        <f t="shared" si="3"/>
        <v>8GB</v>
      </c>
      <c r="K35" s="1" t="s">
        <v>386</v>
      </c>
      <c r="L35" s="1">
        <f t="shared" si="4"/>
        <v>16</v>
      </c>
      <c r="M35" s="1" t="s">
        <v>54</v>
      </c>
      <c r="N35" s="1" t="str">
        <f t="shared" si="5"/>
        <v>1TB</v>
      </c>
      <c r="O35" s="1" t="str">
        <f t="shared" si="6"/>
        <v>1024GB</v>
      </c>
      <c r="P35" s="1" t="s">
        <v>56</v>
      </c>
      <c r="Q35" s="1" t="str">
        <f t="shared" si="7"/>
        <v>2560x1440</v>
      </c>
      <c r="R35" s="1" t="s">
        <v>57</v>
      </c>
      <c r="S35" s="1" t="str">
        <f t="shared" si="8"/>
        <v>165Hz</v>
      </c>
      <c r="T35" s="1" t="s">
        <v>40</v>
      </c>
      <c r="U35" s="1" t="str">
        <f t="shared" si="9"/>
        <v>Windows 11 Home</v>
      </c>
      <c r="V35" s="1" t="s">
        <v>63</v>
      </c>
      <c r="W35" s="1" t="str">
        <f t="shared" si="10"/>
        <v>2.4 kg</v>
      </c>
      <c r="X35" s="1" t="s">
        <v>165</v>
      </c>
      <c r="Y35" s="1" t="str">
        <f t="shared" si="11"/>
        <v>2 Years</v>
      </c>
      <c r="Z35" s="4">
        <v>69999</v>
      </c>
      <c r="AA35" s="1" t="s">
        <v>65</v>
      </c>
    </row>
    <row r="36" spans="1:27" ht="15.75" customHeight="1" x14ac:dyDescent="0.35">
      <c r="A36" s="1" t="s">
        <v>151</v>
      </c>
      <c r="B36" s="1" t="str">
        <f t="shared" si="0"/>
        <v>Lenovo</v>
      </c>
      <c r="C36" s="1" t="s">
        <v>389</v>
      </c>
      <c r="D36" s="1" t="str">
        <f t="shared" si="1"/>
        <v>LOQ 15ARP9</v>
      </c>
      <c r="E36" s="1" t="str">
        <f t="array" aca="1" ref="E36" ca="1">IFERROR(
INDEX(Family_Map!$B$2:$B$35,
_xludf.AGGREGATE(14,6,(ROW(Family_Map!$A$2:$A$35)-ROW(Family_Map!$A$2)+1)/(ISNUMBER(SEARCH(Family_Map!$A$2:$A$35,D36))),1)
),
"Other")</f>
        <v>Other</v>
      </c>
      <c r="F36" s="1" t="s">
        <v>390</v>
      </c>
      <c r="G36" s="1" t="e">
        <f t="shared" ca="1" si="2"/>
        <v>#NAME?</v>
      </c>
      <c r="H36" s="1" t="str">
        <f t="shared" ca="1" si="12"/>
        <v>Other</v>
      </c>
      <c r="I36" s="1" t="s">
        <v>70</v>
      </c>
      <c r="J36" s="1" t="str">
        <f t="shared" si="3"/>
        <v>6GB</v>
      </c>
      <c r="K36" s="1" t="s">
        <v>392</v>
      </c>
      <c r="L36" s="1">
        <f t="shared" si="4"/>
        <v>12</v>
      </c>
      <c r="M36" s="1" t="s">
        <v>156</v>
      </c>
      <c r="N36" s="1" t="str">
        <f t="shared" si="5"/>
        <v>512GB</v>
      </c>
      <c r="O36" s="1" t="str">
        <f t="shared" si="6"/>
        <v>512GB</v>
      </c>
      <c r="P36" s="1" t="s">
        <v>74</v>
      </c>
      <c r="Q36" s="1" t="str">
        <f t="shared" si="7"/>
        <v>1920x1080</v>
      </c>
      <c r="R36" s="1" t="s">
        <v>75</v>
      </c>
      <c r="S36" s="1" t="str">
        <f t="shared" si="8"/>
        <v>144Hz</v>
      </c>
      <c r="T36" s="1" t="s">
        <v>101</v>
      </c>
      <c r="U36" s="1" t="str">
        <f t="shared" si="9"/>
        <v>DOS</v>
      </c>
      <c r="V36" s="1" t="s">
        <v>398</v>
      </c>
      <c r="W36" s="1" t="str">
        <f t="shared" si="10"/>
        <v>2.38 kg</v>
      </c>
      <c r="X36" s="1" t="s">
        <v>78</v>
      </c>
      <c r="Y36" s="1" t="str">
        <f t="shared" si="11"/>
        <v>1 Year</v>
      </c>
      <c r="Z36" s="4">
        <v>39999</v>
      </c>
      <c r="AA36" s="1" t="s">
        <v>5735</v>
      </c>
    </row>
    <row r="37" spans="1:27" ht="15.75" customHeight="1" x14ac:dyDescent="0.35">
      <c r="A37" s="1" t="s">
        <v>112</v>
      </c>
      <c r="B37" s="1" t="str">
        <f t="shared" si="0"/>
        <v>HP</v>
      </c>
      <c r="C37" s="1" t="s">
        <v>401</v>
      </c>
      <c r="D37" s="1" t="str">
        <f t="shared" si="1"/>
        <v>Victus 16-r0053nia</v>
      </c>
      <c r="E37" s="1" t="str">
        <f t="array" aca="1" ref="E37" ca="1">IFERROR(
INDEX(Family_Map!$B$2:$B$35,
_xludf.AGGREGATE(14,6,(ROW(Family_Map!$A$2:$A$35)-ROW(Family_Map!$A$2)+1)/(ISNUMBER(SEARCH(Family_Map!$A$2:$A$35,D37))),1)
),
"Other")</f>
        <v>Other</v>
      </c>
      <c r="F37" s="1" t="s">
        <v>402</v>
      </c>
      <c r="G37" s="1" t="e">
        <f t="shared" ca="1" si="2"/>
        <v>#NAME?</v>
      </c>
      <c r="H37" s="1" t="str">
        <f t="shared" ca="1" si="12"/>
        <v>Other</v>
      </c>
      <c r="I37" s="1" t="s">
        <v>116</v>
      </c>
      <c r="J37" s="1" t="str">
        <f t="shared" si="3"/>
        <v>6 GB</v>
      </c>
      <c r="K37" s="1" t="s">
        <v>403</v>
      </c>
      <c r="L37" s="1">
        <f t="shared" si="4"/>
        <v>16</v>
      </c>
      <c r="M37" s="1" t="s">
        <v>171</v>
      </c>
      <c r="N37" s="1" t="str">
        <f t="shared" si="5"/>
        <v>1 TB</v>
      </c>
      <c r="O37" s="1" t="str">
        <f t="shared" si="6"/>
        <v>1024GB</v>
      </c>
      <c r="P37" s="1" t="s">
        <v>120</v>
      </c>
      <c r="Q37" s="1" t="str">
        <f t="shared" si="7"/>
        <v>1920x1080</v>
      </c>
      <c r="R37" s="1" t="s">
        <v>75</v>
      </c>
      <c r="S37" s="1" t="str">
        <f t="shared" si="8"/>
        <v>144Hz</v>
      </c>
      <c r="T37" s="1" t="s">
        <v>101</v>
      </c>
      <c r="U37" s="1" t="str">
        <f t="shared" si="9"/>
        <v>DOS</v>
      </c>
      <c r="V37" s="1" t="s">
        <v>142</v>
      </c>
      <c r="W37" s="1" t="str">
        <f t="shared" si="10"/>
        <v>2.31 kg</v>
      </c>
      <c r="X37" s="1" t="s">
        <v>78</v>
      </c>
      <c r="Y37" s="1" t="str">
        <f t="shared" si="11"/>
        <v>1 Year</v>
      </c>
      <c r="Z37" s="4">
        <v>42999</v>
      </c>
      <c r="AA37" s="1" t="s">
        <v>79</v>
      </c>
    </row>
    <row r="38" spans="1:27" ht="15.75" customHeight="1" x14ac:dyDescent="0.35">
      <c r="A38" s="1" t="s">
        <v>151</v>
      </c>
      <c r="B38" s="1" t="str">
        <f t="shared" si="0"/>
        <v>Lenovo</v>
      </c>
      <c r="C38" s="1" t="s">
        <v>389</v>
      </c>
      <c r="D38" s="1" t="str">
        <f t="shared" si="1"/>
        <v>LOQ 15ARP9</v>
      </c>
      <c r="E38" s="1" t="str">
        <f t="array" aca="1" ref="E38" ca="1">IFERROR(
INDEX(Family_Map!$B$2:$B$35,
_xludf.AGGREGATE(14,6,(ROW(Family_Map!$A$2:$A$35)-ROW(Family_Map!$A$2)+1)/(ISNUMBER(SEARCH(Family_Map!$A$2:$A$35,D38))),1)
),
"Other")</f>
        <v>Other</v>
      </c>
      <c r="F38" s="1" t="s">
        <v>408</v>
      </c>
      <c r="G38" s="1" t="e">
        <f t="shared" ca="1" si="2"/>
        <v>#NAME?</v>
      </c>
      <c r="H38" s="1" t="str">
        <f t="shared" ca="1" si="12"/>
        <v>Other</v>
      </c>
      <c r="I38" s="1" t="s">
        <v>410</v>
      </c>
      <c r="J38" s="1" t="str">
        <f t="shared" si="3"/>
        <v>8GB</v>
      </c>
      <c r="K38" s="1" t="s">
        <v>411</v>
      </c>
      <c r="L38" s="1">
        <f t="shared" si="4"/>
        <v>24</v>
      </c>
      <c r="M38" s="1" t="s">
        <v>156</v>
      </c>
      <c r="N38" s="1" t="str">
        <f t="shared" si="5"/>
        <v>512GB</v>
      </c>
      <c r="O38" s="1" t="str">
        <f t="shared" si="6"/>
        <v>512GB</v>
      </c>
      <c r="P38" s="1" t="s">
        <v>120</v>
      </c>
      <c r="Q38" s="1" t="str">
        <f t="shared" si="7"/>
        <v>1920x1080</v>
      </c>
      <c r="R38" s="1" t="s">
        <v>75</v>
      </c>
      <c r="S38" s="1" t="str">
        <f t="shared" si="8"/>
        <v>144Hz</v>
      </c>
      <c r="T38" s="1" t="s">
        <v>101</v>
      </c>
      <c r="U38" s="1" t="str">
        <f t="shared" si="9"/>
        <v>DOS</v>
      </c>
      <c r="V38" s="1" t="s">
        <v>398</v>
      </c>
      <c r="W38" s="1" t="str">
        <f t="shared" si="10"/>
        <v>2.38 kg</v>
      </c>
      <c r="X38" s="1" t="s">
        <v>129</v>
      </c>
      <c r="Y38" s="1" t="str">
        <f t="shared" si="11"/>
        <v>1 Year</v>
      </c>
      <c r="Z38" s="4">
        <v>47777</v>
      </c>
      <c r="AA38" s="1" t="s">
        <v>5735</v>
      </c>
    </row>
    <row r="39" spans="1:27" ht="15.75" customHeight="1" x14ac:dyDescent="0.35">
      <c r="A39" s="1" t="s">
        <v>81</v>
      </c>
      <c r="B39" s="1" t="str">
        <f t="shared" si="0"/>
        <v>Dell</v>
      </c>
      <c r="C39" s="1" t="s">
        <v>414</v>
      </c>
      <c r="D39" s="1" t="str">
        <f t="shared" si="1"/>
        <v>G15 5530</v>
      </c>
      <c r="E39" s="1" t="str">
        <f t="array" aca="1" ref="E39" ca="1">IFERROR(
INDEX(Family_Map!$B$2:$B$35,
_xludf.AGGREGATE(14,6,(ROW(Family_Map!$A$2:$A$35)-ROW(Family_Map!$A$2)+1)/(ISNUMBER(SEARCH(Family_Map!$A$2:$A$35,D39))),1)
),
"Other")</f>
        <v>Other</v>
      </c>
      <c r="F39" s="1" t="s">
        <v>415</v>
      </c>
      <c r="G39" s="1" t="e">
        <f t="shared" ca="1" si="2"/>
        <v>#NAME?</v>
      </c>
      <c r="H39" s="1" t="str">
        <f t="shared" ca="1" si="12"/>
        <v>Other</v>
      </c>
      <c r="I39" s="1" t="s">
        <v>70</v>
      </c>
      <c r="J39" s="1" t="str">
        <f t="shared" si="3"/>
        <v>6GB</v>
      </c>
      <c r="K39" s="1" t="s">
        <v>416</v>
      </c>
      <c r="L39" s="1">
        <f t="shared" si="4"/>
        <v>16</v>
      </c>
      <c r="M39" s="1" t="s">
        <v>417</v>
      </c>
      <c r="N39" s="1" t="str">
        <f t="shared" si="5"/>
        <v>512GB</v>
      </c>
      <c r="O39" s="1" t="str">
        <f t="shared" si="6"/>
        <v>512GB</v>
      </c>
      <c r="P39" s="1" t="s">
        <v>120</v>
      </c>
      <c r="Q39" s="1" t="str">
        <f t="shared" si="7"/>
        <v>1920x1080</v>
      </c>
      <c r="R39" s="1" t="s">
        <v>39</v>
      </c>
      <c r="S39" s="1" t="str">
        <f t="shared" si="8"/>
        <v>120Hz</v>
      </c>
      <c r="T39" s="1" t="s">
        <v>101</v>
      </c>
      <c r="U39" s="1" t="str">
        <f t="shared" si="9"/>
        <v>DOS</v>
      </c>
      <c r="V39" s="1" t="s">
        <v>423</v>
      </c>
      <c r="W39" s="1" t="str">
        <f t="shared" si="10"/>
        <v>2.81 kg</v>
      </c>
      <c r="X39" s="1" t="s">
        <v>425</v>
      </c>
      <c r="Y39" s="1" t="str">
        <f t="shared" si="11"/>
        <v>3 Years</v>
      </c>
      <c r="Z39" s="4">
        <v>37777</v>
      </c>
      <c r="AA39" s="1" t="s">
        <v>79</v>
      </c>
    </row>
    <row r="40" spans="1:27" ht="15.75" customHeight="1" x14ac:dyDescent="0.35">
      <c r="A40" s="1" t="s">
        <v>151</v>
      </c>
      <c r="B40" s="1" t="str">
        <f t="shared" si="0"/>
        <v>Lenovo</v>
      </c>
      <c r="C40" s="1" t="s">
        <v>428</v>
      </c>
      <c r="D40" s="1" t="str">
        <f t="shared" si="1"/>
        <v>Legion Pro 5 16IRX10</v>
      </c>
      <c r="E40" s="1" t="str">
        <f t="array" aca="1" ref="E40" ca="1">IFERROR(
INDEX(Family_Map!$B$2:$B$35,
_xludf.AGGREGATE(14,6,(ROW(Family_Map!$A$2:$A$35)-ROW(Family_Map!$A$2)+1)/(ISNUMBER(SEARCH(Family_Map!$A$2:$A$35,D40))),1)
),
"Other")</f>
        <v>Other</v>
      </c>
      <c r="F40" s="1" t="s">
        <v>429</v>
      </c>
      <c r="G40" s="1" t="e">
        <f t="shared" ca="1" si="2"/>
        <v>#NAME?</v>
      </c>
      <c r="H40" s="1" t="str">
        <f t="shared" ca="1" si="12"/>
        <v>Other</v>
      </c>
      <c r="I40" s="1" t="s">
        <v>52</v>
      </c>
      <c r="J40" s="1" t="str">
        <f t="shared" si="3"/>
        <v>8GB</v>
      </c>
      <c r="K40" s="1" t="s">
        <v>221</v>
      </c>
      <c r="L40" s="1">
        <f t="shared" si="4"/>
        <v>16</v>
      </c>
      <c r="M40" s="1" t="s">
        <v>156</v>
      </c>
      <c r="N40" s="1" t="str">
        <f t="shared" si="5"/>
        <v>512GB</v>
      </c>
      <c r="O40" s="1" t="str">
        <f t="shared" si="6"/>
        <v>512GB</v>
      </c>
      <c r="P40" s="1" t="s">
        <v>224</v>
      </c>
      <c r="Q40" s="1" t="str">
        <f t="shared" si="7"/>
        <v>2560x1600</v>
      </c>
      <c r="R40" s="1" t="s">
        <v>256</v>
      </c>
      <c r="S40" s="1" t="str">
        <f t="shared" si="8"/>
        <v>240Hz</v>
      </c>
      <c r="T40" s="1" t="s">
        <v>40</v>
      </c>
      <c r="U40" s="1" t="str">
        <f t="shared" si="9"/>
        <v>Windows 11 Home</v>
      </c>
      <c r="V40" s="1" t="s">
        <v>63</v>
      </c>
      <c r="W40" s="1" t="str">
        <f t="shared" si="10"/>
        <v>2.4 kg</v>
      </c>
      <c r="X40" s="1" t="s">
        <v>165</v>
      </c>
      <c r="Y40" s="1" t="str">
        <f t="shared" si="11"/>
        <v>2 Years</v>
      </c>
      <c r="Z40" s="4">
        <v>66666</v>
      </c>
      <c r="AA40" s="1" t="s">
        <v>65</v>
      </c>
    </row>
    <row r="41" spans="1:27" ht="15.75" customHeight="1" x14ac:dyDescent="0.35">
      <c r="A41" s="1" t="s">
        <v>112</v>
      </c>
      <c r="B41" s="1" t="str">
        <f t="shared" si="0"/>
        <v>HP</v>
      </c>
      <c r="C41" s="1" t="s">
        <v>437</v>
      </c>
      <c r="D41" s="1" t="str">
        <f t="shared" si="1"/>
        <v>Victus 15-fa1034nia</v>
      </c>
      <c r="E41" s="1" t="str">
        <f t="array" aca="1" ref="E41" ca="1">IFERROR(
INDEX(Family_Map!$B$2:$B$35,
_xludf.AGGREGATE(14,6,(ROW(Family_Map!$A$2:$A$35)-ROW(Family_Map!$A$2)+1)/(ISNUMBER(SEARCH(Family_Map!$A$2:$A$35,D41))),1)
),
"Other")</f>
        <v>Other</v>
      </c>
      <c r="F41" s="1" t="s">
        <v>183</v>
      </c>
      <c r="G41" s="1" t="e">
        <f t="shared" ca="1" si="2"/>
        <v>#NAME?</v>
      </c>
      <c r="H41" s="1" t="str">
        <f t="shared" ca="1" si="12"/>
        <v>Other</v>
      </c>
      <c r="I41" s="1" t="s">
        <v>439</v>
      </c>
      <c r="J41" s="1" t="str">
        <f t="shared" si="3"/>
        <v>4 GB</v>
      </c>
      <c r="K41" s="1" t="s">
        <v>440</v>
      </c>
      <c r="L41" s="1">
        <f t="shared" si="4"/>
        <v>8</v>
      </c>
      <c r="M41" s="1" t="s">
        <v>118</v>
      </c>
      <c r="N41" s="1" t="str">
        <f t="shared" si="5"/>
        <v>512 GB</v>
      </c>
      <c r="O41" s="1" t="str">
        <f t="shared" si="6"/>
        <v>512 GB</v>
      </c>
      <c r="P41" s="1" t="s">
        <v>120</v>
      </c>
      <c r="Q41" s="1" t="str">
        <f t="shared" si="7"/>
        <v>1920x1080</v>
      </c>
      <c r="R41" s="1" t="s">
        <v>75</v>
      </c>
      <c r="S41" s="1" t="str">
        <f t="shared" si="8"/>
        <v>144Hz</v>
      </c>
      <c r="T41" s="1" t="s">
        <v>101</v>
      </c>
      <c r="U41" s="1" t="str">
        <f t="shared" si="9"/>
        <v>DOS</v>
      </c>
      <c r="V41" s="1" t="s">
        <v>127</v>
      </c>
      <c r="W41" s="1" t="str">
        <f t="shared" si="10"/>
        <v>2.29 kg</v>
      </c>
      <c r="X41" s="1" t="s">
        <v>78</v>
      </c>
      <c r="Y41" s="1" t="str">
        <f t="shared" si="11"/>
        <v>1 Year</v>
      </c>
      <c r="Z41" s="4">
        <v>30999</v>
      </c>
      <c r="AA41" s="1" t="s">
        <v>79</v>
      </c>
    </row>
    <row r="42" spans="1:27" ht="15.75" customHeight="1" x14ac:dyDescent="0.35">
      <c r="A42" s="1" t="s">
        <v>112</v>
      </c>
      <c r="B42" s="1" t="str">
        <f t="shared" si="0"/>
        <v>HP</v>
      </c>
      <c r="C42" s="1" t="s">
        <v>444</v>
      </c>
      <c r="D42" s="1" t="str">
        <f t="shared" si="1"/>
        <v>Victus 15-fa1033nia</v>
      </c>
      <c r="E42" s="1" t="str">
        <f t="array" aca="1" ref="E42" ca="1">IFERROR(
INDEX(Family_Map!$B$2:$B$35,
_xludf.AGGREGATE(14,6,(ROW(Family_Map!$A$2:$A$35)-ROW(Family_Map!$A$2)+1)/(ISNUMBER(SEARCH(Family_Map!$A$2:$A$35,D42))),1)
),
"Other")</f>
        <v>Other</v>
      </c>
      <c r="F42" s="1" t="s">
        <v>183</v>
      </c>
      <c r="G42" s="1" t="e">
        <f t="shared" ca="1" si="2"/>
        <v>#NAME?</v>
      </c>
      <c r="H42" s="1" t="str">
        <f t="shared" ca="1" si="12"/>
        <v>Other</v>
      </c>
      <c r="I42" s="1" t="s">
        <v>439</v>
      </c>
      <c r="J42" s="1" t="str">
        <f t="shared" si="3"/>
        <v>4 GB</v>
      </c>
      <c r="K42" s="1" t="s">
        <v>440</v>
      </c>
      <c r="L42" s="1">
        <f t="shared" si="4"/>
        <v>8</v>
      </c>
      <c r="M42" s="1" t="s">
        <v>118</v>
      </c>
      <c r="N42" s="1" t="str">
        <f t="shared" si="5"/>
        <v>512 GB</v>
      </c>
      <c r="O42" s="1" t="str">
        <f t="shared" si="6"/>
        <v>512 GB</v>
      </c>
      <c r="P42" s="1" t="s">
        <v>120</v>
      </c>
      <c r="Q42" s="1" t="str">
        <f t="shared" si="7"/>
        <v>1920x1080</v>
      </c>
      <c r="R42" s="1" t="s">
        <v>75</v>
      </c>
      <c r="S42" s="1" t="str">
        <f t="shared" si="8"/>
        <v>144Hz</v>
      </c>
      <c r="T42" s="1" t="s">
        <v>101</v>
      </c>
      <c r="U42" s="1" t="str">
        <f t="shared" si="9"/>
        <v>DOS</v>
      </c>
      <c r="V42" s="1" t="s">
        <v>127</v>
      </c>
      <c r="W42" s="1" t="str">
        <f t="shared" si="10"/>
        <v>2.29 kg</v>
      </c>
      <c r="X42" s="1" t="s">
        <v>78</v>
      </c>
      <c r="Y42" s="1" t="str">
        <f t="shared" si="11"/>
        <v>1 Year</v>
      </c>
      <c r="Z42" s="4">
        <v>31899</v>
      </c>
      <c r="AA42" s="1" t="s">
        <v>79</v>
      </c>
    </row>
    <row r="43" spans="1:27" ht="15.75" customHeight="1" x14ac:dyDescent="0.35">
      <c r="A43" s="1" t="s">
        <v>151</v>
      </c>
      <c r="B43" s="1" t="str">
        <f t="shared" si="0"/>
        <v>Lenovo</v>
      </c>
      <c r="C43" s="1" t="s">
        <v>219</v>
      </c>
      <c r="D43" s="1" t="str">
        <f t="shared" si="1"/>
        <v>Legion 5 15IRX10</v>
      </c>
      <c r="E43" s="1" t="str">
        <f t="array" aca="1" ref="E43" ca="1">IFERROR(
INDEX(Family_Map!$B$2:$B$35,
_xludf.AGGREGATE(14,6,(ROW(Family_Map!$A$2:$A$35)-ROW(Family_Map!$A$2)+1)/(ISNUMBER(SEARCH(Family_Map!$A$2:$A$35,D43))),1)
),
"Other")</f>
        <v>Other</v>
      </c>
      <c r="F43" s="1" t="s">
        <v>220</v>
      </c>
      <c r="G43" s="1" t="e">
        <f t="shared" ca="1" si="2"/>
        <v>#NAME?</v>
      </c>
      <c r="H43" s="1" t="str">
        <f t="shared" ca="1" si="12"/>
        <v>Other</v>
      </c>
      <c r="I43" s="1" t="s">
        <v>52</v>
      </c>
      <c r="J43" s="1" t="str">
        <f t="shared" si="3"/>
        <v>8GB</v>
      </c>
      <c r="K43" s="1" t="s">
        <v>447</v>
      </c>
      <c r="L43" s="1">
        <f t="shared" si="4"/>
        <v>32</v>
      </c>
      <c r="M43" s="1" t="s">
        <v>222</v>
      </c>
      <c r="N43" s="1" t="str">
        <f t="shared" si="5"/>
        <v>1TB</v>
      </c>
      <c r="O43" s="1" t="str">
        <f t="shared" si="6"/>
        <v>1024GB</v>
      </c>
      <c r="P43" s="1" t="s">
        <v>89</v>
      </c>
      <c r="Q43" s="1" t="str">
        <f t="shared" si="7"/>
        <v>2560x1600</v>
      </c>
      <c r="R43" s="1" t="s">
        <v>57</v>
      </c>
      <c r="S43" s="1" t="str">
        <f t="shared" si="8"/>
        <v>165Hz</v>
      </c>
      <c r="T43" s="1" t="s">
        <v>101</v>
      </c>
      <c r="U43" s="1" t="str">
        <f t="shared" si="9"/>
        <v>DOS</v>
      </c>
      <c r="V43" s="1" t="s">
        <v>230</v>
      </c>
      <c r="W43" s="1" t="str">
        <f t="shared" si="10"/>
        <v>1.9 kg</v>
      </c>
      <c r="X43" s="1" t="s">
        <v>129</v>
      </c>
      <c r="Y43" s="1" t="str">
        <f t="shared" si="11"/>
        <v>1 Year</v>
      </c>
      <c r="Z43" s="4">
        <v>113000</v>
      </c>
      <c r="AA43" s="1" t="s">
        <v>65</v>
      </c>
    </row>
    <row r="44" spans="1:27" ht="15.75" customHeight="1" x14ac:dyDescent="0.35">
      <c r="A44" s="1" t="s">
        <v>234</v>
      </c>
      <c r="B44" s="1" t="str">
        <f t="shared" si="0"/>
        <v>ASUS</v>
      </c>
      <c r="C44" s="1" t="s">
        <v>451</v>
      </c>
      <c r="D44" s="1" t="str">
        <f t="shared" si="1"/>
        <v>ROG Strix G16 ​G614FM-RV169W</v>
      </c>
      <c r="E44" s="1" t="str">
        <f t="array" aca="1" ref="E44" ca="1">IFERROR(
INDEX(Family_Map!$B$2:$B$35,
_xludf.AGGREGATE(14,6,(ROW(Family_Map!$A$2:$A$35)-ROW(Family_Map!$A$2)+1)/(ISNUMBER(SEARCH(Family_Map!$A$2:$A$35,D44))),1)
),
"Other")</f>
        <v>Other</v>
      </c>
      <c r="F44" s="1" t="s">
        <v>285</v>
      </c>
      <c r="G44" s="1" t="e">
        <f t="shared" ca="1" si="2"/>
        <v>#NAME?</v>
      </c>
      <c r="H44" s="1" t="str">
        <f t="shared" ca="1" si="12"/>
        <v>Other</v>
      </c>
      <c r="I44" s="1" t="s">
        <v>410</v>
      </c>
      <c r="J44" s="1" t="str">
        <f t="shared" si="3"/>
        <v>8GB</v>
      </c>
      <c r="K44" s="1" t="s">
        <v>452</v>
      </c>
      <c r="L44" s="1">
        <f t="shared" si="4"/>
        <v>16</v>
      </c>
      <c r="M44" s="1" t="s">
        <v>453</v>
      </c>
      <c r="N44" s="1" t="str">
        <f t="shared" si="5"/>
        <v>1TB</v>
      </c>
      <c r="O44" s="1" t="str">
        <f t="shared" si="6"/>
        <v>1024GB</v>
      </c>
      <c r="P44" s="1" t="s">
        <v>275</v>
      </c>
      <c r="Q44" s="1" t="str">
        <f t="shared" si="7"/>
        <v>1920x1200</v>
      </c>
      <c r="R44" s="1" t="s">
        <v>57</v>
      </c>
      <c r="S44" s="1" t="str">
        <f t="shared" si="8"/>
        <v>165Hz</v>
      </c>
      <c r="T44" s="1" t="s">
        <v>40</v>
      </c>
      <c r="U44" s="1" t="str">
        <f t="shared" si="9"/>
        <v>Windows 11 Home</v>
      </c>
      <c r="V44" s="1" t="s">
        <v>280</v>
      </c>
      <c r="W44" s="1" t="str">
        <f t="shared" si="10"/>
        <v>2.5 kg</v>
      </c>
      <c r="X44" s="1" t="s">
        <v>129</v>
      </c>
      <c r="Y44" s="1" t="str">
        <f t="shared" si="11"/>
        <v>1 Year</v>
      </c>
      <c r="Z44" s="4">
        <v>92999</v>
      </c>
      <c r="AA44" s="1" t="s">
        <v>5735</v>
      </c>
    </row>
    <row r="45" spans="1:27" ht="15.75" customHeight="1" x14ac:dyDescent="0.35">
      <c r="A45" s="1" t="s">
        <v>234</v>
      </c>
      <c r="B45" s="1" t="str">
        <f t="shared" si="0"/>
        <v>ASUS</v>
      </c>
      <c r="C45" s="1" t="s">
        <v>459</v>
      </c>
      <c r="D45" s="1" t="str">
        <f t="shared" si="1"/>
        <v>TUF Gaming F16 FX607VJ-RL805W</v>
      </c>
      <c r="E45" s="1" t="str">
        <f t="array" aca="1" ref="E45" ca="1">IFERROR(
INDEX(Family_Map!$B$2:$B$35,
_xludf.AGGREGATE(14,6,(ROW(Family_Map!$A$2:$A$35)-ROW(Family_Map!$A$2)+1)/(ISNUMBER(SEARCH(Family_Map!$A$2:$A$35,D45))),1)
),
"Other")</f>
        <v>Other</v>
      </c>
      <c r="F45" s="1" t="s">
        <v>460</v>
      </c>
      <c r="G45" s="1" t="e">
        <f t="shared" ca="1" si="2"/>
        <v>#NAME?</v>
      </c>
      <c r="H45" s="1" t="str">
        <f t="shared" ca="1" si="12"/>
        <v>Other</v>
      </c>
      <c r="J45" s="1" t="str">
        <f t="shared" si="3"/>
        <v/>
      </c>
      <c r="K45" s="1" t="s">
        <v>462</v>
      </c>
      <c r="L45" s="1">
        <f t="shared" si="4"/>
        <v>8</v>
      </c>
      <c r="M45" s="1" t="s">
        <v>295</v>
      </c>
      <c r="N45" s="1" t="str">
        <f t="shared" si="5"/>
        <v>512GB</v>
      </c>
      <c r="O45" s="1" t="str">
        <f t="shared" si="6"/>
        <v>512GB</v>
      </c>
      <c r="P45" s="1" t="s">
        <v>275</v>
      </c>
      <c r="Q45" s="1" t="str">
        <f t="shared" si="7"/>
        <v>1920x1200</v>
      </c>
      <c r="R45" s="1" t="s">
        <v>75</v>
      </c>
      <c r="S45" s="1" t="str">
        <f t="shared" si="8"/>
        <v>144Hz</v>
      </c>
      <c r="T45" s="1" t="s">
        <v>40</v>
      </c>
      <c r="U45" s="1" t="str">
        <f t="shared" si="9"/>
        <v>Windows 11 Home</v>
      </c>
      <c r="V45" s="1" t="s">
        <v>300</v>
      </c>
      <c r="W45" s="1" t="str">
        <f t="shared" si="10"/>
        <v>2.2 kg</v>
      </c>
      <c r="X45" s="1" t="s">
        <v>129</v>
      </c>
      <c r="Y45" s="1" t="str">
        <f t="shared" si="11"/>
        <v>1 Year</v>
      </c>
      <c r="Z45" s="4">
        <v>36666</v>
      </c>
      <c r="AA45" s="1" t="s">
        <v>5735</v>
      </c>
    </row>
    <row r="46" spans="1:27" ht="15.75" customHeight="1" x14ac:dyDescent="0.35">
      <c r="A46" s="1" t="s">
        <v>234</v>
      </c>
      <c r="B46" s="1" t="str">
        <f t="shared" si="0"/>
        <v>ASUS</v>
      </c>
      <c r="C46" s="1" t="s">
        <v>470</v>
      </c>
      <c r="D46" s="1" t="str">
        <f t="shared" si="1"/>
        <v>ROG Strix SCAR 18 G835LR-AI3201W</v>
      </c>
      <c r="E46" s="1" t="str">
        <f t="array" aca="1" ref="E46" ca="1">IFERROR(
INDEX(Family_Map!$B$2:$B$35,
_xludf.AGGREGATE(14,6,(ROW(Family_Map!$A$2:$A$35)-ROW(Family_Map!$A$2)+1)/(ISNUMBER(SEARCH(Family_Map!$A$2:$A$35,D46))),1)
),
"Other")</f>
        <v>Other</v>
      </c>
      <c r="F46" s="1" t="s">
        <v>320</v>
      </c>
      <c r="G46" s="1" t="e">
        <f t="shared" ca="1" si="2"/>
        <v>#NAME?</v>
      </c>
      <c r="H46" s="1" t="str">
        <f t="shared" ca="1" si="12"/>
        <v>Other</v>
      </c>
      <c r="I46" s="1" t="s">
        <v>272</v>
      </c>
      <c r="J46" s="1" t="str">
        <f t="shared" si="3"/>
        <v>12GB</v>
      </c>
      <c r="K46" s="1" t="s">
        <v>286</v>
      </c>
      <c r="L46" s="1">
        <f t="shared" si="4"/>
        <v>16</v>
      </c>
      <c r="M46" s="1" t="s">
        <v>472</v>
      </c>
      <c r="N46" s="1" t="str">
        <f t="shared" si="5"/>
        <v>1TB</v>
      </c>
      <c r="O46" s="1" t="str">
        <f t="shared" si="6"/>
        <v>1024GB</v>
      </c>
      <c r="P46" s="1" t="s">
        <v>89</v>
      </c>
      <c r="Q46" s="1" t="str">
        <f t="shared" si="7"/>
        <v>2560x1600</v>
      </c>
      <c r="R46" s="1" t="s">
        <v>256</v>
      </c>
      <c r="S46" s="1" t="str">
        <f t="shared" si="8"/>
        <v>240Hz</v>
      </c>
      <c r="T46" s="1" t="s">
        <v>40</v>
      </c>
      <c r="U46" s="1" t="str">
        <f t="shared" si="9"/>
        <v>Windows 11 Home</v>
      </c>
      <c r="V46" s="1" t="s">
        <v>477</v>
      </c>
      <c r="W46" s="1" t="str">
        <f t="shared" si="10"/>
        <v>3.3 kg</v>
      </c>
      <c r="X46" s="1" t="s">
        <v>129</v>
      </c>
      <c r="Y46" s="1" t="str">
        <f t="shared" si="11"/>
        <v>1 Year</v>
      </c>
      <c r="Z46" s="4">
        <v>164888</v>
      </c>
      <c r="AA46" s="1" t="s">
        <v>5735</v>
      </c>
    </row>
    <row r="47" spans="1:27" ht="15.75" customHeight="1" x14ac:dyDescent="0.35">
      <c r="A47" s="1" t="s">
        <v>234</v>
      </c>
      <c r="B47" s="1" t="str">
        <f t="shared" si="0"/>
        <v>ASUS</v>
      </c>
      <c r="C47" s="1" t="s">
        <v>481</v>
      </c>
      <c r="D47" s="1" t="str">
        <f t="shared" si="1"/>
        <v>ROG Strix G16 G615LR-VG132W</v>
      </c>
      <c r="E47" s="1" t="str">
        <f t="array" aca="1" ref="E47" ca="1">IFERROR(
INDEX(Family_Map!$B$2:$B$35,
_xludf.AGGREGATE(14,6,(ROW(Family_Map!$A$2:$A$35)-ROW(Family_Map!$A$2)+1)/(ISNUMBER(SEARCH(Family_Map!$A$2:$A$35,D47))),1)
),
"Other")</f>
        <v>Other</v>
      </c>
      <c r="F47" s="1" t="s">
        <v>320</v>
      </c>
      <c r="G47" s="1" t="e">
        <f t="shared" ca="1" si="2"/>
        <v>#NAME?</v>
      </c>
      <c r="H47" s="1" t="str">
        <f t="shared" ca="1" si="12"/>
        <v>Other</v>
      </c>
      <c r="I47" s="1" t="s">
        <v>272</v>
      </c>
      <c r="J47" s="1" t="str">
        <f t="shared" si="3"/>
        <v>12GB</v>
      </c>
      <c r="K47" s="1" t="s">
        <v>483</v>
      </c>
      <c r="L47" s="1">
        <f t="shared" si="4"/>
        <v>32</v>
      </c>
      <c r="M47" s="1" t="s">
        <v>239</v>
      </c>
      <c r="N47" s="1" t="str">
        <f t="shared" si="5"/>
        <v>1TB</v>
      </c>
      <c r="O47" s="1" t="str">
        <f t="shared" si="6"/>
        <v>1024GB</v>
      </c>
      <c r="P47" s="1" t="s">
        <v>275</v>
      </c>
      <c r="Q47" s="1" t="str">
        <f t="shared" si="7"/>
        <v>1920x1200</v>
      </c>
      <c r="R47" s="1" t="s">
        <v>57</v>
      </c>
      <c r="S47" s="1" t="str">
        <f t="shared" si="8"/>
        <v>165Hz</v>
      </c>
      <c r="T47" s="1" t="s">
        <v>40</v>
      </c>
      <c r="U47" s="1" t="str">
        <f t="shared" si="9"/>
        <v>Windows 11 Home</v>
      </c>
      <c r="V47" s="1" t="s">
        <v>487</v>
      </c>
      <c r="W47" s="1" t="str">
        <f t="shared" si="10"/>
        <v>2.65 kg</v>
      </c>
      <c r="X47" s="1" t="s">
        <v>129</v>
      </c>
      <c r="Y47" s="1" t="str">
        <f t="shared" si="11"/>
        <v>1 Year</v>
      </c>
      <c r="Z47" s="4">
        <v>135000</v>
      </c>
      <c r="AA47" s="1" t="s">
        <v>5735</v>
      </c>
    </row>
    <row r="48" spans="1:27" ht="15.75" customHeight="1" x14ac:dyDescent="0.35">
      <c r="A48" s="1" t="s">
        <v>234</v>
      </c>
      <c r="B48" s="1" t="str">
        <f t="shared" si="0"/>
        <v>ASUS</v>
      </c>
      <c r="C48" s="1" t="s">
        <v>489</v>
      </c>
      <c r="D48" s="1" t="str">
        <f t="shared" si="1"/>
        <v>ROG Strix G16 G614JVR-N3044W</v>
      </c>
      <c r="E48" s="1" t="str">
        <f t="array" aca="1" ref="E48" ca="1">IFERROR(
INDEX(Family_Map!$B$2:$B$35,
_xludf.AGGREGATE(14,6,(ROW(Family_Map!$A$2:$A$35)-ROW(Family_Map!$A$2)+1)/(ISNUMBER(SEARCH(Family_Map!$A$2:$A$35,D48))),1)
),
"Other")</f>
        <v>Other</v>
      </c>
      <c r="F48" s="1" t="s">
        <v>490</v>
      </c>
      <c r="G48" s="1" t="e">
        <f t="shared" ca="1" si="2"/>
        <v>#NAME?</v>
      </c>
      <c r="H48" s="1" t="str">
        <f t="shared" ca="1" si="12"/>
        <v>Other</v>
      </c>
      <c r="I48" s="1" t="s">
        <v>410</v>
      </c>
      <c r="J48" s="1" t="str">
        <f t="shared" si="3"/>
        <v>8GB</v>
      </c>
      <c r="K48" s="1" t="s">
        <v>491</v>
      </c>
      <c r="L48" s="1">
        <f t="shared" si="4"/>
        <v>16</v>
      </c>
      <c r="M48" s="1" t="s">
        <v>239</v>
      </c>
      <c r="N48" s="1" t="str">
        <f t="shared" si="5"/>
        <v>1TB</v>
      </c>
      <c r="O48" s="1" t="str">
        <f t="shared" si="6"/>
        <v>1024GB</v>
      </c>
      <c r="P48" s="1" t="s">
        <v>275</v>
      </c>
      <c r="Q48" s="1" t="str">
        <f t="shared" si="7"/>
        <v>1920x1200</v>
      </c>
      <c r="R48" s="1" t="s">
        <v>57</v>
      </c>
      <c r="S48" s="1" t="str">
        <f t="shared" si="8"/>
        <v>165Hz</v>
      </c>
      <c r="T48" s="1" t="s">
        <v>40</v>
      </c>
      <c r="U48" s="1" t="str">
        <f t="shared" si="9"/>
        <v>Windows 11 Home</v>
      </c>
      <c r="V48" s="1" t="s">
        <v>280</v>
      </c>
      <c r="W48" s="1" t="str">
        <f t="shared" si="10"/>
        <v>2.5 kg</v>
      </c>
      <c r="X48" s="1" t="s">
        <v>129</v>
      </c>
      <c r="Y48" s="1" t="str">
        <f t="shared" si="11"/>
        <v>1 Year</v>
      </c>
      <c r="Z48" s="4">
        <v>85399</v>
      </c>
      <c r="AA48" s="1" t="s">
        <v>65</v>
      </c>
    </row>
    <row r="49" spans="1:27" ht="15.75" customHeight="1" x14ac:dyDescent="0.35">
      <c r="A49" s="1" t="s">
        <v>30</v>
      </c>
      <c r="B49" s="1" t="str">
        <f t="shared" si="0"/>
        <v>MSI</v>
      </c>
      <c r="C49" s="1" t="s">
        <v>497</v>
      </c>
      <c r="D49" s="1" t="str">
        <f t="shared" si="1"/>
        <v>Sword 16 HX B14VFKG</v>
      </c>
      <c r="E49" s="1" t="str">
        <f t="array" aca="1" ref="E49" ca="1">IFERROR(
INDEX(Family_Map!$B$2:$B$35,
_xludf.AGGREGATE(14,6,(ROW(Family_Map!$A$2:$A$35)-ROW(Family_Map!$A$2)+1)/(ISNUMBER(SEARCH(Family_Map!$A$2:$A$35,D49))),1)
),
"Other")</f>
        <v>Other</v>
      </c>
      <c r="F49" s="1" t="s">
        <v>50</v>
      </c>
      <c r="G49" s="1" t="e">
        <f t="shared" ca="1" si="2"/>
        <v>#NAME?</v>
      </c>
      <c r="H49" s="1" t="str">
        <f t="shared" ca="1" si="12"/>
        <v>Other</v>
      </c>
      <c r="I49" s="1" t="s">
        <v>410</v>
      </c>
      <c r="J49" s="1" t="str">
        <f t="shared" si="3"/>
        <v>8GB</v>
      </c>
      <c r="K49" s="1" t="s">
        <v>53</v>
      </c>
      <c r="L49" s="1">
        <f t="shared" si="4"/>
        <v>16</v>
      </c>
      <c r="M49" s="1" t="s">
        <v>54</v>
      </c>
      <c r="N49" s="1" t="str">
        <f t="shared" si="5"/>
        <v>1TB</v>
      </c>
      <c r="O49" s="1" t="str">
        <f t="shared" si="6"/>
        <v>1024GB</v>
      </c>
      <c r="P49" s="1" t="s">
        <v>120</v>
      </c>
      <c r="Q49" s="1" t="str">
        <f t="shared" si="7"/>
        <v>1920x1080</v>
      </c>
      <c r="R49" s="1" t="s">
        <v>75</v>
      </c>
      <c r="S49" s="1" t="str">
        <f t="shared" si="8"/>
        <v>144Hz</v>
      </c>
      <c r="T49" s="1" t="s">
        <v>101</v>
      </c>
      <c r="U49" s="1" t="str">
        <f t="shared" si="9"/>
        <v>DOS</v>
      </c>
      <c r="V49" s="1" t="s">
        <v>503</v>
      </c>
      <c r="W49" s="1" t="str">
        <f t="shared" si="10"/>
        <v>2.3 kg</v>
      </c>
      <c r="X49" s="1" t="s">
        <v>129</v>
      </c>
      <c r="Y49" s="1" t="str">
        <f t="shared" si="11"/>
        <v>1 Year</v>
      </c>
      <c r="Z49" s="4">
        <v>69999</v>
      </c>
      <c r="AA49" s="1" t="s">
        <v>65</v>
      </c>
    </row>
    <row r="50" spans="1:27" ht="15.75" customHeight="1" x14ac:dyDescent="0.35">
      <c r="A50" s="1" t="s">
        <v>151</v>
      </c>
      <c r="B50" s="1" t="str">
        <f t="shared" si="0"/>
        <v>Lenovo</v>
      </c>
      <c r="C50" s="1" t="s">
        <v>505</v>
      </c>
      <c r="D50" s="1" t="str">
        <f t="shared" si="1"/>
        <v>LOQ 15IAX9</v>
      </c>
      <c r="E50" s="1" t="str">
        <f t="array" aca="1" ref="E50" ca="1">IFERROR(
INDEX(Family_Map!$B$2:$B$35,
_xludf.AGGREGATE(14,6,(ROW(Family_Map!$A$2:$A$35)-ROW(Family_Map!$A$2)+1)/(ISNUMBER(SEARCH(Family_Map!$A$2:$A$35,D50))),1)
),
"Other")</f>
        <v>Other</v>
      </c>
      <c r="F50" s="1" t="s">
        <v>506</v>
      </c>
      <c r="G50" s="1" t="e">
        <f t="shared" ca="1" si="2"/>
        <v>#NAME?</v>
      </c>
      <c r="H50" s="1" t="str">
        <f t="shared" ca="1" si="12"/>
        <v>Other</v>
      </c>
      <c r="I50" s="1" t="s">
        <v>507</v>
      </c>
      <c r="J50" s="1" t="str">
        <f t="shared" si="3"/>
        <v>4GB</v>
      </c>
      <c r="K50" s="1" t="s">
        <v>411</v>
      </c>
      <c r="L50" s="1">
        <f t="shared" si="4"/>
        <v>24</v>
      </c>
      <c r="M50" s="1" t="s">
        <v>156</v>
      </c>
      <c r="N50" s="1" t="str">
        <f t="shared" si="5"/>
        <v>512GB</v>
      </c>
      <c r="O50" s="1" t="str">
        <f t="shared" si="6"/>
        <v>512GB</v>
      </c>
      <c r="P50" s="1" t="s">
        <v>120</v>
      </c>
      <c r="Q50" s="1" t="str">
        <f t="shared" si="7"/>
        <v>1920x1080</v>
      </c>
      <c r="R50" s="1" t="s">
        <v>75</v>
      </c>
      <c r="S50" s="1" t="str">
        <f t="shared" si="8"/>
        <v>144Hz</v>
      </c>
      <c r="T50" s="1" t="s">
        <v>90</v>
      </c>
      <c r="U50" s="1" t="str">
        <f t="shared" si="9"/>
        <v>Windows 11 Home</v>
      </c>
      <c r="V50" s="1" t="s">
        <v>398</v>
      </c>
      <c r="W50" s="1" t="str">
        <f t="shared" si="10"/>
        <v>2.38 kg</v>
      </c>
      <c r="X50" s="1" t="s">
        <v>165</v>
      </c>
      <c r="Y50" s="1" t="str">
        <f t="shared" si="11"/>
        <v>2 Years</v>
      </c>
      <c r="Z50" s="4">
        <v>30777</v>
      </c>
      <c r="AA50" s="1" t="s">
        <v>166</v>
      </c>
    </row>
    <row r="51" spans="1:27" ht="15.75" customHeight="1" x14ac:dyDescent="0.35">
      <c r="A51" s="1" t="s">
        <v>234</v>
      </c>
      <c r="B51" s="1" t="str">
        <f t="shared" si="0"/>
        <v>ASUS</v>
      </c>
      <c r="C51" s="1" t="s">
        <v>509</v>
      </c>
      <c r="D51" s="1" t="str">
        <f t="shared" si="1"/>
        <v>ROG Zephyrus G16 GU605MI-G16.U94070</v>
      </c>
      <c r="E51" s="1" t="str">
        <f t="array" aca="1" ref="E51" ca="1">IFERROR(
INDEX(Family_Map!$B$2:$B$35,
_xludf.AGGREGATE(14,6,(ROW(Family_Map!$A$2:$A$35)-ROW(Family_Map!$A$2)+1)/(ISNUMBER(SEARCH(Family_Map!$A$2:$A$35,D51))),1)
),
"Other")</f>
        <v>Other</v>
      </c>
      <c r="F51" s="1" t="s">
        <v>510</v>
      </c>
      <c r="G51" s="1" t="e">
        <f t="shared" ca="1" si="2"/>
        <v>#NAME?</v>
      </c>
      <c r="H51" s="1" t="str">
        <f t="shared" ca="1" si="12"/>
        <v>Other</v>
      </c>
      <c r="I51" s="1" t="s">
        <v>512</v>
      </c>
      <c r="J51" s="1" t="str">
        <f t="shared" si="3"/>
        <v>8GB</v>
      </c>
      <c r="K51" s="1" t="s">
        <v>513</v>
      </c>
      <c r="L51" s="1">
        <f t="shared" si="4"/>
        <v>16</v>
      </c>
      <c r="M51" s="1" t="s">
        <v>322</v>
      </c>
      <c r="N51" s="1" t="str">
        <f t="shared" si="5"/>
        <v>1TB</v>
      </c>
      <c r="O51" s="1" t="str">
        <f t="shared" si="6"/>
        <v>1024GB</v>
      </c>
      <c r="P51" s="1" t="s">
        <v>89</v>
      </c>
      <c r="Q51" s="1" t="str">
        <f t="shared" si="7"/>
        <v>2560x1600</v>
      </c>
      <c r="R51" s="1" t="s">
        <v>256</v>
      </c>
      <c r="S51" s="1" t="str">
        <f t="shared" si="8"/>
        <v>240Hz</v>
      </c>
      <c r="T51" s="1" t="s">
        <v>40</v>
      </c>
      <c r="U51" s="1" t="str">
        <f t="shared" si="9"/>
        <v>Windows 11 Home</v>
      </c>
      <c r="V51" s="1" t="s">
        <v>518</v>
      </c>
      <c r="W51" s="1" t="str">
        <f t="shared" si="10"/>
        <v>1.95 kg</v>
      </c>
      <c r="X51" s="1" t="s">
        <v>129</v>
      </c>
      <c r="Y51" s="1" t="str">
        <f t="shared" si="11"/>
        <v>1 Year</v>
      </c>
      <c r="Z51" s="4">
        <v>108000</v>
      </c>
      <c r="AA51" s="1" t="s">
        <v>5735</v>
      </c>
    </row>
    <row r="52" spans="1:27" ht="15.75" customHeight="1" x14ac:dyDescent="0.35">
      <c r="A52" s="1" t="s">
        <v>30</v>
      </c>
      <c r="B52" s="1" t="str">
        <f t="shared" si="0"/>
        <v>MSI</v>
      </c>
      <c r="C52" s="1" t="s">
        <v>521</v>
      </c>
      <c r="D52" s="1" t="str">
        <f t="shared" si="1"/>
        <v>Stealth 16 AI Studio A1VGG</v>
      </c>
      <c r="E52" s="1" t="str">
        <f t="array" aca="1" ref="E52" ca="1">IFERROR(
INDEX(Family_Map!$B$2:$B$35,
_xludf.AGGREGATE(14,6,(ROW(Family_Map!$A$2:$A$35)-ROW(Family_Map!$A$2)+1)/(ISNUMBER(SEARCH(Family_Map!$A$2:$A$35,D52))),1)
),
"Other")</f>
        <v>Other</v>
      </c>
      <c r="F52" s="1" t="s">
        <v>510</v>
      </c>
      <c r="G52" s="1" t="e">
        <f t="shared" ca="1" si="2"/>
        <v>#NAME?</v>
      </c>
      <c r="H52" s="1" t="str">
        <f t="shared" ca="1" si="12"/>
        <v>Other</v>
      </c>
      <c r="I52" s="1" t="s">
        <v>410</v>
      </c>
      <c r="J52" s="1" t="str">
        <f t="shared" si="3"/>
        <v>8GB</v>
      </c>
      <c r="K52" s="1" t="s">
        <v>523</v>
      </c>
      <c r="L52" s="1">
        <f t="shared" si="4"/>
        <v>32</v>
      </c>
      <c r="M52" s="1" t="s">
        <v>524</v>
      </c>
      <c r="N52" s="1" t="str">
        <f t="shared" si="5"/>
        <v>1 TB</v>
      </c>
      <c r="O52" s="1" t="str">
        <f t="shared" si="6"/>
        <v>1024GB</v>
      </c>
      <c r="P52" s="1" t="s">
        <v>224</v>
      </c>
      <c r="Q52" s="1" t="str">
        <f t="shared" si="7"/>
        <v>2560x1600</v>
      </c>
      <c r="R52" s="1" t="s">
        <v>256</v>
      </c>
      <c r="S52" s="1" t="str">
        <f t="shared" si="8"/>
        <v>240Hz</v>
      </c>
      <c r="T52" s="1" t="s">
        <v>40</v>
      </c>
      <c r="U52" s="1" t="str">
        <f t="shared" si="9"/>
        <v>Windows 11 Home</v>
      </c>
      <c r="V52" s="1" t="s">
        <v>529</v>
      </c>
      <c r="W52" s="1" t="str">
        <f t="shared" si="10"/>
        <v>1.99 kg</v>
      </c>
      <c r="X52" s="1" t="s">
        <v>129</v>
      </c>
      <c r="Y52" s="1" t="str">
        <f t="shared" si="11"/>
        <v>1 Year</v>
      </c>
      <c r="Z52" s="4">
        <v>104999</v>
      </c>
      <c r="AA52" s="1" t="s">
        <v>5735</v>
      </c>
    </row>
    <row r="53" spans="1:27" ht="15.75" customHeight="1" x14ac:dyDescent="0.35">
      <c r="A53" s="1" t="s">
        <v>30</v>
      </c>
      <c r="B53" s="1" t="str">
        <f t="shared" si="0"/>
        <v>MSI</v>
      </c>
      <c r="C53" s="1" t="s">
        <v>532</v>
      </c>
      <c r="D53" s="1" t="str">
        <f t="shared" si="1"/>
        <v>Vector 16 HX AI A2XWIG</v>
      </c>
      <c r="E53" s="1" t="str">
        <f t="array" aca="1" ref="E53" ca="1">IFERROR(
INDEX(Family_Map!$B$2:$B$35,
_xludf.AGGREGATE(14,6,(ROW(Family_Map!$A$2:$A$35)-ROW(Family_Map!$A$2)+1)/(ISNUMBER(SEARCH(Family_Map!$A$2:$A$35,D53))),1)
),
"Other")</f>
        <v>Other</v>
      </c>
      <c r="F53" s="1" t="s">
        <v>320</v>
      </c>
      <c r="G53" s="1" t="e">
        <f t="shared" ca="1" si="2"/>
        <v>#NAME?</v>
      </c>
      <c r="H53" s="1" t="str">
        <f t="shared" ca="1" si="12"/>
        <v>Other</v>
      </c>
      <c r="I53" s="1" t="s">
        <v>252</v>
      </c>
      <c r="J53" s="1" t="str">
        <f t="shared" si="3"/>
        <v>16GB</v>
      </c>
      <c r="K53" s="1" t="s">
        <v>534</v>
      </c>
      <c r="L53" s="1">
        <f t="shared" si="4"/>
        <v>16</v>
      </c>
      <c r="M53" s="1" t="s">
        <v>322</v>
      </c>
      <c r="N53" s="1" t="str">
        <f t="shared" si="5"/>
        <v>1TB</v>
      </c>
      <c r="O53" s="1" t="str">
        <f t="shared" si="6"/>
        <v>1024GB</v>
      </c>
      <c r="P53" s="1" t="s">
        <v>224</v>
      </c>
      <c r="Q53" s="1" t="str">
        <f t="shared" si="7"/>
        <v>2560x1600</v>
      </c>
      <c r="R53" s="1" t="s">
        <v>256</v>
      </c>
      <c r="S53" s="1" t="str">
        <f t="shared" si="8"/>
        <v>240Hz</v>
      </c>
      <c r="T53" s="1" t="s">
        <v>90</v>
      </c>
      <c r="U53" s="1" t="str">
        <f t="shared" si="9"/>
        <v>Windows 11 Home</v>
      </c>
      <c r="V53" s="1" t="s">
        <v>537</v>
      </c>
      <c r="W53" s="1" t="str">
        <f t="shared" si="10"/>
        <v>2.7 kg</v>
      </c>
      <c r="X53" s="1" t="s">
        <v>339</v>
      </c>
      <c r="Y53" s="1" t="str">
        <f t="shared" si="11"/>
        <v>2 Years</v>
      </c>
      <c r="Z53" s="4">
        <v>151999</v>
      </c>
      <c r="AA53" s="1" t="s">
        <v>5735</v>
      </c>
    </row>
    <row r="54" spans="1:27" ht="15.75" customHeight="1" x14ac:dyDescent="0.35">
      <c r="A54" s="1" t="s">
        <v>112</v>
      </c>
      <c r="B54" s="1" t="str">
        <f t="shared" si="0"/>
        <v>HP</v>
      </c>
      <c r="C54" s="1" t="s">
        <v>538</v>
      </c>
      <c r="D54" s="1" t="str">
        <f t="shared" si="1"/>
        <v>Omen 16-AE0075CL</v>
      </c>
      <c r="E54" s="1" t="str">
        <f t="array" aca="1" ref="E54" ca="1">IFERROR(
INDEX(Family_Map!$B$2:$B$35,
_xludf.AGGREGATE(14,6,(ROW(Family_Map!$A$2:$A$35)-ROW(Family_Map!$A$2)+1)/(ISNUMBER(SEARCH(Family_Map!$A$2:$A$35,D54))),1)
),
"Other")</f>
        <v>Other</v>
      </c>
      <c r="F54" s="1" t="s">
        <v>539</v>
      </c>
      <c r="G54" s="1" t="e">
        <f t="shared" ca="1" si="2"/>
        <v>#NAME?</v>
      </c>
      <c r="H54" s="1" t="str">
        <f t="shared" ca="1" si="12"/>
        <v>Other</v>
      </c>
      <c r="I54" s="1" t="s">
        <v>540</v>
      </c>
      <c r="J54" s="1" t="str">
        <f t="shared" si="3"/>
        <v>8 GB</v>
      </c>
      <c r="K54" s="1" t="s">
        <v>541</v>
      </c>
      <c r="L54" s="1">
        <f t="shared" si="4"/>
        <v>16</v>
      </c>
      <c r="M54" s="1" t="s">
        <v>542</v>
      </c>
      <c r="N54" s="1" t="str">
        <f t="shared" si="5"/>
        <v>1 TB</v>
      </c>
      <c r="O54" s="1" t="str">
        <f t="shared" si="6"/>
        <v>1024GB</v>
      </c>
      <c r="P54" s="1" t="s">
        <v>120</v>
      </c>
      <c r="Q54" s="1" t="str">
        <f t="shared" si="7"/>
        <v>1920x1080</v>
      </c>
      <c r="R54" s="1" t="s">
        <v>75</v>
      </c>
      <c r="S54" s="1" t="str">
        <f t="shared" si="8"/>
        <v>144Hz</v>
      </c>
      <c r="T54" s="1" t="s">
        <v>90</v>
      </c>
      <c r="U54" s="1" t="str">
        <f t="shared" si="9"/>
        <v>Windows 11 Home</v>
      </c>
      <c r="V54" s="1" t="s">
        <v>547</v>
      </c>
      <c r="W54" s="1" t="str">
        <f t="shared" si="10"/>
        <v>2.31 kg</v>
      </c>
      <c r="X54" s="1" t="s">
        <v>129</v>
      </c>
      <c r="Y54" s="1" t="str">
        <f t="shared" si="11"/>
        <v>1 Year</v>
      </c>
      <c r="Z54" s="4">
        <v>82399</v>
      </c>
      <c r="AA54" s="1" t="s">
        <v>65</v>
      </c>
    </row>
    <row r="55" spans="1:27" ht="15.75" customHeight="1" x14ac:dyDescent="0.35">
      <c r="A55" s="1" t="s">
        <v>30</v>
      </c>
      <c r="B55" s="1" t="str">
        <f t="shared" si="0"/>
        <v>MSI</v>
      </c>
      <c r="C55" s="1" t="s">
        <v>550</v>
      </c>
      <c r="D55" s="1" t="str">
        <f t="shared" si="1"/>
        <v>Vector 16 HX A14VIG</v>
      </c>
      <c r="E55" s="1" t="str">
        <f t="array" aca="1" ref="E55" ca="1">IFERROR(
INDEX(Family_Map!$B$2:$B$35,
_xludf.AGGREGATE(14,6,(ROW(Family_Map!$A$2:$A$35)-ROW(Family_Map!$A$2)+1)/(ISNUMBER(SEARCH(Family_Map!$A$2:$A$35,D55))),1)
),
"Other")</f>
        <v>Other</v>
      </c>
      <c r="F55" s="1" t="s">
        <v>490</v>
      </c>
      <c r="G55" s="1" t="e">
        <f t="shared" ca="1" si="2"/>
        <v>#NAME?</v>
      </c>
      <c r="H55" s="1" t="str">
        <f t="shared" ca="1" si="12"/>
        <v>Other</v>
      </c>
      <c r="I55" s="1" t="s">
        <v>552</v>
      </c>
      <c r="J55" s="1" t="str">
        <f t="shared" si="3"/>
        <v>16GB</v>
      </c>
      <c r="K55" s="1" t="s">
        <v>553</v>
      </c>
      <c r="L55" s="1">
        <f t="shared" si="4"/>
        <v>32</v>
      </c>
      <c r="M55" s="1" t="s">
        <v>554</v>
      </c>
      <c r="N55" s="1" t="str">
        <f t="shared" si="5"/>
        <v>1TB</v>
      </c>
      <c r="O55" s="1" t="str">
        <f t="shared" si="6"/>
        <v>1024GB</v>
      </c>
      <c r="P55" s="1" t="s">
        <v>224</v>
      </c>
      <c r="Q55" s="1" t="str">
        <f t="shared" si="7"/>
        <v>2560x1600</v>
      </c>
      <c r="R55" s="1" t="s">
        <v>256</v>
      </c>
      <c r="S55" s="1" t="str">
        <f t="shared" si="8"/>
        <v>240Hz</v>
      </c>
      <c r="T55" s="1" t="s">
        <v>555</v>
      </c>
      <c r="U55" s="1" t="str">
        <f t="shared" si="9"/>
        <v>Windows 11 Home</v>
      </c>
      <c r="V55" s="1" t="s">
        <v>537</v>
      </c>
      <c r="W55" s="1" t="str">
        <f t="shared" si="10"/>
        <v>2.7 kg</v>
      </c>
      <c r="X55" s="1" t="s">
        <v>129</v>
      </c>
      <c r="Y55" s="1" t="str">
        <f t="shared" si="11"/>
        <v>1 Year</v>
      </c>
      <c r="Z55" s="4">
        <v>179888</v>
      </c>
      <c r="AA55" s="1" t="s">
        <v>65</v>
      </c>
    </row>
    <row r="56" spans="1:27" ht="15.75" customHeight="1" x14ac:dyDescent="0.35">
      <c r="A56" s="1" t="s">
        <v>30</v>
      </c>
      <c r="B56" s="1" t="str">
        <f t="shared" si="0"/>
        <v>MSI</v>
      </c>
      <c r="C56" s="1" t="s">
        <v>557</v>
      </c>
      <c r="D56" s="1" t="str">
        <f t="shared" si="1"/>
        <v>Vector 16 HX AI A2XWHG</v>
      </c>
      <c r="E56" s="1" t="str">
        <f t="array" aca="1" ref="E56" ca="1">IFERROR(
INDEX(Family_Map!$B$2:$B$35,
_xludf.AGGREGATE(14,6,(ROW(Family_Map!$A$2:$A$35)-ROW(Family_Map!$A$2)+1)/(ISNUMBER(SEARCH(Family_Map!$A$2:$A$35,D56))),1)
),
"Other")</f>
        <v>Other</v>
      </c>
      <c r="F56" s="1" t="s">
        <v>320</v>
      </c>
      <c r="G56" s="1" t="e">
        <f t="shared" ca="1" si="2"/>
        <v>#NAME?</v>
      </c>
      <c r="H56" s="1" t="str">
        <f t="shared" ca="1" si="12"/>
        <v>Other</v>
      </c>
      <c r="I56" s="1" t="s">
        <v>272</v>
      </c>
      <c r="J56" s="1" t="str">
        <f t="shared" si="3"/>
        <v>12GB</v>
      </c>
      <c r="K56" s="1" t="s">
        <v>559</v>
      </c>
      <c r="L56" s="1">
        <f t="shared" si="4"/>
        <v>32</v>
      </c>
      <c r="M56" s="1" t="s">
        <v>560</v>
      </c>
      <c r="N56" s="1" t="str">
        <f t="shared" si="5"/>
        <v>1TB</v>
      </c>
      <c r="O56" s="1" t="str">
        <f t="shared" si="6"/>
        <v>1024GB</v>
      </c>
      <c r="P56" s="1" t="s">
        <v>224</v>
      </c>
      <c r="Q56" s="1" t="str">
        <f t="shared" si="7"/>
        <v>2560x1600</v>
      </c>
      <c r="R56" s="1" t="s">
        <v>256</v>
      </c>
      <c r="S56" s="1" t="str">
        <f t="shared" si="8"/>
        <v>240Hz</v>
      </c>
      <c r="T56" s="1" t="s">
        <v>201</v>
      </c>
      <c r="U56" s="1" t="str">
        <f t="shared" si="9"/>
        <v>Windows 11 Home</v>
      </c>
      <c r="V56" s="1" t="s">
        <v>537</v>
      </c>
      <c r="W56" s="1" t="str">
        <f t="shared" si="10"/>
        <v>2.7 kg</v>
      </c>
      <c r="X56" s="1" t="s">
        <v>165</v>
      </c>
      <c r="Y56" s="1" t="str">
        <f t="shared" si="11"/>
        <v>2 Years</v>
      </c>
      <c r="Z56" s="4">
        <v>129999</v>
      </c>
      <c r="AA56" s="1" t="s">
        <v>5735</v>
      </c>
    </row>
    <row r="57" spans="1:27" ht="15.75" customHeight="1" x14ac:dyDescent="0.35">
      <c r="A57" s="1" t="s">
        <v>30</v>
      </c>
      <c r="B57" s="1" t="str">
        <f t="shared" si="0"/>
        <v>MSI</v>
      </c>
      <c r="C57" s="1" t="s">
        <v>532</v>
      </c>
      <c r="D57" s="1" t="str">
        <f t="shared" si="1"/>
        <v>Vector 16 HX AI A2XWIG</v>
      </c>
      <c r="E57" s="1" t="str">
        <f t="array" aca="1" ref="E57" ca="1">IFERROR(
INDEX(Family_Map!$B$2:$B$35,
_xludf.AGGREGATE(14,6,(ROW(Family_Map!$A$2:$A$35)-ROW(Family_Map!$A$2)+1)/(ISNUMBER(SEARCH(Family_Map!$A$2:$A$35,D57))),1)
),
"Other")</f>
        <v>Other</v>
      </c>
      <c r="F57" s="1" t="s">
        <v>320</v>
      </c>
      <c r="G57" s="1" t="e">
        <f t="shared" ca="1" si="2"/>
        <v>#NAME?</v>
      </c>
      <c r="H57" s="1" t="str">
        <f t="shared" ca="1" si="12"/>
        <v>Other</v>
      </c>
      <c r="I57" s="1" t="s">
        <v>252</v>
      </c>
      <c r="J57" s="1" t="str">
        <f t="shared" si="3"/>
        <v>16GB</v>
      </c>
      <c r="K57" s="1" t="s">
        <v>563</v>
      </c>
      <c r="L57" s="1">
        <f t="shared" si="4"/>
        <v>32</v>
      </c>
      <c r="M57" s="1" t="s">
        <v>560</v>
      </c>
      <c r="N57" s="1" t="str">
        <f t="shared" si="5"/>
        <v>1TB</v>
      </c>
      <c r="O57" s="1" t="str">
        <f t="shared" si="6"/>
        <v>1024GB</v>
      </c>
      <c r="P57" s="1" t="s">
        <v>224</v>
      </c>
      <c r="Q57" s="1" t="str">
        <f t="shared" si="7"/>
        <v>2560x1600</v>
      </c>
      <c r="R57" s="1" t="s">
        <v>256</v>
      </c>
      <c r="S57" s="1" t="str">
        <f t="shared" si="8"/>
        <v>240Hz</v>
      </c>
      <c r="T57" s="1" t="s">
        <v>201</v>
      </c>
      <c r="U57" s="1" t="str">
        <f t="shared" si="9"/>
        <v>Windows 11 Home</v>
      </c>
      <c r="V57" s="1" t="s">
        <v>537</v>
      </c>
      <c r="W57" s="1" t="str">
        <f t="shared" si="10"/>
        <v>2.7 kg</v>
      </c>
      <c r="X57" s="1" t="s">
        <v>165</v>
      </c>
      <c r="Y57" s="1" t="str">
        <f t="shared" si="11"/>
        <v>2 Years</v>
      </c>
      <c r="Z57" s="4">
        <v>169999</v>
      </c>
      <c r="AA57" s="1" t="s">
        <v>5735</v>
      </c>
    </row>
    <row r="58" spans="1:27" ht="15.75" customHeight="1" x14ac:dyDescent="0.35">
      <c r="A58" s="1" t="s">
        <v>30</v>
      </c>
      <c r="B58" s="1" t="str">
        <f t="shared" si="0"/>
        <v>MSI</v>
      </c>
      <c r="C58" s="1" t="s">
        <v>564</v>
      </c>
      <c r="D58" s="1" t="str">
        <f t="shared" si="1"/>
        <v>Titan 18 HX AI A2XWJG</v>
      </c>
      <c r="E58" s="1" t="str">
        <f t="array" aca="1" ref="E58" ca="1">IFERROR(
INDEX(Family_Map!$B$2:$B$35,
_xludf.AGGREGATE(14,6,(ROW(Family_Map!$A$2:$A$35)-ROW(Family_Map!$A$2)+1)/(ISNUMBER(SEARCH(Family_Map!$A$2:$A$35,D58))),1)
),
"Other")</f>
        <v>Other</v>
      </c>
      <c r="F58" s="1" t="s">
        <v>32</v>
      </c>
      <c r="G58" s="1" t="e">
        <f t="shared" ca="1" si="2"/>
        <v>#NAME?</v>
      </c>
      <c r="H58" s="1" t="str">
        <f t="shared" ca="1" si="12"/>
        <v>Other</v>
      </c>
      <c r="I58" s="1" t="s">
        <v>34</v>
      </c>
      <c r="J58" s="1" t="str">
        <f t="shared" si="3"/>
        <v>24GB</v>
      </c>
      <c r="K58" s="1" t="s">
        <v>342</v>
      </c>
      <c r="L58" s="1">
        <f t="shared" si="4"/>
        <v>64</v>
      </c>
      <c r="M58" s="1" t="s">
        <v>566</v>
      </c>
      <c r="N58" s="1" t="str">
        <f t="shared" si="5"/>
        <v>4TB</v>
      </c>
      <c r="O58" s="1" t="str">
        <f t="shared" si="6"/>
        <v>4096GB</v>
      </c>
      <c r="P58" s="1" t="s">
        <v>38</v>
      </c>
      <c r="Q58" s="1" t="str">
        <f t="shared" si="7"/>
        <v>3840x2400</v>
      </c>
      <c r="R58" s="1" t="s">
        <v>39</v>
      </c>
      <c r="S58" s="1" t="str">
        <f t="shared" si="8"/>
        <v>120Hz</v>
      </c>
      <c r="T58" s="1" t="s">
        <v>201</v>
      </c>
      <c r="U58" s="1" t="str">
        <f t="shared" si="9"/>
        <v>Windows 11 Home</v>
      </c>
      <c r="V58" s="1" t="s">
        <v>46</v>
      </c>
      <c r="W58" s="1" t="str">
        <f t="shared" si="10"/>
        <v>3.6 kg</v>
      </c>
      <c r="X58" s="1" t="s">
        <v>165</v>
      </c>
      <c r="Y58" s="1" t="str">
        <f t="shared" si="11"/>
        <v>2 Years</v>
      </c>
      <c r="Z58" s="4">
        <v>299999</v>
      </c>
      <c r="AA58" s="1" t="s">
        <v>5735</v>
      </c>
    </row>
    <row r="59" spans="1:27" ht="15.75" customHeight="1" x14ac:dyDescent="0.35">
      <c r="A59" s="1" t="s">
        <v>151</v>
      </c>
      <c r="B59" s="1" t="str">
        <f t="shared" si="0"/>
        <v>Lenovo</v>
      </c>
      <c r="C59" s="1" t="s">
        <v>568</v>
      </c>
      <c r="D59" s="1" t="str">
        <f t="shared" si="1"/>
        <v>LOQ 15IRX9</v>
      </c>
      <c r="E59" s="1" t="str">
        <f t="array" aca="1" ref="E59" ca="1">IFERROR(
INDEX(Family_Map!$B$2:$B$35,
_xludf.AGGREGATE(14,6,(ROW(Family_Map!$A$2:$A$35)-ROW(Family_Map!$A$2)+1)/(ISNUMBER(SEARCH(Family_Map!$A$2:$A$35,D59))),1)
),
"Other")</f>
        <v>Other</v>
      </c>
      <c r="F59" s="1" t="s">
        <v>569</v>
      </c>
      <c r="G59" s="1" t="e">
        <f t="shared" ca="1" si="2"/>
        <v>#NAME?</v>
      </c>
      <c r="H59" s="1" t="str">
        <f t="shared" ca="1" si="12"/>
        <v>Other</v>
      </c>
      <c r="I59" s="1" t="s">
        <v>70</v>
      </c>
      <c r="J59" s="1" t="str">
        <f t="shared" si="3"/>
        <v>6GB</v>
      </c>
      <c r="K59" s="1" t="s">
        <v>570</v>
      </c>
      <c r="L59" s="1">
        <f t="shared" si="4"/>
        <v>24</v>
      </c>
      <c r="M59" s="1" t="s">
        <v>156</v>
      </c>
      <c r="N59" s="1" t="str">
        <f t="shared" si="5"/>
        <v>512GB</v>
      </c>
      <c r="O59" s="1" t="str">
        <f t="shared" si="6"/>
        <v>512GB</v>
      </c>
      <c r="P59" s="1" t="s">
        <v>74</v>
      </c>
      <c r="Q59" s="1" t="str">
        <f t="shared" si="7"/>
        <v>1920x1080</v>
      </c>
      <c r="R59" s="1" t="s">
        <v>75</v>
      </c>
      <c r="S59" s="1" t="str">
        <f t="shared" si="8"/>
        <v>144Hz</v>
      </c>
      <c r="U59" s="1" t="str">
        <f t="shared" si="9"/>
        <v>Unknown</v>
      </c>
      <c r="V59" s="1" t="s">
        <v>398</v>
      </c>
      <c r="W59" s="1" t="str">
        <f t="shared" si="10"/>
        <v>2.38 kg</v>
      </c>
      <c r="X59" s="1" t="s">
        <v>165</v>
      </c>
      <c r="Y59" s="1" t="str">
        <f t="shared" si="11"/>
        <v>2 Years</v>
      </c>
      <c r="Z59" s="4">
        <v>36666</v>
      </c>
      <c r="AA59" s="1" t="s">
        <v>79</v>
      </c>
    </row>
    <row r="60" spans="1:27" ht="15.75" customHeight="1" x14ac:dyDescent="0.35">
      <c r="A60" s="1" t="s">
        <v>234</v>
      </c>
      <c r="B60" s="1" t="str">
        <f t="shared" si="0"/>
        <v>ASUS</v>
      </c>
      <c r="C60" s="1" t="s">
        <v>574</v>
      </c>
      <c r="D60" s="1" t="str">
        <f t="shared" si="1"/>
        <v>ROG Strix SCAR 16 G635LW-AI264W</v>
      </c>
      <c r="E60" s="1" t="str">
        <f t="array" aca="1" ref="E60" ca="1">IFERROR(
INDEX(Family_Map!$B$2:$B$35,
_xludf.AGGREGATE(14,6,(ROW(Family_Map!$A$2:$A$35)-ROW(Family_Map!$A$2)+1)/(ISNUMBER(SEARCH(Family_Map!$A$2:$A$35,D60))),1)
),
"Other")</f>
        <v>Other</v>
      </c>
      <c r="F60" s="1" t="s">
        <v>320</v>
      </c>
      <c r="G60" s="1" t="e">
        <f t="shared" ca="1" si="2"/>
        <v>#NAME?</v>
      </c>
      <c r="H60" s="1" t="str">
        <f t="shared" ca="1" si="12"/>
        <v>Other</v>
      </c>
      <c r="I60" s="1" t="s">
        <v>252</v>
      </c>
      <c r="J60" s="1" t="str">
        <f t="shared" si="3"/>
        <v>16GB</v>
      </c>
      <c r="K60" s="1" t="s">
        <v>575</v>
      </c>
      <c r="L60" s="1">
        <f t="shared" si="4"/>
        <v>64</v>
      </c>
      <c r="M60" s="1" t="s">
        <v>576</v>
      </c>
      <c r="N60" s="1" t="str">
        <f t="shared" si="5"/>
        <v>2TB</v>
      </c>
      <c r="O60" s="1" t="str">
        <f t="shared" si="6"/>
        <v>2048GB</v>
      </c>
      <c r="P60" s="1" t="s">
        <v>89</v>
      </c>
      <c r="Q60" s="1" t="str">
        <f t="shared" si="7"/>
        <v>2560x1600</v>
      </c>
      <c r="R60" s="1" t="s">
        <v>256</v>
      </c>
      <c r="S60" s="1" t="str">
        <f t="shared" si="8"/>
        <v>240Hz</v>
      </c>
      <c r="T60" s="1" t="s">
        <v>201</v>
      </c>
      <c r="U60" s="1" t="str">
        <f t="shared" si="9"/>
        <v>Windows 11 Home</v>
      </c>
      <c r="V60" s="1" t="s">
        <v>579</v>
      </c>
      <c r="W60" s="1" t="str">
        <f t="shared" si="10"/>
        <v>2.8 kg</v>
      </c>
      <c r="X60" s="1" t="s">
        <v>78</v>
      </c>
      <c r="Y60" s="1" t="str">
        <f t="shared" si="11"/>
        <v>1 Year</v>
      </c>
      <c r="Z60" s="4">
        <v>193999</v>
      </c>
      <c r="AA60" s="1" t="s">
        <v>5735</v>
      </c>
    </row>
    <row r="61" spans="1:27" ht="15.75" customHeight="1" x14ac:dyDescent="0.35">
      <c r="A61" s="1" t="s">
        <v>234</v>
      </c>
      <c r="B61" s="1" t="str">
        <f t="shared" si="0"/>
        <v>ASUS</v>
      </c>
      <c r="C61" s="1" t="s">
        <v>581</v>
      </c>
      <c r="D61" s="1" t="str">
        <f t="shared" si="1"/>
        <v>ROG Strix SCAR 16 G635LR-AI321W</v>
      </c>
      <c r="E61" s="1" t="str">
        <f t="array" aca="1" ref="E61" ca="1">IFERROR(
INDEX(Family_Map!$B$2:$B$35,
_xludf.AGGREGATE(14,6,(ROW(Family_Map!$A$2:$A$35)-ROW(Family_Map!$A$2)+1)/(ISNUMBER(SEARCH(Family_Map!$A$2:$A$35,D61))),1)
),
"Other")</f>
        <v>Other</v>
      </c>
      <c r="F61" s="1" t="s">
        <v>582</v>
      </c>
      <c r="G61" s="1" t="e">
        <f t="shared" ca="1" si="2"/>
        <v>#NAME?</v>
      </c>
      <c r="H61" s="1" t="str">
        <f t="shared" ca="1" si="12"/>
        <v>Other</v>
      </c>
      <c r="I61" s="1" t="s">
        <v>272</v>
      </c>
      <c r="J61" s="1" t="str">
        <f t="shared" si="3"/>
        <v>12GB</v>
      </c>
      <c r="K61" s="1" t="s">
        <v>483</v>
      </c>
      <c r="L61" s="1">
        <f t="shared" si="4"/>
        <v>32</v>
      </c>
      <c r="M61" s="1" t="s">
        <v>472</v>
      </c>
      <c r="N61" s="1" t="str">
        <f t="shared" si="5"/>
        <v>1TB</v>
      </c>
      <c r="O61" s="1" t="str">
        <f t="shared" si="6"/>
        <v>1024GB</v>
      </c>
      <c r="P61" s="1" t="s">
        <v>89</v>
      </c>
      <c r="Q61" s="1" t="str">
        <f t="shared" si="7"/>
        <v>2560x1600</v>
      </c>
      <c r="R61" s="1" t="s">
        <v>256</v>
      </c>
      <c r="S61" s="1" t="str">
        <f t="shared" si="8"/>
        <v>240Hz</v>
      </c>
      <c r="T61" s="1" t="s">
        <v>201</v>
      </c>
      <c r="U61" s="1" t="str">
        <f t="shared" si="9"/>
        <v>Windows 11 Home</v>
      </c>
      <c r="V61" s="1" t="s">
        <v>579</v>
      </c>
      <c r="W61" s="1" t="str">
        <f t="shared" si="10"/>
        <v>2.8 kg</v>
      </c>
      <c r="X61" s="1" t="s">
        <v>78</v>
      </c>
      <c r="Y61" s="1" t="str">
        <f t="shared" si="11"/>
        <v>1 Year</v>
      </c>
      <c r="Z61" s="4">
        <v>155000</v>
      </c>
      <c r="AA61" s="1" t="s">
        <v>5735</v>
      </c>
    </row>
    <row r="62" spans="1:27" ht="15.75" customHeight="1" x14ac:dyDescent="0.35">
      <c r="A62" s="1" t="s">
        <v>234</v>
      </c>
      <c r="B62" s="1" t="str">
        <f t="shared" si="0"/>
        <v>ASUS</v>
      </c>
      <c r="C62" s="1" t="s">
        <v>585</v>
      </c>
      <c r="D62" s="1" t="str">
        <f t="shared" si="1"/>
        <v>ROG Zephyrus G16 GU605CR-QR232W</v>
      </c>
      <c r="E62" s="1" t="str">
        <f t="array" aca="1" ref="E62" ca="1">IFERROR(
INDEX(Family_Map!$B$2:$B$35,
_xludf.AGGREGATE(14,6,(ROW(Family_Map!$A$2:$A$35)-ROW(Family_Map!$A$2)+1)/(ISNUMBER(SEARCH(Family_Map!$A$2:$A$35,D62))),1)
),
"Other")</f>
        <v>Other</v>
      </c>
      <c r="F62" s="1" t="s">
        <v>586</v>
      </c>
      <c r="G62" s="1" t="e">
        <f t="shared" ca="1" si="2"/>
        <v>#NAME?</v>
      </c>
      <c r="H62" s="1" t="str">
        <f t="shared" ca="1" si="12"/>
        <v>Other</v>
      </c>
      <c r="I62" s="1" t="s">
        <v>272</v>
      </c>
      <c r="J62" s="1" t="str">
        <f t="shared" si="3"/>
        <v>12GB</v>
      </c>
      <c r="K62" s="1" t="s">
        <v>588</v>
      </c>
      <c r="L62" s="1">
        <f t="shared" si="4"/>
        <v>32</v>
      </c>
      <c r="M62" s="1" t="s">
        <v>589</v>
      </c>
      <c r="N62" s="1" t="str">
        <f t="shared" si="5"/>
        <v>2TB</v>
      </c>
      <c r="O62" s="1" t="str">
        <f t="shared" si="6"/>
        <v>2048GB</v>
      </c>
      <c r="P62" s="1" t="s">
        <v>89</v>
      </c>
      <c r="Q62" s="1" t="str">
        <f t="shared" si="7"/>
        <v>2560x1600</v>
      </c>
      <c r="R62" s="1" t="s">
        <v>256</v>
      </c>
      <c r="S62" s="1" t="str">
        <f t="shared" si="8"/>
        <v>240Hz</v>
      </c>
      <c r="T62" s="1" t="s">
        <v>201</v>
      </c>
      <c r="U62" s="1" t="str">
        <f t="shared" si="9"/>
        <v>Windows 11 Home</v>
      </c>
      <c r="V62" s="1" t="s">
        <v>518</v>
      </c>
      <c r="W62" s="1" t="str">
        <f t="shared" si="10"/>
        <v>1.95 kg</v>
      </c>
      <c r="X62" s="1" t="s">
        <v>78</v>
      </c>
      <c r="Y62" s="1" t="str">
        <f t="shared" si="11"/>
        <v>1 Year</v>
      </c>
      <c r="Z62" s="4">
        <v>147777</v>
      </c>
      <c r="AA62" s="1" t="s">
        <v>5735</v>
      </c>
    </row>
    <row r="63" spans="1:27" ht="15.75" customHeight="1" x14ac:dyDescent="0.35">
      <c r="A63" s="1" t="s">
        <v>112</v>
      </c>
      <c r="B63" s="1" t="str">
        <f t="shared" si="0"/>
        <v>HP</v>
      </c>
      <c r="C63" s="1" t="s">
        <v>597</v>
      </c>
      <c r="D63" s="1" t="str">
        <f t="shared" si="1"/>
        <v>Omen Max AH0097</v>
      </c>
      <c r="E63" s="1" t="str">
        <f t="array" aca="1" ref="E63" ca="1">IFERROR(
INDEX(Family_Map!$B$2:$B$35,
_xludf.AGGREGATE(14,6,(ROW(Family_Map!$A$2:$A$35)-ROW(Family_Map!$A$2)+1)/(ISNUMBER(SEARCH(Family_Map!$A$2:$A$35,D63))),1)
),
"Other")</f>
        <v>Other</v>
      </c>
      <c r="F63" s="1" t="s">
        <v>598</v>
      </c>
      <c r="G63" s="1" t="e">
        <f t="shared" ca="1" si="2"/>
        <v>#NAME?</v>
      </c>
      <c r="H63" s="1" t="str">
        <f t="shared" ca="1" si="12"/>
        <v>Other</v>
      </c>
      <c r="I63" s="1" t="s">
        <v>599</v>
      </c>
      <c r="J63" s="1" t="str">
        <f t="shared" si="3"/>
        <v>16 GB</v>
      </c>
      <c r="K63" s="1" t="s">
        <v>211</v>
      </c>
      <c r="L63" s="1">
        <f t="shared" si="4"/>
        <v>32</v>
      </c>
      <c r="M63" s="1" t="s">
        <v>171</v>
      </c>
      <c r="N63" s="1" t="str">
        <f t="shared" si="5"/>
        <v>1 TB</v>
      </c>
      <c r="O63" s="1" t="str">
        <f t="shared" si="6"/>
        <v>1024GB</v>
      </c>
      <c r="P63" s="1" t="s">
        <v>89</v>
      </c>
      <c r="Q63" s="1" t="str">
        <f t="shared" si="7"/>
        <v>2560x1600</v>
      </c>
      <c r="R63" s="1" t="s">
        <v>256</v>
      </c>
      <c r="S63" s="1" t="str">
        <f t="shared" si="8"/>
        <v>240Hz</v>
      </c>
      <c r="T63" s="1" t="s">
        <v>201</v>
      </c>
      <c r="U63" s="1" t="str">
        <f t="shared" si="9"/>
        <v>Windows 11 Home</v>
      </c>
      <c r="V63" s="1" t="s">
        <v>605</v>
      </c>
      <c r="W63" s="1" t="str">
        <f t="shared" si="10"/>
        <v>2.76 kg</v>
      </c>
      <c r="X63" s="1" t="s">
        <v>78</v>
      </c>
      <c r="Y63" s="1" t="str">
        <f t="shared" si="11"/>
        <v>1 Year</v>
      </c>
      <c r="Z63" s="4">
        <v>200000</v>
      </c>
      <c r="AA63" s="1" t="s">
        <v>5735</v>
      </c>
    </row>
    <row r="64" spans="1:27" ht="15.75" customHeight="1" x14ac:dyDescent="0.35">
      <c r="A64" s="1" t="s">
        <v>112</v>
      </c>
      <c r="B64" s="1" t="str">
        <f t="shared" si="0"/>
        <v>HP</v>
      </c>
      <c r="C64" s="1" t="s">
        <v>608</v>
      </c>
      <c r="D64" s="1" t="str">
        <f t="shared" si="1"/>
        <v>Victus 16-R0026NIA</v>
      </c>
      <c r="E64" s="1" t="str">
        <f t="array" aca="1" ref="E64" ca="1">IFERROR(
INDEX(Family_Map!$B$2:$B$35,
_xludf.AGGREGATE(14,6,(ROW(Family_Map!$A$2:$A$35)-ROW(Family_Map!$A$2)+1)/(ISNUMBER(SEARCH(Family_Map!$A$2:$A$35,D64))),1)
),
"Other")</f>
        <v>Other</v>
      </c>
      <c r="F64" s="1" t="s">
        <v>361</v>
      </c>
      <c r="G64" s="1" t="e">
        <f t="shared" ca="1" si="2"/>
        <v>#NAME?</v>
      </c>
      <c r="H64" s="1" t="str">
        <f t="shared" ca="1" si="12"/>
        <v>Other</v>
      </c>
      <c r="I64" s="1" t="s">
        <v>362</v>
      </c>
      <c r="J64" s="1" t="str">
        <f t="shared" si="3"/>
        <v>6GB</v>
      </c>
      <c r="K64" s="1" t="s">
        <v>609</v>
      </c>
      <c r="L64" s="1">
        <f t="shared" si="4"/>
        <v>16</v>
      </c>
      <c r="M64" s="1" t="s">
        <v>610</v>
      </c>
      <c r="N64" s="1" t="str">
        <f t="shared" si="5"/>
        <v>512GB</v>
      </c>
      <c r="O64" s="1" t="str">
        <f t="shared" si="6"/>
        <v>512GB</v>
      </c>
      <c r="P64" s="1" t="s">
        <v>120</v>
      </c>
      <c r="Q64" s="1" t="str">
        <f t="shared" si="7"/>
        <v>1920x1080</v>
      </c>
      <c r="R64" s="1" t="s">
        <v>75</v>
      </c>
      <c r="S64" s="1" t="str">
        <f t="shared" si="8"/>
        <v>144Hz</v>
      </c>
      <c r="T64" s="1" t="s">
        <v>101</v>
      </c>
      <c r="U64" s="1" t="str">
        <f t="shared" si="9"/>
        <v>DOS</v>
      </c>
      <c r="W64" s="1" t="str">
        <f t="shared" si="10"/>
        <v/>
      </c>
      <c r="X64" s="1" t="s">
        <v>78</v>
      </c>
      <c r="Y64" s="1" t="str">
        <f t="shared" si="11"/>
        <v>1 Year</v>
      </c>
      <c r="Z64" s="4">
        <v>41199</v>
      </c>
      <c r="AA64" s="1" t="s">
        <v>79</v>
      </c>
    </row>
    <row r="65" spans="1:27" ht="15.75" customHeight="1" x14ac:dyDescent="0.35">
      <c r="A65" s="1" t="s">
        <v>151</v>
      </c>
      <c r="B65" s="1" t="str">
        <f t="shared" si="0"/>
        <v>Lenovo</v>
      </c>
      <c r="C65" s="1" t="s">
        <v>568</v>
      </c>
      <c r="D65" s="1" t="str">
        <f t="shared" si="1"/>
        <v>LOQ 15IRX9</v>
      </c>
      <c r="E65" s="1" t="str">
        <f t="array" aca="1" ref="E65" ca="1">IFERROR(
INDEX(Family_Map!$B$2:$B$35,
_xludf.AGGREGATE(14,6,(ROW(Family_Map!$A$2:$A$35)-ROW(Family_Map!$A$2)+1)/(ISNUMBER(SEARCH(Family_Map!$A$2:$A$35,D65))),1)
),
"Other")</f>
        <v>Other</v>
      </c>
      <c r="F65" s="1" t="s">
        <v>539</v>
      </c>
      <c r="G65" s="1" t="e">
        <f t="shared" ca="1" si="2"/>
        <v>#NAME?</v>
      </c>
      <c r="H65" s="1" t="str">
        <f t="shared" ca="1" si="12"/>
        <v>Other</v>
      </c>
      <c r="I65" s="1" t="s">
        <v>410</v>
      </c>
      <c r="J65" s="1" t="str">
        <f t="shared" si="3"/>
        <v>8GB</v>
      </c>
      <c r="K65" s="1" t="s">
        <v>614</v>
      </c>
      <c r="L65" s="1">
        <f t="shared" si="4"/>
        <v>16</v>
      </c>
      <c r="M65" s="1" t="s">
        <v>222</v>
      </c>
      <c r="N65" s="1" t="str">
        <f t="shared" si="5"/>
        <v>1TB</v>
      </c>
      <c r="O65" s="1" t="str">
        <f t="shared" si="6"/>
        <v>1024GB</v>
      </c>
      <c r="P65" s="1" t="s">
        <v>616</v>
      </c>
      <c r="Q65" s="1" t="str">
        <f t="shared" si="7"/>
        <v>1920x1080</v>
      </c>
      <c r="R65" s="1" t="s">
        <v>75</v>
      </c>
      <c r="S65" s="1" t="str">
        <f t="shared" si="8"/>
        <v>144Hz</v>
      </c>
      <c r="T65" s="1" t="s">
        <v>101</v>
      </c>
      <c r="U65" s="1" t="str">
        <f t="shared" si="9"/>
        <v>DOS</v>
      </c>
      <c r="V65" s="1" t="s">
        <v>398</v>
      </c>
      <c r="W65" s="1" t="str">
        <f t="shared" si="10"/>
        <v>2.38 kg</v>
      </c>
      <c r="X65" s="1" t="s">
        <v>165</v>
      </c>
      <c r="Y65" s="1" t="str">
        <f t="shared" si="11"/>
        <v>2 Years</v>
      </c>
      <c r="Z65" s="4">
        <v>58699</v>
      </c>
      <c r="AA65" s="1" t="s">
        <v>65</v>
      </c>
    </row>
    <row r="66" spans="1:27" ht="15.75" customHeight="1" x14ac:dyDescent="0.35">
      <c r="A66" s="1" t="s">
        <v>234</v>
      </c>
      <c r="B66" s="1" t="str">
        <f t="shared" si="0"/>
        <v>ASUS</v>
      </c>
      <c r="C66" s="1" t="s">
        <v>621</v>
      </c>
      <c r="D66" s="1" t="str">
        <f t="shared" si="1"/>
        <v>TUF Gaming F16 FX607VU-RL805W</v>
      </c>
      <c r="E66" s="1" t="str">
        <f t="array" aca="1" ref="E66" ca="1">IFERROR(
INDEX(Family_Map!$B$2:$B$35,
_xludf.AGGREGATE(14,6,(ROW(Family_Map!$A$2:$A$35)-ROW(Family_Map!$A$2)+1)/(ISNUMBER(SEARCH(Family_Map!$A$2:$A$35,D66))),1)
),
"Other")</f>
        <v>Other</v>
      </c>
      <c r="F66" s="1" t="s">
        <v>460</v>
      </c>
      <c r="G66" s="1" t="e">
        <f t="shared" ca="1" si="2"/>
        <v>#NAME?</v>
      </c>
      <c r="H66" s="1" t="str">
        <f t="shared" ca="1" si="12"/>
        <v>Other</v>
      </c>
      <c r="I66" s="1" t="s">
        <v>70</v>
      </c>
      <c r="J66" s="1" t="str">
        <f t="shared" si="3"/>
        <v>6GB</v>
      </c>
      <c r="K66" s="1" t="s">
        <v>622</v>
      </c>
      <c r="L66" s="1">
        <f t="shared" si="4"/>
        <v>8</v>
      </c>
      <c r="M66" s="1" t="s">
        <v>295</v>
      </c>
      <c r="N66" s="1" t="str">
        <f t="shared" si="5"/>
        <v>512GB</v>
      </c>
      <c r="O66" s="1" t="str">
        <f t="shared" si="6"/>
        <v>512GB</v>
      </c>
      <c r="P66" s="1" t="s">
        <v>275</v>
      </c>
      <c r="Q66" s="1" t="str">
        <f t="shared" si="7"/>
        <v>1920x1200</v>
      </c>
      <c r="R66" s="1" t="s">
        <v>75</v>
      </c>
      <c r="S66" s="1" t="str">
        <f t="shared" si="8"/>
        <v>144Hz</v>
      </c>
      <c r="T66" s="1" t="s">
        <v>90</v>
      </c>
      <c r="U66" s="1" t="str">
        <f t="shared" si="9"/>
        <v>Windows 11 Home</v>
      </c>
      <c r="V66" s="1" t="s">
        <v>300</v>
      </c>
      <c r="W66" s="1" t="str">
        <f t="shared" si="10"/>
        <v>2.2 kg</v>
      </c>
      <c r="X66" s="1" t="s">
        <v>78</v>
      </c>
      <c r="Y66" s="1" t="str">
        <f t="shared" si="11"/>
        <v>1 Year</v>
      </c>
      <c r="Z66" s="4">
        <v>39999</v>
      </c>
      <c r="AA66" s="1" t="s">
        <v>5735</v>
      </c>
    </row>
    <row r="67" spans="1:27" ht="15.75" customHeight="1" x14ac:dyDescent="0.35">
      <c r="A67" s="1" t="s">
        <v>234</v>
      </c>
      <c r="B67" s="1" t="str">
        <f t="shared" si="0"/>
        <v>ASUS</v>
      </c>
      <c r="C67" s="1" t="s">
        <v>626</v>
      </c>
      <c r="D67" s="1" t="str">
        <f t="shared" si="1"/>
        <v>Vivobook 16X K3605ZF-RP005W</v>
      </c>
      <c r="E67" s="1" t="str">
        <f t="array" aca="1" ref="E67" ca="1">IFERROR(
INDEX(Family_Map!$B$2:$B$35,
_xludf.AGGREGATE(14,6,(ROW(Family_Map!$A$2:$A$35)-ROW(Family_Map!$A$2)+1)/(ISNUMBER(SEARCH(Family_Map!$A$2:$A$35,D67))),1)
),
"Other")</f>
        <v>Other</v>
      </c>
      <c r="F67" s="1" t="s">
        <v>627</v>
      </c>
      <c r="G67" s="1" t="e">
        <f t="shared" ca="1" si="2"/>
        <v>#NAME?</v>
      </c>
      <c r="H67" s="1" t="str">
        <f t="shared" ca="1" si="12"/>
        <v>Other</v>
      </c>
      <c r="I67" s="1" t="s">
        <v>507</v>
      </c>
      <c r="J67" s="1" t="str">
        <f t="shared" si="3"/>
        <v>4GB</v>
      </c>
      <c r="K67" s="1" t="s">
        <v>628</v>
      </c>
      <c r="L67" s="1">
        <f t="shared" si="4"/>
        <v>8</v>
      </c>
      <c r="M67" s="1" t="s">
        <v>629</v>
      </c>
      <c r="N67" s="1" t="str">
        <f t="shared" si="5"/>
        <v>512GB</v>
      </c>
      <c r="O67" s="1" t="str">
        <f t="shared" si="6"/>
        <v>512GB</v>
      </c>
      <c r="P67" s="1" t="s">
        <v>275</v>
      </c>
      <c r="Q67" s="1" t="str">
        <f t="shared" si="7"/>
        <v>1920x1200</v>
      </c>
      <c r="R67" s="1" t="s">
        <v>75</v>
      </c>
      <c r="S67" s="1" t="str">
        <f t="shared" si="8"/>
        <v>144Hz</v>
      </c>
      <c r="T67" s="1" t="s">
        <v>90</v>
      </c>
      <c r="U67" s="1" t="str">
        <f t="shared" si="9"/>
        <v>Windows 11 Home</v>
      </c>
      <c r="V67" s="1" t="s">
        <v>636</v>
      </c>
      <c r="W67" s="1" t="str">
        <f t="shared" si="10"/>
        <v>1.8 kg</v>
      </c>
      <c r="X67" s="1" t="s">
        <v>78</v>
      </c>
      <c r="Y67" s="1" t="str">
        <f t="shared" si="11"/>
        <v>1 Year</v>
      </c>
      <c r="Z67" s="4">
        <v>29999</v>
      </c>
      <c r="AA67" s="1" t="s">
        <v>166</v>
      </c>
    </row>
    <row r="68" spans="1:27" ht="15.75" customHeight="1" x14ac:dyDescent="0.35">
      <c r="A68" s="1" t="s">
        <v>151</v>
      </c>
      <c r="B68" s="1" t="str">
        <f t="shared" si="0"/>
        <v>Lenovo</v>
      </c>
      <c r="C68" s="1" t="s">
        <v>568</v>
      </c>
      <c r="D68" s="1" t="str">
        <f t="shared" si="1"/>
        <v>LOQ 15IRX9</v>
      </c>
      <c r="E68" s="1" t="str">
        <f t="array" aca="1" ref="E68" ca="1">IFERROR(
INDEX(Family_Map!$B$2:$B$35,
_xludf.AGGREGATE(14,6,(ROW(Family_Map!$A$2:$A$35)-ROW(Family_Map!$A$2)+1)/(ISNUMBER(SEARCH(Family_Map!$A$2:$A$35,D68))),1)
),
"Other")</f>
        <v>Other</v>
      </c>
      <c r="F68" s="1" t="s">
        <v>639</v>
      </c>
      <c r="G68" s="1" t="e">
        <f t="shared" ca="1" si="2"/>
        <v>#NAME?</v>
      </c>
      <c r="H68" s="1" t="str">
        <f t="shared" ca="1" si="12"/>
        <v>Other</v>
      </c>
      <c r="I68" s="1" t="s">
        <v>410</v>
      </c>
      <c r="J68" s="1" t="str">
        <f t="shared" si="3"/>
        <v>8GB</v>
      </c>
      <c r="K68" s="1" t="s">
        <v>614</v>
      </c>
      <c r="L68" s="1">
        <f t="shared" si="4"/>
        <v>16</v>
      </c>
      <c r="M68" s="1" t="s">
        <v>222</v>
      </c>
      <c r="N68" s="1" t="str">
        <f t="shared" si="5"/>
        <v>1TB</v>
      </c>
      <c r="O68" s="1" t="str">
        <f t="shared" si="6"/>
        <v>1024GB</v>
      </c>
      <c r="P68" s="1" t="s">
        <v>120</v>
      </c>
      <c r="Q68" s="1" t="str">
        <f t="shared" si="7"/>
        <v>1920x1080</v>
      </c>
      <c r="R68" s="1" t="s">
        <v>75</v>
      </c>
      <c r="S68" s="1" t="str">
        <f t="shared" si="8"/>
        <v>144Hz</v>
      </c>
      <c r="T68" s="1" t="s">
        <v>90</v>
      </c>
      <c r="U68" s="1" t="str">
        <f t="shared" si="9"/>
        <v>Windows 11 Home</v>
      </c>
      <c r="V68" s="1" t="s">
        <v>398</v>
      </c>
      <c r="W68" s="1" t="str">
        <f t="shared" si="10"/>
        <v>2.38 kg</v>
      </c>
      <c r="X68" s="1" t="s">
        <v>165</v>
      </c>
      <c r="Y68" s="1" t="str">
        <f t="shared" si="11"/>
        <v>2 Years</v>
      </c>
      <c r="Z68" s="4">
        <v>59699</v>
      </c>
      <c r="AA68" s="1" t="s">
        <v>65</v>
      </c>
    </row>
    <row r="69" spans="1:27" ht="15.75" customHeight="1" x14ac:dyDescent="0.35">
      <c r="A69" s="1" t="s">
        <v>30</v>
      </c>
      <c r="B69" s="1" t="str">
        <f t="shared" si="0"/>
        <v>MSI</v>
      </c>
      <c r="C69" s="1" t="s">
        <v>642</v>
      </c>
      <c r="D69" s="1" t="str">
        <f t="shared" si="1"/>
        <v>Thin 15 A B7VF</v>
      </c>
      <c r="E69" s="1" t="str">
        <f t="array" aca="1" ref="E69" ca="1">IFERROR(
INDEX(Family_Map!$B$2:$B$35,
_xludf.AGGREGATE(14,6,(ROW(Family_Map!$A$2:$A$35)-ROW(Family_Map!$A$2)+1)/(ISNUMBER(SEARCH(Family_Map!$A$2:$A$35,D69))),1)
),
"Other")</f>
        <v>Other</v>
      </c>
      <c r="F69" s="1" t="s">
        <v>643</v>
      </c>
      <c r="G69" s="1" t="e">
        <f t="shared" ca="1" si="2"/>
        <v>#NAME?</v>
      </c>
      <c r="H69" s="1" t="str">
        <f t="shared" ca="1" si="12"/>
        <v>Other</v>
      </c>
      <c r="I69" s="1" t="s">
        <v>410</v>
      </c>
      <c r="J69" s="1" t="str">
        <f t="shared" si="3"/>
        <v>8GB</v>
      </c>
      <c r="K69" s="1" t="s">
        <v>53</v>
      </c>
      <c r="L69" s="1">
        <f t="shared" si="4"/>
        <v>16</v>
      </c>
      <c r="M69" s="1" t="s">
        <v>644</v>
      </c>
      <c r="N69" s="1" t="str">
        <f t="shared" si="5"/>
        <v>512GB</v>
      </c>
      <c r="O69" s="1" t="str">
        <f t="shared" si="6"/>
        <v>512GB</v>
      </c>
      <c r="P69" s="1" t="s">
        <v>120</v>
      </c>
      <c r="Q69" s="1" t="str">
        <f t="shared" si="7"/>
        <v>1920x1080</v>
      </c>
      <c r="R69" s="1" t="s">
        <v>75</v>
      </c>
      <c r="S69" s="1" t="str">
        <f t="shared" si="8"/>
        <v>144Hz</v>
      </c>
      <c r="T69" s="1" t="s">
        <v>101</v>
      </c>
      <c r="U69" s="1" t="str">
        <f t="shared" si="9"/>
        <v>DOS</v>
      </c>
      <c r="V69" s="1" t="s">
        <v>376</v>
      </c>
      <c r="W69" s="1" t="str">
        <f t="shared" si="10"/>
        <v>1.86 kg</v>
      </c>
      <c r="X69" s="1" t="s">
        <v>165</v>
      </c>
      <c r="Y69" s="1" t="str">
        <f t="shared" si="11"/>
        <v>2 Years</v>
      </c>
      <c r="Z69" s="4">
        <v>45599</v>
      </c>
      <c r="AA69" s="1" t="s">
        <v>5735</v>
      </c>
    </row>
    <row r="70" spans="1:27" ht="15.75" customHeight="1" x14ac:dyDescent="0.35">
      <c r="A70" s="1" t="s">
        <v>30</v>
      </c>
      <c r="B70" s="1" t="str">
        <f t="shared" si="0"/>
        <v>MSI</v>
      </c>
      <c r="C70" s="1" t="s">
        <v>647</v>
      </c>
      <c r="D70" s="1" t="str">
        <f t="shared" si="1"/>
        <v>Katana A15 AI B8VE</v>
      </c>
      <c r="E70" s="1" t="str">
        <f t="array" aca="1" ref="E70" ca="1">IFERROR(
INDEX(Family_Map!$B$2:$B$35,
_xludf.AGGREGATE(14,6,(ROW(Family_Map!$A$2:$A$35)-ROW(Family_Map!$A$2)+1)/(ISNUMBER(SEARCH(Family_Map!$A$2:$A$35,D70))),1)
),
"Other")</f>
        <v>Other</v>
      </c>
      <c r="F70" s="1" t="s">
        <v>648</v>
      </c>
      <c r="G70" s="1" t="e">
        <f t="shared" ca="1" si="2"/>
        <v>#NAME?</v>
      </c>
      <c r="H70" s="1" t="str">
        <f t="shared" ca="1" si="12"/>
        <v>Other</v>
      </c>
      <c r="I70" s="1" t="s">
        <v>70</v>
      </c>
      <c r="J70" s="1" t="str">
        <f t="shared" si="3"/>
        <v>6GB</v>
      </c>
      <c r="K70" s="1" t="s">
        <v>53</v>
      </c>
      <c r="L70" s="1">
        <f t="shared" si="4"/>
        <v>16</v>
      </c>
      <c r="M70" s="1" t="s">
        <v>644</v>
      </c>
      <c r="N70" s="1" t="str">
        <f t="shared" si="5"/>
        <v>512GB</v>
      </c>
      <c r="O70" s="1" t="str">
        <f t="shared" si="6"/>
        <v>512GB</v>
      </c>
      <c r="P70" s="1" t="s">
        <v>120</v>
      </c>
      <c r="Q70" s="1" t="str">
        <f t="shared" si="7"/>
        <v>1920x1080</v>
      </c>
      <c r="R70" s="1" t="s">
        <v>75</v>
      </c>
      <c r="S70" s="1" t="str">
        <f t="shared" si="8"/>
        <v>144Hz</v>
      </c>
      <c r="T70" s="1" t="s">
        <v>121</v>
      </c>
      <c r="U70" s="1" t="str">
        <f t="shared" si="9"/>
        <v>DOS</v>
      </c>
      <c r="V70" s="1" t="s">
        <v>652</v>
      </c>
      <c r="W70" s="1" t="str">
        <f t="shared" si="10"/>
        <v>2.25 kg</v>
      </c>
      <c r="X70" s="1" t="s">
        <v>165</v>
      </c>
      <c r="Y70" s="1" t="str">
        <f t="shared" si="11"/>
        <v>2 Years</v>
      </c>
      <c r="Z70" s="4">
        <v>52249</v>
      </c>
      <c r="AA70" s="1" t="s">
        <v>5735</v>
      </c>
    </row>
    <row r="71" spans="1:27" ht="15.75" customHeight="1" x14ac:dyDescent="0.35">
      <c r="A71" s="1" t="s">
        <v>30</v>
      </c>
      <c r="B71" s="1" t="str">
        <f t="shared" si="0"/>
        <v>MSI</v>
      </c>
      <c r="C71" s="1" t="s">
        <v>653</v>
      </c>
      <c r="D71" s="1" t="str">
        <f t="shared" si="1"/>
        <v>Katana A15 AI B8VF</v>
      </c>
      <c r="E71" s="1" t="str">
        <f t="array" aca="1" ref="E71" ca="1">IFERROR(
INDEX(Family_Map!$B$2:$B$35,
_xludf.AGGREGATE(14,6,(ROW(Family_Map!$A$2:$A$35)-ROW(Family_Map!$A$2)+1)/(ISNUMBER(SEARCH(Family_Map!$A$2:$A$35,D71))),1)
),
"Other")</f>
        <v>Other</v>
      </c>
      <c r="F71" s="1" t="s">
        <v>648</v>
      </c>
      <c r="G71" s="1" t="e">
        <f t="shared" ca="1" si="2"/>
        <v>#NAME?</v>
      </c>
      <c r="H71" s="1" t="str">
        <f t="shared" ca="1" si="12"/>
        <v>Other</v>
      </c>
      <c r="I71" s="1" t="s">
        <v>410</v>
      </c>
      <c r="J71" s="1" t="str">
        <f t="shared" si="3"/>
        <v>8GB</v>
      </c>
      <c r="K71" s="1" t="s">
        <v>53</v>
      </c>
      <c r="L71" s="1">
        <f t="shared" si="4"/>
        <v>16</v>
      </c>
      <c r="M71" s="1" t="s">
        <v>644</v>
      </c>
      <c r="N71" s="1" t="str">
        <f t="shared" si="5"/>
        <v>512GB</v>
      </c>
      <c r="O71" s="1" t="str">
        <f t="shared" si="6"/>
        <v>512GB</v>
      </c>
      <c r="P71" s="1" t="s">
        <v>120</v>
      </c>
      <c r="Q71" s="1" t="str">
        <f t="shared" si="7"/>
        <v>1920x1080</v>
      </c>
      <c r="R71" s="1" t="s">
        <v>75</v>
      </c>
      <c r="S71" s="1" t="str">
        <f t="shared" si="8"/>
        <v>144Hz</v>
      </c>
      <c r="T71" s="1" t="s">
        <v>101</v>
      </c>
      <c r="U71" s="1" t="str">
        <f t="shared" si="9"/>
        <v>DOS</v>
      </c>
      <c r="V71" s="1" t="s">
        <v>652</v>
      </c>
      <c r="W71" s="1" t="str">
        <f t="shared" si="10"/>
        <v>2.25 kg</v>
      </c>
      <c r="X71" s="1" t="s">
        <v>165</v>
      </c>
      <c r="Y71" s="1" t="str">
        <f t="shared" si="11"/>
        <v>2 Years</v>
      </c>
      <c r="Z71" s="4">
        <v>56899</v>
      </c>
      <c r="AA71" s="1" t="s">
        <v>5735</v>
      </c>
    </row>
    <row r="72" spans="1:27" ht="15.75" customHeight="1" x14ac:dyDescent="0.35">
      <c r="A72" s="1" t="s">
        <v>30</v>
      </c>
      <c r="B72" s="1" t="str">
        <f t="shared" si="0"/>
        <v>MSI</v>
      </c>
      <c r="C72" s="1" t="s">
        <v>654</v>
      </c>
      <c r="D72" s="1" t="str">
        <f t="shared" si="1"/>
        <v>Thin 15 B13UC</v>
      </c>
      <c r="E72" s="1" t="str">
        <f t="array" aca="1" ref="E72" ca="1">IFERROR(
INDEX(Family_Map!$B$2:$B$35,
_xludf.AGGREGATE(14,6,(ROW(Family_Map!$A$2:$A$35)-ROW(Family_Map!$A$2)+1)/(ISNUMBER(SEARCH(Family_Map!$A$2:$A$35,D72))),1)
),
"Other")</f>
        <v>Other</v>
      </c>
      <c r="F72" s="1" t="s">
        <v>655</v>
      </c>
      <c r="G72" s="1" t="e">
        <f t="shared" ca="1" si="2"/>
        <v>#NAME?</v>
      </c>
      <c r="H72" s="1" t="str">
        <f t="shared" ca="1" si="12"/>
        <v>Other</v>
      </c>
      <c r="I72" s="1" t="s">
        <v>507</v>
      </c>
      <c r="J72" s="1" t="str">
        <f t="shared" si="3"/>
        <v>4GB</v>
      </c>
      <c r="K72" s="1" t="s">
        <v>656</v>
      </c>
      <c r="L72" s="1">
        <f t="shared" si="4"/>
        <v>16</v>
      </c>
      <c r="M72" s="1" t="s">
        <v>657</v>
      </c>
      <c r="N72" s="1" t="str">
        <f t="shared" si="5"/>
        <v>512GB</v>
      </c>
      <c r="O72" s="1" t="str">
        <f t="shared" si="6"/>
        <v>512GB</v>
      </c>
      <c r="P72" s="1" t="s">
        <v>74</v>
      </c>
      <c r="Q72" s="1" t="str">
        <f t="shared" si="7"/>
        <v>1920x1080</v>
      </c>
      <c r="R72" s="1" t="s">
        <v>75</v>
      </c>
      <c r="S72" s="1" t="str">
        <f t="shared" si="8"/>
        <v>144Hz</v>
      </c>
      <c r="T72" s="1" t="s">
        <v>101</v>
      </c>
      <c r="U72" s="1" t="str">
        <f t="shared" si="9"/>
        <v>DOS</v>
      </c>
      <c r="V72" s="1" t="s">
        <v>376</v>
      </c>
      <c r="W72" s="1" t="str">
        <f t="shared" si="10"/>
        <v>1.86 kg</v>
      </c>
      <c r="X72" s="1" t="s">
        <v>165</v>
      </c>
      <c r="Y72" s="1" t="str">
        <f t="shared" si="11"/>
        <v>2 Years</v>
      </c>
      <c r="Z72" s="4">
        <v>34849</v>
      </c>
      <c r="AA72" s="1" t="s">
        <v>79</v>
      </c>
    </row>
    <row r="73" spans="1:27" ht="15.75" customHeight="1" x14ac:dyDescent="0.35">
      <c r="A73" s="1" t="s">
        <v>112</v>
      </c>
      <c r="B73" s="1" t="str">
        <f t="shared" si="0"/>
        <v>HP</v>
      </c>
      <c r="C73" s="1" t="s">
        <v>660</v>
      </c>
      <c r="D73" s="1" t="str">
        <f t="shared" si="1"/>
        <v>Victus 16-r1032nia</v>
      </c>
      <c r="E73" s="1" t="str">
        <f t="array" aca="1" ref="E73" ca="1">IFERROR(
INDEX(Family_Map!$B$2:$B$35,
_xludf.AGGREGATE(14,6,(ROW(Family_Map!$A$2:$A$35)-ROW(Family_Map!$A$2)+1)/(ISNUMBER(SEARCH(Family_Map!$A$2:$A$35,D73))),1)
),
"Other")</f>
        <v>Other</v>
      </c>
      <c r="F73" s="1" t="s">
        <v>661</v>
      </c>
      <c r="G73" s="1" t="e">
        <f t="shared" ca="1" si="2"/>
        <v>#NAME?</v>
      </c>
      <c r="H73" s="1" t="str">
        <f t="shared" ca="1" si="12"/>
        <v>Other</v>
      </c>
      <c r="I73" s="1" t="s">
        <v>116</v>
      </c>
      <c r="J73" s="1" t="str">
        <f t="shared" si="3"/>
        <v>6 GB</v>
      </c>
      <c r="K73" s="1" t="s">
        <v>541</v>
      </c>
      <c r="L73" s="1">
        <f t="shared" si="4"/>
        <v>16</v>
      </c>
      <c r="M73" s="1" t="s">
        <v>171</v>
      </c>
      <c r="N73" s="1" t="str">
        <f t="shared" si="5"/>
        <v>1 TB</v>
      </c>
      <c r="O73" s="1" t="str">
        <f t="shared" si="6"/>
        <v>1024GB</v>
      </c>
      <c r="P73" s="1" t="s">
        <v>120</v>
      </c>
      <c r="Q73" s="1" t="str">
        <f t="shared" si="7"/>
        <v>1920x1080</v>
      </c>
      <c r="R73" s="1" t="s">
        <v>75</v>
      </c>
      <c r="S73" s="1" t="str">
        <f t="shared" si="8"/>
        <v>144Hz</v>
      </c>
      <c r="T73" s="1" t="s">
        <v>101</v>
      </c>
      <c r="U73" s="1" t="str">
        <f t="shared" si="9"/>
        <v>DOS</v>
      </c>
      <c r="V73" s="1" t="s">
        <v>142</v>
      </c>
      <c r="W73" s="1" t="str">
        <f t="shared" si="10"/>
        <v>2.31 kg</v>
      </c>
      <c r="X73" s="1" t="s">
        <v>78</v>
      </c>
      <c r="Y73" s="1" t="str">
        <f t="shared" si="11"/>
        <v>1 Year</v>
      </c>
      <c r="Z73" s="4">
        <v>39499</v>
      </c>
      <c r="AA73" s="1" t="s">
        <v>65</v>
      </c>
    </row>
    <row r="74" spans="1:27" ht="15.75" customHeight="1" x14ac:dyDescent="0.35">
      <c r="A74" s="1" t="s">
        <v>112</v>
      </c>
      <c r="B74" s="1" t="str">
        <f t="shared" si="0"/>
        <v>HP</v>
      </c>
      <c r="C74" s="1" t="s">
        <v>664</v>
      </c>
      <c r="D74" s="1" t="str">
        <f t="shared" si="1"/>
        <v>Victus 15-FA1018NIA</v>
      </c>
      <c r="E74" s="1" t="str">
        <f t="array" aca="1" ref="E74" ca="1">IFERROR(
INDEX(Family_Map!$B$2:$B$35,
_xludf.AGGREGATE(14,6,(ROW(Family_Map!$A$2:$A$35)-ROW(Family_Map!$A$2)+1)/(ISNUMBER(SEARCH(Family_Map!$A$2:$A$35,D74))),1)
),
"Other")</f>
        <v>Other</v>
      </c>
      <c r="F74" s="1" t="s">
        <v>361</v>
      </c>
      <c r="G74" s="1" t="e">
        <f t="shared" ca="1" si="2"/>
        <v>#NAME?</v>
      </c>
      <c r="H74" s="1" t="str">
        <f t="shared" ca="1" si="12"/>
        <v>Other</v>
      </c>
      <c r="I74" s="1" t="s">
        <v>116</v>
      </c>
      <c r="J74" s="1" t="str">
        <f t="shared" si="3"/>
        <v>6 GB</v>
      </c>
      <c r="K74" s="1" t="s">
        <v>665</v>
      </c>
      <c r="L74" s="1">
        <f t="shared" si="4"/>
        <v>16</v>
      </c>
      <c r="M74" s="1" t="s">
        <v>118</v>
      </c>
      <c r="N74" s="1" t="str">
        <f t="shared" si="5"/>
        <v>512 GB</v>
      </c>
      <c r="O74" s="1" t="str">
        <f t="shared" si="6"/>
        <v>512 GB</v>
      </c>
      <c r="P74" s="1" t="s">
        <v>120</v>
      </c>
      <c r="Q74" s="1" t="str">
        <f t="shared" si="7"/>
        <v>1920x1080</v>
      </c>
      <c r="R74" s="1" t="s">
        <v>75</v>
      </c>
      <c r="S74" s="1" t="str">
        <f t="shared" si="8"/>
        <v>144Hz</v>
      </c>
      <c r="T74" s="1" t="s">
        <v>101</v>
      </c>
      <c r="U74" s="1" t="str">
        <f t="shared" si="9"/>
        <v>DOS</v>
      </c>
      <c r="V74" s="1" t="s">
        <v>127</v>
      </c>
      <c r="W74" s="1" t="str">
        <f t="shared" si="10"/>
        <v>2.29 kg</v>
      </c>
      <c r="X74" s="1" t="s">
        <v>78</v>
      </c>
      <c r="Y74" s="1" t="str">
        <f t="shared" si="11"/>
        <v>1 Year</v>
      </c>
      <c r="Z74" s="4">
        <v>39099</v>
      </c>
      <c r="AA74" s="1" t="s">
        <v>79</v>
      </c>
    </row>
    <row r="75" spans="1:27" ht="15.75" customHeight="1" x14ac:dyDescent="0.35">
      <c r="A75" s="1" t="s">
        <v>234</v>
      </c>
      <c r="B75" s="1" t="str">
        <f t="shared" si="0"/>
        <v>ASUS</v>
      </c>
      <c r="C75" s="1" t="s">
        <v>667</v>
      </c>
      <c r="D75" s="1" t="str">
        <f t="shared" si="1"/>
        <v>TUF Gaming A14 FA401WV-RG053W</v>
      </c>
      <c r="E75" s="1" t="str">
        <f t="array" aca="1" ref="E75" ca="1">IFERROR(
INDEX(Family_Map!$B$2:$B$35,
_xludf.AGGREGATE(14,6,(ROW(Family_Map!$A$2:$A$35)-ROW(Family_Map!$A$2)+1)/(ISNUMBER(SEARCH(Family_Map!$A$2:$A$35,D75))),1)
),
"Other")</f>
        <v>Other</v>
      </c>
      <c r="F75" s="1" t="s">
        <v>668</v>
      </c>
      <c r="G75" s="1" t="e">
        <f t="shared" ca="1" si="2"/>
        <v>#NAME?</v>
      </c>
      <c r="H75" s="1" t="str">
        <f t="shared" ca="1" si="12"/>
        <v>Other</v>
      </c>
      <c r="I75" s="1" t="s">
        <v>410</v>
      </c>
      <c r="J75" s="1" t="str">
        <f t="shared" si="3"/>
        <v>8GB</v>
      </c>
      <c r="K75" s="1" t="s">
        <v>670</v>
      </c>
      <c r="L75" s="1">
        <f t="shared" si="4"/>
        <v>16</v>
      </c>
      <c r="M75" s="1" t="s">
        <v>239</v>
      </c>
      <c r="N75" s="1" t="str">
        <f t="shared" si="5"/>
        <v>1TB</v>
      </c>
      <c r="O75" s="1" t="str">
        <f t="shared" si="6"/>
        <v>1024GB</v>
      </c>
      <c r="P75" s="1" t="s">
        <v>89</v>
      </c>
      <c r="Q75" s="1" t="str">
        <f t="shared" si="7"/>
        <v>2560x1600</v>
      </c>
      <c r="R75" s="1" t="s">
        <v>57</v>
      </c>
      <c r="S75" s="1" t="str">
        <f t="shared" si="8"/>
        <v>165Hz</v>
      </c>
      <c r="T75" s="1" t="s">
        <v>90</v>
      </c>
      <c r="U75" s="1" t="str">
        <f t="shared" si="9"/>
        <v>Windows 11 Home</v>
      </c>
      <c r="V75" s="1" t="s">
        <v>309</v>
      </c>
      <c r="W75" s="1" t="str">
        <f t="shared" si="10"/>
        <v>1.46 kg</v>
      </c>
      <c r="X75" s="1" t="s">
        <v>78</v>
      </c>
      <c r="Y75" s="1" t="str">
        <f t="shared" si="11"/>
        <v>1 Year</v>
      </c>
      <c r="Z75" s="4">
        <v>64777</v>
      </c>
      <c r="AA75" s="1" t="s">
        <v>5735</v>
      </c>
    </row>
    <row r="76" spans="1:27" ht="15.75" customHeight="1" x14ac:dyDescent="0.35">
      <c r="A76" s="1" t="s">
        <v>112</v>
      </c>
      <c r="B76" s="1" t="str">
        <f t="shared" si="0"/>
        <v>HP</v>
      </c>
      <c r="C76" s="1" t="s">
        <v>673</v>
      </c>
      <c r="D76" s="1" t="str">
        <f t="shared" si="1"/>
        <v>Victus 15-FA1017NIA</v>
      </c>
      <c r="E76" s="1" t="str">
        <f t="array" aca="1" ref="E76" ca="1">IFERROR(
INDEX(Family_Map!$B$2:$B$35,
_xludf.AGGREGATE(14,6,(ROW(Family_Map!$A$2:$A$35)-ROW(Family_Map!$A$2)+1)/(ISNUMBER(SEARCH(Family_Map!$A$2:$A$35,D76))),1)
),
"Other")</f>
        <v>Other</v>
      </c>
      <c r="F76" s="1" t="s">
        <v>361</v>
      </c>
      <c r="G76" s="1" t="e">
        <f t="shared" ca="1" si="2"/>
        <v>#NAME?</v>
      </c>
      <c r="H76" s="1" t="str">
        <f t="shared" ca="1" si="12"/>
        <v>Other</v>
      </c>
      <c r="I76" s="1" t="s">
        <v>116</v>
      </c>
      <c r="J76" s="1" t="str">
        <f t="shared" si="3"/>
        <v>6 GB</v>
      </c>
      <c r="K76" s="1" t="s">
        <v>665</v>
      </c>
      <c r="L76" s="1">
        <f t="shared" si="4"/>
        <v>16</v>
      </c>
      <c r="M76" s="1" t="s">
        <v>118</v>
      </c>
      <c r="N76" s="1" t="str">
        <f t="shared" si="5"/>
        <v>512 GB</v>
      </c>
      <c r="O76" s="1" t="str">
        <f t="shared" si="6"/>
        <v>512 GB</v>
      </c>
      <c r="P76" s="1" t="s">
        <v>120</v>
      </c>
      <c r="Q76" s="1" t="str">
        <f t="shared" si="7"/>
        <v>1920x1080</v>
      </c>
      <c r="R76" s="1" t="s">
        <v>75</v>
      </c>
      <c r="S76" s="1" t="str">
        <f t="shared" si="8"/>
        <v>144Hz</v>
      </c>
      <c r="T76" s="1" t="s">
        <v>101</v>
      </c>
      <c r="U76" s="1" t="str">
        <f t="shared" si="9"/>
        <v>DOS</v>
      </c>
      <c r="V76" s="1" t="s">
        <v>127</v>
      </c>
      <c r="W76" s="1" t="str">
        <f t="shared" si="10"/>
        <v>2.29 kg</v>
      </c>
      <c r="X76" s="1" t="s">
        <v>78</v>
      </c>
      <c r="Y76" s="1" t="str">
        <f t="shared" si="11"/>
        <v>1 Year</v>
      </c>
      <c r="Z76" s="4">
        <v>38888</v>
      </c>
      <c r="AA76" s="1" t="s">
        <v>79</v>
      </c>
    </row>
    <row r="77" spans="1:27" ht="15.75" customHeight="1" x14ac:dyDescent="0.35">
      <c r="A77" s="1" t="s">
        <v>151</v>
      </c>
      <c r="B77" s="1" t="str">
        <f t="shared" si="0"/>
        <v>Lenovo</v>
      </c>
      <c r="C77" s="1" t="s">
        <v>152</v>
      </c>
      <c r="D77" s="1" t="str">
        <f t="shared" si="1"/>
        <v>LOQ 15IAX9E</v>
      </c>
      <c r="E77" s="1" t="str">
        <f t="array" aca="1" ref="E77" ca="1">IFERROR(
INDEX(Family_Map!$B$2:$B$35,
_xludf.AGGREGATE(14,6,(ROW(Family_Map!$A$2:$A$35)-ROW(Family_Map!$A$2)+1)/(ISNUMBER(SEARCH(Family_Map!$A$2:$A$35,D77))),1)
),
"Other")</f>
        <v>Other</v>
      </c>
      <c r="F77" s="1" t="s">
        <v>676</v>
      </c>
      <c r="G77" s="1" t="e">
        <f t="shared" ca="1" si="2"/>
        <v>#NAME?</v>
      </c>
      <c r="H77" s="1" t="str">
        <f t="shared" ca="1" si="12"/>
        <v>Other</v>
      </c>
      <c r="I77" s="1" t="s">
        <v>507</v>
      </c>
      <c r="J77" s="1" t="str">
        <f t="shared" si="3"/>
        <v>4GB</v>
      </c>
      <c r="K77" s="1" t="s">
        <v>155</v>
      </c>
      <c r="L77" s="1">
        <f t="shared" si="4"/>
        <v>16</v>
      </c>
      <c r="M77" s="1" t="s">
        <v>156</v>
      </c>
      <c r="N77" s="1" t="str">
        <f t="shared" si="5"/>
        <v>512GB</v>
      </c>
      <c r="O77" s="1" t="str">
        <f t="shared" si="6"/>
        <v>512GB</v>
      </c>
      <c r="P77" s="1" t="s">
        <v>120</v>
      </c>
      <c r="Q77" s="1" t="str">
        <f t="shared" si="7"/>
        <v>1920x1080</v>
      </c>
      <c r="R77" s="1" t="s">
        <v>75</v>
      </c>
      <c r="S77" s="1" t="str">
        <f t="shared" si="8"/>
        <v>144Hz</v>
      </c>
      <c r="T77" s="1" t="s">
        <v>101</v>
      </c>
      <c r="U77" s="1" t="str">
        <f t="shared" si="9"/>
        <v>DOS</v>
      </c>
      <c r="V77" s="1" t="s">
        <v>163</v>
      </c>
      <c r="W77" s="1" t="str">
        <f t="shared" si="10"/>
        <v>1.77 kg</v>
      </c>
      <c r="X77" s="1" t="s">
        <v>78</v>
      </c>
      <c r="Y77" s="1" t="str">
        <f t="shared" si="11"/>
        <v>1 Year</v>
      </c>
      <c r="Z77" s="4">
        <v>29749</v>
      </c>
      <c r="AA77" s="1" t="s">
        <v>166</v>
      </c>
    </row>
    <row r="78" spans="1:27" ht="15.75" customHeight="1" x14ac:dyDescent="0.35">
      <c r="A78" s="1" t="s">
        <v>112</v>
      </c>
      <c r="B78" s="1" t="str">
        <f t="shared" si="0"/>
        <v>HP</v>
      </c>
      <c r="C78" s="1" t="s">
        <v>678</v>
      </c>
      <c r="D78" s="1" t="str">
        <f t="shared" si="1"/>
        <v>OMEN 16T-WF000​</v>
      </c>
      <c r="E78" s="1" t="str">
        <f t="array" aca="1" ref="E78" ca="1">IFERROR(
INDEX(Family_Map!$B$2:$B$35,
_xludf.AGGREGATE(14,6,(ROW(Family_Map!$A$2:$A$35)-ROW(Family_Map!$A$2)+1)/(ISNUMBER(SEARCH(Family_Map!$A$2:$A$35,D78))),1)
),
"Other")</f>
        <v>Other</v>
      </c>
      <c r="F78" s="1" t="s">
        <v>539</v>
      </c>
      <c r="G78" s="1" t="e">
        <f t="shared" ca="1" si="2"/>
        <v>#NAME?</v>
      </c>
      <c r="H78" s="1" t="str">
        <f t="shared" ca="1" si="12"/>
        <v>Other</v>
      </c>
      <c r="I78" s="1" t="s">
        <v>410</v>
      </c>
      <c r="J78" s="1" t="str">
        <f t="shared" si="3"/>
        <v>8GB</v>
      </c>
      <c r="K78" s="1" t="s">
        <v>680</v>
      </c>
      <c r="L78" s="1">
        <f t="shared" si="4"/>
        <v>16</v>
      </c>
      <c r="M78" s="1" t="s">
        <v>322</v>
      </c>
      <c r="N78" s="1" t="str">
        <f t="shared" si="5"/>
        <v>1TB</v>
      </c>
      <c r="O78" s="1" t="str">
        <f t="shared" si="6"/>
        <v>1024GB</v>
      </c>
      <c r="P78" s="1" t="s">
        <v>616</v>
      </c>
      <c r="Q78" s="1" t="str">
        <f t="shared" si="7"/>
        <v>1920x1080</v>
      </c>
      <c r="R78" s="1" t="s">
        <v>57</v>
      </c>
      <c r="S78" s="1" t="str">
        <f t="shared" si="8"/>
        <v>165Hz</v>
      </c>
      <c r="T78" s="1" t="s">
        <v>555</v>
      </c>
      <c r="U78" s="1" t="str">
        <f t="shared" si="9"/>
        <v>Windows 11 Home</v>
      </c>
      <c r="V78" s="1" t="s">
        <v>684</v>
      </c>
      <c r="W78" s="1" t="str">
        <f t="shared" si="10"/>
        <v>2.39 kg</v>
      </c>
      <c r="X78" s="1" t="s">
        <v>129</v>
      </c>
      <c r="Y78" s="1" t="str">
        <f t="shared" si="11"/>
        <v>1 Year</v>
      </c>
      <c r="Z78" s="4">
        <v>91499</v>
      </c>
      <c r="AA78" s="1" t="s">
        <v>65</v>
      </c>
    </row>
    <row r="79" spans="1:27" ht="15.75" customHeight="1" x14ac:dyDescent="0.35">
      <c r="A79" s="1" t="s">
        <v>112</v>
      </c>
      <c r="B79" s="1" t="str">
        <f t="shared" si="0"/>
        <v>HP</v>
      </c>
      <c r="C79" s="1" t="s">
        <v>686</v>
      </c>
      <c r="D79" s="1" t="str">
        <f t="shared" si="1"/>
        <v>Victus 15-FA1082WM</v>
      </c>
      <c r="E79" s="1" t="str">
        <f t="array" aca="1" ref="E79" ca="1">IFERROR(
INDEX(Family_Map!$B$2:$B$35,
_xludf.AGGREGATE(14,6,(ROW(Family_Map!$A$2:$A$35)-ROW(Family_Map!$A$2)+1)/(ISNUMBER(SEARCH(Family_Map!$A$2:$A$35,D79))),1)
),
"Other")</f>
        <v>Other</v>
      </c>
      <c r="F79" s="1" t="s">
        <v>687</v>
      </c>
      <c r="G79" s="1" t="e">
        <f t="shared" ca="1" si="2"/>
        <v>#NAME?</v>
      </c>
      <c r="H79" s="1" t="str">
        <f t="shared" ca="1" si="12"/>
        <v>Other</v>
      </c>
      <c r="I79" s="1" t="s">
        <v>70</v>
      </c>
      <c r="J79" s="1" t="str">
        <f t="shared" si="3"/>
        <v>6GB</v>
      </c>
      <c r="K79" s="1" t="s">
        <v>665</v>
      </c>
      <c r="L79" s="1">
        <f t="shared" si="4"/>
        <v>16</v>
      </c>
      <c r="M79" s="1" t="s">
        <v>118</v>
      </c>
      <c r="N79" s="1" t="str">
        <f t="shared" si="5"/>
        <v>512 GB</v>
      </c>
      <c r="O79" s="1" t="str">
        <f t="shared" si="6"/>
        <v>512 GB</v>
      </c>
      <c r="P79" s="1" t="s">
        <v>120</v>
      </c>
      <c r="Q79" s="1" t="str">
        <f t="shared" si="7"/>
        <v>1920x1080</v>
      </c>
      <c r="S79" s="1" t="str">
        <f t="shared" si="8"/>
        <v/>
      </c>
      <c r="T79" s="1" t="s">
        <v>90</v>
      </c>
      <c r="U79" s="1" t="str">
        <f t="shared" si="9"/>
        <v>Windows 11 Home</v>
      </c>
      <c r="V79" s="1" t="s">
        <v>127</v>
      </c>
      <c r="W79" s="1" t="str">
        <f t="shared" si="10"/>
        <v>2.29 kg</v>
      </c>
      <c r="X79" s="1" t="s">
        <v>78</v>
      </c>
      <c r="Y79" s="1" t="str">
        <f t="shared" si="11"/>
        <v>1 Year</v>
      </c>
      <c r="Z79" s="4">
        <v>38888</v>
      </c>
      <c r="AA79" s="1" t="s">
        <v>79</v>
      </c>
    </row>
    <row r="80" spans="1:27" ht="15.75" customHeight="1" x14ac:dyDescent="0.35">
      <c r="A80" s="1" t="s">
        <v>112</v>
      </c>
      <c r="B80" s="1" t="str">
        <f t="shared" si="0"/>
        <v>HP</v>
      </c>
      <c r="C80" s="1" t="s">
        <v>692</v>
      </c>
      <c r="D80" s="1" t="str">
        <f t="shared" si="1"/>
        <v>Victus 15-FA1039NE</v>
      </c>
      <c r="E80" s="1" t="str">
        <f t="array" aca="1" ref="E80" ca="1">IFERROR(
INDEX(Family_Map!$B$2:$B$35,
_xludf.AGGREGATE(14,6,(ROW(Family_Map!$A$2:$A$35)-ROW(Family_Map!$A$2)+1)/(ISNUMBER(SEARCH(Family_Map!$A$2:$A$35,D80))),1)
),
"Other")</f>
        <v>Other</v>
      </c>
      <c r="F80" s="1" t="s">
        <v>693</v>
      </c>
      <c r="G80" s="1" t="e">
        <f t="shared" ca="1" si="2"/>
        <v>#NAME?</v>
      </c>
      <c r="H80" s="1" t="str">
        <f t="shared" ca="1" si="12"/>
        <v>Other</v>
      </c>
      <c r="I80" s="1" t="s">
        <v>70</v>
      </c>
      <c r="J80" s="1" t="str">
        <f t="shared" si="3"/>
        <v>6GB</v>
      </c>
      <c r="K80" s="1" t="s">
        <v>363</v>
      </c>
      <c r="L80" s="1">
        <f t="shared" si="4"/>
        <v>8</v>
      </c>
      <c r="M80" s="1" t="s">
        <v>118</v>
      </c>
      <c r="N80" s="1" t="str">
        <f t="shared" si="5"/>
        <v>512 GB</v>
      </c>
      <c r="O80" s="1" t="str">
        <f t="shared" si="6"/>
        <v>512 GB</v>
      </c>
      <c r="P80" s="1" t="s">
        <v>120</v>
      </c>
      <c r="Q80" s="1" t="str">
        <f t="shared" si="7"/>
        <v>1920x1080</v>
      </c>
      <c r="R80" s="1" t="s">
        <v>75</v>
      </c>
      <c r="S80" s="1" t="str">
        <f t="shared" si="8"/>
        <v>144Hz</v>
      </c>
      <c r="T80" s="1" t="s">
        <v>101</v>
      </c>
      <c r="U80" s="1" t="str">
        <f t="shared" si="9"/>
        <v>DOS</v>
      </c>
      <c r="V80" s="1" t="s">
        <v>127</v>
      </c>
      <c r="W80" s="1" t="str">
        <f t="shared" si="10"/>
        <v>2.29 kg</v>
      </c>
      <c r="X80" s="1" t="s">
        <v>78</v>
      </c>
      <c r="Y80" s="1" t="str">
        <f t="shared" si="11"/>
        <v>1 Year</v>
      </c>
      <c r="Z80" s="4">
        <v>40999</v>
      </c>
      <c r="AA80" s="1" t="s">
        <v>79</v>
      </c>
    </row>
    <row r="81" spans="1:27" ht="15.75" customHeight="1" x14ac:dyDescent="0.35">
      <c r="A81" s="1" t="s">
        <v>112</v>
      </c>
      <c r="B81" s="1" t="str">
        <f t="shared" si="0"/>
        <v>HP</v>
      </c>
      <c r="C81" s="1" t="s">
        <v>696</v>
      </c>
      <c r="D81" s="1" t="str">
        <f t="shared" si="1"/>
        <v>Victus 16-r1048ne</v>
      </c>
      <c r="E81" s="1" t="str">
        <f t="array" aca="1" ref="E81" ca="1">IFERROR(
INDEX(Family_Map!$B$2:$B$35,
_xludf.AGGREGATE(14,6,(ROW(Family_Map!$A$2:$A$35)-ROW(Family_Map!$A$2)+1)/(ISNUMBER(SEARCH(Family_Map!$A$2:$A$35,D81))),1)
),
"Other")</f>
        <v>Other</v>
      </c>
      <c r="F81" s="1" t="s">
        <v>133</v>
      </c>
      <c r="G81" s="1" t="e">
        <f t="shared" ca="1" si="2"/>
        <v>#NAME?</v>
      </c>
      <c r="H81" s="1" t="str">
        <f t="shared" ca="1" si="12"/>
        <v>Other</v>
      </c>
      <c r="I81" s="1" t="s">
        <v>410</v>
      </c>
      <c r="J81" s="1" t="str">
        <f t="shared" si="3"/>
        <v>8GB</v>
      </c>
      <c r="K81" s="1" t="s">
        <v>697</v>
      </c>
      <c r="L81" s="1">
        <f t="shared" si="4"/>
        <v>16</v>
      </c>
      <c r="M81" s="1" t="s">
        <v>698</v>
      </c>
      <c r="N81" s="1" t="str">
        <f t="shared" si="5"/>
        <v>1TB</v>
      </c>
      <c r="O81" s="1" t="str">
        <f t="shared" si="6"/>
        <v>1024GB</v>
      </c>
      <c r="P81" s="1" t="s">
        <v>120</v>
      </c>
      <c r="Q81" s="1" t="str">
        <f t="shared" si="7"/>
        <v>1920x1080</v>
      </c>
      <c r="R81" s="1" t="s">
        <v>75</v>
      </c>
      <c r="S81" s="1" t="str">
        <f t="shared" si="8"/>
        <v>144Hz</v>
      </c>
      <c r="T81" s="1" t="s">
        <v>101</v>
      </c>
      <c r="U81" s="1" t="str">
        <f t="shared" si="9"/>
        <v>DOS</v>
      </c>
      <c r="V81" s="1" t="s">
        <v>267</v>
      </c>
      <c r="W81" s="1" t="str">
        <f t="shared" si="10"/>
        <v>2.33 kg</v>
      </c>
      <c r="X81" s="1" t="s">
        <v>78</v>
      </c>
      <c r="Y81" s="1" t="str">
        <f t="shared" si="11"/>
        <v>1 Year</v>
      </c>
      <c r="Z81" s="4">
        <v>59999</v>
      </c>
      <c r="AA81" s="1" t="s">
        <v>65</v>
      </c>
    </row>
    <row r="82" spans="1:27" ht="15.75" customHeight="1" x14ac:dyDescent="0.35">
      <c r="A82" s="1" t="s">
        <v>151</v>
      </c>
      <c r="B82" s="1" t="str">
        <f t="shared" si="0"/>
        <v>Lenovo</v>
      </c>
      <c r="C82" s="1" t="s">
        <v>568</v>
      </c>
      <c r="D82" s="1" t="str">
        <f t="shared" si="1"/>
        <v>LOQ 15IRX9</v>
      </c>
      <c r="E82" s="1" t="str">
        <f t="array" aca="1" ref="E82" ca="1">IFERROR(
INDEX(Family_Map!$B$2:$B$35,
_xludf.AGGREGATE(14,6,(ROW(Family_Map!$A$2:$A$35)-ROW(Family_Map!$A$2)+1)/(ISNUMBER(SEARCH(Family_Map!$A$2:$A$35,D82))),1)
),
"Other")</f>
        <v>Other</v>
      </c>
      <c r="F82" s="1" t="s">
        <v>704</v>
      </c>
      <c r="G82" s="1" t="e">
        <f t="shared" ca="1" si="2"/>
        <v>#NAME?</v>
      </c>
      <c r="H82" s="1" t="str">
        <f t="shared" ca="1" si="12"/>
        <v>Other</v>
      </c>
      <c r="I82" s="1" t="s">
        <v>70</v>
      </c>
      <c r="J82" s="1" t="str">
        <f t="shared" si="3"/>
        <v>6GB</v>
      </c>
      <c r="K82" s="1" t="s">
        <v>570</v>
      </c>
      <c r="L82" s="1">
        <f t="shared" si="4"/>
        <v>24</v>
      </c>
      <c r="M82" s="1" t="s">
        <v>156</v>
      </c>
      <c r="N82" s="1" t="str">
        <f t="shared" si="5"/>
        <v>512GB</v>
      </c>
      <c r="O82" s="1" t="str">
        <f t="shared" si="6"/>
        <v>512GB</v>
      </c>
      <c r="P82" s="1" t="s">
        <v>74</v>
      </c>
      <c r="Q82" s="1" t="str">
        <f t="shared" si="7"/>
        <v>1920x1080</v>
      </c>
      <c r="R82" s="1" t="s">
        <v>75</v>
      </c>
      <c r="S82" s="1" t="str">
        <f t="shared" si="8"/>
        <v>144Hz</v>
      </c>
      <c r="T82" s="1" t="s">
        <v>121</v>
      </c>
      <c r="U82" s="1" t="str">
        <f t="shared" si="9"/>
        <v>DOS</v>
      </c>
      <c r="V82" s="1" t="s">
        <v>398</v>
      </c>
      <c r="W82" s="1" t="str">
        <f t="shared" si="10"/>
        <v>2.38 kg</v>
      </c>
      <c r="X82" s="1" t="s">
        <v>78</v>
      </c>
      <c r="Y82" s="1" t="str">
        <f t="shared" si="11"/>
        <v>1 Year</v>
      </c>
      <c r="Z82" s="4">
        <v>46499</v>
      </c>
      <c r="AA82" s="1" t="s">
        <v>79</v>
      </c>
    </row>
    <row r="83" spans="1:27" ht="15.75" customHeight="1" x14ac:dyDescent="0.35">
      <c r="A83" s="1" t="s">
        <v>112</v>
      </c>
      <c r="B83" s="1" t="str">
        <f t="shared" si="0"/>
        <v>HP</v>
      </c>
      <c r="C83" s="1" t="s">
        <v>706</v>
      </c>
      <c r="D83" s="1" t="str">
        <f t="shared" si="1"/>
        <v>Victus 16-r1055ne</v>
      </c>
      <c r="E83" s="1" t="str">
        <f t="array" aca="1" ref="E83" ca="1">IFERROR(
INDEX(Family_Map!$B$2:$B$35,
_xludf.AGGREGATE(14,6,(ROW(Family_Map!$A$2:$A$35)-ROW(Family_Map!$A$2)+1)/(ISNUMBER(SEARCH(Family_Map!$A$2:$A$35,D83))),1)
),
"Other")</f>
        <v>Other</v>
      </c>
      <c r="F83" s="1" t="s">
        <v>133</v>
      </c>
      <c r="G83" s="1" t="e">
        <f t="shared" ca="1" si="2"/>
        <v>#NAME?</v>
      </c>
      <c r="H83" s="1" t="str">
        <f t="shared" ca="1" si="12"/>
        <v>Other</v>
      </c>
      <c r="I83" s="1" t="s">
        <v>540</v>
      </c>
      <c r="J83" s="1" t="str">
        <f t="shared" si="3"/>
        <v>8 GB</v>
      </c>
      <c r="K83" s="1" t="s">
        <v>707</v>
      </c>
      <c r="L83" s="1">
        <f t="shared" si="4"/>
        <v>16</v>
      </c>
      <c r="M83" s="1" t="s">
        <v>118</v>
      </c>
      <c r="N83" s="1" t="str">
        <f t="shared" si="5"/>
        <v>512 GB</v>
      </c>
      <c r="O83" s="1" t="str">
        <f t="shared" si="6"/>
        <v>512 GB</v>
      </c>
      <c r="P83" s="1" t="s">
        <v>120</v>
      </c>
      <c r="Q83" s="1" t="str">
        <f t="shared" si="7"/>
        <v>1920x1080</v>
      </c>
      <c r="R83" s="1" t="s">
        <v>75</v>
      </c>
      <c r="S83" s="1" t="str">
        <f t="shared" si="8"/>
        <v>144Hz</v>
      </c>
      <c r="T83" s="1" t="s">
        <v>101</v>
      </c>
      <c r="U83" s="1" t="str">
        <f t="shared" si="9"/>
        <v>DOS</v>
      </c>
      <c r="V83" s="1" t="s">
        <v>267</v>
      </c>
      <c r="W83" s="1" t="str">
        <f t="shared" si="10"/>
        <v>2.33 kg</v>
      </c>
      <c r="X83" s="1" t="s">
        <v>78</v>
      </c>
      <c r="Y83" s="1" t="str">
        <f t="shared" si="11"/>
        <v>1 Year</v>
      </c>
      <c r="Z83" s="4">
        <v>61799</v>
      </c>
      <c r="AA83" s="1" t="s">
        <v>65</v>
      </c>
    </row>
    <row r="84" spans="1:27" ht="15.75" customHeight="1" x14ac:dyDescent="0.35">
      <c r="A84" s="1" t="s">
        <v>81</v>
      </c>
      <c r="B84" s="1" t="str">
        <f t="shared" si="0"/>
        <v>Dell</v>
      </c>
      <c r="C84" s="1" t="s">
        <v>414</v>
      </c>
      <c r="D84" s="1" t="str">
        <f t="shared" si="1"/>
        <v>G15 5530</v>
      </c>
      <c r="E84" s="1" t="str">
        <f t="array" aca="1" ref="E84" ca="1">IFERROR(
INDEX(Family_Map!$B$2:$B$35,
_xludf.AGGREGATE(14,6,(ROW(Family_Map!$A$2:$A$35)-ROW(Family_Map!$A$2)+1)/(ISNUMBER(SEARCH(Family_Map!$A$2:$A$35,D84))),1)
),
"Other")</f>
        <v>Other</v>
      </c>
      <c r="F84" s="1" t="s">
        <v>711</v>
      </c>
      <c r="G84" s="1" t="e">
        <f t="shared" ca="1" si="2"/>
        <v>#NAME?</v>
      </c>
      <c r="H84" s="1" t="str">
        <f t="shared" ca="1" si="12"/>
        <v>Other</v>
      </c>
      <c r="I84" s="1" t="s">
        <v>410</v>
      </c>
      <c r="J84" s="1" t="str">
        <f t="shared" si="3"/>
        <v>8GB</v>
      </c>
      <c r="K84" s="1" t="s">
        <v>713</v>
      </c>
      <c r="L84" s="1">
        <f t="shared" si="4"/>
        <v>16</v>
      </c>
      <c r="M84" s="1" t="s">
        <v>322</v>
      </c>
      <c r="N84" s="1" t="str">
        <f t="shared" si="5"/>
        <v>1TB</v>
      </c>
      <c r="O84" s="1" t="str">
        <f t="shared" si="6"/>
        <v>1024GB</v>
      </c>
      <c r="P84" s="1" t="s">
        <v>120</v>
      </c>
      <c r="Q84" s="1" t="str">
        <f t="shared" si="7"/>
        <v>1920x1080</v>
      </c>
      <c r="R84" s="1" t="s">
        <v>39</v>
      </c>
      <c r="S84" s="1" t="str">
        <f t="shared" si="8"/>
        <v>120Hz</v>
      </c>
      <c r="T84" s="1" t="s">
        <v>90</v>
      </c>
      <c r="U84" s="1" t="str">
        <f t="shared" si="9"/>
        <v>Windows 11 Home</v>
      </c>
      <c r="V84" s="1" t="s">
        <v>423</v>
      </c>
      <c r="W84" s="1" t="str">
        <f t="shared" si="10"/>
        <v>2.81 kg</v>
      </c>
      <c r="X84" s="1" t="s">
        <v>78</v>
      </c>
      <c r="Y84" s="1" t="str">
        <f t="shared" si="11"/>
        <v>1 Year</v>
      </c>
      <c r="Z84" s="4">
        <v>59999</v>
      </c>
      <c r="AA84" s="1" t="s">
        <v>79</v>
      </c>
    </row>
    <row r="85" spans="1:27" ht="15.75" customHeight="1" x14ac:dyDescent="0.35">
      <c r="A85" s="1" t="s">
        <v>151</v>
      </c>
      <c r="B85" s="1" t="str">
        <f t="shared" si="0"/>
        <v>Lenovo</v>
      </c>
      <c r="C85" s="1" t="s">
        <v>568</v>
      </c>
      <c r="D85" s="1" t="str">
        <f t="shared" si="1"/>
        <v>LOQ 15IRX9</v>
      </c>
      <c r="E85" s="1" t="str">
        <f t="array" aca="1" ref="E85" ca="1">IFERROR(
INDEX(Family_Map!$B$2:$B$35,
_xludf.AGGREGATE(14,6,(ROW(Family_Map!$A$2:$A$35)-ROW(Family_Map!$A$2)+1)/(ISNUMBER(SEARCH(Family_Map!$A$2:$A$35,D85))),1)
),
"Other")</f>
        <v>Other</v>
      </c>
      <c r="F85" s="1" t="s">
        <v>539</v>
      </c>
      <c r="G85" s="1" t="e">
        <f t="shared" ca="1" si="2"/>
        <v>#NAME?</v>
      </c>
      <c r="H85" s="1" t="str">
        <f t="shared" ca="1" si="12"/>
        <v>Other</v>
      </c>
      <c r="I85" s="1" t="s">
        <v>410</v>
      </c>
      <c r="J85" s="1" t="str">
        <f t="shared" si="3"/>
        <v>8GB</v>
      </c>
      <c r="K85" s="1" t="s">
        <v>614</v>
      </c>
      <c r="L85" s="1">
        <f t="shared" si="4"/>
        <v>16</v>
      </c>
      <c r="M85" s="1" t="s">
        <v>156</v>
      </c>
      <c r="N85" s="1" t="str">
        <f t="shared" si="5"/>
        <v>512GB</v>
      </c>
      <c r="O85" s="1" t="str">
        <f t="shared" si="6"/>
        <v>512GB</v>
      </c>
      <c r="P85" s="1" t="s">
        <v>120</v>
      </c>
      <c r="Q85" s="1" t="str">
        <f t="shared" si="7"/>
        <v>1920x1080</v>
      </c>
      <c r="R85" s="1" t="s">
        <v>75</v>
      </c>
      <c r="S85" s="1" t="str">
        <f t="shared" si="8"/>
        <v>144Hz</v>
      </c>
      <c r="T85" s="1" t="s">
        <v>101</v>
      </c>
      <c r="U85" s="1" t="str">
        <f t="shared" si="9"/>
        <v>DOS</v>
      </c>
      <c r="V85" s="1" t="s">
        <v>398</v>
      </c>
      <c r="W85" s="1" t="str">
        <f t="shared" si="10"/>
        <v>2.38 kg</v>
      </c>
      <c r="X85" s="1" t="s">
        <v>78</v>
      </c>
      <c r="Y85" s="1" t="str">
        <f t="shared" si="11"/>
        <v>1 Year</v>
      </c>
      <c r="Z85" s="4">
        <v>55999</v>
      </c>
      <c r="AA85" s="1" t="s">
        <v>65</v>
      </c>
    </row>
    <row r="86" spans="1:27" ht="15.75" customHeight="1" x14ac:dyDescent="0.35">
      <c r="A86" s="1" t="s">
        <v>30</v>
      </c>
      <c r="B86" s="1" t="str">
        <f t="shared" si="0"/>
        <v>MSI</v>
      </c>
      <c r="C86" s="1" t="s">
        <v>718</v>
      </c>
      <c r="D86" s="1" t="str">
        <f t="shared" si="1"/>
        <v>Thin 15 B12UDX-2224US</v>
      </c>
      <c r="E86" s="1" t="str">
        <f t="array" aca="1" ref="E86" ca="1">IFERROR(
INDEX(Family_Map!$B$2:$B$35,
_xludf.AGGREGATE(14,6,(ROW(Family_Map!$A$2:$A$35)-ROW(Family_Map!$A$2)+1)/(ISNUMBER(SEARCH(Family_Map!$A$2:$A$35,D86))),1)
),
"Other")</f>
        <v>Other</v>
      </c>
      <c r="F86" s="1" t="s">
        <v>719</v>
      </c>
      <c r="G86" s="1" t="e">
        <f t="shared" ca="1" si="2"/>
        <v>#NAME?</v>
      </c>
      <c r="H86" s="1" t="str">
        <f t="shared" ca="1" si="12"/>
        <v>Other</v>
      </c>
      <c r="I86" s="1" t="s">
        <v>721</v>
      </c>
      <c r="J86" s="1" t="str">
        <f t="shared" si="3"/>
        <v>6GB</v>
      </c>
      <c r="K86" s="1" t="s">
        <v>722</v>
      </c>
      <c r="L86" s="1">
        <f t="shared" si="4"/>
        <v>8</v>
      </c>
      <c r="M86" s="1" t="s">
        <v>723</v>
      </c>
      <c r="N86" s="1" t="str">
        <f t="shared" si="5"/>
        <v>512GB</v>
      </c>
      <c r="O86" s="1" t="str">
        <f t="shared" si="6"/>
        <v>512GB</v>
      </c>
      <c r="P86" s="1" t="s">
        <v>74</v>
      </c>
      <c r="Q86" s="1" t="str">
        <f t="shared" si="7"/>
        <v>1920x1080</v>
      </c>
      <c r="R86" s="1" t="s">
        <v>75</v>
      </c>
      <c r="S86" s="1" t="str">
        <f t="shared" si="8"/>
        <v>144Hz</v>
      </c>
      <c r="T86" s="1" t="s">
        <v>725</v>
      </c>
      <c r="U86" s="1" t="str">
        <f t="shared" si="9"/>
        <v>Windows 11 Pro</v>
      </c>
      <c r="V86" s="1" t="s">
        <v>245</v>
      </c>
      <c r="W86" s="1" t="str">
        <f t="shared" si="10"/>
        <v>1.85 kg</v>
      </c>
      <c r="X86" s="1" t="s">
        <v>78</v>
      </c>
      <c r="Y86" s="1" t="str">
        <f t="shared" si="11"/>
        <v>1 Year</v>
      </c>
      <c r="Z86" s="4">
        <v>32499</v>
      </c>
      <c r="AA86" s="1" t="s">
        <v>166</v>
      </c>
    </row>
    <row r="87" spans="1:27" ht="15.75" customHeight="1" x14ac:dyDescent="0.35">
      <c r="A87" s="1" t="s">
        <v>112</v>
      </c>
      <c r="B87" s="1" t="str">
        <f t="shared" si="0"/>
        <v>HP</v>
      </c>
      <c r="C87" s="1" t="s">
        <v>733</v>
      </c>
      <c r="D87" s="1" t="str">
        <f t="shared" si="1"/>
        <v>Victus 16-r0085cl</v>
      </c>
      <c r="E87" s="1" t="str">
        <f t="array" aca="1" ref="E87" ca="1">IFERROR(
INDEX(Family_Map!$B$2:$B$35,
_xludf.AGGREGATE(14,6,(ROW(Family_Map!$A$2:$A$35)-ROW(Family_Map!$A$2)+1)/(ISNUMBER(SEARCH(Family_Map!$A$2:$A$35,D87))),1)
),
"Other")</f>
        <v>Other</v>
      </c>
      <c r="F87" s="1" t="s">
        <v>402</v>
      </c>
      <c r="G87" s="1" t="e">
        <f t="shared" ca="1" si="2"/>
        <v>#NAME?</v>
      </c>
      <c r="H87" s="1" t="str">
        <f t="shared" ca="1" si="12"/>
        <v>Other</v>
      </c>
      <c r="I87" s="1" t="s">
        <v>540</v>
      </c>
      <c r="J87" s="1" t="str">
        <f t="shared" si="3"/>
        <v>8 GB</v>
      </c>
      <c r="K87" s="1" t="s">
        <v>599</v>
      </c>
      <c r="L87" s="1">
        <f t="shared" si="4"/>
        <v>16</v>
      </c>
      <c r="M87" s="1" t="s">
        <v>735</v>
      </c>
      <c r="N87" s="1" t="str">
        <f t="shared" si="5"/>
        <v>1 TB</v>
      </c>
      <c r="O87" s="1" t="str">
        <f t="shared" si="6"/>
        <v>1024GB</v>
      </c>
      <c r="P87" s="1" t="s">
        <v>120</v>
      </c>
      <c r="Q87" s="1" t="str">
        <f t="shared" si="7"/>
        <v>1920x1080</v>
      </c>
      <c r="S87" s="1" t="str">
        <f t="shared" si="8"/>
        <v/>
      </c>
      <c r="T87" s="1" t="s">
        <v>90</v>
      </c>
      <c r="U87" s="1" t="str">
        <f t="shared" si="9"/>
        <v>Windows 11 Home</v>
      </c>
      <c r="V87" s="1" t="s">
        <v>739</v>
      </c>
      <c r="W87" s="1" t="str">
        <f t="shared" si="10"/>
        <v>2.33 kg</v>
      </c>
      <c r="X87" s="1" t="s">
        <v>78</v>
      </c>
      <c r="Y87" s="1" t="str">
        <f t="shared" si="11"/>
        <v>1 Year</v>
      </c>
      <c r="Z87" s="4">
        <v>88888</v>
      </c>
      <c r="AA87" s="1" t="s">
        <v>79</v>
      </c>
    </row>
    <row r="88" spans="1:27" ht="15.75" customHeight="1" x14ac:dyDescent="0.35">
      <c r="A88" s="1" t="s">
        <v>112</v>
      </c>
      <c r="B88" s="1" t="str">
        <f t="shared" si="0"/>
        <v>HP</v>
      </c>
      <c r="C88" s="1" t="s">
        <v>741</v>
      </c>
      <c r="D88" s="1" t="str">
        <f t="shared" si="1"/>
        <v>Victus 15-FB2082WM</v>
      </c>
      <c r="E88" s="1" t="str">
        <f t="array" aca="1" ref="E88" ca="1">IFERROR(
INDEX(Family_Map!$B$2:$B$35,
_xludf.AGGREGATE(14,6,(ROW(Family_Map!$A$2:$A$35)-ROW(Family_Map!$A$2)+1)/(ISNUMBER(SEARCH(Family_Map!$A$2:$A$35,D88))),1)
),
"Other")</f>
        <v>Other</v>
      </c>
      <c r="F88" s="1" t="s">
        <v>742</v>
      </c>
      <c r="G88" s="1" t="e">
        <f t="shared" ca="1" si="2"/>
        <v>#NAME?</v>
      </c>
      <c r="H88" s="1" t="str">
        <f t="shared" ca="1" si="12"/>
        <v>Other</v>
      </c>
      <c r="I88" s="1" t="s">
        <v>116</v>
      </c>
      <c r="J88" s="1" t="str">
        <f t="shared" si="3"/>
        <v>6 GB</v>
      </c>
      <c r="K88" s="1" t="s">
        <v>707</v>
      </c>
      <c r="L88" s="1">
        <f t="shared" si="4"/>
        <v>16</v>
      </c>
      <c r="M88" s="1" t="s">
        <v>118</v>
      </c>
      <c r="N88" s="1" t="str">
        <f t="shared" si="5"/>
        <v>512 GB</v>
      </c>
      <c r="O88" s="1" t="str">
        <f t="shared" si="6"/>
        <v>512 GB</v>
      </c>
      <c r="P88" s="1" t="s">
        <v>120</v>
      </c>
      <c r="Q88" s="1" t="str">
        <f t="shared" si="7"/>
        <v>1920x1080</v>
      </c>
      <c r="S88" s="1" t="str">
        <f t="shared" si="8"/>
        <v/>
      </c>
      <c r="T88" s="1" t="s">
        <v>90</v>
      </c>
      <c r="U88" s="1" t="str">
        <f t="shared" si="9"/>
        <v>Windows 11 Home</v>
      </c>
      <c r="V88" s="1" t="s">
        <v>127</v>
      </c>
      <c r="W88" s="1" t="str">
        <f t="shared" si="10"/>
        <v>2.29 kg</v>
      </c>
      <c r="X88" s="1" t="s">
        <v>78</v>
      </c>
      <c r="Y88" s="1" t="str">
        <f t="shared" si="11"/>
        <v>1 Year</v>
      </c>
      <c r="Z88" s="4">
        <v>40999</v>
      </c>
      <c r="AA88" s="1" t="s">
        <v>5735</v>
      </c>
    </row>
    <row r="89" spans="1:27" ht="15.75" customHeight="1" x14ac:dyDescent="0.35">
      <c r="A89" s="1" t="s">
        <v>151</v>
      </c>
      <c r="B89" s="1" t="str">
        <f t="shared" si="0"/>
        <v>Lenovo</v>
      </c>
      <c r="C89" s="1" t="s">
        <v>568</v>
      </c>
      <c r="D89" s="1" t="str">
        <f t="shared" si="1"/>
        <v>LOQ 15IRX9</v>
      </c>
      <c r="E89" s="1" t="str">
        <f t="array" aca="1" ref="E89" ca="1">IFERROR(
INDEX(Family_Map!$B$2:$B$35,
_xludf.AGGREGATE(14,6,(ROW(Family_Map!$A$2:$A$35)-ROW(Family_Map!$A$2)+1)/(ISNUMBER(SEARCH(Family_Map!$A$2:$A$35,D89))),1)
),
"Other")</f>
        <v>Other</v>
      </c>
      <c r="F89" s="1" t="s">
        <v>746</v>
      </c>
      <c r="G89" s="1" t="e">
        <f t="shared" ca="1" si="2"/>
        <v>#NAME?</v>
      </c>
      <c r="H89" s="1" t="str">
        <f t="shared" ca="1" si="12"/>
        <v>Other</v>
      </c>
      <c r="I89" s="1" t="s">
        <v>70</v>
      </c>
      <c r="J89" s="1" t="str">
        <f t="shared" si="3"/>
        <v>6GB</v>
      </c>
      <c r="K89" s="1" t="s">
        <v>155</v>
      </c>
      <c r="L89" s="1">
        <f t="shared" si="4"/>
        <v>16</v>
      </c>
      <c r="M89" s="1" t="s">
        <v>156</v>
      </c>
      <c r="N89" s="1" t="str">
        <f t="shared" si="5"/>
        <v>512GB</v>
      </c>
      <c r="O89" s="1" t="str">
        <f t="shared" si="6"/>
        <v>512GB</v>
      </c>
      <c r="P89" s="1" t="s">
        <v>120</v>
      </c>
      <c r="Q89" s="1" t="str">
        <f t="shared" si="7"/>
        <v>1920x1080</v>
      </c>
      <c r="R89" s="1" t="s">
        <v>75</v>
      </c>
      <c r="S89" s="1" t="str">
        <f t="shared" si="8"/>
        <v>144Hz</v>
      </c>
      <c r="T89" s="1" t="s">
        <v>101</v>
      </c>
      <c r="U89" s="1" t="str">
        <f t="shared" si="9"/>
        <v>DOS</v>
      </c>
      <c r="V89" s="1" t="s">
        <v>398</v>
      </c>
      <c r="W89" s="1" t="str">
        <f t="shared" si="10"/>
        <v>2.38 kg</v>
      </c>
      <c r="X89" s="1" t="s">
        <v>165</v>
      </c>
      <c r="Y89" s="1" t="str">
        <f t="shared" si="11"/>
        <v>2 Years</v>
      </c>
      <c r="Z89" s="4">
        <v>43999</v>
      </c>
      <c r="AA89" s="1" t="s">
        <v>79</v>
      </c>
    </row>
    <row r="90" spans="1:27" ht="15.75" customHeight="1" x14ac:dyDescent="0.35">
      <c r="A90" s="1" t="s">
        <v>112</v>
      </c>
      <c r="B90" s="1" t="str">
        <f t="shared" si="0"/>
        <v>HP</v>
      </c>
      <c r="C90" s="1" t="s">
        <v>749</v>
      </c>
      <c r="D90" s="1" t="str">
        <f t="shared" si="1"/>
        <v>Victus 15-FA1035NE</v>
      </c>
      <c r="E90" s="1" t="str">
        <f t="array" aca="1" ref="E90" ca="1">IFERROR(
INDEX(Family_Map!$B$2:$B$35,
_xludf.AGGREGATE(14,6,(ROW(Family_Map!$A$2:$A$35)-ROW(Family_Map!$A$2)+1)/(ISNUMBER(SEARCH(Family_Map!$A$2:$A$35,D90))),1)
),
"Other")</f>
        <v>Other</v>
      </c>
      <c r="F90" s="1" t="s">
        <v>750</v>
      </c>
      <c r="G90" s="1" t="e">
        <f t="shared" ca="1" si="2"/>
        <v>#NAME?</v>
      </c>
      <c r="H90" s="1" t="str">
        <f t="shared" ca="1" si="12"/>
        <v>Other</v>
      </c>
      <c r="I90" s="1" t="s">
        <v>116</v>
      </c>
      <c r="J90" s="1" t="str">
        <f t="shared" si="3"/>
        <v>6 GB</v>
      </c>
      <c r="K90" s="1" t="s">
        <v>665</v>
      </c>
      <c r="L90" s="1">
        <f t="shared" si="4"/>
        <v>16</v>
      </c>
      <c r="M90" s="1" t="s">
        <v>118</v>
      </c>
      <c r="N90" s="1" t="str">
        <f t="shared" si="5"/>
        <v>512 GB</v>
      </c>
      <c r="O90" s="1" t="str">
        <f t="shared" si="6"/>
        <v>512 GB</v>
      </c>
      <c r="P90" s="1" t="s">
        <v>120</v>
      </c>
      <c r="Q90" s="1" t="str">
        <f t="shared" si="7"/>
        <v>1920x1080</v>
      </c>
      <c r="R90" s="1" t="s">
        <v>75</v>
      </c>
      <c r="S90" s="1" t="str">
        <f t="shared" si="8"/>
        <v>144Hz</v>
      </c>
      <c r="T90" s="1" t="s">
        <v>101</v>
      </c>
      <c r="U90" s="1" t="str">
        <f t="shared" si="9"/>
        <v>DOS</v>
      </c>
      <c r="V90" s="1" t="s">
        <v>127</v>
      </c>
      <c r="W90" s="1" t="str">
        <f t="shared" si="10"/>
        <v>2.29 kg</v>
      </c>
      <c r="X90" s="1" t="s">
        <v>78</v>
      </c>
      <c r="Y90" s="1" t="str">
        <f t="shared" si="11"/>
        <v>1 Year</v>
      </c>
      <c r="Z90" s="4">
        <v>40099</v>
      </c>
      <c r="AA90" s="1" t="s">
        <v>79</v>
      </c>
    </row>
    <row r="91" spans="1:27" ht="15.75" customHeight="1" x14ac:dyDescent="0.35">
      <c r="A91" s="1" t="s">
        <v>112</v>
      </c>
      <c r="B91" s="1" t="str">
        <f t="shared" si="0"/>
        <v>HP</v>
      </c>
      <c r="C91" s="1" t="s">
        <v>753</v>
      </c>
      <c r="D91" s="1" t="str">
        <f t="shared" si="1"/>
        <v>Victus 15-FA1036NE</v>
      </c>
      <c r="E91" s="1" t="str">
        <f t="array" aca="1" ref="E91" ca="1">IFERROR(
INDEX(Family_Map!$B$2:$B$35,
_xludf.AGGREGATE(14,6,(ROW(Family_Map!$A$2:$A$35)-ROW(Family_Map!$A$2)+1)/(ISNUMBER(SEARCH(Family_Map!$A$2:$A$35,D91))),1)
),
"Other")</f>
        <v>Other</v>
      </c>
      <c r="F91" s="1" t="s">
        <v>754</v>
      </c>
      <c r="G91" s="1" t="e">
        <f t="shared" ca="1" si="2"/>
        <v>#NAME?</v>
      </c>
      <c r="H91" s="1" t="str">
        <f t="shared" ca="1" si="12"/>
        <v>Other</v>
      </c>
      <c r="I91" s="1" t="s">
        <v>755</v>
      </c>
      <c r="J91" s="1" t="str">
        <f t="shared" si="3"/>
        <v>6 GB</v>
      </c>
      <c r="K91" s="1" t="s">
        <v>665</v>
      </c>
      <c r="L91" s="1">
        <f t="shared" si="4"/>
        <v>16</v>
      </c>
      <c r="M91" s="1" t="s">
        <v>118</v>
      </c>
      <c r="N91" s="1" t="str">
        <f t="shared" si="5"/>
        <v>512 GB</v>
      </c>
      <c r="O91" s="1" t="str">
        <f t="shared" si="6"/>
        <v>512 GB</v>
      </c>
      <c r="P91" s="1" t="s">
        <v>120</v>
      </c>
      <c r="Q91" s="1" t="str">
        <f t="shared" si="7"/>
        <v>1920x1080</v>
      </c>
      <c r="R91" s="1" t="s">
        <v>75</v>
      </c>
      <c r="S91" s="1" t="str">
        <f t="shared" si="8"/>
        <v>144Hz</v>
      </c>
      <c r="T91" s="1" t="s">
        <v>101</v>
      </c>
      <c r="U91" s="1" t="str">
        <f t="shared" si="9"/>
        <v>DOS</v>
      </c>
      <c r="V91" s="1" t="s">
        <v>127</v>
      </c>
      <c r="W91" s="1" t="str">
        <f t="shared" si="10"/>
        <v>2.29 kg</v>
      </c>
      <c r="X91" s="1" t="s">
        <v>78</v>
      </c>
      <c r="Y91" s="1" t="str">
        <f t="shared" si="11"/>
        <v>1 Year</v>
      </c>
      <c r="Z91" s="4">
        <v>38666</v>
      </c>
      <c r="AA91" s="1" t="s">
        <v>79</v>
      </c>
    </row>
    <row r="92" spans="1:27" ht="15.75" customHeight="1" x14ac:dyDescent="0.35">
      <c r="A92" s="1" t="s">
        <v>112</v>
      </c>
      <c r="B92" s="1" t="str">
        <f t="shared" si="0"/>
        <v>HP</v>
      </c>
      <c r="C92" s="1" t="s">
        <v>759</v>
      </c>
      <c r="D92" s="1" t="str">
        <f t="shared" si="1"/>
        <v>Envy 16-H1053DX</v>
      </c>
      <c r="E92" s="1" t="str">
        <f t="array" aca="1" ref="E92" ca="1">IFERROR(
INDEX(Family_Map!$B$2:$B$35,
_xludf.AGGREGATE(14,6,(ROW(Family_Map!$A$2:$A$35)-ROW(Family_Map!$A$2)+1)/(ISNUMBER(SEARCH(Family_Map!$A$2:$A$35,D92))),1)
),
"Other")</f>
        <v>Other</v>
      </c>
      <c r="F92" s="1" t="s">
        <v>693</v>
      </c>
      <c r="G92" s="1" t="e">
        <f t="shared" ca="1" si="2"/>
        <v>#NAME?</v>
      </c>
      <c r="H92" s="1" t="str">
        <f t="shared" ca="1" si="12"/>
        <v>Other</v>
      </c>
      <c r="I92" s="1" t="s">
        <v>410</v>
      </c>
      <c r="J92" s="1" t="str">
        <f t="shared" si="3"/>
        <v>8GB</v>
      </c>
      <c r="K92" s="1" t="s">
        <v>760</v>
      </c>
      <c r="L92" s="1">
        <f t="shared" si="4"/>
        <v>16</v>
      </c>
      <c r="M92" s="1" t="s">
        <v>542</v>
      </c>
      <c r="N92" s="1" t="str">
        <f t="shared" si="5"/>
        <v>1 TB</v>
      </c>
      <c r="O92" s="1" t="str">
        <f t="shared" si="6"/>
        <v>1024GB</v>
      </c>
      <c r="P92" s="1" t="s">
        <v>89</v>
      </c>
      <c r="Q92" s="1" t="str">
        <f t="shared" si="7"/>
        <v>2560x1600</v>
      </c>
      <c r="R92" s="1" t="s">
        <v>39</v>
      </c>
      <c r="S92" s="1" t="str">
        <f t="shared" si="8"/>
        <v>120Hz</v>
      </c>
      <c r="T92" s="1" t="s">
        <v>90</v>
      </c>
      <c r="U92" s="1" t="str">
        <f t="shared" si="9"/>
        <v>Windows 11 Home</v>
      </c>
      <c r="V92" s="1" t="s">
        <v>766</v>
      </c>
      <c r="W92" s="1" t="str">
        <f t="shared" si="10"/>
        <v>2.34 kg</v>
      </c>
      <c r="X92" s="1" t="s">
        <v>78</v>
      </c>
      <c r="Y92" s="1" t="str">
        <f t="shared" si="11"/>
        <v>1 Year</v>
      </c>
      <c r="Z92" s="4">
        <v>71000</v>
      </c>
      <c r="AA92" s="1" t="s">
        <v>79</v>
      </c>
    </row>
    <row r="93" spans="1:27" ht="15.75" customHeight="1" x14ac:dyDescent="0.35">
      <c r="A93" s="1" t="s">
        <v>112</v>
      </c>
      <c r="B93" s="1" t="str">
        <f t="shared" si="0"/>
        <v>HP</v>
      </c>
      <c r="C93" s="1" t="s">
        <v>769</v>
      </c>
      <c r="D93" s="1" t="str">
        <f t="shared" si="1"/>
        <v>Victus 15-FA1038NE</v>
      </c>
      <c r="E93" s="1" t="str">
        <f t="array" aca="1" ref="E93" ca="1">IFERROR(
INDEX(Family_Map!$B$2:$B$35,
_xludf.AGGREGATE(14,6,(ROW(Family_Map!$A$2:$A$35)-ROW(Family_Map!$A$2)+1)/(ISNUMBER(SEARCH(Family_Map!$A$2:$A$35,D93))),1)
),
"Other")</f>
        <v>Other</v>
      </c>
      <c r="F93" s="1" t="s">
        <v>693</v>
      </c>
      <c r="G93" s="1" t="e">
        <f t="shared" ca="1" si="2"/>
        <v>#NAME?</v>
      </c>
      <c r="H93" s="1" t="str">
        <f t="shared" ca="1" si="12"/>
        <v>Other</v>
      </c>
      <c r="I93" s="1" t="s">
        <v>70</v>
      </c>
      <c r="J93" s="1" t="str">
        <f t="shared" si="3"/>
        <v>6GB</v>
      </c>
      <c r="K93" s="1" t="s">
        <v>363</v>
      </c>
      <c r="L93" s="1">
        <f t="shared" si="4"/>
        <v>8</v>
      </c>
      <c r="M93" s="1" t="s">
        <v>118</v>
      </c>
      <c r="N93" s="1" t="str">
        <f t="shared" si="5"/>
        <v>512 GB</v>
      </c>
      <c r="O93" s="1" t="str">
        <f t="shared" si="6"/>
        <v>512 GB</v>
      </c>
      <c r="P93" s="1" t="s">
        <v>120</v>
      </c>
      <c r="Q93" s="1" t="str">
        <f t="shared" si="7"/>
        <v>1920x1080</v>
      </c>
      <c r="R93" s="1" t="s">
        <v>75</v>
      </c>
      <c r="S93" s="1" t="str">
        <f t="shared" si="8"/>
        <v>144Hz</v>
      </c>
      <c r="T93" s="1" t="s">
        <v>101</v>
      </c>
      <c r="U93" s="1" t="str">
        <f t="shared" si="9"/>
        <v>DOS</v>
      </c>
      <c r="V93" s="1" t="s">
        <v>127</v>
      </c>
      <c r="W93" s="1" t="str">
        <f t="shared" si="10"/>
        <v>2.29 kg</v>
      </c>
      <c r="X93" s="1" t="s">
        <v>78</v>
      </c>
      <c r="Y93" s="1" t="str">
        <f t="shared" si="11"/>
        <v>1 Year</v>
      </c>
      <c r="Z93" s="4">
        <v>40999</v>
      </c>
      <c r="AA93" s="1" t="s">
        <v>79</v>
      </c>
    </row>
    <row r="94" spans="1:27" ht="15.75" customHeight="1" x14ac:dyDescent="0.35">
      <c r="A94" s="1" t="s">
        <v>112</v>
      </c>
      <c r="B94" s="1" t="str">
        <f t="shared" si="0"/>
        <v>HP</v>
      </c>
      <c r="C94" s="1" t="s">
        <v>741</v>
      </c>
      <c r="D94" s="1" t="str">
        <f t="shared" si="1"/>
        <v>Victus 15-FB2082WM</v>
      </c>
      <c r="E94" s="1" t="str">
        <f t="array" aca="1" ref="E94" ca="1">IFERROR(
INDEX(Family_Map!$B$2:$B$35,
_xludf.AGGREGATE(14,6,(ROW(Family_Map!$A$2:$A$35)-ROW(Family_Map!$A$2)+1)/(ISNUMBER(SEARCH(Family_Map!$A$2:$A$35,D94))),1)
),
"Other")</f>
        <v>Other</v>
      </c>
      <c r="F94" s="1" t="s">
        <v>742</v>
      </c>
      <c r="G94" s="1" t="e">
        <f t="shared" ca="1" si="2"/>
        <v>#NAME?</v>
      </c>
      <c r="H94" s="1" t="str">
        <f t="shared" ca="1" si="12"/>
        <v>Other</v>
      </c>
      <c r="I94" s="1" t="s">
        <v>772</v>
      </c>
      <c r="J94" s="1" t="str">
        <f t="shared" si="3"/>
        <v>6 GB</v>
      </c>
      <c r="K94" s="1" t="s">
        <v>773</v>
      </c>
      <c r="L94" s="1">
        <f t="shared" si="4"/>
        <v>8</v>
      </c>
      <c r="M94" s="1" t="s">
        <v>118</v>
      </c>
      <c r="N94" s="1" t="str">
        <f t="shared" si="5"/>
        <v>512 GB</v>
      </c>
      <c r="O94" s="1" t="str">
        <f t="shared" si="6"/>
        <v>512 GB</v>
      </c>
      <c r="P94" s="1" t="s">
        <v>120</v>
      </c>
      <c r="Q94" s="1" t="str">
        <f t="shared" si="7"/>
        <v>1920x1080</v>
      </c>
      <c r="S94" s="1" t="str">
        <f t="shared" si="8"/>
        <v/>
      </c>
      <c r="T94" s="1" t="s">
        <v>90</v>
      </c>
      <c r="U94" s="1" t="str">
        <f t="shared" si="9"/>
        <v>Windows 11 Home</v>
      </c>
      <c r="V94" s="1" t="s">
        <v>127</v>
      </c>
      <c r="W94" s="1" t="str">
        <f t="shared" si="10"/>
        <v>2.29 kg</v>
      </c>
      <c r="X94" s="1" t="s">
        <v>78</v>
      </c>
      <c r="Y94" s="1" t="str">
        <f t="shared" si="11"/>
        <v>1 Year</v>
      </c>
      <c r="Z94" s="4">
        <v>37777</v>
      </c>
      <c r="AA94" s="1" t="s">
        <v>5735</v>
      </c>
    </row>
    <row r="95" spans="1:27" ht="15.75" customHeight="1" x14ac:dyDescent="0.35">
      <c r="A95" s="1" t="s">
        <v>30</v>
      </c>
      <c r="B95" s="1" t="str">
        <f t="shared" si="0"/>
        <v>MSI</v>
      </c>
      <c r="C95" s="1" t="s">
        <v>775</v>
      </c>
      <c r="D95" s="1" t="str">
        <f t="shared" si="1"/>
        <v>Cyborg 15 A13VF</v>
      </c>
      <c r="E95" s="1" t="str">
        <f t="array" aca="1" ref="E95" ca="1">IFERROR(
INDEX(Family_Map!$B$2:$B$35,
_xludf.AGGREGATE(14,6,(ROW(Family_Map!$A$2:$A$35)-ROW(Family_Map!$A$2)+1)/(ISNUMBER(SEARCH(Family_Map!$A$2:$A$35,D95))),1)
),
"Other")</f>
        <v>Other</v>
      </c>
      <c r="F95" s="1" t="s">
        <v>655</v>
      </c>
      <c r="G95" s="1" t="e">
        <f t="shared" ca="1" si="2"/>
        <v>#NAME?</v>
      </c>
      <c r="H95" s="1" t="str">
        <f t="shared" ca="1" si="12"/>
        <v>Other</v>
      </c>
      <c r="I95" s="1" t="s">
        <v>410</v>
      </c>
      <c r="J95" s="1" t="str">
        <f t="shared" si="3"/>
        <v>8GB</v>
      </c>
      <c r="K95" s="1" t="s">
        <v>776</v>
      </c>
      <c r="L95" s="1">
        <f t="shared" si="4"/>
        <v>16</v>
      </c>
      <c r="M95" s="1" t="s">
        <v>777</v>
      </c>
      <c r="N95" s="1" t="str">
        <f t="shared" si="5"/>
        <v>512GB</v>
      </c>
      <c r="O95" s="1" t="str">
        <f t="shared" si="6"/>
        <v>512GB</v>
      </c>
      <c r="P95" s="1" t="s">
        <v>120</v>
      </c>
      <c r="Q95" s="1" t="str">
        <f t="shared" si="7"/>
        <v>1920x1080</v>
      </c>
      <c r="R95" s="1" t="s">
        <v>75</v>
      </c>
      <c r="S95" s="1" t="str">
        <f t="shared" si="8"/>
        <v>144Hz</v>
      </c>
      <c r="T95" s="1" t="s">
        <v>101</v>
      </c>
      <c r="U95" s="1" t="str">
        <f t="shared" si="9"/>
        <v>DOS</v>
      </c>
      <c r="V95" s="1" t="s">
        <v>781</v>
      </c>
      <c r="W95" s="1" t="str">
        <f t="shared" si="10"/>
        <v>1.98 kg</v>
      </c>
      <c r="X95" s="1" t="s">
        <v>165</v>
      </c>
      <c r="Y95" s="1" t="str">
        <f t="shared" si="11"/>
        <v>2 Years</v>
      </c>
      <c r="Z95" s="4">
        <v>47499</v>
      </c>
      <c r="AA95" s="1" t="s">
        <v>79</v>
      </c>
    </row>
    <row r="96" spans="1:27" ht="15.75" customHeight="1" x14ac:dyDescent="0.35">
      <c r="A96" s="1" t="s">
        <v>112</v>
      </c>
      <c r="B96" s="1" t="str">
        <f t="shared" si="0"/>
        <v>HP</v>
      </c>
      <c r="C96" s="1" t="s">
        <v>784</v>
      </c>
      <c r="D96" s="1" t="str">
        <f t="shared" si="1"/>
        <v>OMEN 16-wd0073dx</v>
      </c>
      <c r="E96" s="1" t="str">
        <f t="array" aca="1" ref="E96" ca="1">IFERROR(
INDEX(Family_Map!$B$2:$B$35,
_xludf.AGGREGATE(14,6,(ROW(Family_Map!$A$2:$A$35)-ROW(Family_Map!$A$2)+1)/(ISNUMBER(SEARCH(Family_Map!$A$2:$A$35,D96))),1)
),
"Other")</f>
        <v>Other</v>
      </c>
      <c r="F96" s="1" t="s">
        <v>114</v>
      </c>
      <c r="G96" s="1" t="e">
        <f t="shared" ca="1" si="2"/>
        <v>#NAME?</v>
      </c>
      <c r="H96" s="1" t="str">
        <f t="shared" ca="1" si="12"/>
        <v>Other</v>
      </c>
      <c r="J96" s="1" t="str">
        <f t="shared" si="3"/>
        <v/>
      </c>
      <c r="K96" s="1" t="s">
        <v>785</v>
      </c>
      <c r="L96" s="1">
        <f t="shared" si="4"/>
        <v>16</v>
      </c>
      <c r="M96" s="1" t="s">
        <v>735</v>
      </c>
      <c r="N96" s="1" t="str">
        <f t="shared" si="5"/>
        <v>1 TB</v>
      </c>
      <c r="O96" s="1" t="str">
        <f t="shared" si="6"/>
        <v>1024GB</v>
      </c>
      <c r="P96" s="1" t="s">
        <v>120</v>
      </c>
      <c r="Q96" s="1" t="str">
        <f t="shared" si="7"/>
        <v>1920x1080</v>
      </c>
      <c r="R96" s="1" t="s">
        <v>57</v>
      </c>
      <c r="S96" s="1" t="str">
        <f t="shared" si="8"/>
        <v>165Hz</v>
      </c>
      <c r="T96" s="1" t="s">
        <v>201</v>
      </c>
      <c r="U96" s="1" t="str">
        <f t="shared" si="9"/>
        <v>Windows 11 Home</v>
      </c>
      <c r="V96" s="1" t="s">
        <v>789</v>
      </c>
      <c r="W96" s="1" t="str">
        <f t="shared" si="10"/>
        <v>2.35 kg</v>
      </c>
      <c r="X96" s="1" t="s">
        <v>78</v>
      </c>
      <c r="Y96" s="1" t="str">
        <f t="shared" si="11"/>
        <v>1 Year</v>
      </c>
      <c r="Z96" s="4">
        <v>57777</v>
      </c>
      <c r="AA96" s="1" t="s">
        <v>79</v>
      </c>
    </row>
    <row r="97" spans="1:27" ht="15.75" customHeight="1" x14ac:dyDescent="0.35">
      <c r="A97" s="1" t="s">
        <v>81</v>
      </c>
      <c r="B97" s="1" t="str">
        <f t="shared" si="0"/>
        <v>Dell</v>
      </c>
      <c r="C97" s="1" t="s">
        <v>414</v>
      </c>
      <c r="D97" s="1" t="str">
        <f t="shared" si="1"/>
        <v>G15 5530</v>
      </c>
      <c r="E97" s="1" t="str">
        <f t="array" aca="1" ref="E97" ca="1">IFERROR(
INDEX(Family_Map!$B$2:$B$35,
_xludf.AGGREGATE(14,6,(ROW(Family_Map!$A$2:$A$35)-ROW(Family_Map!$A$2)+1)/(ISNUMBER(SEARCH(Family_Map!$A$2:$A$35,D97))),1)
),
"Other")</f>
        <v>Other</v>
      </c>
      <c r="F97" s="1" t="s">
        <v>711</v>
      </c>
      <c r="G97" s="1" t="e">
        <f t="shared" ca="1" si="2"/>
        <v>#NAME?</v>
      </c>
      <c r="H97" s="1" t="str">
        <f t="shared" ca="1" si="12"/>
        <v>Other</v>
      </c>
      <c r="I97" s="1" t="s">
        <v>70</v>
      </c>
      <c r="J97" s="1" t="str">
        <f t="shared" si="3"/>
        <v>6GB</v>
      </c>
      <c r="K97" s="1" t="s">
        <v>792</v>
      </c>
      <c r="L97" s="1">
        <f t="shared" si="4"/>
        <v>16</v>
      </c>
      <c r="M97" s="1" t="s">
        <v>417</v>
      </c>
      <c r="N97" s="1" t="str">
        <f t="shared" si="5"/>
        <v>512GB</v>
      </c>
      <c r="O97" s="1" t="str">
        <f t="shared" si="6"/>
        <v>512GB</v>
      </c>
      <c r="P97" s="1" t="s">
        <v>120</v>
      </c>
      <c r="Q97" s="1" t="str">
        <f t="shared" si="7"/>
        <v>1920x1080</v>
      </c>
      <c r="R97" s="1" t="s">
        <v>57</v>
      </c>
      <c r="S97" s="1" t="str">
        <f t="shared" si="8"/>
        <v>165Hz</v>
      </c>
      <c r="T97" s="1" t="s">
        <v>101</v>
      </c>
      <c r="U97" s="1" t="str">
        <f t="shared" si="9"/>
        <v>DOS</v>
      </c>
      <c r="V97" s="1" t="s">
        <v>423</v>
      </c>
      <c r="W97" s="1" t="str">
        <f t="shared" si="10"/>
        <v>2.81 kg</v>
      </c>
      <c r="X97" s="1" t="s">
        <v>78</v>
      </c>
      <c r="Y97" s="1" t="str">
        <f t="shared" si="11"/>
        <v>1 Year</v>
      </c>
      <c r="Z97" s="4">
        <v>56666</v>
      </c>
      <c r="AA97" s="1" t="s">
        <v>79</v>
      </c>
    </row>
    <row r="98" spans="1:27" ht="15.75" customHeight="1" x14ac:dyDescent="0.35">
      <c r="A98" s="1" t="s">
        <v>151</v>
      </c>
      <c r="B98" s="1" t="str">
        <f t="shared" si="0"/>
        <v>Lenovo</v>
      </c>
      <c r="C98" s="1" t="s">
        <v>794</v>
      </c>
      <c r="D98" s="1" t="str">
        <f t="shared" si="1"/>
        <v>Legion Slim 5 16IRH8</v>
      </c>
      <c r="E98" s="1" t="str">
        <f t="array" aca="1" ref="E98" ca="1">IFERROR(
INDEX(Family_Map!$B$2:$B$35,
_xludf.AGGREGATE(14,6,(ROW(Family_Map!$A$2:$A$35)-ROW(Family_Map!$A$2)+1)/(ISNUMBER(SEARCH(Family_Map!$A$2:$A$35,D98))),1)
),
"Other")</f>
        <v>Other</v>
      </c>
      <c r="F98" s="1" t="s">
        <v>402</v>
      </c>
      <c r="G98" s="1" t="e">
        <f t="shared" ca="1" si="2"/>
        <v>#NAME?</v>
      </c>
      <c r="H98" s="1" t="str">
        <f t="shared" ca="1" si="12"/>
        <v>Other</v>
      </c>
      <c r="I98" s="1" t="s">
        <v>410</v>
      </c>
      <c r="J98" s="1" t="str">
        <f t="shared" si="3"/>
        <v>8GB</v>
      </c>
      <c r="K98" s="1" t="s">
        <v>795</v>
      </c>
      <c r="L98" s="1">
        <f t="shared" si="4"/>
        <v>16</v>
      </c>
      <c r="M98" s="1" t="s">
        <v>796</v>
      </c>
      <c r="N98" s="1" t="str">
        <f t="shared" si="5"/>
        <v>1TB</v>
      </c>
      <c r="O98" s="1" t="str">
        <f t="shared" si="6"/>
        <v>1024GB</v>
      </c>
      <c r="P98" s="1" t="s">
        <v>224</v>
      </c>
      <c r="Q98" s="1" t="str">
        <f t="shared" si="7"/>
        <v>2560x1600</v>
      </c>
      <c r="R98" s="1" t="s">
        <v>57</v>
      </c>
      <c r="S98" s="1" t="str">
        <f t="shared" si="8"/>
        <v>165Hz</v>
      </c>
      <c r="T98" s="1" t="s">
        <v>101</v>
      </c>
      <c r="U98" s="1" t="str">
        <f t="shared" si="9"/>
        <v>DOS</v>
      </c>
      <c r="V98" s="1" t="s">
        <v>63</v>
      </c>
      <c r="W98" s="1" t="str">
        <f t="shared" si="10"/>
        <v>2.4 kg</v>
      </c>
      <c r="X98" s="1" t="s">
        <v>78</v>
      </c>
      <c r="Y98" s="1" t="str">
        <f t="shared" si="11"/>
        <v>1 Year</v>
      </c>
      <c r="Z98" s="4">
        <v>65199</v>
      </c>
      <c r="AA98" s="1" t="s">
        <v>79</v>
      </c>
    </row>
    <row r="99" spans="1:27" ht="15.75" customHeight="1" x14ac:dyDescent="0.35">
      <c r="A99" s="1" t="s">
        <v>234</v>
      </c>
      <c r="B99" s="1" t="str">
        <f t="shared" si="0"/>
        <v>ASUS</v>
      </c>
      <c r="C99" s="1" t="s">
        <v>805</v>
      </c>
      <c r="D99" s="1" t="str">
        <f t="shared" si="1"/>
        <v>ROG Zephyrus G16 GU603W-G16-I74060</v>
      </c>
      <c r="E99" s="1" t="str">
        <f t="array" aca="1" ref="E99" ca="1">IFERROR(
INDEX(Family_Map!$B$2:$B$35,
_xludf.AGGREGATE(14,6,(ROW(Family_Map!$A$2:$A$35)-ROW(Family_Map!$A$2)+1)/(ISNUMBER(SEARCH(Family_Map!$A$2:$A$35,D99))),1)
),
"Other")</f>
        <v>Other</v>
      </c>
      <c r="F99" s="1" t="s">
        <v>806</v>
      </c>
      <c r="G99" s="1" t="e">
        <f t="shared" ca="1" si="2"/>
        <v>#NAME?</v>
      </c>
      <c r="H99" s="1" t="str">
        <f t="shared" ca="1" si="12"/>
        <v>Other</v>
      </c>
      <c r="I99" s="1" t="s">
        <v>410</v>
      </c>
      <c r="J99" s="1" t="str">
        <f t="shared" si="3"/>
        <v>8GB</v>
      </c>
      <c r="K99" s="1" t="s">
        <v>807</v>
      </c>
      <c r="L99" s="1">
        <f t="shared" si="4"/>
        <v>16</v>
      </c>
      <c r="M99" s="1" t="s">
        <v>808</v>
      </c>
      <c r="N99" s="1" t="str">
        <f t="shared" si="5"/>
        <v>512GB</v>
      </c>
      <c r="O99" s="1" t="str">
        <f t="shared" si="6"/>
        <v>512GB</v>
      </c>
      <c r="P99" s="1" t="s">
        <v>275</v>
      </c>
      <c r="Q99" s="1" t="str">
        <f t="shared" si="7"/>
        <v>1920x1200</v>
      </c>
      <c r="R99" s="1" t="s">
        <v>57</v>
      </c>
      <c r="S99" s="1" t="str">
        <f t="shared" si="8"/>
        <v>165Hz</v>
      </c>
      <c r="T99" s="1" t="s">
        <v>90</v>
      </c>
      <c r="U99" s="1" t="str">
        <f t="shared" si="9"/>
        <v>Windows 11 Home</v>
      </c>
      <c r="V99" s="1" t="s">
        <v>814</v>
      </c>
      <c r="W99" s="1" t="str">
        <f t="shared" si="10"/>
        <v>2 kg</v>
      </c>
      <c r="X99" s="1" t="s">
        <v>78</v>
      </c>
      <c r="Y99" s="1" t="str">
        <f t="shared" si="11"/>
        <v>1 Year</v>
      </c>
      <c r="Z99" s="4">
        <v>99999</v>
      </c>
      <c r="AA99" s="1" t="s">
        <v>79</v>
      </c>
    </row>
    <row r="100" spans="1:27" ht="15.75" customHeight="1" x14ac:dyDescent="0.35">
      <c r="A100" s="1" t="s">
        <v>112</v>
      </c>
      <c r="B100" s="1" t="str">
        <f t="shared" si="0"/>
        <v>HP</v>
      </c>
      <c r="C100" s="1" t="s">
        <v>817</v>
      </c>
      <c r="D100" s="1" t="str">
        <f t="shared" si="1"/>
        <v>Victus 16-R0046NE</v>
      </c>
      <c r="E100" s="1" t="str">
        <f t="array" aca="1" ref="E100" ca="1">IFERROR(
INDEX(Family_Map!$B$2:$B$35,
_xludf.AGGREGATE(14,6,(ROW(Family_Map!$A$2:$A$35)-ROW(Family_Map!$A$2)+1)/(ISNUMBER(SEARCH(Family_Map!$A$2:$A$35,D100))),1)
),
"Other")</f>
        <v>Other</v>
      </c>
      <c r="F100" s="1" t="s">
        <v>818</v>
      </c>
      <c r="G100" s="1" t="e">
        <f t="shared" ca="1" si="2"/>
        <v>#NAME?</v>
      </c>
      <c r="H100" s="1" t="str">
        <f t="shared" ca="1" si="12"/>
        <v>Other</v>
      </c>
      <c r="I100" s="1" t="s">
        <v>116</v>
      </c>
      <c r="J100" s="1" t="str">
        <f t="shared" si="3"/>
        <v>6 GB</v>
      </c>
      <c r="K100" s="1" t="s">
        <v>819</v>
      </c>
      <c r="L100" s="1">
        <f t="shared" si="4"/>
        <v>16</v>
      </c>
      <c r="M100" s="1" t="s">
        <v>735</v>
      </c>
      <c r="N100" s="1" t="str">
        <f t="shared" si="5"/>
        <v>1 TB</v>
      </c>
      <c r="O100" s="1" t="str">
        <f t="shared" si="6"/>
        <v>1024GB</v>
      </c>
      <c r="P100" s="1" t="s">
        <v>616</v>
      </c>
      <c r="Q100" s="1" t="str">
        <f t="shared" si="7"/>
        <v>1920x1080</v>
      </c>
      <c r="R100" s="1" t="s">
        <v>75</v>
      </c>
      <c r="S100" s="1" t="str">
        <f t="shared" si="8"/>
        <v>144Hz</v>
      </c>
      <c r="T100" s="1" t="s">
        <v>101</v>
      </c>
      <c r="U100" s="1" t="str">
        <f t="shared" si="9"/>
        <v>DOS</v>
      </c>
      <c r="V100" s="1" t="s">
        <v>267</v>
      </c>
      <c r="W100" s="1" t="str">
        <f t="shared" si="10"/>
        <v>2.33 kg</v>
      </c>
      <c r="X100" s="1" t="s">
        <v>78</v>
      </c>
      <c r="Y100" s="1" t="str">
        <f t="shared" si="11"/>
        <v>1 Year</v>
      </c>
      <c r="Z100" s="4">
        <v>48888</v>
      </c>
      <c r="AA100" s="1" t="s">
        <v>79</v>
      </c>
    </row>
    <row r="101" spans="1:27" ht="15.75" customHeight="1" x14ac:dyDescent="0.35">
      <c r="A101" s="1" t="s">
        <v>112</v>
      </c>
      <c r="B101" s="1" t="str">
        <f t="shared" si="0"/>
        <v>HP</v>
      </c>
      <c r="C101" s="1" t="s">
        <v>823</v>
      </c>
      <c r="D101" s="1" t="str">
        <f t="shared" si="1"/>
        <v>Victus 16-R0045NE</v>
      </c>
      <c r="E101" s="1" t="str">
        <f t="array" aca="1" ref="E101" ca="1">IFERROR(
INDEX(Family_Map!$B$2:$B$35,
_xludf.AGGREGATE(14,6,(ROW(Family_Map!$A$2:$A$35)-ROW(Family_Map!$A$2)+1)/(ISNUMBER(SEARCH(Family_Map!$A$2:$A$35,D101))),1)
),
"Other")</f>
        <v>Other</v>
      </c>
      <c r="F101" s="1" t="s">
        <v>818</v>
      </c>
      <c r="G101" s="1" t="e">
        <f t="shared" ca="1" si="2"/>
        <v>#NAME?</v>
      </c>
      <c r="H101" s="1" t="str">
        <f t="shared" ca="1" si="12"/>
        <v>Other</v>
      </c>
      <c r="I101" s="1" t="s">
        <v>70</v>
      </c>
      <c r="J101" s="1" t="str">
        <f t="shared" si="3"/>
        <v>6GB</v>
      </c>
      <c r="K101" s="1" t="s">
        <v>819</v>
      </c>
      <c r="L101" s="1">
        <f t="shared" si="4"/>
        <v>16</v>
      </c>
      <c r="M101" s="1" t="s">
        <v>698</v>
      </c>
      <c r="N101" s="1" t="str">
        <f t="shared" si="5"/>
        <v>1TB</v>
      </c>
      <c r="O101" s="1" t="str">
        <f t="shared" si="6"/>
        <v>1024GB</v>
      </c>
      <c r="P101" s="1" t="s">
        <v>120</v>
      </c>
      <c r="Q101" s="1" t="str">
        <f t="shared" si="7"/>
        <v>1920x1080</v>
      </c>
      <c r="R101" s="1" t="s">
        <v>75</v>
      </c>
      <c r="S101" s="1" t="str">
        <f t="shared" si="8"/>
        <v>144Hz</v>
      </c>
      <c r="T101" s="1" t="s">
        <v>101</v>
      </c>
      <c r="U101" s="1" t="str">
        <f t="shared" si="9"/>
        <v>DOS</v>
      </c>
      <c r="V101" s="1" t="s">
        <v>267</v>
      </c>
      <c r="W101" s="1" t="str">
        <f t="shared" si="10"/>
        <v>2.33 kg</v>
      </c>
      <c r="X101" s="1" t="s">
        <v>78</v>
      </c>
      <c r="Y101" s="1" t="str">
        <f t="shared" si="11"/>
        <v>1 Year</v>
      </c>
      <c r="Z101" s="4">
        <v>48888</v>
      </c>
      <c r="AA101" s="1" t="s">
        <v>79</v>
      </c>
    </row>
    <row r="102" spans="1:27" ht="15.75" customHeight="1" x14ac:dyDescent="0.35">
      <c r="A102" s="1" t="s">
        <v>151</v>
      </c>
      <c r="B102" s="1" t="str">
        <f t="shared" si="0"/>
        <v>Lenovo</v>
      </c>
      <c r="C102" s="1" t="s">
        <v>826</v>
      </c>
      <c r="D102" s="1" t="str">
        <f t="shared" si="1"/>
        <v>IdeaPad Gaming 3 15ACH6</v>
      </c>
      <c r="E102" s="1" t="str">
        <f t="array" aca="1" ref="E102" ca="1">IFERROR(
INDEX(Family_Map!$B$2:$B$35,
_xludf.AGGREGATE(14,6,(ROW(Family_Map!$A$2:$A$35)-ROW(Family_Map!$A$2)+1)/(ISNUMBER(SEARCH(Family_Map!$A$2:$A$35,D102))),1)
),
"Other")</f>
        <v>Other</v>
      </c>
      <c r="F102" s="1" t="s">
        <v>827</v>
      </c>
      <c r="G102" s="1" t="e">
        <f t="shared" ca="1" si="2"/>
        <v>#NAME?</v>
      </c>
      <c r="H102" s="1" t="str">
        <f t="shared" ca="1" si="12"/>
        <v>Other</v>
      </c>
      <c r="I102" s="1" t="s">
        <v>507</v>
      </c>
      <c r="J102" s="1" t="str">
        <f t="shared" si="3"/>
        <v>4GB</v>
      </c>
      <c r="K102" s="1" t="s">
        <v>491</v>
      </c>
      <c r="L102" s="1">
        <f t="shared" si="4"/>
        <v>16</v>
      </c>
      <c r="M102" s="1" t="s">
        <v>829</v>
      </c>
      <c r="N102" s="1" t="str">
        <f t="shared" si="5"/>
        <v>512GB</v>
      </c>
      <c r="O102" s="1" t="str">
        <f t="shared" si="6"/>
        <v>512GB</v>
      </c>
      <c r="P102" s="1" t="s">
        <v>120</v>
      </c>
      <c r="Q102" s="1" t="str">
        <f t="shared" si="7"/>
        <v>1920x1080</v>
      </c>
      <c r="R102" s="1" t="s">
        <v>39</v>
      </c>
      <c r="S102" s="1" t="str">
        <f t="shared" si="8"/>
        <v>120Hz</v>
      </c>
      <c r="T102" s="1" t="s">
        <v>121</v>
      </c>
      <c r="U102" s="1" t="str">
        <f t="shared" si="9"/>
        <v>DOS</v>
      </c>
      <c r="V102" s="1" t="s">
        <v>652</v>
      </c>
      <c r="W102" s="1" t="str">
        <f t="shared" si="10"/>
        <v>2.25 kg</v>
      </c>
      <c r="X102" s="1" t="s">
        <v>129</v>
      </c>
      <c r="Y102" s="1" t="str">
        <f t="shared" si="11"/>
        <v>1 Year</v>
      </c>
      <c r="Z102" s="4">
        <v>43999</v>
      </c>
      <c r="AA102" s="1" t="s">
        <v>5735</v>
      </c>
    </row>
    <row r="103" spans="1:27" ht="15.75" customHeight="1" x14ac:dyDescent="0.35">
      <c r="A103" s="1" t="s">
        <v>112</v>
      </c>
      <c r="B103" s="1" t="str">
        <f t="shared" si="0"/>
        <v>HP</v>
      </c>
      <c r="C103" s="1" t="s">
        <v>838</v>
      </c>
      <c r="D103" s="1" t="str">
        <f t="shared" si="1"/>
        <v>Victus 15-fb3008ne</v>
      </c>
      <c r="E103" s="1" t="str">
        <f t="array" aca="1" ref="E103" ca="1">IFERROR(
INDEX(Family_Map!$B$2:$B$35,
_xludf.AGGREGATE(14,6,(ROW(Family_Map!$A$2:$A$35)-ROW(Family_Map!$A$2)+1)/(ISNUMBER(SEARCH(Family_Map!$A$2:$A$35,D103))),1)
),
"Other")</f>
        <v>Other</v>
      </c>
      <c r="F103" s="1" t="s">
        <v>839</v>
      </c>
      <c r="G103" s="1" t="e">
        <f t="shared" ca="1" si="2"/>
        <v>#NAME?</v>
      </c>
      <c r="H103" s="1" t="str">
        <f t="shared" ca="1" si="12"/>
        <v>Other</v>
      </c>
      <c r="I103" s="1" t="s">
        <v>439</v>
      </c>
      <c r="J103" s="1" t="str">
        <f t="shared" si="3"/>
        <v>4 GB</v>
      </c>
      <c r="K103" s="1" t="s">
        <v>541</v>
      </c>
      <c r="L103" s="1">
        <f t="shared" si="4"/>
        <v>16</v>
      </c>
      <c r="M103" s="1" t="s">
        <v>118</v>
      </c>
      <c r="N103" s="1" t="str">
        <f t="shared" si="5"/>
        <v>512 GB</v>
      </c>
      <c r="O103" s="1" t="str">
        <f t="shared" si="6"/>
        <v>512 GB</v>
      </c>
      <c r="P103" s="1" t="s">
        <v>120</v>
      </c>
      <c r="Q103" s="1" t="str">
        <f t="shared" si="7"/>
        <v>1920x1080</v>
      </c>
      <c r="R103" s="1" t="s">
        <v>75</v>
      </c>
      <c r="S103" s="1" t="str">
        <f t="shared" si="8"/>
        <v>144Hz</v>
      </c>
      <c r="T103" s="1" t="s">
        <v>90</v>
      </c>
      <c r="U103" s="1" t="str">
        <f t="shared" si="9"/>
        <v>Windows 11 Home</v>
      </c>
      <c r="V103" s="1" t="s">
        <v>127</v>
      </c>
      <c r="W103" s="1" t="str">
        <f t="shared" si="10"/>
        <v>2.29 kg</v>
      </c>
      <c r="X103" s="1" t="s">
        <v>78</v>
      </c>
      <c r="Y103" s="1" t="str">
        <f t="shared" si="11"/>
        <v>1 Year</v>
      </c>
      <c r="Z103" s="4">
        <v>30999</v>
      </c>
      <c r="AA103" s="1" t="s">
        <v>5735</v>
      </c>
    </row>
    <row r="104" spans="1:27" ht="15.75" customHeight="1" x14ac:dyDescent="0.35">
      <c r="A104" s="1" t="s">
        <v>112</v>
      </c>
      <c r="B104" s="1" t="str">
        <f t="shared" si="0"/>
        <v>HP</v>
      </c>
      <c r="C104" s="1" t="s">
        <v>843</v>
      </c>
      <c r="D104" s="1" t="str">
        <f t="shared" si="1"/>
        <v>Victus 16-r1049ne</v>
      </c>
      <c r="E104" s="1" t="str">
        <f t="array" aca="1" ref="E104" ca="1">IFERROR(
INDEX(Family_Map!$B$2:$B$35,
_xludf.AGGREGATE(14,6,(ROW(Family_Map!$A$2:$A$35)-ROW(Family_Map!$A$2)+1)/(ISNUMBER(SEARCH(Family_Map!$A$2:$A$35,D104))),1)
),
"Other")</f>
        <v>Other</v>
      </c>
      <c r="F104" s="1" t="s">
        <v>133</v>
      </c>
      <c r="G104" s="1" t="e">
        <f t="shared" ca="1" si="2"/>
        <v>#NAME?</v>
      </c>
      <c r="H104" s="1" t="str">
        <f t="shared" ca="1" si="12"/>
        <v>Other</v>
      </c>
      <c r="I104" s="1" t="s">
        <v>540</v>
      </c>
      <c r="J104" s="1" t="str">
        <f t="shared" si="3"/>
        <v>8 GB</v>
      </c>
      <c r="K104" s="1" t="s">
        <v>135</v>
      </c>
      <c r="L104" s="1">
        <f t="shared" si="4"/>
        <v>16</v>
      </c>
      <c r="M104" s="1" t="s">
        <v>171</v>
      </c>
      <c r="N104" s="1" t="str">
        <f t="shared" si="5"/>
        <v>1 TB</v>
      </c>
      <c r="O104" s="1" t="str">
        <f t="shared" si="6"/>
        <v>1024GB</v>
      </c>
      <c r="P104" s="1" t="s">
        <v>120</v>
      </c>
      <c r="Q104" s="1" t="str">
        <f t="shared" si="7"/>
        <v>1920x1080</v>
      </c>
      <c r="R104" s="1" t="s">
        <v>75</v>
      </c>
      <c r="S104" s="1" t="str">
        <f t="shared" si="8"/>
        <v>144Hz</v>
      </c>
      <c r="T104" s="1" t="s">
        <v>101</v>
      </c>
      <c r="U104" s="1" t="str">
        <f t="shared" si="9"/>
        <v>DOS</v>
      </c>
      <c r="V104" s="1" t="s">
        <v>142</v>
      </c>
      <c r="W104" s="1" t="str">
        <f t="shared" si="10"/>
        <v>2.31 kg</v>
      </c>
      <c r="X104" s="1" t="s">
        <v>78</v>
      </c>
      <c r="Y104" s="1" t="str">
        <f t="shared" si="11"/>
        <v>1 Year</v>
      </c>
      <c r="Z104" s="4">
        <v>59999</v>
      </c>
      <c r="AA104" s="1" t="s">
        <v>65</v>
      </c>
    </row>
    <row r="105" spans="1:27" ht="15.75" customHeight="1" x14ac:dyDescent="0.35">
      <c r="A105" s="1" t="s">
        <v>112</v>
      </c>
      <c r="B105" s="1" t="str">
        <f t="shared" si="0"/>
        <v>HP</v>
      </c>
      <c r="C105" s="1" t="s">
        <v>845</v>
      </c>
      <c r="D105" s="1" t="str">
        <f t="shared" si="1"/>
        <v>Victus 16-r1045ne</v>
      </c>
      <c r="E105" s="1" t="str">
        <f t="array" aca="1" ref="E105" ca="1">IFERROR(
INDEX(Family_Map!$B$2:$B$35,
_xludf.AGGREGATE(14,6,(ROW(Family_Map!$A$2:$A$35)-ROW(Family_Map!$A$2)+1)/(ISNUMBER(SEARCH(Family_Map!$A$2:$A$35,D105))),1)
),
"Other")</f>
        <v>Other</v>
      </c>
      <c r="F105" s="1" t="s">
        <v>133</v>
      </c>
      <c r="G105" s="1" t="e">
        <f t="shared" ca="1" si="2"/>
        <v>#NAME?</v>
      </c>
      <c r="H105" s="1" t="str">
        <f t="shared" ca="1" si="12"/>
        <v>Other</v>
      </c>
      <c r="I105" s="1" t="s">
        <v>116</v>
      </c>
      <c r="J105" s="1" t="str">
        <f t="shared" si="3"/>
        <v>6 GB</v>
      </c>
      <c r="K105" s="1" t="s">
        <v>135</v>
      </c>
      <c r="L105" s="1">
        <f t="shared" si="4"/>
        <v>16</v>
      </c>
      <c r="M105" s="1" t="s">
        <v>171</v>
      </c>
      <c r="N105" s="1" t="str">
        <f t="shared" si="5"/>
        <v>1 TB</v>
      </c>
      <c r="O105" s="1" t="str">
        <f t="shared" si="6"/>
        <v>1024GB</v>
      </c>
      <c r="P105" s="1" t="s">
        <v>120</v>
      </c>
      <c r="Q105" s="1" t="str">
        <f t="shared" si="7"/>
        <v>1920x1080</v>
      </c>
      <c r="S105" s="1" t="str">
        <f t="shared" si="8"/>
        <v/>
      </c>
      <c r="T105" s="1" t="s">
        <v>101</v>
      </c>
      <c r="U105" s="1" t="str">
        <f t="shared" si="9"/>
        <v>DOS</v>
      </c>
      <c r="V105" s="1" t="s">
        <v>142</v>
      </c>
      <c r="W105" s="1" t="str">
        <f t="shared" si="10"/>
        <v>2.31 kg</v>
      </c>
      <c r="X105" s="1" t="s">
        <v>78</v>
      </c>
      <c r="Y105" s="1" t="str">
        <f t="shared" si="11"/>
        <v>1 Year</v>
      </c>
      <c r="Z105" s="4">
        <v>51999</v>
      </c>
      <c r="AA105" s="1" t="s">
        <v>65</v>
      </c>
    </row>
    <row r="106" spans="1:27" ht="15.75" customHeight="1" x14ac:dyDescent="0.35">
      <c r="A106" s="1" t="s">
        <v>151</v>
      </c>
      <c r="B106" s="1" t="str">
        <f t="shared" si="0"/>
        <v>Lenovo</v>
      </c>
      <c r="C106" s="1" t="s">
        <v>847</v>
      </c>
      <c r="D106" s="1" t="str">
        <f t="shared" si="1"/>
        <v>LOQ 15IRX10</v>
      </c>
      <c r="E106" s="1" t="str">
        <f t="array" aca="1" ref="E106" ca="1">IFERROR(
INDEX(Family_Map!$B$2:$B$35,
_xludf.AGGREGATE(14,6,(ROW(Family_Map!$A$2:$A$35)-ROW(Family_Map!$A$2)+1)/(ISNUMBER(SEARCH(Family_Map!$A$2:$A$35,D106))),1)
),
"Other")</f>
        <v>Other</v>
      </c>
      <c r="F106" s="1" t="s">
        <v>848</v>
      </c>
      <c r="G106" s="1" t="e">
        <f t="shared" ca="1" si="2"/>
        <v>#NAME?</v>
      </c>
      <c r="H106" s="1" t="str">
        <f t="shared" ca="1" si="12"/>
        <v>Other</v>
      </c>
      <c r="I106" s="1" t="s">
        <v>52</v>
      </c>
      <c r="J106" s="1" t="str">
        <f t="shared" si="3"/>
        <v>8GB</v>
      </c>
      <c r="K106" s="1" t="s">
        <v>570</v>
      </c>
      <c r="L106" s="1">
        <f t="shared" si="4"/>
        <v>24</v>
      </c>
      <c r="M106" s="1" t="s">
        <v>156</v>
      </c>
      <c r="N106" s="1" t="str">
        <f t="shared" si="5"/>
        <v>512GB</v>
      </c>
      <c r="O106" s="1" t="str">
        <f t="shared" si="6"/>
        <v>512GB</v>
      </c>
      <c r="P106" s="1" t="s">
        <v>74</v>
      </c>
      <c r="Q106" s="1" t="str">
        <f t="shared" si="7"/>
        <v>1920x1080</v>
      </c>
      <c r="R106" s="1" t="s">
        <v>75</v>
      </c>
      <c r="S106" s="1" t="str">
        <f t="shared" si="8"/>
        <v>144Hz</v>
      </c>
      <c r="T106" s="1" t="s">
        <v>90</v>
      </c>
      <c r="U106" s="1" t="str">
        <f t="shared" si="9"/>
        <v>Windows 11 Home</v>
      </c>
      <c r="V106" s="1" t="s">
        <v>63</v>
      </c>
      <c r="W106" s="1" t="str">
        <f t="shared" si="10"/>
        <v>2.4 kg</v>
      </c>
      <c r="X106" s="1" t="s">
        <v>165</v>
      </c>
      <c r="Y106" s="1" t="str">
        <f t="shared" si="11"/>
        <v>2 Years</v>
      </c>
      <c r="Z106" s="4">
        <v>57777</v>
      </c>
      <c r="AA106" s="1" t="s">
        <v>79</v>
      </c>
    </row>
    <row r="107" spans="1:27" ht="15.75" customHeight="1" x14ac:dyDescent="0.35">
      <c r="A107" s="1" t="s">
        <v>151</v>
      </c>
      <c r="B107" s="1" t="str">
        <f t="shared" si="0"/>
        <v>Lenovo</v>
      </c>
      <c r="C107" s="1" t="s">
        <v>847</v>
      </c>
      <c r="D107" s="1" t="str">
        <f t="shared" si="1"/>
        <v>LOQ 15IRX10</v>
      </c>
      <c r="E107" s="1" t="str">
        <f t="array" aca="1" ref="E107" ca="1">IFERROR(
INDEX(Family_Map!$B$2:$B$35,
_xludf.AGGREGATE(14,6,(ROW(Family_Map!$A$2:$A$35)-ROW(Family_Map!$A$2)+1)/(ISNUMBER(SEARCH(Family_Map!$A$2:$A$35,D107))),1)
),
"Other")</f>
        <v>Other</v>
      </c>
      <c r="F107" s="1" t="s">
        <v>852</v>
      </c>
      <c r="G107" s="1" t="e">
        <f t="shared" ca="1" si="2"/>
        <v>#NAME?</v>
      </c>
      <c r="H107" s="1" t="str">
        <f t="shared" ca="1" si="12"/>
        <v>Other</v>
      </c>
      <c r="I107" s="1" t="s">
        <v>52</v>
      </c>
      <c r="J107" s="1" t="str">
        <f t="shared" si="3"/>
        <v>8GB</v>
      </c>
      <c r="K107" s="1" t="s">
        <v>570</v>
      </c>
      <c r="L107" s="1">
        <f t="shared" si="4"/>
        <v>24</v>
      </c>
      <c r="M107" s="1" t="s">
        <v>156</v>
      </c>
      <c r="N107" s="1" t="str">
        <f t="shared" si="5"/>
        <v>512GB</v>
      </c>
      <c r="O107" s="1" t="str">
        <f t="shared" si="6"/>
        <v>512GB</v>
      </c>
      <c r="P107" s="1" t="s">
        <v>74</v>
      </c>
      <c r="Q107" s="1" t="str">
        <f t="shared" si="7"/>
        <v>1920x1080</v>
      </c>
      <c r="R107" s="1" t="s">
        <v>75</v>
      </c>
      <c r="S107" s="1" t="str">
        <f t="shared" si="8"/>
        <v>144Hz</v>
      </c>
      <c r="T107" s="1" t="s">
        <v>90</v>
      </c>
      <c r="U107" s="1" t="str">
        <f t="shared" si="9"/>
        <v>Windows 11 Home</v>
      </c>
      <c r="V107" s="1" t="s">
        <v>63</v>
      </c>
      <c r="W107" s="1" t="str">
        <f t="shared" si="10"/>
        <v>2.4 kg</v>
      </c>
      <c r="X107" s="1" t="s">
        <v>165</v>
      </c>
      <c r="Y107" s="1" t="str">
        <f t="shared" si="11"/>
        <v>2 Years</v>
      </c>
      <c r="Z107" s="4">
        <v>60999</v>
      </c>
      <c r="AA107" s="1" t="s">
        <v>65</v>
      </c>
    </row>
    <row r="108" spans="1:27" ht="15.75" customHeight="1" x14ac:dyDescent="0.35">
      <c r="A108" s="1" t="s">
        <v>151</v>
      </c>
      <c r="B108" s="1" t="str">
        <f t="shared" si="0"/>
        <v>Lenovo</v>
      </c>
      <c r="C108" s="1" t="s">
        <v>152</v>
      </c>
      <c r="D108" s="1" t="str">
        <f t="shared" si="1"/>
        <v>LOQ 15IAX9E</v>
      </c>
      <c r="E108" s="1" t="str">
        <f t="array" aca="1" ref="E108" ca="1">IFERROR(
INDEX(Family_Map!$B$2:$B$35,
_xludf.AGGREGATE(14,6,(ROW(Family_Map!$A$2:$A$35)-ROW(Family_Map!$A$2)+1)/(ISNUMBER(SEARCH(Family_Map!$A$2:$A$35,D108))),1)
),
"Other")</f>
        <v>Other</v>
      </c>
      <c r="F108" s="1" t="s">
        <v>854</v>
      </c>
      <c r="G108" s="1" t="e">
        <f t="shared" ca="1" si="2"/>
        <v>#NAME?</v>
      </c>
      <c r="H108" s="1" t="str">
        <f t="shared" ca="1" si="12"/>
        <v>Other</v>
      </c>
      <c r="I108" s="1" t="s">
        <v>70</v>
      </c>
      <c r="J108" s="1" t="str">
        <f t="shared" si="3"/>
        <v>6GB</v>
      </c>
      <c r="K108" s="1" t="s">
        <v>155</v>
      </c>
      <c r="L108" s="1">
        <f t="shared" si="4"/>
        <v>16</v>
      </c>
      <c r="M108" s="1" t="s">
        <v>156</v>
      </c>
      <c r="N108" s="1" t="str">
        <f t="shared" si="5"/>
        <v>512GB</v>
      </c>
      <c r="O108" s="1" t="str">
        <f t="shared" si="6"/>
        <v>512GB</v>
      </c>
      <c r="P108" s="1" t="s">
        <v>74</v>
      </c>
      <c r="Q108" s="1" t="str">
        <f t="shared" si="7"/>
        <v>1920x1080</v>
      </c>
      <c r="R108" s="1" t="s">
        <v>75</v>
      </c>
      <c r="S108" s="1" t="str">
        <f t="shared" si="8"/>
        <v>144Hz</v>
      </c>
      <c r="T108" s="1" t="s">
        <v>101</v>
      </c>
      <c r="U108" s="1" t="str">
        <f t="shared" si="9"/>
        <v>DOS</v>
      </c>
      <c r="V108" s="1" t="s">
        <v>163</v>
      </c>
      <c r="W108" s="1" t="str">
        <f t="shared" si="10"/>
        <v>1.77 kg</v>
      </c>
      <c r="X108" s="1" t="s">
        <v>78</v>
      </c>
      <c r="Y108" s="1" t="str">
        <f t="shared" si="11"/>
        <v>1 Year</v>
      </c>
      <c r="Z108" s="4">
        <v>29999</v>
      </c>
      <c r="AA108" s="1" t="s">
        <v>5735</v>
      </c>
    </row>
    <row r="109" spans="1:27" ht="15.75" customHeight="1" x14ac:dyDescent="0.35">
      <c r="A109" s="1" t="s">
        <v>81</v>
      </c>
      <c r="B109" s="1" t="str">
        <f t="shared" si="0"/>
        <v>Dell</v>
      </c>
      <c r="C109" s="1" t="s">
        <v>858</v>
      </c>
      <c r="D109" s="1" t="str">
        <f t="shared" si="1"/>
        <v>Alienware 16X Aurora AC16251</v>
      </c>
      <c r="E109" s="1" t="str">
        <f t="array" aca="1" ref="E109" ca="1">IFERROR(
INDEX(Family_Map!$B$2:$B$35,
_xludf.AGGREGATE(14,6,(ROW(Family_Map!$A$2:$A$35)-ROW(Family_Map!$A$2)+1)/(ISNUMBER(SEARCH(Family_Map!$A$2:$A$35,D109))),1)
),
"Other")</f>
        <v>Other</v>
      </c>
      <c r="F109" s="1" t="s">
        <v>859</v>
      </c>
      <c r="G109" s="1" t="e">
        <f t="shared" ca="1" si="2"/>
        <v>#NAME?</v>
      </c>
      <c r="H109" s="1" t="str">
        <f t="shared" ca="1" si="12"/>
        <v>Other</v>
      </c>
      <c r="I109" s="1" t="s">
        <v>85</v>
      </c>
      <c r="J109" s="1" t="str">
        <f t="shared" si="3"/>
        <v>8 GB</v>
      </c>
      <c r="K109" s="1" t="s">
        <v>109</v>
      </c>
      <c r="L109" s="1">
        <f t="shared" si="4"/>
        <v>32</v>
      </c>
      <c r="M109" s="1" t="s">
        <v>99</v>
      </c>
      <c r="N109" s="1" t="str">
        <f t="shared" si="5"/>
        <v>1TB</v>
      </c>
      <c r="O109" s="1" t="str">
        <f t="shared" si="6"/>
        <v>1024GB</v>
      </c>
      <c r="P109" s="1" t="s">
        <v>89</v>
      </c>
      <c r="Q109" s="1" t="str">
        <f t="shared" si="7"/>
        <v>2560x1600</v>
      </c>
      <c r="R109" s="1" t="s">
        <v>256</v>
      </c>
      <c r="S109" s="1" t="str">
        <f t="shared" si="8"/>
        <v>240Hz</v>
      </c>
      <c r="T109" s="1" t="s">
        <v>201</v>
      </c>
      <c r="U109" s="1" t="str">
        <f t="shared" si="9"/>
        <v>Windows 11 Home</v>
      </c>
      <c r="W109" s="1" t="str">
        <f t="shared" si="10"/>
        <v/>
      </c>
      <c r="X109" s="1" t="s">
        <v>425</v>
      </c>
      <c r="Y109" s="1" t="str">
        <f t="shared" si="11"/>
        <v>3 Years</v>
      </c>
      <c r="Z109" s="4">
        <v>93333</v>
      </c>
      <c r="AA109" s="1" t="s">
        <v>5735</v>
      </c>
    </row>
    <row r="110" spans="1:27" ht="15.75" customHeight="1" x14ac:dyDescent="0.35">
      <c r="A110" s="1" t="s">
        <v>81</v>
      </c>
      <c r="B110" s="1" t="str">
        <f t="shared" si="0"/>
        <v>Dell</v>
      </c>
      <c r="C110" s="1" t="s">
        <v>858</v>
      </c>
      <c r="D110" s="1" t="str">
        <f t="shared" si="1"/>
        <v>Alienware 16X Aurora AC16251</v>
      </c>
      <c r="E110" s="1" t="str">
        <f t="array" aca="1" ref="E110" ca="1">IFERROR(
INDEX(Family_Map!$B$2:$B$35,
_xludf.AGGREGATE(14,6,(ROW(Family_Map!$A$2:$A$35)-ROW(Family_Map!$A$2)+1)/(ISNUMBER(SEARCH(Family_Map!$A$2:$A$35,D110))),1)
),
"Other")</f>
        <v>Other</v>
      </c>
      <c r="F110" s="1" t="s">
        <v>320</v>
      </c>
      <c r="G110" s="1" t="e">
        <f t="shared" ca="1" si="2"/>
        <v>#NAME?</v>
      </c>
      <c r="H110" s="1" t="str">
        <f t="shared" ca="1" si="12"/>
        <v>Other</v>
      </c>
      <c r="I110" s="1" t="s">
        <v>52</v>
      </c>
      <c r="J110" s="1" t="str">
        <f t="shared" si="3"/>
        <v>8GB</v>
      </c>
      <c r="K110" s="1" t="s">
        <v>109</v>
      </c>
      <c r="L110" s="1">
        <f t="shared" si="4"/>
        <v>32</v>
      </c>
      <c r="M110" s="1" t="s">
        <v>99</v>
      </c>
      <c r="N110" s="1" t="str">
        <f t="shared" si="5"/>
        <v>1TB</v>
      </c>
      <c r="O110" s="1" t="str">
        <f t="shared" si="6"/>
        <v>1024GB</v>
      </c>
      <c r="P110" s="1" t="s">
        <v>89</v>
      </c>
      <c r="Q110" s="1" t="str">
        <f t="shared" si="7"/>
        <v>2560x1600</v>
      </c>
      <c r="R110" s="1" t="s">
        <v>256</v>
      </c>
      <c r="S110" s="1" t="str">
        <f t="shared" si="8"/>
        <v>240Hz</v>
      </c>
      <c r="T110" s="1" t="s">
        <v>90</v>
      </c>
      <c r="U110" s="1" t="str">
        <f t="shared" si="9"/>
        <v>Windows 11 Home</v>
      </c>
      <c r="V110" s="1" t="s">
        <v>262</v>
      </c>
      <c r="W110" s="1" t="str">
        <f t="shared" si="10"/>
        <v>2.57 kg</v>
      </c>
      <c r="X110" s="1" t="s">
        <v>425</v>
      </c>
      <c r="Y110" s="1" t="str">
        <f t="shared" si="11"/>
        <v>3 Years</v>
      </c>
      <c r="Z110" s="4">
        <v>112000</v>
      </c>
      <c r="AA110" s="1" t="s">
        <v>5735</v>
      </c>
    </row>
    <row r="111" spans="1:27" ht="15.75" customHeight="1" x14ac:dyDescent="0.35">
      <c r="A111" s="1" t="s">
        <v>81</v>
      </c>
      <c r="B111" s="1" t="str">
        <f t="shared" si="0"/>
        <v>Dell</v>
      </c>
      <c r="C111" s="1" t="s">
        <v>858</v>
      </c>
      <c r="D111" s="1" t="str">
        <f t="shared" si="1"/>
        <v>Alienware 16X Aurora AC16251</v>
      </c>
      <c r="E111" s="1" t="str">
        <f t="array" aca="1" ref="E111" ca="1">IFERROR(
INDEX(Family_Map!$B$2:$B$35,
_xludf.AGGREGATE(14,6,(ROW(Family_Map!$A$2:$A$35)-ROW(Family_Map!$A$2)+1)/(ISNUMBER(SEARCH(Family_Map!$A$2:$A$35,D111))),1)
),
"Other")</f>
        <v>Other</v>
      </c>
      <c r="F111" s="1" t="s">
        <v>320</v>
      </c>
      <c r="G111" s="1" t="e">
        <f t="shared" ca="1" si="2"/>
        <v>#NAME?</v>
      </c>
      <c r="H111" s="1" t="str">
        <f t="shared" ca="1" si="12"/>
        <v>Other</v>
      </c>
      <c r="I111" s="1" t="s">
        <v>52</v>
      </c>
      <c r="J111" s="1" t="str">
        <f t="shared" si="3"/>
        <v>8GB</v>
      </c>
      <c r="K111" s="1" t="s">
        <v>553</v>
      </c>
      <c r="L111" s="1">
        <f t="shared" si="4"/>
        <v>32</v>
      </c>
      <c r="M111" s="1" t="s">
        <v>871</v>
      </c>
      <c r="N111" s="1" t="str">
        <f t="shared" si="5"/>
        <v>1 TB</v>
      </c>
      <c r="O111" s="1" t="str">
        <f t="shared" si="6"/>
        <v>1024GB</v>
      </c>
      <c r="Q111" s="1" t="str">
        <f t="shared" si="7"/>
        <v/>
      </c>
      <c r="R111" s="1" t="s">
        <v>256</v>
      </c>
      <c r="S111" s="1" t="str">
        <f t="shared" si="8"/>
        <v>240Hz</v>
      </c>
      <c r="T111" s="1" t="s">
        <v>40</v>
      </c>
      <c r="U111" s="1" t="str">
        <f t="shared" si="9"/>
        <v>Windows 11 Home</v>
      </c>
      <c r="V111" s="1" t="s">
        <v>262</v>
      </c>
      <c r="W111" s="1" t="str">
        <f t="shared" si="10"/>
        <v>2.57 kg</v>
      </c>
      <c r="X111" s="1" t="s">
        <v>425</v>
      </c>
      <c r="Y111" s="1" t="str">
        <f t="shared" si="11"/>
        <v>3 Years</v>
      </c>
      <c r="Z111" s="4">
        <v>91999</v>
      </c>
      <c r="AA111" s="1" t="s">
        <v>5735</v>
      </c>
    </row>
    <row r="112" spans="1:27" ht="15.75" customHeight="1" x14ac:dyDescent="0.35">
      <c r="A112" s="1" t="s">
        <v>151</v>
      </c>
      <c r="B112" s="1" t="str">
        <f t="shared" si="0"/>
        <v>Lenovo</v>
      </c>
      <c r="C112" s="1" t="s">
        <v>875</v>
      </c>
      <c r="D112" s="1" t="str">
        <f t="shared" si="1"/>
        <v>Legion 5 15IAX10</v>
      </c>
      <c r="E112" s="1" t="str">
        <f t="array" aca="1" ref="E112" ca="1">IFERROR(
INDEX(Family_Map!$B$2:$B$35,
_xludf.AGGREGATE(14,6,(ROW(Family_Map!$A$2:$A$35)-ROW(Family_Map!$A$2)+1)/(ISNUMBER(SEARCH(Family_Map!$A$2:$A$35,D112))),1)
),
"Other")</f>
        <v>Other</v>
      </c>
      <c r="F112" s="1" t="s">
        <v>250</v>
      </c>
      <c r="G112" s="1" t="e">
        <f t="shared" ca="1" si="2"/>
        <v>#NAME?</v>
      </c>
      <c r="H112" s="1" t="str">
        <f t="shared" ca="1" si="12"/>
        <v>Other</v>
      </c>
      <c r="I112" s="1" t="s">
        <v>52</v>
      </c>
      <c r="J112" s="1" t="str">
        <f t="shared" si="3"/>
        <v>8GB</v>
      </c>
      <c r="K112" s="1" t="s">
        <v>876</v>
      </c>
      <c r="L112" s="1">
        <f t="shared" si="4"/>
        <v>32</v>
      </c>
      <c r="M112" s="1" t="s">
        <v>222</v>
      </c>
      <c r="N112" s="1" t="str">
        <f t="shared" si="5"/>
        <v>1TB</v>
      </c>
      <c r="O112" s="1" t="str">
        <f t="shared" si="6"/>
        <v>1024GB</v>
      </c>
      <c r="P112" s="1" t="s">
        <v>224</v>
      </c>
      <c r="Q112" s="1" t="str">
        <f t="shared" si="7"/>
        <v>2560x1600</v>
      </c>
      <c r="R112" s="1" t="s">
        <v>57</v>
      </c>
      <c r="S112" s="1" t="str">
        <f t="shared" si="8"/>
        <v>165Hz</v>
      </c>
      <c r="T112" s="1" t="s">
        <v>101</v>
      </c>
      <c r="U112" s="1" t="str">
        <f t="shared" si="9"/>
        <v>DOS</v>
      </c>
      <c r="V112" s="1" t="s">
        <v>230</v>
      </c>
      <c r="W112" s="1" t="str">
        <f t="shared" si="10"/>
        <v>1.9 kg</v>
      </c>
      <c r="X112" s="1" t="s">
        <v>165</v>
      </c>
      <c r="Y112" s="1" t="str">
        <f t="shared" si="11"/>
        <v>2 Years</v>
      </c>
      <c r="Z112" s="4">
        <v>93333</v>
      </c>
      <c r="AA112" s="1" t="s">
        <v>5735</v>
      </c>
    </row>
    <row r="113" spans="1:27" ht="15.75" customHeight="1" x14ac:dyDescent="0.35">
      <c r="A113" s="1" t="s">
        <v>151</v>
      </c>
      <c r="B113" s="1" t="str">
        <f t="shared" si="0"/>
        <v>Lenovo</v>
      </c>
      <c r="C113" s="1" t="s">
        <v>219</v>
      </c>
      <c r="D113" s="1" t="str">
        <f t="shared" si="1"/>
        <v>Legion 5 15IRX10</v>
      </c>
      <c r="E113" s="1" t="str">
        <f t="array" aca="1" ref="E113" ca="1">IFERROR(
INDEX(Family_Map!$B$2:$B$35,
_xludf.AGGREGATE(14,6,(ROW(Family_Map!$A$2:$A$35)-ROW(Family_Map!$A$2)+1)/(ISNUMBER(SEARCH(Family_Map!$A$2:$A$35,D113))),1)
),
"Other")</f>
        <v>Other</v>
      </c>
      <c r="F113" s="1" t="s">
        <v>852</v>
      </c>
      <c r="G113" s="1" t="e">
        <f t="shared" ca="1" si="2"/>
        <v>#NAME?</v>
      </c>
      <c r="H113" s="1" t="str">
        <f t="shared" ca="1" si="12"/>
        <v>Other</v>
      </c>
      <c r="I113" s="1" t="s">
        <v>52</v>
      </c>
      <c r="J113" s="1" t="str">
        <f t="shared" si="3"/>
        <v>8GB</v>
      </c>
      <c r="K113" s="1" t="s">
        <v>876</v>
      </c>
      <c r="L113" s="1">
        <f t="shared" si="4"/>
        <v>32</v>
      </c>
      <c r="M113" s="1" t="s">
        <v>222</v>
      </c>
      <c r="N113" s="1" t="str">
        <f t="shared" si="5"/>
        <v>1TB</v>
      </c>
      <c r="O113" s="1" t="str">
        <f t="shared" si="6"/>
        <v>1024GB</v>
      </c>
      <c r="P113" s="1" t="s">
        <v>224</v>
      </c>
      <c r="Q113" s="1" t="str">
        <f t="shared" si="7"/>
        <v>2560x1600</v>
      </c>
      <c r="R113" s="1" t="s">
        <v>57</v>
      </c>
      <c r="S113" s="1" t="str">
        <f t="shared" si="8"/>
        <v>165Hz</v>
      </c>
      <c r="T113" s="1" t="s">
        <v>101</v>
      </c>
      <c r="U113" s="1" t="str">
        <f t="shared" si="9"/>
        <v>DOS</v>
      </c>
      <c r="V113" s="1" t="s">
        <v>230</v>
      </c>
      <c r="W113" s="1" t="str">
        <f t="shared" si="10"/>
        <v>1.9 kg</v>
      </c>
      <c r="X113" s="1" t="s">
        <v>165</v>
      </c>
      <c r="Y113" s="1" t="str">
        <f t="shared" si="11"/>
        <v>2 Years</v>
      </c>
      <c r="Z113" s="4">
        <v>79999</v>
      </c>
      <c r="AA113" s="1" t="s">
        <v>65</v>
      </c>
    </row>
    <row r="114" spans="1:27" ht="15.75" customHeight="1" x14ac:dyDescent="0.35">
      <c r="A114" s="1" t="s">
        <v>234</v>
      </c>
      <c r="B114" s="1" t="str">
        <f t="shared" si="0"/>
        <v>ASUS</v>
      </c>
      <c r="C114" s="1" t="s">
        <v>880</v>
      </c>
      <c r="D114" s="1" t="str">
        <f t="shared" si="1"/>
        <v>ROG Strix G16 G614PR-RV009W</v>
      </c>
      <c r="E114" s="1" t="str">
        <f t="array" aca="1" ref="E114" ca="1">IFERROR(
INDEX(Family_Map!$B$2:$B$35,
_xludf.AGGREGATE(14,6,(ROW(Family_Map!$A$2:$A$35)-ROW(Family_Map!$A$2)+1)/(ISNUMBER(SEARCH(Family_Map!$A$2:$A$35,D114))),1)
),
"Other")</f>
        <v>Other</v>
      </c>
      <c r="F114" s="1" t="s">
        <v>270</v>
      </c>
      <c r="G114" s="1" t="e">
        <f t="shared" ca="1" si="2"/>
        <v>#NAME?</v>
      </c>
      <c r="H114" s="1" t="str">
        <f t="shared" ca="1" si="12"/>
        <v>Other</v>
      </c>
      <c r="I114" s="1" t="s">
        <v>272</v>
      </c>
      <c r="J114" s="1" t="str">
        <f t="shared" si="3"/>
        <v>12GB</v>
      </c>
      <c r="K114" s="1" t="s">
        <v>881</v>
      </c>
      <c r="L114" s="1">
        <f t="shared" si="4"/>
        <v>32</v>
      </c>
      <c r="M114" s="1" t="s">
        <v>239</v>
      </c>
      <c r="N114" s="1" t="str">
        <f t="shared" si="5"/>
        <v>1TB</v>
      </c>
      <c r="O114" s="1" t="str">
        <f t="shared" si="6"/>
        <v>1024GB</v>
      </c>
      <c r="P114" s="1" t="s">
        <v>275</v>
      </c>
      <c r="Q114" s="1" t="str">
        <f t="shared" si="7"/>
        <v>1920x1200</v>
      </c>
      <c r="R114" s="1" t="s">
        <v>57</v>
      </c>
      <c r="S114" s="1" t="str">
        <f t="shared" si="8"/>
        <v>165Hz</v>
      </c>
      <c r="T114" s="1" t="s">
        <v>90</v>
      </c>
      <c r="U114" s="1" t="str">
        <f t="shared" si="9"/>
        <v>Windows 11 Home</v>
      </c>
      <c r="V114" s="1" t="s">
        <v>280</v>
      </c>
      <c r="W114" s="1" t="str">
        <f t="shared" si="10"/>
        <v>2.5 kg</v>
      </c>
      <c r="X114" s="1" t="s">
        <v>78</v>
      </c>
      <c r="Y114" s="1" t="str">
        <f t="shared" si="11"/>
        <v>1 Year</v>
      </c>
      <c r="Z114" s="4">
        <v>114000</v>
      </c>
      <c r="AA114" s="1" t="s">
        <v>5735</v>
      </c>
    </row>
    <row r="115" spans="1:27" ht="15.75" customHeight="1" x14ac:dyDescent="0.35">
      <c r="A115" s="1" t="s">
        <v>234</v>
      </c>
      <c r="B115" s="1" t="str">
        <f t="shared" si="0"/>
        <v>ASUS</v>
      </c>
      <c r="C115" s="1" t="s">
        <v>882</v>
      </c>
      <c r="D115" s="1" t="str">
        <f t="shared" si="1"/>
        <v>TUF Gaming A14 FA401UV-RG020W</v>
      </c>
      <c r="E115" s="1" t="str">
        <f t="array" aca="1" ref="E115" ca="1">IFERROR(
INDEX(Family_Map!$B$2:$B$35,
_xludf.AGGREGATE(14,6,(ROW(Family_Map!$A$2:$A$35)-ROW(Family_Map!$A$2)+1)/(ISNUMBER(SEARCH(Family_Map!$A$2:$A$35,D115))),1)
),
"Other")</f>
        <v>Other</v>
      </c>
      <c r="F115" s="1" t="s">
        <v>311</v>
      </c>
      <c r="G115" s="1" t="e">
        <f t="shared" ca="1" si="2"/>
        <v>#NAME?</v>
      </c>
      <c r="H115" s="1" t="str">
        <f t="shared" ca="1" si="12"/>
        <v>Other</v>
      </c>
      <c r="I115" s="1" t="s">
        <v>410</v>
      </c>
      <c r="J115" s="1" t="str">
        <f t="shared" si="3"/>
        <v>8GB</v>
      </c>
      <c r="K115" s="1" t="s">
        <v>883</v>
      </c>
      <c r="L115" s="1">
        <f t="shared" si="4"/>
        <v>16</v>
      </c>
      <c r="M115" s="1" t="s">
        <v>295</v>
      </c>
      <c r="N115" s="1" t="str">
        <f t="shared" si="5"/>
        <v>512GB</v>
      </c>
      <c r="O115" s="1" t="str">
        <f t="shared" si="6"/>
        <v>512GB</v>
      </c>
      <c r="P115" s="1" t="s">
        <v>89</v>
      </c>
      <c r="Q115" s="1" t="str">
        <f t="shared" si="7"/>
        <v>2560x1600</v>
      </c>
      <c r="R115" s="1" t="s">
        <v>57</v>
      </c>
      <c r="S115" s="1" t="str">
        <f t="shared" si="8"/>
        <v>165Hz</v>
      </c>
      <c r="T115" s="1" t="s">
        <v>40</v>
      </c>
      <c r="U115" s="1" t="str">
        <f t="shared" si="9"/>
        <v>Windows 11 Home</v>
      </c>
      <c r="V115" s="1" t="s">
        <v>309</v>
      </c>
      <c r="W115" s="1" t="str">
        <f t="shared" si="10"/>
        <v>1.46 kg</v>
      </c>
      <c r="X115" s="1" t="s">
        <v>78</v>
      </c>
      <c r="Y115" s="1" t="str">
        <f t="shared" si="11"/>
        <v>1 Year</v>
      </c>
      <c r="Z115" s="4">
        <v>57399</v>
      </c>
      <c r="AA115" s="1" t="s">
        <v>5735</v>
      </c>
    </row>
    <row r="116" spans="1:27" ht="15.75" customHeight="1" x14ac:dyDescent="0.35">
      <c r="A116" s="1" t="s">
        <v>81</v>
      </c>
      <c r="B116" s="1" t="str">
        <f t="shared" si="0"/>
        <v>Dell</v>
      </c>
      <c r="C116" s="1" t="s">
        <v>884</v>
      </c>
      <c r="D116" s="1" t="str">
        <f t="shared" si="1"/>
        <v>Alienware 16 Aurora</v>
      </c>
      <c r="E116" s="1" t="str">
        <f t="array" aca="1" ref="E116" ca="1">IFERROR(
INDEX(Family_Map!$B$2:$B$35,
_xludf.AGGREGATE(14,6,(ROW(Family_Map!$A$2:$A$35)-ROW(Family_Map!$A$2)+1)/(ISNUMBER(SEARCH(Family_Map!$A$2:$A$35,D116))),1)
),
"Other")</f>
        <v>Other</v>
      </c>
      <c r="F116" s="1" t="s">
        <v>83</v>
      </c>
      <c r="G116" s="1" t="e">
        <f t="shared" ca="1" si="2"/>
        <v>#NAME?</v>
      </c>
      <c r="H116" s="1" t="str">
        <f t="shared" ca="1" si="12"/>
        <v>Other</v>
      </c>
      <c r="I116" s="1" t="s">
        <v>52</v>
      </c>
      <c r="J116" s="1" t="str">
        <f t="shared" si="3"/>
        <v>8GB</v>
      </c>
      <c r="K116" s="1" t="s">
        <v>98</v>
      </c>
      <c r="L116" s="1">
        <f t="shared" si="4"/>
        <v>16</v>
      </c>
      <c r="M116" s="1" t="s">
        <v>87</v>
      </c>
      <c r="N116" s="1" t="str">
        <f t="shared" si="5"/>
        <v>512GB</v>
      </c>
      <c r="O116" s="1" t="str">
        <f t="shared" si="6"/>
        <v>512GB</v>
      </c>
      <c r="P116" s="1" t="s">
        <v>89</v>
      </c>
      <c r="Q116" s="1" t="str">
        <f t="shared" si="7"/>
        <v>2560x1600</v>
      </c>
      <c r="R116" s="1" t="s">
        <v>39</v>
      </c>
      <c r="S116" s="1" t="str">
        <f t="shared" si="8"/>
        <v>120Hz</v>
      </c>
      <c r="T116" s="1" t="s">
        <v>40</v>
      </c>
      <c r="U116" s="1" t="str">
        <f t="shared" si="9"/>
        <v>Windows 11 Home</v>
      </c>
      <c r="V116" s="1" t="s">
        <v>94</v>
      </c>
      <c r="W116" s="1" t="str">
        <f t="shared" si="10"/>
        <v>2.49 kg</v>
      </c>
      <c r="X116" s="1" t="s">
        <v>78</v>
      </c>
      <c r="Y116" s="1" t="str">
        <f t="shared" si="11"/>
        <v>1 Year</v>
      </c>
      <c r="Z116" s="4">
        <v>60699</v>
      </c>
      <c r="AA116" s="1" t="s">
        <v>5735</v>
      </c>
    </row>
    <row r="117" spans="1:27" ht="15.75" customHeight="1" x14ac:dyDescent="0.35">
      <c r="A117" s="1" t="s">
        <v>81</v>
      </c>
      <c r="B117" s="1" t="str">
        <f t="shared" si="0"/>
        <v>Dell</v>
      </c>
      <c r="C117" s="1" t="s">
        <v>884</v>
      </c>
      <c r="D117" s="1" t="str">
        <f t="shared" si="1"/>
        <v>Alienware 16 Aurora</v>
      </c>
      <c r="E117" s="1" t="str">
        <f t="array" aca="1" ref="E117" ca="1">IFERROR(
INDEX(Family_Map!$B$2:$B$35,
_xludf.AGGREGATE(14,6,(ROW(Family_Map!$A$2:$A$35)-ROW(Family_Map!$A$2)+1)/(ISNUMBER(SEARCH(Family_Map!$A$2:$A$35,D117))),1)
),
"Other")</f>
        <v>Other</v>
      </c>
      <c r="F117" s="1" t="s">
        <v>83</v>
      </c>
      <c r="G117" s="1" t="e">
        <f t="shared" ca="1" si="2"/>
        <v>#NAME?</v>
      </c>
      <c r="H117" s="1" t="str">
        <f t="shared" ca="1" si="12"/>
        <v>Other</v>
      </c>
      <c r="I117" s="1" t="s">
        <v>52</v>
      </c>
      <c r="J117" s="1" t="str">
        <f t="shared" si="3"/>
        <v>8GB</v>
      </c>
      <c r="K117" s="1" t="s">
        <v>98</v>
      </c>
      <c r="L117" s="1">
        <f t="shared" si="4"/>
        <v>16</v>
      </c>
      <c r="M117" s="1" t="s">
        <v>87</v>
      </c>
      <c r="N117" s="1" t="str">
        <f t="shared" si="5"/>
        <v>512GB</v>
      </c>
      <c r="O117" s="1" t="str">
        <f t="shared" si="6"/>
        <v>512GB</v>
      </c>
      <c r="P117" s="1" t="s">
        <v>89</v>
      </c>
      <c r="Q117" s="1" t="str">
        <f t="shared" si="7"/>
        <v>2560x1600</v>
      </c>
      <c r="R117" s="1" t="s">
        <v>39</v>
      </c>
      <c r="S117" s="1" t="str">
        <f t="shared" si="8"/>
        <v>120Hz</v>
      </c>
      <c r="T117" s="1" t="s">
        <v>40</v>
      </c>
      <c r="U117" s="1" t="str">
        <f t="shared" si="9"/>
        <v>Windows 11 Home</v>
      </c>
      <c r="V117" s="1" t="s">
        <v>94</v>
      </c>
      <c r="W117" s="1" t="str">
        <f t="shared" si="10"/>
        <v>2.49 kg</v>
      </c>
      <c r="X117" s="1" t="s">
        <v>78</v>
      </c>
      <c r="Y117" s="1" t="str">
        <f t="shared" si="11"/>
        <v>1 Year</v>
      </c>
      <c r="Z117" s="4">
        <v>67999</v>
      </c>
      <c r="AA117" s="1" t="s">
        <v>5735</v>
      </c>
    </row>
    <row r="118" spans="1:27" ht="15.75" customHeight="1" x14ac:dyDescent="0.35">
      <c r="A118" s="1" t="s">
        <v>151</v>
      </c>
      <c r="B118" s="1" t="str">
        <f t="shared" si="0"/>
        <v>Lenovo</v>
      </c>
      <c r="C118" s="1" t="s">
        <v>568</v>
      </c>
      <c r="D118" s="1" t="str">
        <f t="shared" si="1"/>
        <v>LOQ 15IRX9</v>
      </c>
      <c r="E118" s="1" t="str">
        <f t="array" aca="1" ref="E118" ca="1">IFERROR(
INDEX(Family_Map!$B$2:$B$35,
_xludf.AGGREGATE(14,6,(ROW(Family_Map!$A$2:$A$35)-ROW(Family_Map!$A$2)+1)/(ISNUMBER(SEARCH(Family_Map!$A$2:$A$35,D118))),1)
),
"Other")</f>
        <v>Other</v>
      </c>
      <c r="F118" s="1" t="s">
        <v>887</v>
      </c>
      <c r="G118" s="1" t="e">
        <f t="shared" ca="1" si="2"/>
        <v>#NAME?</v>
      </c>
      <c r="H118" s="1" t="str">
        <f t="shared" ca="1" si="12"/>
        <v>Other</v>
      </c>
      <c r="I118" s="1" t="s">
        <v>70</v>
      </c>
      <c r="J118" s="1" t="str">
        <f t="shared" si="3"/>
        <v>6GB</v>
      </c>
      <c r="K118" s="1" t="s">
        <v>888</v>
      </c>
      <c r="L118" s="1">
        <f t="shared" si="4"/>
        <v>24</v>
      </c>
      <c r="M118" s="1" t="s">
        <v>156</v>
      </c>
      <c r="N118" s="1" t="str">
        <f t="shared" si="5"/>
        <v>512GB</v>
      </c>
      <c r="O118" s="1" t="str">
        <f t="shared" si="6"/>
        <v>512GB</v>
      </c>
      <c r="P118" s="1" t="s">
        <v>74</v>
      </c>
      <c r="Q118" s="1" t="str">
        <f t="shared" si="7"/>
        <v>1920x1080</v>
      </c>
      <c r="R118" s="1" t="s">
        <v>75</v>
      </c>
      <c r="S118" s="1" t="str">
        <f t="shared" si="8"/>
        <v>144Hz</v>
      </c>
      <c r="T118" s="1" t="s">
        <v>101</v>
      </c>
      <c r="U118" s="1" t="str">
        <f t="shared" si="9"/>
        <v>DOS</v>
      </c>
      <c r="V118" s="1" t="s">
        <v>398</v>
      </c>
      <c r="W118" s="1" t="str">
        <f t="shared" si="10"/>
        <v>2.38 kg</v>
      </c>
      <c r="X118" s="1" t="s">
        <v>78</v>
      </c>
      <c r="Y118" s="1" t="str">
        <f t="shared" si="11"/>
        <v>1 Year</v>
      </c>
      <c r="Z118" s="4">
        <v>39499</v>
      </c>
      <c r="AA118" s="1" t="s">
        <v>79</v>
      </c>
    </row>
    <row r="119" spans="1:27" ht="15.75" customHeight="1" x14ac:dyDescent="0.35">
      <c r="A119" s="1" t="s">
        <v>30</v>
      </c>
      <c r="B119" s="1" t="str">
        <f t="shared" si="0"/>
        <v>MSI</v>
      </c>
      <c r="C119" s="1" t="s">
        <v>891</v>
      </c>
      <c r="D119" s="1" t="str">
        <f t="shared" si="1"/>
        <v>Thin 15 B13UCX</v>
      </c>
      <c r="E119" s="1" t="str">
        <f t="array" aca="1" ref="E119" ca="1">IFERROR(
INDEX(Family_Map!$B$2:$B$35,
_xludf.AGGREGATE(14,6,(ROW(Family_Map!$A$2:$A$35)-ROW(Family_Map!$A$2)+1)/(ISNUMBER(SEARCH(Family_Map!$A$2:$A$35,D119))),1)
),
"Other")</f>
        <v>Other</v>
      </c>
      <c r="F119" s="1" t="s">
        <v>892</v>
      </c>
      <c r="G119" s="1" t="e">
        <f t="shared" ca="1" si="2"/>
        <v>#NAME?</v>
      </c>
      <c r="H119" s="1" t="str">
        <f t="shared" ca="1" si="12"/>
        <v>Other</v>
      </c>
      <c r="I119" s="1" t="s">
        <v>507</v>
      </c>
      <c r="J119" s="1" t="str">
        <f t="shared" si="3"/>
        <v>4GB</v>
      </c>
      <c r="K119" s="1" t="s">
        <v>512</v>
      </c>
      <c r="L119" s="1">
        <f t="shared" si="4"/>
        <v>8</v>
      </c>
      <c r="M119" s="1" t="s">
        <v>894</v>
      </c>
      <c r="N119" s="1" t="str">
        <f t="shared" si="5"/>
        <v>512GB</v>
      </c>
      <c r="O119" s="1" t="str">
        <f t="shared" si="6"/>
        <v>512GB</v>
      </c>
      <c r="P119" s="1" t="s">
        <v>896</v>
      </c>
      <c r="Q119" s="1" t="str">
        <f t="shared" si="7"/>
        <v>1920x1080</v>
      </c>
      <c r="R119" s="1" t="s">
        <v>75</v>
      </c>
      <c r="S119" s="1" t="str">
        <f t="shared" si="8"/>
        <v>144Hz</v>
      </c>
      <c r="T119" s="1" t="s">
        <v>101</v>
      </c>
      <c r="U119" s="1" t="str">
        <f t="shared" si="9"/>
        <v>DOS</v>
      </c>
      <c r="V119" s="1" t="s">
        <v>376</v>
      </c>
      <c r="W119" s="1" t="str">
        <f t="shared" si="10"/>
        <v>1.86 kg</v>
      </c>
      <c r="X119" s="1" t="s">
        <v>165</v>
      </c>
      <c r="Y119" s="1" t="str">
        <f t="shared" si="11"/>
        <v>2 Years</v>
      </c>
      <c r="Z119" s="4">
        <v>27549</v>
      </c>
      <c r="AA119" s="1" t="s">
        <v>79</v>
      </c>
    </row>
    <row r="120" spans="1:27" ht="15.75" customHeight="1" x14ac:dyDescent="0.35">
      <c r="A120" s="1" t="s">
        <v>30</v>
      </c>
      <c r="B120" s="1" t="str">
        <f t="shared" si="0"/>
        <v>MSI</v>
      </c>
      <c r="C120" s="1" t="s">
        <v>341</v>
      </c>
      <c r="D120" s="1" t="str">
        <f t="shared" si="1"/>
        <v>Raider 18 HX AI A2XWJG</v>
      </c>
      <c r="E120" s="1" t="str">
        <f t="array" aca="1" ref="E120" ca="1">IFERROR(
INDEX(Family_Map!$B$2:$B$35,
_xludf.AGGREGATE(14,6,(ROW(Family_Map!$A$2:$A$35)-ROW(Family_Map!$A$2)+1)/(ISNUMBER(SEARCH(Family_Map!$A$2:$A$35,D120))),1)
),
"Other")</f>
        <v>Other</v>
      </c>
      <c r="F120" s="1" t="s">
        <v>598</v>
      </c>
      <c r="G120" s="1" t="e">
        <f t="shared" ca="1" si="2"/>
        <v>#NAME?</v>
      </c>
      <c r="H120" s="1" t="str">
        <f t="shared" ca="1" si="12"/>
        <v>Other</v>
      </c>
      <c r="I120" s="1" t="s">
        <v>5745</v>
      </c>
      <c r="J120" s="1" t="str">
        <f t="shared" si="3"/>
        <v>24GB</v>
      </c>
      <c r="K120" s="1" t="s">
        <v>901</v>
      </c>
      <c r="L120" s="1">
        <f t="shared" si="4"/>
        <v>64</v>
      </c>
      <c r="M120" s="1" t="s">
        <v>343</v>
      </c>
      <c r="N120" s="1" t="str">
        <f t="shared" si="5"/>
        <v>2TB</v>
      </c>
      <c r="O120" s="1" t="str">
        <f t="shared" si="6"/>
        <v>2048GB</v>
      </c>
      <c r="P120" s="1" t="s">
        <v>38</v>
      </c>
      <c r="Q120" s="1" t="str">
        <f t="shared" si="7"/>
        <v>3840x2400</v>
      </c>
      <c r="R120" s="1" t="s">
        <v>39</v>
      </c>
      <c r="S120" s="1" t="str">
        <f t="shared" si="8"/>
        <v>120Hz</v>
      </c>
      <c r="T120" s="1" t="s">
        <v>90</v>
      </c>
      <c r="U120" s="1" t="str">
        <f t="shared" si="9"/>
        <v>Windows 11 Home</v>
      </c>
      <c r="V120" s="1" t="s">
        <v>46</v>
      </c>
      <c r="W120" s="1" t="str">
        <f t="shared" si="10"/>
        <v>3.6 kg</v>
      </c>
      <c r="X120" s="1" t="s">
        <v>165</v>
      </c>
      <c r="Y120" s="1" t="str">
        <f t="shared" si="11"/>
        <v>2 Years</v>
      </c>
      <c r="Z120" s="4">
        <v>229999</v>
      </c>
      <c r="AA120" s="1" t="s">
        <v>5735</v>
      </c>
    </row>
    <row r="121" spans="1:27" ht="15.75" customHeight="1" x14ac:dyDescent="0.35">
      <c r="A121" s="1" t="s">
        <v>112</v>
      </c>
      <c r="B121" s="1" t="str">
        <f t="shared" si="0"/>
        <v>HP</v>
      </c>
      <c r="C121" s="1" t="s">
        <v>905</v>
      </c>
      <c r="D121" s="1" t="str">
        <f t="shared" si="1"/>
        <v>Victus 15-fa1015nia</v>
      </c>
      <c r="E121" s="1" t="str">
        <f t="array" aca="1" ref="E121" ca="1">IFERROR(
INDEX(Family_Map!$B$2:$B$35,
_xludf.AGGREGATE(14,6,(ROW(Family_Map!$A$2:$A$35)-ROW(Family_Map!$A$2)+1)/(ISNUMBER(SEARCH(Family_Map!$A$2:$A$35,D121))),1)
),
"Other")</f>
        <v>Other</v>
      </c>
      <c r="F121" s="1" t="s">
        <v>402</v>
      </c>
      <c r="G121" s="1" t="e">
        <f t="shared" ca="1" si="2"/>
        <v>#NAME?</v>
      </c>
      <c r="H121" s="1" t="str">
        <f t="shared" ca="1" si="12"/>
        <v>Other</v>
      </c>
      <c r="I121" s="1" t="s">
        <v>116</v>
      </c>
      <c r="J121" s="1" t="str">
        <f t="shared" si="3"/>
        <v>6 GB</v>
      </c>
      <c r="K121" s="1" t="s">
        <v>665</v>
      </c>
      <c r="L121" s="1">
        <f t="shared" si="4"/>
        <v>16</v>
      </c>
      <c r="M121" s="1" t="s">
        <v>906</v>
      </c>
      <c r="N121" s="1" t="str">
        <f t="shared" si="5"/>
        <v>1 TB</v>
      </c>
      <c r="O121" s="1" t="str">
        <f t="shared" si="6"/>
        <v>1024GB</v>
      </c>
      <c r="P121" s="1" t="s">
        <v>120</v>
      </c>
      <c r="Q121" s="1" t="str">
        <f t="shared" si="7"/>
        <v>1920x1080</v>
      </c>
      <c r="S121" s="1" t="str">
        <f t="shared" si="8"/>
        <v/>
      </c>
      <c r="T121" s="1" t="s">
        <v>101</v>
      </c>
      <c r="U121" s="1" t="str">
        <f t="shared" si="9"/>
        <v>DOS</v>
      </c>
      <c r="V121" s="1" t="s">
        <v>127</v>
      </c>
      <c r="W121" s="1" t="str">
        <f t="shared" si="10"/>
        <v>2.29 kg</v>
      </c>
      <c r="X121" s="1" t="s">
        <v>78</v>
      </c>
      <c r="Y121" s="1" t="str">
        <f t="shared" si="11"/>
        <v>1 Year</v>
      </c>
      <c r="Z121" s="4">
        <v>44444</v>
      </c>
      <c r="AA121" s="1" t="s">
        <v>79</v>
      </c>
    </row>
    <row r="122" spans="1:27" ht="15.75" customHeight="1" x14ac:dyDescent="0.35">
      <c r="A122" s="1" t="s">
        <v>112</v>
      </c>
      <c r="B122" s="1" t="str">
        <f t="shared" si="0"/>
        <v>HP</v>
      </c>
      <c r="C122" s="1" t="s">
        <v>911</v>
      </c>
      <c r="D122" s="1" t="str">
        <f t="shared" si="1"/>
        <v>Victus 15-fa2013dx</v>
      </c>
      <c r="E122" s="1" t="str">
        <f t="array" aca="1" ref="E122" ca="1">IFERROR(
INDEX(Family_Map!$B$2:$B$35,
_xludf.AGGREGATE(14,6,(ROW(Family_Map!$A$2:$A$35)-ROW(Family_Map!$A$2)+1)/(ISNUMBER(SEARCH(Family_Map!$A$2:$A$35,D122))),1)
),
"Other")</f>
        <v>Other</v>
      </c>
      <c r="F122" s="1" t="s">
        <v>687</v>
      </c>
      <c r="G122" s="1" t="e">
        <f t="shared" ca="1" si="2"/>
        <v>#NAME?</v>
      </c>
      <c r="H122" s="1" t="str">
        <f t="shared" ca="1" si="12"/>
        <v>Other</v>
      </c>
      <c r="I122" s="1" t="s">
        <v>116</v>
      </c>
      <c r="J122" s="1" t="str">
        <f t="shared" si="3"/>
        <v>6 GB</v>
      </c>
      <c r="K122" s="1" t="s">
        <v>184</v>
      </c>
      <c r="L122" s="1">
        <f t="shared" si="4"/>
        <v>8</v>
      </c>
      <c r="M122" s="1" t="s">
        <v>118</v>
      </c>
      <c r="N122" s="1" t="str">
        <f t="shared" si="5"/>
        <v>512 GB</v>
      </c>
      <c r="O122" s="1" t="str">
        <f t="shared" si="6"/>
        <v>512 GB</v>
      </c>
      <c r="Q122" s="1" t="str">
        <f t="shared" si="7"/>
        <v/>
      </c>
      <c r="S122" s="1" t="str">
        <f t="shared" si="8"/>
        <v/>
      </c>
      <c r="T122" s="1" t="s">
        <v>90</v>
      </c>
      <c r="U122" s="1" t="str">
        <f t="shared" si="9"/>
        <v>Windows 11 Home</v>
      </c>
      <c r="V122" s="1" t="s">
        <v>913</v>
      </c>
      <c r="W122" s="1" t="str">
        <f t="shared" si="10"/>
        <v>3.35 kg</v>
      </c>
      <c r="X122" s="1" t="s">
        <v>78</v>
      </c>
      <c r="Y122" s="1" t="str">
        <f t="shared" si="11"/>
        <v>1 Year</v>
      </c>
      <c r="Z122" s="4">
        <v>33699</v>
      </c>
      <c r="AA122" s="1" t="s">
        <v>79</v>
      </c>
    </row>
    <row r="123" spans="1:27" ht="15.75" customHeight="1" x14ac:dyDescent="0.35">
      <c r="A123" s="1" t="s">
        <v>234</v>
      </c>
      <c r="B123" s="1" t="str">
        <f t="shared" si="0"/>
        <v>ASUS</v>
      </c>
      <c r="C123" s="1" t="s">
        <v>915</v>
      </c>
      <c r="D123" s="1" t="str">
        <f t="shared" si="1"/>
        <v>V16 V3607VJ-RP007W</v>
      </c>
      <c r="E123" s="1" t="str">
        <f t="array" aca="1" ref="E123" ca="1">IFERROR(
INDEX(Family_Map!$B$2:$B$35,
_xludf.AGGREGATE(14,6,(ROW(Family_Map!$A$2:$A$35)-ROW(Family_Map!$A$2)+1)/(ISNUMBER(SEARCH(Family_Map!$A$2:$A$35,D123))),1)
),
"Other")</f>
        <v>Other</v>
      </c>
      <c r="F123" s="1" t="s">
        <v>83</v>
      </c>
      <c r="G123" s="1" t="e">
        <f t="shared" ca="1" si="2"/>
        <v>#NAME?</v>
      </c>
      <c r="H123" s="1" t="str">
        <f t="shared" ca="1" si="12"/>
        <v>Other</v>
      </c>
      <c r="I123" s="1" t="s">
        <v>70</v>
      </c>
      <c r="J123" s="1" t="str">
        <f t="shared" si="3"/>
        <v>6GB</v>
      </c>
      <c r="K123" s="1" t="s">
        <v>916</v>
      </c>
      <c r="L123" s="1">
        <f t="shared" si="4"/>
        <v>16</v>
      </c>
      <c r="M123" s="1" t="s">
        <v>629</v>
      </c>
      <c r="N123" s="1" t="str">
        <f t="shared" si="5"/>
        <v>512GB</v>
      </c>
      <c r="O123" s="1" t="str">
        <f t="shared" si="6"/>
        <v>512GB</v>
      </c>
      <c r="P123" s="1" t="s">
        <v>275</v>
      </c>
      <c r="Q123" s="1" t="str">
        <f t="shared" si="7"/>
        <v>1920x1200</v>
      </c>
      <c r="R123" s="1" t="s">
        <v>75</v>
      </c>
      <c r="S123" s="1" t="str">
        <f t="shared" si="8"/>
        <v>144Hz</v>
      </c>
      <c r="T123" s="1" t="s">
        <v>40</v>
      </c>
      <c r="U123" s="1" t="str">
        <f t="shared" si="9"/>
        <v>Windows 11 Home</v>
      </c>
      <c r="V123" s="1" t="s">
        <v>923</v>
      </c>
      <c r="W123" s="1" t="str">
        <f t="shared" si="10"/>
        <v>1.95 kg</v>
      </c>
      <c r="X123" s="1" t="s">
        <v>129</v>
      </c>
      <c r="Y123" s="1" t="str">
        <f t="shared" si="11"/>
        <v>1 Year</v>
      </c>
      <c r="Z123" s="4">
        <v>39999</v>
      </c>
      <c r="AA123" s="1" t="s">
        <v>5735</v>
      </c>
    </row>
    <row r="124" spans="1:27" ht="15.75" customHeight="1" x14ac:dyDescent="0.35">
      <c r="A124" s="1" t="s">
        <v>151</v>
      </c>
      <c r="B124" s="1" t="str">
        <f ca="1">E2</f>
        <v>Other</v>
      </c>
      <c r="C124" s="1" t="s">
        <v>505</v>
      </c>
      <c r="D124" s="1" t="str">
        <f t="shared" si="1"/>
        <v>LOQ 15IAX9</v>
      </c>
      <c r="E124" s="1" t="str">
        <f t="array" aca="1" ref="E124" ca="1">IFERROR(
INDEX(Family_Map!$B$2:$B$35,
_xludf.AGGREGATE(14,6,(ROW(Family_Map!$A$2:$A$35)-ROW(Family_Map!$A$2)+1)/(ISNUMBER(SEARCH(Family_Map!$A$2:$A$35,D124))),1)
),
"Other")</f>
        <v>Other</v>
      </c>
      <c r="F124" s="1" t="s">
        <v>854</v>
      </c>
      <c r="G124" s="1" t="e">
        <f t="shared" ca="1" si="2"/>
        <v>#NAME?</v>
      </c>
      <c r="H124" s="1" t="str">
        <f t="shared" ca="1" si="12"/>
        <v>Other</v>
      </c>
      <c r="I124" s="1" t="s">
        <v>70</v>
      </c>
      <c r="J124" s="1" t="str">
        <f t="shared" si="3"/>
        <v>6GB</v>
      </c>
      <c r="K124" s="1" t="s">
        <v>888</v>
      </c>
      <c r="L124" s="1">
        <f t="shared" si="4"/>
        <v>24</v>
      </c>
      <c r="M124" s="1" t="s">
        <v>156</v>
      </c>
      <c r="N124" s="1" t="str">
        <f t="shared" si="5"/>
        <v>512GB</v>
      </c>
      <c r="O124" s="1" t="str">
        <f t="shared" si="6"/>
        <v>512GB</v>
      </c>
      <c r="P124" s="1" t="s">
        <v>74</v>
      </c>
      <c r="Q124" s="1" t="str">
        <f t="shared" si="7"/>
        <v>1920x1080</v>
      </c>
      <c r="R124" s="1" t="s">
        <v>75</v>
      </c>
      <c r="S124" s="1" t="str">
        <f t="shared" si="8"/>
        <v>144Hz</v>
      </c>
      <c r="T124" s="1" t="s">
        <v>121</v>
      </c>
      <c r="U124" s="1" t="str">
        <f t="shared" si="9"/>
        <v>DOS</v>
      </c>
      <c r="V124" s="1" t="s">
        <v>398</v>
      </c>
      <c r="W124" s="1" t="str">
        <f t="shared" si="10"/>
        <v>2.38 kg</v>
      </c>
      <c r="X124" s="1" t="s">
        <v>129</v>
      </c>
      <c r="Y124" s="1" t="str">
        <f t="shared" si="11"/>
        <v>1 Year</v>
      </c>
      <c r="Z124" s="4">
        <v>38888</v>
      </c>
      <c r="AA124" s="1" t="s">
        <v>166</v>
      </c>
    </row>
    <row r="125" spans="1:27" ht="15.75" customHeight="1" x14ac:dyDescent="0.35">
      <c r="A125" s="1" t="s">
        <v>151</v>
      </c>
      <c r="B125" s="1" t="str">
        <f t="shared" ref="B125:B1015" si="16">IF(OR(UPPER(TRIM(A125))="MSI", UPPER(TRIM(A125))="HP", UPPER(TRIM(A125))="ASUS"), UPPER(TRIM(A125)), PROPER(TRIM(A125)))</f>
        <v>Lenovo</v>
      </c>
      <c r="C125" s="1" t="s">
        <v>505</v>
      </c>
      <c r="D125" s="1" t="str">
        <f t="shared" si="1"/>
        <v>LOQ 15IAX9</v>
      </c>
      <c r="E125" s="1" t="str">
        <f t="array" aca="1" ref="E125" ca="1">IFERROR(
INDEX(Family_Map!$B$2:$B$35,
_xludf.AGGREGATE(14,6,(ROW(Family_Map!$A$2:$A$35)-ROW(Family_Map!$A$2)+1)/(ISNUMBER(SEARCH(Family_Map!$A$2:$A$35,D125))),1)
),
"Other")</f>
        <v>Other</v>
      </c>
      <c r="F125" s="1" t="s">
        <v>153</v>
      </c>
      <c r="G125" s="1" t="e">
        <f t="shared" ca="1" si="2"/>
        <v>#NAME?</v>
      </c>
      <c r="H125" s="1" t="str">
        <f t="shared" ca="1" si="12"/>
        <v>Other</v>
      </c>
      <c r="I125" s="1" t="s">
        <v>70</v>
      </c>
      <c r="J125" s="1" t="str">
        <f t="shared" si="3"/>
        <v>6GB</v>
      </c>
      <c r="K125" s="1" t="s">
        <v>411</v>
      </c>
      <c r="L125" s="1">
        <f t="shared" si="4"/>
        <v>24</v>
      </c>
      <c r="M125" s="1" t="s">
        <v>156</v>
      </c>
      <c r="N125" s="1" t="str">
        <f t="shared" si="5"/>
        <v>512GB</v>
      </c>
      <c r="O125" s="1" t="str">
        <f t="shared" si="6"/>
        <v>512GB</v>
      </c>
      <c r="P125" s="1" t="s">
        <v>74</v>
      </c>
      <c r="Q125" s="1" t="str">
        <f t="shared" si="7"/>
        <v>1920x1080</v>
      </c>
      <c r="R125" s="1" t="s">
        <v>75</v>
      </c>
      <c r="S125" s="1" t="str">
        <f t="shared" si="8"/>
        <v>144Hz</v>
      </c>
      <c r="T125" s="1" t="s">
        <v>90</v>
      </c>
      <c r="U125" s="1" t="str">
        <f t="shared" si="9"/>
        <v>Windows 11 Home</v>
      </c>
      <c r="V125" s="1" t="s">
        <v>398</v>
      </c>
      <c r="W125" s="1" t="str">
        <f t="shared" si="10"/>
        <v>2.38 kg</v>
      </c>
      <c r="X125" s="1" t="s">
        <v>78</v>
      </c>
      <c r="Y125" s="1" t="str">
        <f t="shared" si="11"/>
        <v>1 Year</v>
      </c>
      <c r="Z125" s="4">
        <v>30999</v>
      </c>
      <c r="AA125" s="1" t="s">
        <v>166</v>
      </c>
    </row>
    <row r="126" spans="1:27" ht="15.75" customHeight="1" x14ac:dyDescent="0.35">
      <c r="A126" s="1" t="s">
        <v>112</v>
      </c>
      <c r="B126" s="1" t="str">
        <f t="shared" si="16"/>
        <v>HP</v>
      </c>
      <c r="C126" s="1" t="s">
        <v>927</v>
      </c>
      <c r="D126" s="1" t="str">
        <f t="shared" si="1"/>
        <v>Victus 15-FA1021NIA</v>
      </c>
      <c r="E126" s="1" t="str">
        <f t="array" aca="1" ref="E126" ca="1">IFERROR(
INDEX(Family_Map!$B$2:$B$35,
_xludf.AGGREGATE(14,6,(ROW(Family_Map!$A$2:$A$35)-ROW(Family_Map!$A$2)+1)/(ISNUMBER(SEARCH(Family_Map!$A$2:$A$35,D126))),1)
),
"Other")</f>
        <v>Other</v>
      </c>
      <c r="F126" s="1" t="s">
        <v>693</v>
      </c>
      <c r="G126" s="1" t="e">
        <f t="shared" ca="1" si="2"/>
        <v>#NAME?</v>
      </c>
      <c r="H126" s="1" t="str">
        <f t="shared" ca="1" si="12"/>
        <v>Other</v>
      </c>
      <c r="I126" s="1" t="s">
        <v>116</v>
      </c>
      <c r="J126" s="1" t="str">
        <f t="shared" si="3"/>
        <v>6 GB</v>
      </c>
      <c r="K126" s="1" t="s">
        <v>363</v>
      </c>
      <c r="L126" s="1">
        <f t="shared" si="4"/>
        <v>8</v>
      </c>
      <c r="M126" s="1" t="s">
        <v>118</v>
      </c>
      <c r="N126" s="1" t="str">
        <f t="shared" si="5"/>
        <v>512 GB</v>
      </c>
      <c r="O126" s="1" t="str">
        <f t="shared" si="6"/>
        <v>512 GB</v>
      </c>
      <c r="P126" s="1" t="s">
        <v>120</v>
      </c>
      <c r="Q126" s="1" t="str">
        <f t="shared" si="7"/>
        <v>1920x1080</v>
      </c>
      <c r="R126" s="1" t="s">
        <v>75</v>
      </c>
      <c r="S126" s="1" t="str">
        <f t="shared" si="8"/>
        <v>144Hz</v>
      </c>
      <c r="T126" s="1" t="s">
        <v>121</v>
      </c>
      <c r="U126" s="1" t="str">
        <f t="shared" si="9"/>
        <v>DOS</v>
      </c>
      <c r="V126" s="1" t="s">
        <v>127</v>
      </c>
      <c r="W126" s="1" t="str">
        <f t="shared" si="10"/>
        <v>2.29 kg</v>
      </c>
      <c r="X126" s="1" t="s">
        <v>78</v>
      </c>
      <c r="Y126" s="1" t="str">
        <f t="shared" si="11"/>
        <v>1 Year</v>
      </c>
      <c r="Z126" s="4">
        <v>43199</v>
      </c>
      <c r="AA126" s="1" t="s">
        <v>79</v>
      </c>
    </row>
    <row r="127" spans="1:27" ht="15.75" customHeight="1" x14ac:dyDescent="0.35">
      <c r="A127" s="1" t="s">
        <v>151</v>
      </c>
      <c r="B127" s="1" t="str">
        <f t="shared" si="16"/>
        <v>Lenovo</v>
      </c>
      <c r="C127" s="1" t="s">
        <v>847</v>
      </c>
      <c r="D127" s="1" t="str">
        <f t="shared" si="1"/>
        <v>LOQ 15IRX10</v>
      </c>
      <c r="E127" s="1" t="str">
        <f t="array" aca="1" ref="E127" ca="1">IFERROR(
INDEX(Family_Map!$B$2:$B$35,
_xludf.AGGREGATE(14,6,(ROW(Family_Map!$A$2:$A$35)-ROW(Family_Map!$A$2)+1)/(ISNUMBER(SEARCH(Family_Map!$A$2:$A$35,D127))),1)
),
"Other")</f>
        <v>Other</v>
      </c>
      <c r="F127" s="1" t="s">
        <v>852</v>
      </c>
      <c r="G127" s="1" t="e">
        <f t="shared" ca="1" si="2"/>
        <v>#NAME?</v>
      </c>
      <c r="H127" s="1" t="str">
        <f t="shared" ca="1" si="12"/>
        <v>Other</v>
      </c>
      <c r="I127" s="1" t="s">
        <v>52</v>
      </c>
      <c r="J127" s="1" t="str">
        <f t="shared" si="3"/>
        <v>8GB</v>
      </c>
      <c r="K127" s="1" t="s">
        <v>888</v>
      </c>
      <c r="L127" s="1">
        <f t="shared" si="4"/>
        <v>24</v>
      </c>
      <c r="M127" s="1" t="s">
        <v>156</v>
      </c>
      <c r="N127" s="1" t="str">
        <f t="shared" si="5"/>
        <v>512GB</v>
      </c>
      <c r="O127" s="1" t="str">
        <f t="shared" si="6"/>
        <v>512GB</v>
      </c>
      <c r="P127" s="1" t="s">
        <v>120</v>
      </c>
      <c r="Q127" s="1" t="str">
        <f t="shared" si="7"/>
        <v>1920x1080</v>
      </c>
      <c r="R127" s="1" t="s">
        <v>75</v>
      </c>
      <c r="S127" s="1" t="str">
        <f t="shared" si="8"/>
        <v>144Hz</v>
      </c>
      <c r="T127" s="1" t="s">
        <v>101</v>
      </c>
      <c r="U127" s="1" t="str">
        <f t="shared" si="9"/>
        <v>DOS</v>
      </c>
      <c r="V127" s="1" t="s">
        <v>63</v>
      </c>
      <c r="W127" s="1" t="str">
        <f t="shared" si="10"/>
        <v>2.4 kg</v>
      </c>
      <c r="X127" s="1" t="s">
        <v>339</v>
      </c>
      <c r="Y127" s="1" t="str">
        <f t="shared" si="11"/>
        <v>2 Years</v>
      </c>
      <c r="Z127" s="4">
        <v>52999</v>
      </c>
      <c r="AA127" s="1" t="s">
        <v>65</v>
      </c>
    </row>
    <row r="128" spans="1:27" ht="15.75" customHeight="1" x14ac:dyDescent="0.35">
      <c r="A128" s="1" t="s">
        <v>151</v>
      </c>
      <c r="B128" s="1" t="str">
        <f t="shared" si="16"/>
        <v>Lenovo</v>
      </c>
      <c r="C128" s="1" t="s">
        <v>931</v>
      </c>
      <c r="D128" s="1" t="str">
        <f t="shared" si="1"/>
        <v>Lenovo Legion Pro 5 16IAX10H</v>
      </c>
      <c r="E128" s="1" t="str">
        <f t="array" aca="1" ref="E128" ca="1">IFERROR(
INDEX(Family_Map!$B$2:$B$35,
_xludf.AGGREGATE(14,6,(ROW(Family_Map!$A$2:$A$35)-ROW(Family_Map!$A$2)+1)/(ISNUMBER(SEARCH(Family_Map!$A$2:$A$35,D128))),1)
),
"Other")</f>
        <v>Other</v>
      </c>
      <c r="F128" s="1" t="s">
        <v>320</v>
      </c>
      <c r="G128" s="1" t="e">
        <f t="shared" ca="1" si="2"/>
        <v>#NAME?</v>
      </c>
      <c r="H128" s="1" t="str">
        <f t="shared" ca="1" si="12"/>
        <v>Other</v>
      </c>
      <c r="I128" s="1" t="s">
        <v>272</v>
      </c>
      <c r="J128" s="1" t="str">
        <f t="shared" si="3"/>
        <v>12GB</v>
      </c>
      <c r="K128" s="1" t="s">
        <v>447</v>
      </c>
      <c r="L128" s="1">
        <f t="shared" si="4"/>
        <v>32</v>
      </c>
      <c r="M128" s="1" t="s">
        <v>933</v>
      </c>
      <c r="N128" s="1" t="str">
        <f t="shared" si="5"/>
        <v>1TB</v>
      </c>
      <c r="O128" s="1" t="str">
        <f t="shared" si="6"/>
        <v>1024GB</v>
      </c>
      <c r="P128" s="1" t="s">
        <v>224</v>
      </c>
      <c r="Q128" s="1" t="str">
        <f t="shared" si="7"/>
        <v>2560x1600</v>
      </c>
      <c r="R128" s="1" t="s">
        <v>57</v>
      </c>
      <c r="S128" s="1" t="str">
        <f t="shared" si="8"/>
        <v>165Hz</v>
      </c>
      <c r="T128" s="1" t="s">
        <v>90</v>
      </c>
      <c r="U128" s="1" t="str">
        <f t="shared" si="9"/>
        <v>Windows 11 Home</v>
      </c>
      <c r="V128" s="1" t="s">
        <v>205</v>
      </c>
      <c r="W128" s="1" t="str">
        <f t="shared" si="10"/>
        <v>2.42 kg</v>
      </c>
      <c r="X128" s="1" t="s">
        <v>936</v>
      </c>
      <c r="Y128" s="1" t="str">
        <f t="shared" si="11"/>
        <v>1 Year</v>
      </c>
      <c r="Z128" s="4">
        <v>160000</v>
      </c>
      <c r="AA128" s="1" t="s">
        <v>5735</v>
      </c>
    </row>
    <row r="129" spans="1:27" ht="15.75" customHeight="1" x14ac:dyDescent="0.35">
      <c r="A129" s="1" t="s">
        <v>151</v>
      </c>
      <c r="B129" s="1" t="str">
        <f t="shared" si="16"/>
        <v>Lenovo</v>
      </c>
      <c r="C129" s="1" t="s">
        <v>939</v>
      </c>
      <c r="D129" s="1" t="str">
        <f t="shared" si="1"/>
        <v>Legion Pro 5 16IRX9</v>
      </c>
      <c r="E129" s="1" t="str">
        <f t="array" aca="1" ref="E129" ca="1">IFERROR(
INDEX(Family_Map!$B$2:$B$35,
_xludf.AGGREGATE(14,6,(ROW(Family_Map!$A$2:$A$35)-ROW(Family_Map!$A$2)+1)/(ISNUMBER(SEARCH(Family_Map!$A$2:$A$35,D129))),1)
),
"Other")</f>
        <v>Other</v>
      </c>
      <c r="F129" s="1" t="s">
        <v>50</v>
      </c>
      <c r="G129" s="1" t="e">
        <f t="shared" ca="1" si="2"/>
        <v>#NAME?</v>
      </c>
      <c r="H129" s="1" t="str">
        <f t="shared" ca="1" si="12"/>
        <v>Other</v>
      </c>
      <c r="I129" s="1" t="s">
        <v>410</v>
      </c>
      <c r="J129" s="1" t="str">
        <f t="shared" si="3"/>
        <v>8GB</v>
      </c>
      <c r="K129" s="1" t="s">
        <v>447</v>
      </c>
      <c r="L129" s="1">
        <f t="shared" si="4"/>
        <v>32</v>
      </c>
      <c r="M129" s="1" t="s">
        <v>796</v>
      </c>
      <c r="N129" s="1" t="str">
        <f t="shared" si="5"/>
        <v>1TB</v>
      </c>
      <c r="O129" s="1" t="str">
        <f t="shared" si="6"/>
        <v>1024GB</v>
      </c>
      <c r="P129" s="1" t="s">
        <v>89</v>
      </c>
      <c r="Q129" s="1" t="str">
        <f t="shared" si="7"/>
        <v>2560x1600</v>
      </c>
      <c r="R129" s="1" t="s">
        <v>256</v>
      </c>
      <c r="S129" s="1" t="str">
        <f t="shared" si="8"/>
        <v>240Hz</v>
      </c>
      <c r="T129" s="1" t="s">
        <v>40</v>
      </c>
      <c r="U129" s="1" t="str">
        <f t="shared" si="9"/>
        <v>Windows 11 Home</v>
      </c>
      <c r="V129" s="1" t="s">
        <v>944</v>
      </c>
      <c r="W129" s="1" t="str">
        <f t="shared" si="10"/>
        <v>2.5 kg</v>
      </c>
      <c r="X129" s="1" t="s">
        <v>129</v>
      </c>
      <c r="Y129" s="1" t="str">
        <f t="shared" si="11"/>
        <v>1 Year</v>
      </c>
      <c r="Z129" s="4">
        <v>103499</v>
      </c>
      <c r="AA129" s="1" t="s">
        <v>65</v>
      </c>
    </row>
    <row r="130" spans="1:27" ht="15.75" customHeight="1" x14ac:dyDescent="0.35">
      <c r="A130" s="1" t="s">
        <v>30</v>
      </c>
      <c r="B130" s="1" t="str">
        <f t="shared" si="16"/>
        <v>MSI</v>
      </c>
      <c r="C130" s="1" t="s">
        <v>947</v>
      </c>
      <c r="D130" s="1" t="str">
        <f t="shared" si="1"/>
        <v>Crosshair 16 HX AI D2XWFKG</v>
      </c>
      <c r="E130" s="1" t="str">
        <f t="array" aca="1" ref="E130" ca="1">IFERROR(
INDEX(Family_Map!$B$2:$B$35,
_xludf.AGGREGATE(14,6,(ROW(Family_Map!$A$2:$A$35)-ROW(Family_Map!$A$2)+1)/(ISNUMBER(SEARCH(Family_Map!$A$2:$A$35,D130))),1)
),
"Other")</f>
        <v>Other</v>
      </c>
      <c r="F130" s="1" t="s">
        <v>859</v>
      </c>
      <c r="G130" s="1" t="e">
        <f t="shared" ca="1" si="2"/>
        <v>#NAME?</v>
      </c>
      <c r="H130" s="1" t="str">
        <f t="shared" ca="1" si="12"/>
        <v>Other</v>
      </c>
      <c r="I130" s="1" t="s">
        <v>52</v>
      </c>
      <c r="J130" s="1" t="str">
        <f t="shared" si="3"/>
        <v>8GB</v>
      </c>
      <c r="K130" s="1" t="s">
        <v>53</v>
      </c>
      <c r="L130" s="1">
        <f t="shared" si="4"/>
        <v>16</v>
      </c>
      <c r="M130" s="1" t="s">
        <v>54</v>
      </c>
      <c r="N130" s="1" t="str">
        <f t="shared" si="5"/>
        <v>1TB</v>
      </c>
      <c r="O130" s="1" t="str">
        <f t="shared" si="6"/>
        <v>1024GB</v>
      </c>
      <c r="P130" s="1" t="s">
        <v>89</v>
      </c>
      <c r="Q130" s="1" t="str">
        <f t="shared" si="7"/>
        <v>2560x1600</v>
      </c>
      <c r="R130" s="1" t="s">
        <v>256</v>
      </c>
      <c r="S130" s="1" t="str">
        <f t="shared" si="8"/>
        <v>240Hz</v>
      </c>
      <c r="T130" s="1" t="s">
        <v>40</v>
      </c>
      <c r="U130" s="1" t="str">
        <f t="shared" si="9"/>
        <v>Windows 11 Home</v>
      </c>
      <c r="V130" s="1" t="s">
        <v>944</v>
      </c>
      <c r="W130" s="1" t="str">
        <f t="shared" si="10"/>
        <v>2.5 kg</v>
      </c>
      <c r="X130" s="1" t="s">
        <v>165</v>
      </c>
      <c r="Y130" s="1" t="str">
        <f t="shared" si="11"/>
        <v>2 Years</v>
      </c>
      <c r="Z130" s="4">
        <v>76850</v>
      </c>
      <c r="AA130" s="1" t="s">
        <v>5735</v>
      </c>
    </row>
    <row r="131" spans="1:27" ht="15.75" customHeight="1" x14ac:dyDescent="0.35">
      <c r="A131" s="1" t="s">
        <v>30</v>
      </c>
      <c r="B131" s="1" t="str">
        <f t="shared" si="16"/>
        <v>MSI</v>
      </c>
      <c r="C131" s="1" t="s">
        <v>951</v>
      </c>
      <c r="D131" s="1" t="str">
        <f t="shared" si="1"/>
        <v>Crosshair 16 HX AI D2XWGKG</v>
      </c>
      <c r="E131" s="1" t="str">
        <f t="array" aca="1" ref="E131" ca="1">IFERROR(
INDEX(Family_Map!$B$2:$B$35,
_xludf.AGGREGATE(14,6,(ROW(Family_Map!$A$2:$A$35)-ROW(Family_Map!$A$2)+1)/(ISNUMBER(SEARCH(Family_Map!$A$2:$A$35,D131))),1)
),
"Other")</f>
        <v>Other</v>
      </c>
      <c r="F131" s="1" t="s">
        <v>859</v>
      </c>
      <c r="G131" s="1" t="e">
        <f t="shared" ca="1" si="2"/>
        <v>#NAME?</v>
      </c>
      <c r="H131" s="1" t="str">
        <f t="shared" ca="1" si="12"/>
        <v>Other</v>
      </c>
      <c r="I131" s="1" t="s">
        <v>52</v>
      </c>
      <c r="J131" s="1" t="str">
        <f t="shared" si="3"/>
        <v>8GB</v>
      </c>
      <c r="K131" s="1" t="s">
        <v>53</v>
      </c>
      <c r="L131" s="1">
        <f t="shared" si="4"/>
        <v>16</v>
      </c>
      <c r="M131" s="1" t="s">
        <v>54</v>
      </c>
      <c r="N131" s="1" t="str">
        <f t="shared" si="5"/>
        <v>1TB</v>
      </c>
      <c r="O131" s="1" t="str">
        <f t="shared" si="6"/>
        <v>1024GB</v>
      </c>
      <c r="P131" s="1" t="s">
        <v>89</v>
      </c>
      <c r="Q131" s="1" t="str">
        <f t="shared" si="7"/>
        <v>2560x1600</v>
      </c>
      <c r="R131" s="1" t="s">
        <v>256</v>
      </c>
      <c r="S131" s="1" t="str">
        <f t="shared" si="8"/>
        <v>240Hz</v>
      </c>
      <c r="T131" s="1" t="s">
        <v>40</v>
      </c>
      <c r="U131" s="1" t="str">
        <f t="shared" si="9"/>
        <v>Windows 11 Home</v>
      </c>
      <c r="V131" s="1" t="s">
        <v>944</v>
      </c>
      <c r="W131" s="1" t="str">
        <f t="shared" si="10"/>
        <v>2.5 kg</v>
      </c>
      <c r="X131" s="1" t="s">
        <v>165</v>
      </c>
      <c r="Y131" s="1" t="str">
        <f t="shared" si="11"/>
        <v>2 Years</v>
      </c>
      <c r="Z131" s="4">
        <v>85450</v>
      </c>
      <c r="AA131" s="1" t="s">
        <v>5735</v>
      </c>
    </row>
    <row r="132" spans="1:27" ht="15.75" customHeight="1" x14ac:dyDescent="0.35">
      <c r="A132" s="1" t="s">
        <v>30</v>
      </c>
      <c r="B132" s="1" t="str">
        <f t="shared" si="16"/>
        <v>MSI</v>
      </c>
      <c r="C132" s="1" t="s">
        <v>557</v>
      </c>
      <c r="D132" s="1" t="str">
        <f t="shared" si="1"/>
        <v>Vector 16 HX AI A2XWHG</v>
      </c>
      <c r="E132" s="1" t="str">
        <f t="array" aca="1" ref="E132" ca="1">IFERROR(
INDEX(Family_Map!$B$2:$B$35,
_xludf.AGGREGATE(14,6,(ROW(Family_Map!$A$2:$A$35)-ROW(Family_Map!$A$2)+1)/(ISNUMBER(SEARCH(Family_Map!$A$2:$A$35,D132))),1)
),
"Other")</f>
        <v>Other</v>
      </c>
      <c r="F132" s="1" t="s">
        <v>859</v>
      </c>
      <c r="G132" s="1" t="e">
        <f t="shared" ca="1" si="2"/>
        <v>#NAME?</v>
      </c>
      <c r="H132" s="1" t="str">
        <f t="shared" ca="1" si="12"/>
        <v>Other</v>
      </c>
      <c r="I132" s="1" t="s">
        <v>272</v>
      </c>
      <c r="J132" s="1" t="str">
        <f t="shared" si="3"/>
        <v>12GB</v>
      </c>
      <c r="K132" s="1" t="s">
        <v>53</v>
      </c>
      <c r="L132" s="1">
        <f t="shared" si="4"/>
        <v>16</v>
      </c>
      <c r="M132" s="1" t="s">
        <v>54</v>
      </c>
      <c r="N132" s="1" t="str">
        <f t="shared" si="5"/>
        <v>1TB</v>
      </c>
      <c r="O132" s="1" t="str">
        <f t="shared" si="6"/>
        <v>1024GB</v>
      </c>
      <c r="P132" s="1" t="s">
        <v>89</v>
      </c>
      <c r="Q132" s="1" t="str">
        <f t="shared" si="7"/>
        <v>2560x1600</v>
      </c>
      <c r="R132" s="1" t="s">
        <v>256</v>
      </c>
      <c r="S132" s="1" t="str">
        <f t="shared" si="8"/>
        <v>240Hz</v>
      </c>
      <c r="T132" s="1" t="s">
        <v>40</v>
      </c>
      <c r="U132" s="1" t="str">
        <f t="shared" si="9"/>
        <v>Windows 11 Home</v>
      </c>
      <c r="V132" s="1" t="s">
        <v>537</v>
      </c>
      <c r="W132" s="1" t="str">
        <f t="shared" si="10"/>
        <v>2.7 kg</v>
      </c>
      <c r="X132" s="1" t="s">
        <v>165</v>
      </c>
      <c r="Y132" s="1" t="str">
        <f t="shared" si="11"/>
        <v>2 Years</v>
      </c>
      <c r="Z132" s="4">
        <v>158409</v>
      </c>
      <c r="AA132" s="1" t="s">
        <v>5735</v>
      </c>
    </row>
    <row r="133" spans="1:27" ht="15.75" customHeight="1" x14ac:dyDescent="0.35">
      <c r="A133" s="1" t="s">
        <v>234</v>
      </c>
      <c r="B133" s="1" t="str">
        <f t="shared" si="16"/>
        <v>ASUS</v>
      </c>
      <c r="C133" s="1" t="s">
        <v>952</v>
      </c>
      <c r="D133" s="1" t="str">
        <f t="shared" si="1"/>
        <v>ROG Strix G16 G614FR-G4032W</v>
      </c>
      <c r="E133" s="1" t="str">
        <f t="array" aca="1" ref="E133" ca="1">IFERROR(
INDEX(Family_Map!$B$2:$B$35,
_xludf.AGGREGATE(14,6,(ROW(Family_Map!$A$2:$A$35)-ROW(Family_Map!$A$2)+1)/(ISNUMBER(SEARCH(Family_Map!$A$2:$A$35,D133))),1)
),
"Other")</f>
        <v>Other</v>
      </c>
      <c r="F133" s="1" t="s">
        <v>285</v>
      </c>
      <c r="G133" s="1" t="e">
        <f t="shared" ca="1" si="2"/>
        <v>#NAME?</v>
      </c>
      <c r="H133" s="1" t="str">
        <f t="shared" ca="1" si="12"/>
        <v>Other</v>
      </c>
      <c r="I133" s="1" t="s">
        <v>272</v>
      </c>
      <c r="J133" s="1" t="str">
        <f t="shared" si="3"/>
        <v>12GB</v>
      </c>
      <c r="K133" s="1" t="s">
        <v>953</v>
      </c>
      <c r="L133" s="1">
        <f t="shared" si="4"/>
        <v>32</v>
      </c>
      <c r="M133" s="1" t="s">
        <v>239</v>
      </c>
      <c r="N133" s="1" t="str">
        <f t="shared" si="5"/>
        <v>1TB</v>
      </c>
      <c r="O133" s="1" t="str">
        <f t="shared" si="6"/>
        <v>1024GB</v>
      </c>
      <c r="P133" s="1" t="s">
        <v>89</v>
      </c>
      <c r="Q133" s="1" t="str">
        <f t="shared" si="7"/>
        <v>2560x1600</v>
      </c>
      <c r="R133" s="1" t="s">
        <v>256</v>
      </c>
      <c r="S133" s="1" t="str">
        <f t="shared" si="8"/>
        <v>240Hz</v>
      </c>
      <c r="T133" s="1" t="s">
        <v>40</v>
      </c>
      <c r="U133" s="1" t="str">
        <f t="shared" si="9"/>
        <v>Windows 11 Home</v>
      </c>
      <c r="V133" s="1" t="s">
        <v>280</v>
      </c>
      <c r="W133" s="1" t="str">
        <f t="shared" si="10"/>
        <v>2.5 kg</v>
      </c>
      <c r="X133" s="1" t="s">
        <v>129</v>
      </c>
      <c r="Y133" s="1" t="str">
        <f t="shared" si="11"/>
        <v>1 Year</v>
      </c>
      <c r="Z133" s="4">
        <v>128888</v>
      </c>
      <c r="AA133" s="1" t="s">
        <v>5735</v>
      </c>
    </row>
    <row r="134" spans="1:27" ht="15.75" customHeight="1" x14ac:dyDescent="0.35">
      <c r="A134" s="1" t="s">
        <v>151</v>
      </c>
      <c r="B134" s="1" t="str">
        <f t="shared" si="16"/>
        <v>Lenovo</v>
      </c>
      <c r="C134" s="1" t="s">
        <v>152</v>
      </c>
      <c r="D134" s="1" t="str">
        <f t="shared" si="1"/>
        <v>LOQ 15IAX9E</v>
      </c>
      <c r="E134" s="1" t="str">
        <f t="array" aca="1" ref="E134" ca="1">IFERROR(
INDEX(Family_Map!$B$2:$B$35,
_xludf.AGGREGATE(14,6,(ROW(Family_Map!$A$2:$A$35)-ROW(Family_Map!$A$2)+1)/(ISNUMBER(SEARCH(Family_Map!$A$2:$A$35,D134))),1)
),
"Other")</f>
        <v>Other</v>
      </c>
      <c r="F134" s="1" t="s">
        <v>958</v>
      </c>
      <c r="G134" s="1" t="e">
        <f t="shared" ca="1" si="2"/>
        <v>#NAME?</v>
      </c>
      <c r="H134" s="1" t="str">
        <f t="shared" ca="1" si="12"/>
        <v>Other</v>
      </c>
      <c r="I134" s="1" t="s">
        <v>70</v>
      </c>
      <c r="J134" s="1" t="str">
        <f t="shared" si="3"/>
        <v>6GB</v>
      </c>
      <c r="K134" s="1" t="s">
        <v>155</v>
      </c>
      <c r="L134" s="1">
        <f t="shared" si="4"/>
        <v>16</v>
      </c>
      <c r="M134" s="1" t="s">
        <v>156</v>
      </c>
      <c r="N134" s="1" t="str">
        <f t="shared" si="5"/>
        <v>512GB</v>
      </c>
      <c r="O134" s="1" t="str">
        <f t="shared" si="6"/>
        <v>512GB</v>
      </c>
      <c r="P134" s="1" t="s">
        <v>120</v>
      </c>
      <c r="Q134" s="1" t="str">
        <f t="shared" si="7"/>
        <v>1920x1080</v>
      </c>
      <c r="R134" s="1" t="s">
        <v>75</v>
      </c>
      <c r="S134" s="1" t="str">
        <f t="shared" si="8"/>
        <v>144Hz</v>
      </c>
      <c r="T134" s="1" t="s">
        <v>40</v>
      </c>
      <c r="U134" s="1" t="str">
        <f t="shared" si="9"/>
        <v>Windows 11 Home</v>
      </c>
      <c r="V134" s="1" t="s">
        <v>163</v>
      </c>
      <c r="W134" s="1" t="str">
        <f t="shared" si="10"/>
        <v>1.77 kg</v>
      </c>
      <c r="X134" s="1" t="s">
        <v>129</v>
      </c>
      <c r="Y134" s="1" t="str">
        <f t="shared" si="11"/>
        <v>1 Year</v>
      </c>
      <c r="Z134" s="4">
        <v>40999</v>
      </c>
      <c r="AA134" s="1" t="s">
        <v>166</v>
      </c>
    </row>
    <row r="135" spans="1:27" ht="15.75" customHeight="1" x14ac:dyDescent="0.35">
      <c r="A135" s="1" t="s">
        <v>234</v>
      </c>
      <c r="B135" s="1" t="str">
        <f t="shared" si="16"/>
        <v>ASUS</v>
      </c>
      <c r="C135" s="1" t="s">
        <v>961</v>
      </c>
      <c r="D135" s="1" t="str">
        <f t="shared" si="1"/>
        <v>TUF Gaming F16 FX607VU-RL007W</v>
      </c>
      <c r="E135" s="1" t="str">
        <f t="array" aca="1" ref="E135" ca="1">IFERROR(
INDEX(Family_Map!$B$2:$B$35,
_xludf.AGGREGATE(14,6,(ROW(Family_Map!$A$2:$A$35)-ROW(Family_Map!$A$2)+1)/(ISNUMBER(SEARCH(Family_Map!$A$2:$A$35,D135))),1)
),
"Other")</f>
        <v>Other</v>
      </c>
      <c r="F135" s="1" t="s">
        <v>655</v>
      </c>
      <c r="G135" s="1" t="e">
        <f t="shared" ca="1" si="2"/>
        <v>#NAME?</v>
      </c>
      <c r="H135" s="1" t="str">
        <f t="shared" ca="1" si="12"/>
        <v>Other</v>
      </c>
      <c r="I135" s="1" t="s">
        <v>70</v>
      </c>
      <c r="J135" s="1" t="str">
        <f t="shared" si="3"/>
        <v>6GB</v>
      </c>
      <c r="K135" s="1" t="s">
        <v>286</v>
      </c>
      <c r="L135" s="1">
        <f t="shared" si="4"/>
        <v>16</v>
      </c>
      <c r="M135" s="1" t="s">
        <v>295</v>
      </c>
      <c r="N135" s="1" t="str">
        <f t="shared" si="5"/>
        <v>512GB</v>
      </c>
      <c r="O135" s="1" t="str">
        <f t="shared" si="6"/>
        <v>512GB</v>
      </c>
      <c r="P135" s="1" t="s">
        <v>275</v>
      </c>
      <c r="Q135" s="1" t="str">
        <f t="shared" si="7"/>
        <v>1920x1200</v>
      </c>
      <c r="R135" s="1" t="s">
        <v>75</v>
      </c>
      <c r="S135" s="1" t="str">
        <f t="shared" si="8"/>
        <v>144Hz</v>
      </c>
      <c r="T135" s="1" t="s">
        <v>40</v>
      </c>
      <c r="U135" s="1" t="str">
        <f t="shared" si="9"/>
        <v>Windows 11 Home</v>
      </c>
      <c r="V135" s="1" t="s">
        <v>300</v>
      </c>
      <c r="W135" s="1" t="str">
        <f t="shared" si="10"/>
        <v>2.2 kg</v>
      </c>
      <c r="X135" s="1" t="s">
        <v>129</v>
      </c>
      <c r="Y135" s="1" t="str">
        <f t="shared" si="11"/>
        <v>1 Year</v>
      </c>
      <c r="Z135" s="4">
        <v>49999</v>
      </c>
      <c r="AA135" s="1" t="s">
        <v>79</v>
      </c>
    </row>
    <row r="136" spans="1:27" ht="15.75" customHeight="1" x14ac:dyDescent="0.35">
      <c r="A136" s="1" t="s">
        <v>234</v>
      </c>
      <c r="B136" s="1" t="str">
        <f t="shared" si="16"/>
        <v>ASUS</v>
      </c>
      <c r="C136" s="1" t="s">
        <v>964</v>
      </c>
      <c r="D136" s="1" t="str">
        <f t="shared" si="1"/>
        <v>TUF Gaming F16 FX607VJ-RL165W</v>
      </c>
      <c r="E136" s="1" t="str">
        <f t="array" aca="1" ref="E136" ca="1">IFERROR(
INDEX(Family_Map!$B$2:$B$35,
_xludf.AGGREGATE(14,6,(ROW(Family_Map!$A$2:$A$35)-ROW(Family_Map!$A$2)+1)/(ISNUMBER(SEARCH(Family_Map!$A$2:$A$35,D136))),1)
),
"Other")</f>
        <v>Other</v>
      </c>
      <c r="F136" s="1" t="s">
        <v>460</v>
      </c>
      <c r="G136" s="1" t="e">
        <f t="shared" ca="1" si="2"/>
        <v>#NAME?</v>
      </c>
      <c r="H136" s="1" t="str">
        <f t="shared" ca="1" si="12"/>
        <v>Other</v>
      </c>
      <c r="J136" s="1" t="str">
        <f t="shared" si="3"/>
        <v/>
      </c>
      <c r="K136" s="1" t="s">
        <v>965</v>
      </c>
      <c r="L136" s="1">
        <f t="shared" si="4"/>
        <v>16</v>
      </c>
      <c r="M136" s="1" t="s">
        <v>295</v>
      </c>
      <c r="N136" s="1" t="str">
        <f t="shared" si="5"/>
        <v>512GB</v>
      </c>
      <c r="O136" s="1" t="str">
        <f t="shared" si="6"/>
        <v>512GB</v>
      </c>
      <c r="P136" s="1" t="s">
        <v>275</v>
      </c>
      <c r="Q136" s="1" t="str">
        <f t="shared" si="7"/>
        <v>1920x1200</v>
      </c>
      <c r="R136" s="1" t="s">
        <v>75</v>
      </c>
      <c r="S136" s="1" t="str">
        <f t="shared" si="8"/>
        <v>144Hz</v>
      </c>
      <c r="T136" s="1" t="s">
        <v>40</v>
      </c>
      <c r="U136" s="1" t="str">
        <f t="shared" si="9"/>
        <v>Windows 11 Home</v>
      </c>
      <c r="V136" s="1" t="s">
        <v>300</v>
      </c>
      <c r="W136" s="1" t="str">
        <f t="shared" si="10"/>
        <v>2.2 kg</v>
      </c>
      <c r="X136" s="1" t="s">
        <v>129</v>
      </c>
      <c r="Y136" s="1" t="str">
        <f t="shared" si="11"/>
        <v>1 Year</v>
      </c>
      <c r="Z136" s="4">
        <v>42199</v>
      </c>
      <c r="AA136" s="1" t="s">
        <v>5735</v>
      </c>
    </row>
    <row r="137" spans="1:27" ht="15.75" customHeight="1" x14ac:dyDescent="0.35">
      <c r="A137" s="1" t="s">
        <v>234</v>
      </c>
      <c r="B137" s="1" t="str">
        <f t="shared" si="16"/>
        <v>ASUS</v>
      </c>
      <c r="C137" s="1" t="s">
        <v>967</v>
      </c>
      <c r="D137" s="1" t="str">
        <f t="shared" si="1"/>
        <v>ProArt P16 H7606WP-ME021X</v>
      </c>
      <c r="E137" s="1" t="str">
        <f t="array" aca="1" ref="E137" ca="1">IFERROR(
INDEX(Family_Map!$B$2:$B$35,
_xludf.AGGREGATE(14,6,(ROW(Family_Map!$A$2:$A$35)-ROW(Family_Map!$A$2)+1)/(ISNUMBER(SEARCH(Family_Map!$A$2:$A$35,D137))),1)
),
"Other")</f>
        <v>Other</v>
      </c>
      <c r="F137" s="1" t="s">
        <v>668</v>
      </c>
      <c r="G137" s="1" t="e">
        <f t="shared" ca="1" si="2"/>
        <v>#NAME?</v>
      </c>
      <c r="H137" s="1" t="str">
        <f t="shared" ca="1" si="12"/>
        <v>Other</v>
      </c>
      <c r="I137" s="1" t="s">
        <v>52</v>
      </c>
      <c r="J137" s="1" t="str">
        <f t="shared" si="3"/>
        <v>8GB</v>
      </c>
      <c r="K137" s="1" t="s">
        <v>968</v>
      </c>
      <c r="L137" s="1">
        <f t="shared" si="4"/>
        <v>64</v>
      </c>
      <c r="M137" s="1" t="s">
        <v>969</v>
      </c>
      <c r="N137" s="1" t="str">
        <f t="shared" si="5"/>
        <v>2TB</v>
      </c>
      <c r="O137" s="1" t="str">
        <f t="shared" si="6"/>
        <v>2048GB</v>
      </c>
      <c r="P137" s="1" t="s">
        <v>345</v>
      </c>
      <c r="Q137" s="1" t="str">
        <f t="shared" si="7"/>
        <v>3840x2400</v>
      </c>
      <c r="R137" s="1" t="s">
        <v>971</v>
      </c>
      <c r="S137" s="1" t="str">
        <f t="shared" si="8"/>
        <v>60Hz</v>
      </c>
      <c r="T137" s="1" t="s">
        <v>40</v>
      </c>
      <c r="U137" s="1" t="str">
        <f t="shared" si="9"/>
        <v>Windows 11 Home</v>
      </c>
      <c r="V137" s="1" t="s">
        <v>976</v>
      </c>
      <c r="W137" s="1" t="str">
        <f t="shared" si="10"/>
        <v>1.85 kg</v>
      </c>
      <c r="X137" s="1" t="s">
        <v>129</v>
      </c>
      <c r="Y137" s="1" t="str">
        <f t="shared" si="11"/>
        <v>1 Year</v>
      </c>
      <c r="Z137" s="4">
        <v>152000</v>
      </c>
      <c r="AA137" s="1" t="s">
        <v>5735</v>
      </c>
    </row>
    <row r="138" spans="1:27" ht="15.75" customHeight="1" x14ac:dyDescent="0.35">
      <c r="A138" s="1" t="s">
        <v>151</v>
      </c>
      <c r="B138" s="1" t="str">
        <f t="shared" si="16"/>
        <v>Lenovo</v>
      </c>
      <c r="C138" s="1" t="s">
        <v>152</v>
      </c>
      <c r="D138" s="1" t="str">
        <f t="shared" si="1"/>
        <v>LOQ 15IAX9E</v>
      </c>
      <c r="E138" s="1" t="str">
        <f t="array" aca="1" ref="E138" ca="1">IFERROR(
INDEX(Family_Map!$B$2:$B$35,
_xludf.AGGREGATE(14,6,(ROW(Family_Map!$A$2:$A$35)-ROW(Family_Map!$A$2)+1)/(ISNUMBER(SEARCH(Family_Map!$A$2:$A$35,D138))),1)
),
"Other")</f>
        <v>Other</v>
      </c>
      <c r="F138" s="1" t="s">
        <v>854</v>
      </c>
      <c r="G138" s="1" t="e">
        <f t="shared" ca="1" si="2"/>
        <v>#NAME?</v>
      </c>
      <c r="H138" s="1" t="str">
        <f t="shared" ca="1" si="12"/>
        <v>Other</v>
      </c>
      <c r="I138" s="1" t="s">
        <v>70</v>
      </c>
      <c r="J138" s="1" t="str">
        <f t="shared" si="3"/>
        <v>6GB</v>
      </c>
      <c r="K138" s="1" t="s">
        <v>155</v>
      </c>
      <c r="L138" s="1">
        <f t="shared" si="4"/>
        <v>16</v>
      </c>
      <c r="M138" s="1" t="s">
        <v>156</v>
      </c>
      <c r="N138" s="1" t="str">
        <f t="shared" si="5"/>
        <v>512GB</v>
      </c>
      <c r="O138" s="1" t="str">
        <f t="shared" si="6"/>
        <v>512GB</v>
      </c>
      <c r="P138" s="1" t="s">
        <v>120</v>
      </c>
      <c r="Q138" s="1" t="str">
        <f t="shared" si="7"/>
        <v>1920x1080</v>
      </c>
      <c r="R138" s="1" t="s">
        <v>75</v>
      </c>
      <c r="S138" s="1" t="str">
        <f t="shared" si="8"/>
        <v>144Hz</v>
      </c>
      <c r="T138" s="1" t="s">
        <v>101</v>
      </c>
      <c r="U138" s="1" t="str">
        <f t="shared" si="9"/>
        <v>DOS</v>
      </c>
      <c r="V138" s="1" t="s">
        <v>163</v>
      </c>
      <c r="W138" s="1" t="str">
        <f t="shared" si="10"/>
        <v>1.77 kg</v>
      </c>
      <c r="X138" s="1" t="s">
        <v>129</v>
      </c>
      <c r="Y138" s="1" t="str">
        <f t="shared" si="11"/>
        <v>1 Year</v>
      </c>
      <c r="Z138" s="4">
        <v>34999</v>
      </c>
      <c r="AA138" s="1" t="s">
        <v>166</v>
      </c>
    </row>
    <row r="139" spans="1:27" ht="15.75" customHeight="1" x14ac:dyDescent="0.35">
      <c r="A139" s="1" t="s">
        <v>234</v>
      </c>
      <c r="B139" s="1" t="str">
        <f t="shared" si="16"/>
        <v>ASUS</v>
      </c>
      <c r="C139" s="1" t="s">
        <v>981</v>
      </c>
      <c r="D139" s="1" t="str">
        <f t="shared" si="1"/>
        <v>Vivobook 16X K3605VC-RP005W</v>
      </c>
      <c r="E139" s="1" t="str">
        <f t="array" aca="1" ref="E139" ca="1">IFERROR(
INDEX(Family_Map!$B$2:$B$35,
_xludf.AGGREGATE(14,6,(ROW(Family_Map!$A$2:$A$35)-ROW(Family_Map!$A$2)+1)/(ISNUMBER(SEARCH(Family_Map!$A$2:$A$35,D139))),1)
),
"Other")</f>
        <v>Other</v>
      </c>
      <c r="F139" s="1" t="s">
        <v>687</v>
      </c>
      <c r="G139" s="1" t="e">
        <f t="shared" ca="1" si="2"/>
        <v>#NAME?</v>
      </c>
      <c r="H139" s="1" t="str">
        <f t="shared" ca="1" si="12"/>
        <v>Other</v>
      </c>
      <c r="I139" s="1" t="s">
        <v>507</v>
      </c>
      <c r="J139" s="1" t="str">
        <f t="shared" si="3"/>
        <v>4GB</v>
      </c>
      <c r="K139" s="1" t="s">
        <v>983</v>
      </c>
      <c r="L139" s="1">
        <f t="shared" si="4"/>
        <v>16</v>
      </c>
      <c r="M139" s="1" t="s">
        <v>629</v>
      </c>
      <c r="N139" s="1" t="str">
        <f t="shared" si="5"/>
        <v>512GB</v>
      </c>
      <c r="O139" s="1" t="str">
        <f t="shared" si="6"/>
        <v>512GB</v>
      </c>
      <c r="P139" s="1" t="s">
        <v>275</v>
      </c>
      <c r="Q139" s="1" t="str">
        <f t="shared" si="7"/>
        <v>1920x1200</v>
      </c>
      <c r="R139" s="1" t="s">
        <v>75</v>
      </c>
      <c r="S139" s="1" t="str">
        <f t="shared" si="8"/>
        <v>144Hz</v>
      </c>
      <c r="T139" s="1" t="s">
        <v>40</v>
      </c>
      <c r="U139" s="1" t="str">
        <f t="shared" si="9"/>
        <v>Windows 11 Home</v>
      </c>
      <c r="V139" s="1" t="s">
        <v>636</v>
      </c>
      <c r="W139" s="1" t="str">
        <f t="shared" si="10"/>
        <v>1.8 kg</v>
      </c>
      <c r="X139" s="1" t="s">
        <v>129</v>
      </c>
      <c r="Y139" s="1" t="str">
        <f t="shared" si="11"/>
        <v>1 Year</v>
      </c>
      <c r="Z139" s="4">
        <v>36666</v>
      </c>
      <c r="AA139" s="1" t="s">
        <v>79</v>
      </c>
    </row>
    <row r="140" spans="1:27" ht="15.75" customHeight="1" x14ac:dyDescent="0.35">
      <c r="A140" s="1" t="s">
        <v>112</v>
      </c>
      <c r="B140" s="1" t="str">
        <f t="shared" si="16"/>
        <v>HP</v>
      </c>
      <c r="C140" s="1" t="s">
        <v>988</v>
      </c>
      <c r="D140" s="1" t="str">
        <f t="shared" si="1"/>
        <v>Victus 15-FA1095NE</v>
      </c>
      <c r="E140" s="1" t="str">
        <f t="array" aca="1" ref="E140" ca="1">IFERROR(
INDEX(Family_Map!$B$2:$B$35,
_xludf.AGGREGATE(14,6,(ROW(Family_Map!$A$2:$A$35)-ROW(Family_Map!$A$2)+1)/(ISNUMBER(SEARCH(Family_Map!$A$2:$A$35,D140))),1)
),
"Other")</f>
        <v>Other</v>
      </c>
      <c r="F140" s="1" t="s">
        <v>687</v>
      </c>
      <c r="G140" s="1" t="e">
        <f t="shared" ca="1" si="2"/>
        <v>#NAME?</v>
      </c>
      <c r="H140" s="1" t="str">
        <f t="shared" ca="1" si="12"/>
        <v>Other</v>
      </c>
      <c r="I140" s="1" t="s">
        <v>439</v>
      </c>
      <c r="J140" s="1" t="str">
        <f t="shared" si="3"/>
        <v>4 GB</v>
      </c>
      <c r="K140" s="1" t="s">
        <v>363</v>
      </c>
      <c r="L140" s="1">
        <f t="shared" si="4"/>
        <v>8</v>
      </c>
      <c r="M140" s="1" t="s">
        <v>906</v>
      </c>
      <c r="N140" s="1" t="str">
        <f t="shared" si="5"/>
        <v>1 TB</v>
      </c>
      <c r="O140" s="1" t="str">
        <f t="shared" si="6"/>
        <v>1024GB</v>
      </c>
      <c r="P140" s="1" t="s">
        <v>120</v>
      </c>
      <c r="Q140" s="1" t="str">
        <f t="shared" si="7"/>
        <v>1920x1080</v>
      </c>
      <c r="S140" s="1" t="str">
        <f t="shared" si="8"/>
        <v/>
      </c>
      <c r="T140" s="1" t="s">
        <v>40</v>
      </c>
      <c r="U140" s="1" t="str">
        <f t="shared" si="9"/>
        <v>Windows 11 Home</v>
      </c>
      <c r="W140" s="1" t="str">
        <f t="shared" si="10"/>
        <v/>
      </c>
      <c r="X140" s="1" t="s">
        <v>129</v>
      </c>
      <c r="Y140" s="1" t="str">
        <f t="shared" si="11"/>
        <v>1 Year</v>
      </c>
      <c r="Z140" s="4">
        <v>29999</v>
      </c>
      <c r="AA140" s="1" t="s">
        <v>79</v>
      </c>
    </row>
    <row r="141" spans="1:27" ht="15.75" customHeight="1" x14ac:dyDescent="0.35">
      <c r="A141" s="1" t="s">
        <v>151</v>
      </c>
      <c r="B141" s="1" t="str">
        <f t="shared" si="16"/>
        <v>Lenovo</v>
      </c>
      <c r="C141" s="1" t="s">
        <v>847</v>
      </c>
      <c r="D141" s="1" t="str">
        <f t="shared" si="1"/>
        <v>LOQ 15IRX10</v>
      </c>
      <c r="E141" s="1" t="str">
        <f t="array" aca="1" ref="E141" ca="1">IFERROR(
INDEX(Family_Map!$B$2:$B$35,
_xludf.AGGREGATE(14,6,(ROW(Family_Map!$A$2:$A$35)-ROW(Family_Map!$A$2)+1)/(ISNUMBER(SEARCH(Family_Map!$A$2:$A$35,D141))),1)
),
"Other")</f>
        <v>Other</v>
      </c>
      <c r="F141" s="1" t="s">
        <v>539</v>
      </c>
      <c r="G141" s="1" t="e">
        <f t="shared" ca="1" si="2"/>
        <v>#NAME?</v>
      </c>
      <c r="H141" s="1" t="str">
        <f t="shared" ca="1" si="12"/>
        <v>Other</v>
      </c>
      <c r="I141" s="1" t="s">
        <v>52</v>
      </c>
      <c r="J141" s="1" t="str">
        <f t="shared" si="3"/>
        <v>8GB</v>
      </c>
      <c r="K141" s="1" t="s">
        <v>888</v>
      </c>
      <c r="L141" s="1">
        <f t="shared" si="4"/>
        <v>24</v>
      </c>
      <c r="M141" s="1" t="s">
        <v>156</v>
      </c>
      <c r="N141" s="1" t="str">
        <f t="shared" si="5"/>
        <v>512GB</v>
      </c>
      <c r="O141" s="1" t="str">
        <f t="shared" si="6"/>
        <v>512GB</v>
      </c>
      <c r="P141" s="1" t="s">
        <v>120</v>
      </c>
      <c r="Q141" s="1" t="str">
        <f t="shared" si="7"/>
        <v>1920x1080</v>
      </c>
      <c r="R141" s="1" t="s">
        <v>75</v>
      </c>
      <c r="S141" s="1" t="str">
        <f t="shared" si="8"/>
        <v>144Hz</v>
      </c>
      <c r="T141" s="1" t="s">
        <v>101</v>
      </c>
      <c r="U141" s="1" t="str">
        <f t="shared" si="9"/>
        <v>DOS</v>
      </c>
      <c r="V141" s="1" t="s">
        <v>63</v>
      </c>
      <c r="W141" s="1" t="str">
        <f t="shared" si="10"/>
        <v>2.4 kg</v>
      </c>
      <c r="X141" s="1" t="s">
        <v>165</v>
      </c>
      <c r="Y141" s="1" t="str">
        <f t="shared" si="11"/>
        <v>2 Years</v>
      </c>
      <c r="Z141" s="4">
        <v>58499</v>
      </c>
      <c r="AA141" s="1" t="s">
        <v>65</v>
      </c>
    </row>
    <row r="142" spans="1:27" ht="15.75" customHeight="1" x14ac:dyDescent="0.35">
      <c r="A142" s="1" t="s">
        <v>151</v>
      </c>
      <c r="B142" s="1" t="str">
        <f t="shared" si="16"/>
        <v>Lenovo</v>
      </c>
      <c r="C142" s="1" t="s">
        <v>847</v>
      </c>
      <c r="D142" s="1" t="str">
        <f t="shared" si="1"/>
        <v>LOQ 15IRX10</v>
      </c>
      <c r="E142" s="1" t="str">
        <f t="array" aca="1" ref="E142" ca="1">IFERROR(
INDEX(Family_Map!$B$2:$B$35,
_xludf.AGGREGATE(14,6,(ROW(Family_Map!$A$2:$A$35)-ROW(Family_Map!$A$2)+1)/(ISNUMBER(SEARCH(Family_Map!$A$2:$A$35,D142))),1)
),
"Other")</f>
        <v>Other</v>
      </c>
      <c r="F142" s="1" t="s">
        <v>539</v>
      </c>
      <c r="G142" s="1" t="e">
        <f t="shared" ca="1" si="2"/>
        <v>#NAME?</v>
      </c>
      <c r="H142" s="1" t="str">
        <f t="shared" ca="1" si="12"/>
        <v>Other</v>
      </c>
      <c r="I142" s="1" t="s">
        <v>52</v>
      </c>
      <c r="J142" s="1" t="str">
        <f t="shared" si="3"/>
        <v>8GB</v>
      </c>
      <c r="K142" s="1" t="s">
        <v>888</v>
      </c>
      <c r="L142" s="1">
        <f t="shared" si="4"/>
        <v>24</v>
      </c>
      <c r="M142" s="1" t="s">
        <v>156</v>
      </c>
      <c r="N142" s="1" t="str">
        <f t="shared" si="5"/>
        <v>512GB</v>
      </c>
      <c r="O142" s="1" t="str">
        <f t="shared" si="6"/>
        <v>512GB</v>
      </c>
      <c r="P142" s="1" t="s">
        <v>120</v>
      </c>
      <c r="Q142" s="1" t="str">
        <f t="shared" si="7"/>
        <v>1920x1080</v>
      </c>
      <c r="R142" s="1" t="s">
        <v>75</v>
      </c>
      <c r="S142" s="1" t="str">
        <f t="shared" si="8"/>
        <v>144Hz</v>
      </c>
      <c r="T142" s="1" t="s">
        <v>40</v>
      </c>
      <c r="U142" s="1" t="str">
        <f t="shared" si="9"/>
        <v>Windows 11 Home</v>
      </c>
      <c r="V142" s="1" t="s">
        <v>63</v>
      </c>
      <c r="W142" s="1" t="str">
        <f t="shared" si="10"/>
        <v>2.4 kg</v>
      </c>
      <c r="X142" s="1" t="s">
        <v>165</v>
      </c>
      <c r="Y142" s="1" t="str">
        <f t="shared" si="11"/>
        <v>2 Years</v>
      </c>
      <c r="Z142" s="4">
        <v>58888</v>
      </c>
      <c r="AA142" s="1" t="s">
        <v>65</v>
      </c>
    </row>
    <row r="143" spans="1:27" ht="15.75" customHeight="1" x14ac:dyDescent="0.35">
      <c r="A143" s="1" t="s">
        <v>112</v>
      </c>
      <c r="B143" s="1" t="str">
        <f t="shared" si="16"/>
        <v>HP</v>
      </c>
      <c r="C143" s="1" t="s">
        <v>995</v>
      </c>
      <c r="D143" s="1" t="str">
        <f t="shared" si="1"/>
        <v>Victus 15-FA1097NE</v>
      </c>
      <c r="E143" s="1" t="str">
        <f t="array" aca="1" ref="E143" ca="1">IFERROR(
INDEX(Family_Map!$B$2:$B$35,
_xludf.AGGREGATE(14,6,(ROW(Family_Map!$A$2:$A$35)-ROW(Family_Map!$A$2)+1)/(ISNUMBER(SEARCH(Family_Map!$A$2:$A$35,D143))),1)
),
"Other")</f>
        <v>Other</v>
      </c>
      <c r="F143" s="1" t="s">
        <v>693</v>
      </c>
      <c r="G143" s="1" t="e">
        <f t="shared" ca="1" si="2"/>
        <v>#NAME?</v>
      </c>
      <c r="H143" s="1" t="str">
        <f t="shared" ca="1" si="12"/>
        <v>Other</v>
      </c>
      <c r="I143" s="1" t="s">
        <v>362</v>
      </c>
      <c r="J143" s="1" t="str">
        <f t="shared" si="3"/>
        <v>6GB</v>
      </c>
      <c r="K143" s="1" t="s">
        <v>996</v>
      </c>
      <c r="L143" s="1">
        <f t="shared" si="4"/>
        <v>16</v>
      </c>
      <c r="M143" s="1" t="s">
        <v>118</v>
      </c>
      <c r="N143" s="1" t="str">
        <f t="shared" si="5"/>
        <v>512 GB</v>
      </c>
      <c r="O143" s="1" t="str">
        <f t="shared" si="6"/>
        <v>512 GB</v>
      </c>
      <c r="P143" s="1" t="s">
        <v>120</v>
      </c>
      <c r="Q143" s="1" t="str">
        <f t="shared" si="7"/>
        <v>1920x1080</v>
      </c>
      <c r="R143" s="1" t="s">
        <v>75</v>
      </c>
      <c r="S143" s="1" t="str">
        <f t="shared" si="8"/>
        <v>144Hz</v>
      </c>
      <c r="T143" s="1" t="s">
        <v>101</v>
      </c>
      <c r="U143" s="1" t="str">
        <f t="shared" si="9"/>
        <v>DOS</v>
      </c>
      <c r="V143" s="1" t="s">
        <v>127</v>
      </c>
      <c r="W143" s="1" t="str">
        <f t="shared" si="10"/>
        <v>2.29 kg</v>
      </c>
      <c r="X143" s="1" t="s">
        <v>129</v>
      </c>
      <c r="Y143" s="1" t="str">
        <f t="shared" si="11"/>
        <v>1 Year</v>
      </c>
      <c r="Z143" s="4">
        <v>46444</v>
      </c>
      <c r="AA143" s="1" t="s">
        <v>79</v>
      </c>
    </row>
    <row r="144" spans="1:27" ht="15.75" customHeight="1" x14ac:dyDescent="0.35">
      <c r="A144" s="1" t="s">
        <v>112</v>
      </c>
      <c r="B144" s="1" t="str">
        <f t="shared" si="16"/>
        <v>HP</v>
      </c>
      <c r="C144" s="1" t="s">
        <v>998</v>
      </c>
      <c r="D144" s="1" t="str">
        <f t="shared" si="1"/>
        <v>Victus 16-R0050NIA</v>
      </c>
      <c r="E144" s="1" t="str">
        <f t="array" aca="1" ref="E144" ca="1">IFERROR(
INDEX(Family_Map!$B$2:$B$35,
_xludf.AGGREGATE(14,6,(ROW(Family_Map!$A$2:$A$35)-ROW(Family_Map!$A$2)+1)/(ISNUMBER(SEARCH(Family_Map!$A$2:$A$35,D144))),1)
),
"Other")</f>
        <v>Other</v>
      </c>
      <c r="F144" s="1" t="s">
        <v>693</v>
      </c>
      <c r="G144" s="1" t="e">
        <f t="shared" ca="1" si="2"/>
        <v>#NAME?</v>
      </c>
      <c r="H144" s="1" t="str">
        <f t="shared" ca="1" si="12"/>
        <v>Other</v>
      </c>
      <c r="I144" s="1" t="s">
        <v>772</v>
      </c>
      <c r="J144" s="1" t="str">
        <f t="shared" si="3"/>
        <v>6 GB</v>
      </c>
      <c r="K144" s="1" t="s">
        <v>609</v>
      </c>
      <c r="L144" s="1">
        <f t="shared" si="4"/>
        <v>16</v>
      </c>
      <c r="M144" s="1" t="s">
        <v>171</v>
      </c>
      <c r="N144" s="1" t="str">
        <f t="shared" si="5"/>
        <v>1 TB</v>
      </c>
      <c r="O144" s="1" t="str">
        <f t="shared" si="6"/>
        <v>1024GB</v>
      </c>
      <c r="P144" s="1" t="s">
        <v>120</v>
      </c>
      <c r="Q144" s="1" t="str">
        <f t="shared" si="7"/>
        <v>1920x1080</v>
      </c>
      <c r="R144" s="1" t="s">
        <v>75</v>
      </c>
      <c r="S144" s="1" t="str">
        <f t="shared" si="8"/>
        <v>144Hz</v>
      </c>
      <c r="T144" s="1" t="s">
        <v>101</v>
      </c>
      <c r="U144" s="1" t="str">
        <f t="shared" si="9"/>
        <v>DOS</v>
      </c>
      <c r="V144" s="1" t="s">
        <v>267</v>
      </c>
      <c r="W144" s="1" t="str">
        <f t="shared" si="10"/>
        <v>2.33 kg</v>
      </c>
      <c r="X144" s="1" t="s">
        <v>129</v>
      </c>
      <c r="Y144" s="1" t="str">
        <f t="shared" si="11"/>
        <v>1 Year</v>
      </c>
      <c r="Z144" s="4">
        <v>48888</v>
      </c>
      <c r="AA144" s="1" t="s">
        <v>79</v>
      </c>
    </row>
    <row r="145" spans="1:27" ht="15.75" customHeight="1" x14ac:dyDescent="0.35">
      <c r="A145" s="1" t="s">
        <v>30</v>
      </c>
      <c r="B145" s="1" t="str">
        <f t="shared" si="16"/>
        <v>MSI</v>
      </c>
      <c r="C145" s="1" t="s">
        <v>497</v>
      </c>
      <c r="D145" s="1" t="str">
        <f t="shared" si="1"/>
        <v>Sword 16 HX B14VFKG</v>
      </c>
      <c r="E145" s="1" t="str">
        <f t="array" aca="1" ref="E145" ca="1">IFERROR(
INDEX(Family_Map!$B$2:$B$35,
_xludf.AGGREGATE(14,6,(ROW(Family_Map!$A$2:$A$35)-ROW(Family_Map!$A$2)+1)/(ISNUMBER(SEARCH(Family_Map!$A$2:$A$35,D145))),1)
),
"Other")</f>
        <v>Other</v>
      </c>
      <c r="F145" s="1" t="s">
        <v>429</v>
      </c>
      <c r="G145" s="1" t="e">
        <f t="shared" ca="1" si="2"/>
        <v>#NAME?</v>
      </c>
      <c r="H145" s="1" t="str">
        <f t="shared" ca="1" si="12"/>
        <v>Other</v>
      </c>
      <c r="I145" s="1" t="s">
        <v>410</v>
      </c>
      <c r="J145" s="1" t="str">
        <f t="shared" si="3"/>
        <v>8GB</v>
      </c>
      <c r="K145" s="1" t="s">
        <v>1003</v>
      </c>
      <c r="L145" s="1">
        <f t="shared" si="4"/>
        <v>16</v>
      </c>
      <c r="M145" s="1" t="s">
        <v>382</v>
      </c>
      <c r="N145" s="1" t="str">
        <f t="shared" si="5"/>
        <v>512GB</v>
      </c>
      <c r="O145" s="1" t="str">
        <f t="shared" si="6"/>
        <v>512GB</v>
      </c>
      <c r="P145" s="1" t="s">
        <v>275</v>
      </c>
      <c r="Q145" s="1" t="str">
        <f t="shared" si="7"/>
        <v>1920x1200</v>
      </c>
      <c r="R145" s="1" t="s">
        <v>75</v>
      </c>
      <c r="S145" s="1" t="str">
        <f t="shared" si="8"/>
        <v>144Hz</v>
      </c>
      <c r="T145" s="1" t="s">
        <v>201</v>
      </c>
      <c r="U145" s="1" t="str">
        <f t="shared" si="9"/>
        <v>Windows 11 Home</v>
      </c>
      <c r="V145" s="1" t="s">
        <v>503</v>
      </c>
      <c r="W145" s="1" t="str">
        <f t="shared" si="10"/>
        <v>2.3 kg</v>
      </c>
      <c r="X145" s="1" t="s">
        <v>165</v>
      </c>
      <c r="Y145" s="1" t="str">
        <f t="shared" si="11"/>
        <v>2 Years</v>
      </c>
      <c r="Z145" s="4">
        <v>62999</v>
      </c>
      <c r="AA145" s="1" t="s">
        <v>65</v>
      </c>
    </row>
    <row r="146" spans="1:27" ht="15.75" customHeight="1" x14ac:dyDescent="0.35">
      <c r="A146" s="1" t="s">
        <v>112</v>
      </c>
      <c r="B146" s="1" t="str">
        <f t="shared" si="16"/>
        <v>HP</v>
      </c>
      <c r="C146" s="1" t="s">
        <v>1005</v>
      </c>
      <c r="D146" s="1" t="str">
        <f t="shared" si="1"/>
        <v>Victus 15-FA1007NE</v>
      </c>
      <c r="E146" s="1" t="str">
        <f t="array" aca="1" ref="E146" ca="1">IFERROR(
INDEX(Family_Map!$B$2:$B$35,
_xludf.AGGREGATE(14,6,(ROW(Family_Map!$A$2:$A$35)-ROW(Family_Map!$A$2)+1)/(ISNUMBER(SEARCH(Family_Map!$A$2:$A$35,D146))),1)
),
"Other")</f>
        <v>Other</v>
      </c>
      <c r="F146" s="1" t="s">
        <v>693</v>
      </c>
      <c r="G146" s="1" t="e">
        <f t="shared" ca="1" si="2"/>
        <v>#NAME?</v>
      </c>
      <c r="H146" s="1" t="str">
        <f t="shared" ca="1" si="12"/>
        <v>Other</v>
      </c>
      <c r="I146" s="1" t="s">
        <v>772</v>
      </c>
      <c r="J146" s="1" t="str">
        <f t="shared" si="3"/>
        <v>6 GB</v>
      </c>
      <c r="K146" s="1" t="s">
        <v>665</v>
      </c>
      <c r="L146" s="1">
        <f t="shared" si="4"/>
        <v>16</v>
      </c>
      <c r="M146" s="1" t="s">
        <v>118</v>
      </c>
      <c r="N146" s="1" t="str">
        <f t="shared" si="5"/>
        <v>512 GB</v>
      </c>
      <c r="O146" s="1" t="str">
        <f t="shared" si="6"/>
        <v>512 GB</v>
      </c>
      <c r="P146" s="1" t="s">
        <v>120</v>
      </c>
      <c r="Q146" s="1" t="str">
        <f t="shared" si="7"/>
        <v>1920x1080</v>
      </c>
      <c r="R146" s="1" t="s">
        <v>75</v>
      </c>
      <c r="S146" s="1" t="str">
        <f t="shared" si="8"/>
        <v>144Hz</v>
      </c>
      <c r="T146" s="1" t="s">
        <v>90</v>
      </c>
      <c r="U146" s="1" t="str">
        <f t="shared" si="9"/>
        <v>Windows 11 Home</v>
      </c>
      <c r="V146" s="1" t="s">
        <v>127</v>
      </c>
      <c r="W146" s="1" t="str">
        <f t="shared" si="10"/>
        <v>2.29 kg</v>
      </c>
      <c r="X146" s="1" t="s">
        <v>129</v>
      </c>
      <c r="Y146" s="1" t="str">
        <f t="shared" si="11"/>
        <v>1 Year</v>
      </c>
      <c r="Z146" s="4">
        <v>44444</v>
      </c>
      <c r="AA146" s="1" t="s">
        <v>79</v>
      </c>
    </row>
    <row r="147" spans="1:27" ht="15.75" customHeight="1" x14ac:dyDescent="0.35">
      <c r="A147" s="1" t="s">
        <v>112</v>
      </c>
      <c r="B147" s="1" t="str">
        <f t="shared" si="16"/>
        <v>HP</v>
      </c>
      <c r="C147" s="1" t="s">
        <v>1007</v>
      </c>
      <c r="D147" s="1" t="str">
        <f t="shared" si="1"/>
        <v>Victus16-r1029nia</v>
      </c>
      <c r="E147" s="1" t="str">
        <f t="array" aca="1" ref="E147" ca="1">IFERROR(
INDEX(Family_Map!$B$2:$B$35,
_xludf.AGGREGATE(14,6,(ROW(Family_Map!$A$2:$A$35)-ROW(Family_Map!$A$2)+1)/(ISNUMBER(SEARCH(Family_Map!$A$2:$A$35,D147))),1)
),
"Other")</f>
        <v>Other</v>
      </c>
      <c r="F147" s="1" t="s">
        <v>170</v>
      </c>
      <c r="G147" s="1" t="e">
        <f t="shared" ca="1" si="2"/>
        <v>#NAME?</v>
      </c>
      <c r="H147" s="1" t="str">
        <f t="shared" ca="1" si="12"/>
        <v>Other</v>
      </c>
      <c r="I147" s="1" t="s">
        <v>116</v>
      </c>
      <c r="J147" s="1" t="str">
        <f t="shared" si="3"/>
        <v>6 GB</v>
      </c>
      <c r="K147" s="1" t="s">
        <v>135</v>
      </c>
      <c r="L147" s="1">
        <f t="shared" si="4"/>
        <v>16</v>
      </c>
      <c r="M147" s="1" t="s">
        <v>171</v>
      </c>
      <c r="N147" s="1" t="str">
        <f t="shared" si="5"/>
        <v>1 TB</v>
      </c>
      <c r="O147" s="1" t="str">
        <f t="shared" si="6"/>
        <v>1024GB</v>
      </c>
      <c r="Q147" s="1" t="str">
        <f t="shared" si="7"/>
        <v/>
      </c>
      <c r="S147" s="1" t="str">
        <f t="shared" si="8"/>
        <v/>
      </c>
      <c r="T147" s="1" t="s">
        <v>101</v>
      </c>
      <c r="U147" s="1" t="str">
        <f t="shared" si="9"/>
        <v>DOS</v>
      </c>
      <c r="V147" s="1" t="s">
        <v>142</v>
      </c>
      <c r="W147" s="1" t="str">
        <f t="shared" si="10"/>
        <v>2.31 kg</v>
      </c>
      <c r="X147" s="1" t="s">
        <v>78</v>
      </c>
      <c r="Y147" s="1" t="str">
        <f t="shared" si="11"/>
        <v>1 Year</v>
      </c>
      <c r="Z147" s="4">
        <v>38999</v>
      </c>
      <c r="AA147" s="1" t="s">
        <v>65</v>
      </c>
    </row>
    <row r="148" spans="1:27" ht="15.75" customHeight="1" x14ac:dyDescent="0.35">
      <c r="A148" s="1" t="s">
        <v>151</v>
      </c>
      <c r="B148" s="1" t="str">
        <f t="shared" si="16"/>
        <v>Lenovo</v>
      </c>
      <c r="C148" s="1" t="s">
        <v>389</v>
      </c>
      <c r="D148" s="1" t="str">
        <f t="shared" si="1"/>
        <v>LOQ 15ARP9</v>
      </c>
      <c r="E148" s="1" t="str">
        <f t="array" aca="1" ref="E148" ca="1">IFERROR(
INDEX(Family_Map!$B$2:$B$35,
_xludf.AGGREGATE(14,6,(ROW(Family_Map!$A$2:$A$35)-ROW(Family_Map!$A$2)+1)/(ISNUMBER(SEARCH(Family_Map!$A$2:$A$35,D148))),1)
),
"Other")</f>
        <v>Other</v>
      </c>
      <c r="F148" s="1" t="s">
        <v>1010</v>
      </c>
      <c r="G148" s="1" t="e">
        <f t="shared" ca="1" si="2"/>
        <v>#NAME?</v>
      </c>
      <c r="H148" s="1" t="str">
        <f t="shared" ca="1" si="12"/>
        <v>Other</v>
      </c>
      <c r="I148" s="1" t="s">
        <v>70</v>
      </c>
      <c r="J148" s="1" t="str">
        <f t="shared" si="3"/>
        <v>6GB</v>
      </c>
      <c r="K148" s="1" t="s">
        <v>392</v>
      </c>
      <c r="L148" s="1">
        <f t="shared" si="4"/>
        <v>12</v>
      </c>
      <c r="M148" s="1" t="s">
        <v>156</v>
      </c>
      <c r="N148" s="1" t="str">
        <f t="shared" si="5"/>
        <v>512GB</v>
      </c>
      <c r="O148" s="1" t="str">
        <f t="shared" si="6"/>
        <v>512GB</v>
      </c>
      <c r="P148" s="1" t="s">
        <v>120</v>
      </c>
      <c r="Q148" s="1" t="str">
        <f t="shared" si="7"/>
        <v>1920x1080</v>
      </c>
      <c r="R148" s="1" t="s">
        <v>75</v>
      </c>
      <c r="S148" s="1" t="str">
        <f t="shared" si="8"/>
        <v>144Hz</v>
      </c>
      <c r="T148" s="1" t="s">
        <v>201</v>
      </c>
      <c r="U148" s="1" t="str">
        <f t="shared" si="9"/>
        <v>Windows 11 Home</v>
      </c>
      <c r="V148" s="1" t="s">
        <v>398</v>
      </c>
      <c r="W148" s="1" t="str">
        <f t="shared" si="10"/>
        <v>2.38 kg</v>
      </c>
      <c r="X148" s="1" t="s">
        <v>78</v>
      </c>
      <c r="Y148" s="1" t="str">
        <f t="shared" si="11"/>
        <v>1 Year</v>
      </c>
      <c r="Z148" s="4">
        <v>31999</v>
      </c>
      <c r="AA148" s="1" t="s">
        <v>5735</v>
      </c>
    </row>
    <row r="149" spans="1:27" ht="15.75" customHeight="1" x14ac:dyDescent="0.35">
      <c r="A149" s="1" t="s">
        <v>151</v>
      </c>
      <c r="B149" s="1" t="str">
        <f t="shared" si="16"/>
        <v>Lenovo</v>
      </c>
      <c r="C149" s="1" t="s">
        <v>568</v>
      </c>
      <c r="D149" s="1" t="str">
        <f t="shared" si="1"/>
        <v>LOQ 15IRX9</v>
      </c>
      <c r="E149" s="1" t="str">
        <f t="array" aca="1" ref="E149" ca="1">IFERROR(
INDEX(Family_Map!$B$2:$B$35,
_xludf.AGGREGATE(14,6,(ROW(Family_Map!$A$2:$A$35)-ROW(Family_Map!$A$2)+1)/(ISNUMBER(SEARCH(Family_Map!$A$2:$A$35,D149))),1)
),
"Other")</f>
        <v>Other</v>
      </c>
      <c r="F149" s="1" t="s">
        <v>704</v>
      </c>
      <c r="G149" s="1" t="e">
        <f t="shared" ca="1" si="2"/>
        <v>#NAME?</v>
      </c>
      <c r="H149" s="1" t="str">
        <f t="shared" ca="1" si="12"/>
        <v>Other</v>
      </c>
      <c r="I149" s="1" t="s">
        <v>70</v>
      </c>
      <c r="J149" s="1" t="str">
        <f t="shared" si="3"/>
        <v>6GB</v>
      </c>
      <c r="K149" s="1" t="s">
        <v>888</v>
      </c>
      <c r="L149" s="1">
        <f t="shared" si="4"/>
        <v>24</v>
      </c>
      <c r="M149" s="1" t="s">
        <v>156</v>
      </c>
      <c r="N149" s="1" t="str">
        <f t="shared" si="5"/>
        <v>512GB</v>
      </c>
      <c r="O149" s="1" t="str">
        <f t="shared" si="6"/>
        <v>512GB</v>
      </c>
      <c r="P149" s="1" t="s">
        <v>120</v>
      </c>
      <c r="Q149" s="1" t="str">
        <f t="shared" si="7"/>
        <v>1920x1080</v>
      </c>
      <c r="R149" s="1" t="s">
        <v>75</v>
      </c>
      <c r="S149" s="1" t="str">
        <f t="shared" si="8"/>
        <v>144Hz</v>
      </c>
      <c r="T149" s="1" t="s">
        <v>101</v>
      </c>
      <c r="U149" s="1" t="str">
        <f t="shared" si="9"/>
        <v>DOS</v>
      </c>
      <c r="V149" s="1" t="s">
        <v>398</v>
      </c>
      <c r="W149" s="1" t="str">
        <f t="shared" si="10"/>
        <v>2.38 kg</v>
      </c>
      <c r="X149" s="1" t="s">
        <v>78</v>
      </c>
      <c r="Y149" s="1" t="str">
        <f t="shared" si="11"/>
        <v>1 Year</v>
      </c>
      <c r="Z149" s="4">
        <v>42999</v>
      </c>
      <c r="AA149" s="1" t="s">
        <v>79</v>
      </c>
    </row>
    <row r="150" spans="1:27" ht="15.75" customHeight="1" x14ac:dyDescent="0.35">
      <c r="A150" s="1" t="s">
        <v>234</v>
      </c>
      <c r="B150" s="1" t="str">
        <f t="shared" si="16"/>
        <v>ASUS</v>
      </c>
      <c r="C150" s="1" t="s">
        <v>1014</v>
      </c>
      <c r="D150" s="1" t="str">
        <f t="shared" si="1"/>
        <v>ROG Strix G16 G615LR-GR132W</v>
      </c>
      <c r="E150" s="1" t="str">
        <f t="array" aca="1" ref="E150" ca="1">IFERROR(
INDEX(Family_Map!$B$2:$B$35,
_xludf.AGGREGATE(14,6,(ROW(Family_Map!$A$2:$A$35)-ROW(Family_Map!$A$2)+1)/(ISNUMBER(SEARCH(Family_Map!$A$2:$A$35,D150))),1)
),
"Other")</f>
        <v>Other</v>
      </c>
      <c r="F150" s="1" t="s">
        <v>320</v>
      </c>
      <c r="G150" s="1" t="e">
        <f t="shared" ca="1" si="2"/>
        <v>#NAME?</v>
      </c>
      <c r="H150" s="1" t="str">
        <f t="shared" ca="1" si="12"/>
        <v>Other</v>
      </c>
      <c r="I150" s="1" t="s">
        <v>272</v>
      </c>
      <c r="J150" s="1" t="str">
        <f t="shared" si="3"/>
        <v>12GB</v>
      </c>
      <c r="K150" s="1" t="s">
        <v>483</v>
      </c>
      <c r="L150" s="1">
        <f t="shared" si="4"/>
        <v>32</v>
      </c>
      <c r="M150" s="1" t="s">
        <v>239</v>
      </c>
      <c r="N150" s="1" t="str">
        <f t="shared" si="5"/>
        <v>1TB</v>
      </c>
      <c r="O150" s="1" t="str">
        <f t="shared" si="6"/>
        <v>1024GB</v>
      </c>
      <c r="P150" s="1" t="s">
        <v>1015</v>
      </c>
      <c r="Q150" s="1" t="str">
        <f t="shared" si="7"/>
        <v>1920x1200</v>
      </c>
      <c r="R150" s="1" t="s">
        <v>57</v>
      </c>
      <c r="S150" s="1" t="str">
        <f t="shared" si="8"/>
        <v>165Hz</v>
      </c>
      <c r="T150" s="1" t="s">
        <v>90</v>
      </c>
      <c r="U150" s="1" t="str">
        <f t="shared" si="9"/>
        <v>Windows 11 Home</v>
      </c>
      <c r="V150" s="1" t="s">
        <v>487</v>
      </c>
      <c r="W150" s="1" t="str">
        <f t="shared" si="10"/>
        <v>2.65 kg</v>
      </c>
      <c r="X150" s="1" t="s">
        <v>78</v>
      </c>
      <c r="Y150" s="1" t="str">
        <f t="shared" si="11"/>
        <v>1 Year</v>
      </c>
      <c r="Z150" s="4">
        <v>134999</v>
      </c>
      <c r="AA150" s="1" t="s">
        <v>5735</v>
      </c>
    </row>
    <row r="151" spans="1:27" ht="15.75" customHeight="1" x14ac:dyDescent="0.35">
      <c r="A151" s="1" t="s">
        <v>234</v>
      </c>
      <c r="B151" s="1" t="str">
        <f t="shared" si="16"/>
        <v>ASUS</v>
      </c>
      <c r="C151" s="1" t="s">
        <v>1017</v>
      </c>
      <c r="D151" s="1" t="str">
        <f t="shared" si="1"/>
        <v>ROG Zephyrus G14 GA403WR-WH320W</v>
      </c>
      <c r="E151" s="1" t="str">
        <f t="array" aca="1" ref="E151" ca="1">IFERROR(
INDEX(Family_Map!$B$2:$B$35,
_xludf.AGGREGATE(14,6,(ROW(Family_Map!$A$2:$A$35)-ROW(Family_Map!$A$2)+1)/(ISNUMBER(SEARCH(Family_Map!$A$2:$A$35,D151))),1)
),
"Other")</f>
        <v>Other</v>
      </c>
      <c r="F151" s="1" t="s">
        <v>1018</v>
      </c>
      <c r="G151" s="1" t="e">
        <f t="shared" ca="1" si="2"/>
        <v>#NAME?</v>
      </c>
      <c r="H151" s="1" t="str">
        <f t="shared" ca="1" si="12"/>
        <v>Other</v>
      </c>
      <c r="I151" s="1" t="s">
        <v>272</v>
      </c>
      <c r="J151" s="1" t="str">
        <f t="shared" si="3"/>
        <v>12GB</v>
      </c>
      <c r="K151" s="1" t="s">
        <v>321</v>
      </c>
      <c r="L151" s="1">
        <f t="shared" si="4"/>
        <v>32</v>
      </c>
      <c r="M151" s="1" t="s">
        <v>239</v>
      </c>
      <c r="N151" s="1" t="str">
        <f t="shared" si="5"/>
        <v>1TB</v>
      </c>
      <c r="O151" s="1" t="str">
        <f t="shared" si="6"/>
        <v>1024GB</v>
      </c>
      <c r="P151" s="1" t="s">
        <v>1021</v>
      </c>
      <c r="Q151" s="1" t="str">
        <f t="shared" si="7"/>
        <v>2880x1800</v>
      </c>
      <c r="R151" s="1" t="s">
        <v>39</v>
      </c>
      <c r="S151" s="1" t="str">
        <f t="shared" si="8"/>
        <v>120Hz</v>
      </c>
      <c r="T151" s="1" t="s">
        <v>201</v>
      </c>
      <c r="U151" s="1" t="str">
        <f t="shared" si="9"/>
        <v>Windows 11 Home</v>
      </c>
      <c r="V151" s="1" t="s">
        <v>1025</v>
      </c>
      <c r="W151" s="1" t="str">
        <f t="shared" si="10"/>
        <v>1.57 kg</v>
      </c>
      <c r="X151" s="1" t="s">
        <v>78</v>
      </c>
      <c r="Y151" s="1" t="str">
        <f t="shared" si="11"/>
        <v>1 Year</v>
      </c>
      <c r="Z151" s="4">
        <v>129500</v>
      </c>
      <c r="AA151" s="1" t="s">
        <v>5735</v>
      </c>
    </row>
    <row r="152" spans="1:27" ht="15.75" customHeight="1" x14ac:dyDescent="0.35">
      <c r="A152" s="1" t="s">
        <v>234</v>
      </c>
      <c r="B152" s="1" t="str">
        <f t="shared" si="16"/>
        <v>ASUS</v>
      </c>
      <c r="C152" s="1" t="s">
        <v>1028</v>
      </c>
      <c r="D152" s="1" t="str">
        <f t="shared" si="1"/>
        <v>ROG Strix SCAR 18 G835LW-AI642W</v>
      </c>
      <c r="E152" s="1" t="str">
        <f t="array" aca="1" ref="E152" ca="1">IFERROR(
INDEX(Family_Map!$B$2:$B$35,
_xludf.AGGREGATE(14,6,(ROW(Family_Map!$A$2:$A$35)-ROW(Family_Map!$A$2)+1)/(ISNUMBER(SEARCH(Family_Map!$A$2:$A$35,D152))),1)
),
"Other")</f>
        <v>Other</v>
      </c>
      <c r="F152" s="1" t="s">
        <v>320</v>
      </c>
      <c r="G152" s="1" t="e">
        <f t="shared" ca="1" si="2"/>
        <v>#NAME?</v>
      </c>
      <c r="H152" s="1" t="str">
        <f t="shared" ca="1" si="12"/>
        <v>Other</v>
      </c>
      <c r="I152" s="1" t="s">
        <v>252</v>
      </c>
      <c r="J152" s="1" t="str">
        <f t="shared" si="3"/>
        <v>16GB</v>
      </c>
      <c r="K152" s="1" t="s">
        <v>1029</v>
      </c>
      <c r="L152" s="1">
        <f t="shared" si="4"/>
        <v>64</v>
      </c>
      <c r="M152" s="1" t="s">
        <v>576</v>
      </c>
      <c r="N152" s="1" t="str">
        <f t="shared" si="5"/>
        <v>2TB</v>
      </c>
      <c r="O152" s="1" t="str">
        <f t="shared" si="6"/>
        <v>2048GB</v>
      </c>
      <c r="P152" s="1" t="s">
        <v>89</v>
      </c>
      <c r="Q152" s="1" t="str">
        <f t="shared" si="7"/>
        <v>2560x1600</v>
      </c>
      <c r="R152" s="1" t="s">
        <v>256</v>
      </c>
      <c r="S152" s="1" t="str">
        <f t="shared" si="8"/>
        <v>240Hz</v>
      </c>
      <c r="T152" s="1" t="s">
        <v>40</v>
      </c>
      <c r="U152" s="1" t="str">
        <f t="shared" si="9"/>
        <v>Windows 11 Home</v>
      </c>
      <c r="V152" s="1" t="s">
        <v>477</v>
      </c>
      <c r="W152" s="1" t="str">
        <f t="shared" si="10"/>
        <v>3.3 kg</v>
      </c>
      <c r="X152" s="1" t="s">
        <v>129</v>
      </c>
      <c r="Y152" s="1" t="str">
        <f t="shared" si="11"/>
        <v>1 Year</v>
      </c>
      <c r="Z152" s="4">
        <v>204999</v>
      </c>
      <c r="AA152" s="1" t="s">
        <v>5735</v>
      </c>
    </row>
    <row r="153" spans="1:27" ht="15.75" customHeight="1" x14ac:dyDescent="0.35">
      <c r="A153" s="1" t="s">
        <v>234</v>
      </c>
      <c r="B153" s="1" t="str">
        <f t="shared" si="16"/>
        <v>ASUS</v>
      </c>
      <c r="C153" s="1" t="s">
        <v>1035</v>
      </c>
      <c r="D153" s="1" t="str">
        <f t="shared" si="1"/>
        <v>ROG Zephyrus G14 GA403WR-GR320W</v>
      </c>
      <c r="E153" s="1" t="str">
        <f t="array" aca="1" ref="E153" ca="1">IFERROR(
INDEX(Family_Map!$B$2:$B$35,
_xludf.AGGREGATE(14,6,(ROW(Family_Map!$A$2:$A$35)-ROW(Family_Map!$A$2)+1)/(ISNUMBER(SEARCH(Family_Map!$A$2:$A$35,D153))),1)
),
"Other")</f>
        <v>Other</v>
      </c>
      <c r="F153" s="1" t="s">
        <v>1018</v>
      </c>
      <c r="G153" s="1" t="e">
        <f t="shared" ca="1" si="2"/>
        <v>#NAME?</v>
      </c>
      <c r="H153" s="1" t="str">
        <f t="shared" ca="1" si="12"/>
        <v>Other</v>
      </c>
      <c r="I153" s="1" t="s">
        <v>272</v>
      </c>
      <c r="J153" s="1" t="str">
        <f t="shared" si="3"/>
        <v>12GB</v>
      </c>
      <c r="K153" s="1" t="s">
        <v>321</v>
      </c>
      <c r="L153" s="1">
        <f t="shared" si="4"/>
        <v>32</v>
      </c>
      <c r="M153" s="1" t="s">
        <v>239</v>
      </c>
      <c r="N153" s="1" t="str">
        <f t="shared" si="5"/>
        <v>1TB</v>
      </c>
      <c r="O153" s="1" t="str">
        <f t="shared" si="6"/>
        <v>1024GB</v>
      </c>
      <c r="P153" s="1" t="s">
        <v>1021</v>
      </c>
      <c r="Q153" s="1" t="str">
        <f t="shared" si="7"/>
        <v>2880x1800</v>
      </c>
      <c r="R153" s="1" t="s">
        <v>39</v>
      </c>
      <c r="S153" s="1" t="str">
        <f t="shared" si="8"/>
        <v>120Hz</v>
      </c>
      <c r="T153" s="1" t="s">
        <v>201</v>
      </c>
      <c r="U153" s="1" t="str">
        <f t="shared" si="9"/>
        <v>Windows 11 Home</v>
      </c>
      <c r="V153" s="1" t="s">
        <v>1025</v>
      </c>
      <c r="W153" s="1" t="str">
        <f t="shared" si="10"/>
        <v>1.57 kg</v>
      </c>
      <c r="X153" s="1" t="s">
        <v>78</v>
      </c>
      <c r="Y153" s="1" t="str">
        <f t="shared" si="11"/>
        <v>1 Year</v>
      </c>
      <c r="Z153" s="4">
        <v>129500</v>
      </c>
      <c r="AA153" s="1" t="s">
        <v>5735</v>
      </c>
    </row>
    <row r="154" spans="1:27" ht="15.75" customHeight="1" x14ac:dyDescent="0.35">
      <c r="A154" s="1" t="s">
        <v>234</v>
      </c>
      <c r="B154" s="1" t="str">
        <f t="shared" si="16"/>
        <v>ASUS</v>
      </c>
      <c r="C154" s="1" t="s">
        <v>1037</v>
      </c>
      <c r="D154" s="1" t="str">
        <f t="shared" si="1"/>
        <v>ROG Zephyrus G16 GU605CW-WH164W</v>
      </c>
      <c r="E154" s="1" t="str">
        <f t="array" aca="1" ref="E154" ca="1">IFERROR(
INDEX(Family_Map!$B$2:$B$35,
_xludf.AGGREGATE(14,6,(ROW(Family_Map!$A$2:$A$35)-ROW(Family_Map!$A$2)+1)/(ISNUMBER(SEARCH(Family_Map!$A$2:$A$35,D154))),1)
),
"Other")</f>
        <v>Other</v>
      </c>
      <c r="F154" s="1" t="s">
        <v>586</v>
      </c>
      <c r="G154" s="1" t="e">
        <f t="shared" ca="1" si="2"/>
        <v>#NAME?</v>
      </c>
      <c r="H154" s="1" t="str">
        <f t="shared" ca="1" si="12"/>
        <v>Other</v>
      </c>
      <c r="I154" s="1" t="s">
        <v>252</v>
      </c>
      <c r="J154" s="1" t="str">
        <f t="shared" si="3"/>
        <v>16GB</v>
      </c>
      <c r="K154" s="1" t="s">
        <v>968</v>
      </c>
      <c r="L154" s="1">
        <f t="shared" si="4"/>
        <v>64</v>
      </c>
      <c r="M154" s="1" t="s">
        <v>589</v>
      </c>
      <c r="N154" s="1" t="str">
        <f t="shared" si="5"/>
        <v>2TB</v>
      </c>
      <c r="O154" s="1" t="str">
        <f t="shared" si="6"/>
        <v>2048GB</v>
      </c>
      <c r="P154" s="1" t="s">
        <v>89</v>
      </c>
      <c r="Q154" s="1" t="str">
        <f t="shared" si="7"/>
        <v>2560x1600</v>
      </c>
      <c r="R154" s="1" t="s">
        <v>256</v>
      </c>
      <c r="S154" s="1" t="str">
        <f t="shared" si="8"/>
        <v>240Hz</v>
      </c>
      <c r="T154" s="1" t="s">
        <v>90</v>
      </c>
      <c r="U154" s="1" t="str">
        <f t="shared" si="9"/>
        <v>Windows 11 Home</v>
      </c>
      <c r="V154" s="1" t="s">
        <v>518</v>
      </c>
      <c r="W154" s="1" t="str">
        <f t="shared" si="10"/>
        <v>1.95 kg</v>
      </c>
      <c r="X154" s="1" t="s">
        <v>78</v>
      </c>
      <c r="Y154" s="1" t="str">
        <f t="shared" si="11"/>
        <v>1 Year</v>
      </c>
      <c r="Z154" s="4">
        <v>189999</v>
      </c>
      <c r="AA154" s="1" t="s">
        <v>5735</v>
      </c>
    </row>
    <row r="155" spans="1:27" ht="15.75" customHeight="1" x14ac:dyDescent="0.35">
      <c r="A155" s="1" t="s">
        <v>151</v>
      </c>
      <c r="B155" s="1" t="str">
        <f t="shared" si="16"/>
        <v>Lenovo</v>
      </c>
      <c r="C155" s="1" t="s">
        <v>505</v>
      </c>
      <c r="D155" s="1" t="str">
        <f t="shared" si="1"/>
        <v>LOQ 15IAX9</v>
      </c>
      <c r="E155" s="1" t="str">
        <f t="array" aca="1" ref="E155" ca="1">IFERROR(
INDEX(Family_Map!$B$2:$B$35,
_xludf.AGGREGATE(14,6,(ROW(Family_Map!$A$2:$A$35)-ROW(Family_Map!$A$2)+1)/(ISNUMBER(SEARCH(Family_Map!$A$2:$A$35,D155))),1)
),
"Other")</f>
        <v>Other</v>
      </c>
      <c r="F155" s="1" t="s">
        <v>1042</v>
      </c>
      <c r="G155" s="1" t="e">
        <f t="shared" ca="1" si="2"/>
        <v>#NAME?</v>
      </c>
      <c r="H155" s="1" t="str">
        <f t="shared" ca="1" si="12"/>
        <v>Other</v>
      </c>
      <c r="I155" s="1" t="s">
        <v>70</v>
      </c>
      <c r="J155" s="1" t="str">
        <f t="shared" si="3"/>
        <v>6GB</v>
      </c>
      <c r="K155" s="1" t="s">
        <v>392</v>
      </c>
      <c r="L155" s="1">
        <f t="shared" si="4"/>
        <v>12</v>
      </c>
      <c r="M155" s="1" t="s">
        <v>156</v>
      </c>
      <c r="N155" s="1" t="str">
        <f t="shared" si="5"/>
        <v>512GB</v>
      </c>
      <c r="O155" s="1" t="str">
        <f t="shared" si="6"/>
        <v>512GB</v>
      </c>
      <c r="P155" s="1" t="s">
        <v>74</v>
      </c>
      <c r="Q155" s="1" t="str">
        <f t="shared" si="7"/>
        <v>1920x1080</v>
      </c>
      <c r="R155" s="1" t="s">
        <v>75</v>
      </c>
      <c r="S155" s="1" t="str">
        <f t="shared" si="8"/>
        <v>144Hz</v>
      </c>
      <c r="T155" s="1" t="s">
        <v>101</v>
      </c>
      <c r="U155" s="1" t="str">
        <f t="shared" si="9"/>
        <v>DOS</v>
      </c>
      <c r="V155" s="1" t="s">
        <v>398</v>
      </c>
      <c r="W155" s="1" t="str">
        <f t="shared" si="10"/>
        <v>2.38 kg</v>
      </c>
      <c r="X155" s="1" t="s">
        <v>165</v>
      </c>
      <c r="Y155" s="1" t="str">
        <f t="shared" si="11"/>
        <v>2 Years</v>
      </c>
      <c r="Z155" s="4">
        <v>35555</v>
      </c>
      <c r="AA155" s="1" t="s">
        <v>166</v>
      </c>
    </row>
    <row r="156" spans="1:27" ht="15.75" customHeight="1" x14ac:dyDescent="0.35">
      <c r="A156" s="1" t="s">
        <v>30</v>
      </c>
      <c r="B156" s="1" t="str">
        <f t="shared" si="16"/>
        <v>MSI</v>
      </c>
      <c r="C156" s="1" t="s">
        <v>1045</v>
      </c>
      <c r="D156" s="1" t="str">
        <f t="shared" si="1"/>
        <v>Vector 16 HX A13VHG</v>
      </c>
      <c r="E156" s="1" t="str">
        <f t="array" aca="1" ref="E156" ca="1">IFERROR(
INDEX(Family_Map!$B$2:$B$35,
_xludf.AGGREGATE(14,6,(ROW(Family_Map!$A$2:$A$35)-ROW(Family_Map!$A$2)+1)/(ISNUMBER(SEARCH(Family_Map!$A$2:$A$35,D156))),1)
),
"Other")</f>
        <v>Other</v>
      </c>
      <c r="F156" s="1" t="s">
        <v>1046</v>
      </c>
      <c r="G156" s="1" t="e">
        <f t="shared" ca="1" si="2"/>
        <v>#NAME?</v>
      </c>
      <c r="H156" s="1" t="str">
        <f t="shared" ca="1" si="12"/>
        <v>Other</v>
      </c>
      <c r="I156" s="1" t="s">
        <v>1048</v>
      </c>
      <c r="J156" s="1" t="str">
        <f t="shared" si="3"/>
        <v>12GB</v>
      </c>
      <c r="K156" s="1" t="s">
        <v>491</v>
      </c>
      <c r="L156" s="1">
        <f t="shared" si="4"/>
        <v>16</v>
      </c>
      <c r="M156" s="1" t="s">
        <v>322</v>
      </c>
      <c r="N156" s="1" t="str">
        <f t="shared" si="5"/>
        <v>1TB</v>
      </c>
      <c r="O156" s="1" t="str">
        <f t="shared" si="6"/>
        <v>1024GB</v>
      </c>
      <c r="P156" s="1" t="s">
        <v>275</v>
      </c>
      <c r="Q156" s="1" t="str">
        <f t="shared" si="7"/>
        <v>1920x1200</v>
      </c>
      <c r="R156" s="1" t="s">
        <v>75</v>
      </c>
      <c r="S156" s="1" t="str">
        <f t="shared" si="8"/>
        <v>144Hz</v>
      </c>
      <c r="T156" s="1" t="s">
        <v>555</v>
      </c>
      <c r="U156" s="1" t="str">
        <f t="shared" si="9"/>
        <v>Windows 11 Home</v>
      </c>
      <c r="V156" s="1" t="s">
        <v>537</v>
      </c>
      <c r="W156" s="1" t="str">
        <f t="shared" si="10"/>
        <v>2.7 kg</v>
      </c>
      <c r="X156" s="1" t="s">
        <v>129</v>
      </c>
      <c r="Y156" s="1" t="str">
        <f t="shared" si="11"/>
        <v>1 Year</v>
      </c>
      <c r="Z156" s="4">
        <v>122222</v>
      </c>
      <c r="AA156" s="1" t="s">
        <v>79</v>
      </c>
    </row>
    <row r="157" spans="1:27" ht="15.75" customHeight="1" x14ac:dyDescent="0.35">
      <c r="A157" s="1" t="s">
        <v>112</v>
      </c>
      <c r="B157" s="1" t="str">
        <f t="shared" si="16"/>
        <v>HP</v>
      </c>
      <c r="C157" s="1" t="s">
        <v>1052</v>
      </c>
      <c r="D157" s="1" t="str">
        <f t="shared" si="1"/>
        <v>Victus 16-R0328TX</v>
      </c>
      <c r="E157" s="1" t="str">
        <f t="array" aca="1" ref="E157" ca="1">IFERROR(
INDEX(Family_Map!$B$2:$B$35,
_xludf.AGGREGATE(14,6,(ROW(Family_Map!$A$2:$A$35)-ROW(Family_Map!$A$2)+1)/(ISNUMBER(SEARCH(Family_Map!$A$2:$A$35,D157))),1)
),
"Other")</f>
        <v>Other</v>
      </c>
      <c r="F157" s="1" t="s">
        <v>1053</v>
      </c>
      <c r="G157" s="1" t="e">
        <f t="shared" ca="1" si="2"/>
        <v>#NAME?</v>
      </c>
      <c r="H157" s="1" t="str">
        <f t="shared" ca="1" si="12"/>
        <v>Other</v>
      </c>
      <c r="I157" s="1" t="s">
        <v>410</v>
      </c>
      <c r="J157" s="1" t="str">
        <f t="shared" si="3"/>
        <v>8GB</v>
      </c>
      <c r="K157" s="1" t="s">
        <v>1054</v>
      </c>
      <c r="L157" s="1">
        <f t="shared" si="4"/>
        <v>16</v>
      </c>
      <c r="M157" s="1" t="s">
        <v>118</v>
      </c>
      <c r="N157" s="1" t="str">
        <f t="shared" si="5"/>
        <v>512 GB</v>
      </c>
      <c r="O157" s="1" t="str">
        <f t="shared" si="6"/>
        <v>512 GB</v>
      </c>
      <c r="P157" s="1" t="s">
        <v>120</v>
      </c>
      <c r="Q157" s="1" t="str">
        <f t="shared" si="7"/>
        <v>1920x1080</v>
      </c>
      <c r="R157" s="1" t="s">
        <v>75</v>
      </c>
      <c r="S157" s="1" t="str">
        <f t="shared" si="8"/>
        <v>144Hz</v>
      </c>
      <c r="T157" s="1" t="s">
        <v>101</v>
      </c>
      <c r="U157" s="1" t="str">
        <f t="shared" si="9"/>
        <v>DOS</v>
      </c>
      <c r="V157" s="1" t="s">
        <v>142</v>
      </c>
      <c r="W157" s="1" t="str">
        <f t="shared" si="10"/>
        <v>2.31 kg</v>
      </c>
      <c r="X157" s="1" t="s">
        <v>129</v>
      </c>
      <c r="Y157" s="1" t="str">
        <f t="shared" si="11"/>
        <v>1 Year</v>
      </c>
      <c r="Z157" s="4">
        <v>52499</v>
      </c>
      <c r="AA157" s="1" t="s">
        <v>79</v>
      </c>
    </row>
    <row r="158" spans="1:27" ht="15.75" customHeight="1" x14ac:dyDescent="0.35">
      <c r="A158" s="1" t="s">
        <v>81</v>
      </c>
      <c r="B158" s="1" t="str">
        <f t="shared" si="16"/>
        <v>Dell</v>
      </c>
      <c r="C158" s="1" t="s">
        <v>414</v>
      </c>
      <c r="D158" s="1" t="str">
        <f t="shared" si="1"/>
        <v>G15 5530</v>
      </c>
      <c r="E158" s="1" t="str">
        <f t="array" aca="1" ref="E158" ca="1">IFERROR(
INDEX(Family_Map!$B$2:$B$35,
_xludf.AGGREGATE(14,6,(ROW(Family_Map!$A$2:$A$35)-ROW(Family_Map!$A$2)+1)/(ISNUMBER(SEARCH(Family_Map!$A$2:$A$35,D158))),1)
),
"Other")</f>
        <v>Other</v>
      </c>
      <c r="F158" s="1" t="s">
        <v>1058</v>
      </c>
      <c r="G158" s="1" t="e">
        <f t="shared" ca="1" si="2"/>
        <v>#NAME?</v>
      </c>
      <c r="H158" s="1" t="str">
        <f t="shared" ca="1" si="12"/>
        <v>Other</v>
      </c>
      <c r="I158" s="1" t="s">
        <v>410</v>
      </c>
      <c r="J158" s="1" t="str">
        <f t="shared" si="3"/>
        <v>8GB</v>
      </c>
      <c r="K158" s="1" t="s">
        <v>1059</v>
      </c>
      <c r="L158" s="1">
        <f t="shared" si="4"/>
        <v>32</v>
      </c>
      <c r="M158" s="1" t="s">
        <v>1060</v>
      </c>
      <c r="N158" s="1" t="str">
        <f t="shared" si="5"/>
        <v>1TB</v>
      </c>
      <c r="O158" s="1" t="str">
        <f t="shared" si="6"/>
        <v>1024GB</v>
      </c>
      <c r="P158" s="1" t="s">
        <v>120</v>
      </c>
      <c r="Q158" s="1" t="str">
        <f t="shared" si="7"/>
        <v>1920x1080</v>
      </c>
      <c r="R158" s="1" t="s">
        <v>57</v>
      </c>
      <c r="S158" s="1" t="str">
        <f t="shared" si="8"/>
        <v>165Hz</v>
      </c>
      <c r="T158" s="1" t="s">
        <v>40</v>
      </c>
      <c r="U158" s="1" t="str">
        <f t="shared" si="9"/>
        <v>Windows 11 Home</v>
      </c>
      <c r="V158" s="1" t="s">
        <v>423</v>
      </c>
      <c r="W158" s="1" t="str">
        <f t="shared" si="10"/>
        <v>2.81 kg</v>
      </c>
      <c r="X158" s="1" t="s">
        <v>129</v>
      </c>
      <c r="Y158" s="1" t="str">
        <f t="shared" si="11"/>
        <v>1 Year</v>
      </c>
      <c r="Z158" s="4">
        <v>83999</v>
      </c>
      <c r="AA158" s="1" t="s">
        <v>79</v>
      </c>
    </row>
    <row r="159" spans="1:27" ht="15.75" customHeight="1" x14ac:dyDescent="0.35">
      <c r="A159" s="1" t="s">
        <v>112</v>
      </c>
      <c r="B159" s="1" t="str">
        <f t="shared" si="16"/>
        <v>HP</v>
      </c>
      <c r="C159" s="1" t="s">
        <v>1065</v>
      </c>
      <c r="D159" s="1" t="str">
        <f t="shared" si="1"/>
        <v>Victus 16-R0049NIA</v>
      </c>
      <c r="E159" s="1" t="str">
        <f t="array" aca="1" ref="E159" ca="1">IFERROR(
INDEX(Family_Map!$B$2:$B$35,
_xludf.AGGREGATE(14,6,(ROW(Family_Map!$A$2:$A$35)-ROW(Family_Map!$A$2)+1)/(ISNUMBER(SEARCH(Family_Map!$A$2:$A$35,D159))),1)
),
"Other")</f>
        <v>Other</v>
      </c>
      <c r="F159" s="1" t="s">
        <v>693</v>
      </c>
      <c r="G159" s="1" t="e">
        <f t="shared" ca="1" si="2"/>
        <v>#NAME?</v>
      </c>
      <c r="H159" s="1" t="str">
        <f t="shared" ca="1" si="12"/>
        <v>Other</v>
      </c>
      <c r="I159" s="1" t="s">
        <v>362</v>
      </c>
      <c r="J159" s="1" t="str">
        <f t="shared" si="3"/>
        <v>6GB</v>
      </c>
      <c r="K159" s="1" t="s">
        <v>609</v>
      </c>
      <c r="L159" s="1">
        <f t="shared" si="4"/>
        <v>16</v>
      </c>
      <c r="M159" s="1" t="s">
        <v>171</v>
      </c>
      <c r="N159" s="1" t="str">
        <f t="shared" si="5"/>
        <v>1 TB</v>
      </c>
      <c r="O159" s="1" t="str">
        <f t="shared" si="6"/>
        <v>1024GB</v>
      </c>
      <c r="P159" s="1" t="s">
        <v>120</v>
      </c>
      <c r="Q159" s="1" t="str">
        <f t="shared" si="7"/>
        <v>1920x1080</v>
      </c>
      <c r="R159" s="1" t="s">
        <v>75</v>
      </c>
      <c r="S159" s="1" t="str">
        <f t="shared" si="8"/>
        <v>144Hz</v>
      </c>
      <c r="T159" s="1" t="s">
        <v>101</v>
      </c>
      <c r="U159" s="1" t="str">
        <f t="shared" si="9"/>
        <v>DOS</v>
      </c>
      <c r="V159" s="1" t="s">
        <v>267</v>
      </c>
      <c r="W159" s="1" t="str">
        <f t="shared" si="10"/>
        <v>2.33 kg</v>
      </c>
      <c r="X159" s="1" t="s">
        <v>129</v>
      </c>
      <c r="Y159" s="1" t="str">
        <f t="shared" si="11"/>
        <v>1 Year</v>
      </c>
      <c r="Z159" s="4">
        <v>47999</v>
      </c>
      <c r="AA159" s="1" t="s">
        <v>79</v>
      </c>
    </row>
    <row r="160" spans="1:27" ht="15.75" customHeight="1" x14ac:dyDescent="0.35">
      <c r="A160" s="1" t="s">
        <v>81</v>
      </c>
      <c r="B160" s="1" t="str">
        <f t="shared" si="16"/>
        <v>Dell</v>
      </c>
      <c r="C160" s="1" t="s">
        <v>414</v>
      </c>
      <c r="D160" s="1" t="str">
        <f t="shared" si="1"/>
        <v>G15 5530</v>
      </c>
      <c r="E160" s="1" t="str">
        <f t="array" aca="1" ref="E160" ca="1">IFERROR(
INDEX(Family_Map!$B$2:$B$35,
_xludf.AGGREGATE(14,6,(ROW(Family_Map!$A$2:$A$35)-ROW(Family_Map!$A$2)+1)/(ISNUMBER(SEARCH(Family_Map!$A$2:$A$35,D160))),1)
),
"Other")</f>
        <v>Other</v>
      </c>
      <c r="F160" s="1" t="s">
        <v>711</v>
      </c>
      <c r="G160" s="1" t="e">
        <f t="shared" ca="1" si="2"/>
        <v>#NAME?</v>
      </c>
      <c r="H160" s="1" t="str">
        <f t="shared" ca="1" si="12"/>
        <v>Other</v>
      </c>
      <c r="I160" s="1" t="s">
        <v>410</v>
      </c>
      <c r="J160" s="1" t="str">
        <f t="shared" si="3"/>
        <v>8GB</v>
      </c>
      <c r="K160" s="1" t="s">
        <v>792</v>
      </c>
      <c r="L160" s="1">
        <f t="shared" si="4"/>
        <v>16</v>
      </c>
      <c r="M160" s="1" t="s">
        <v>1060</v>
      </c>
      <c r="N160" s="1" t="str">
        <f t="shared" si="5"/>
        <v>1TB</v>
      </c>
      <c r="O160" s="1" t="str">
        <f t="shared" si="6"/>
        <v>1024GB</v>
      </c>
      <c r="P160" s="1" t="s">
        <v>120</v>
      </c>
      <c r="Q160" s="1" t="str">
        <f t="shared" si="7"/>
        <v>1920x1080</v>
      </c>
      <c r="R160" s="1" t="s">
        <v>57</v>
      </c>
      <c r="S160" s="1" t="str">
        <f t="shared" si="8"/>
        <v>165Hz</v>
      </c>
      <c r="T160" s="1" t="s">
        <v>101</v>
      </c>
      <c r="U160" s="1" t="str">
        <f t="shared" si="9"/>
        <v>DOS</v>
      </c>
      <c r="V160" s="1" t="s">
        <v>423</v>
      </c>
      <c r="W160" s="1" t="str">
        <f t="shared" si="10"/>
        <v>2.81 kg</v>
      </c>
      <c r="X160" s="1" t="s">
        <v>425</v>
      </c>
      <c r="Y160" s="1" t="str">
        <f t="shared" si="11"/>
        <v>3 Years</v>
      </c>
      <c r="Z160" s="4">
        <v>63599</v>
      </c>
      <c r="AA160" s="1" t="s">
        <v>79</v>
      </c>
    </row>
    <row r="161" spans="1:27" ht="15.75" customHeight="1" x14ac:dyDescent="0.35">
      <c r="A161" s="1" t="s">
        <v>112</v>
      </c>
      <c r="B161" s="1" t="str">
        <f t="shared" si="16"/>
        <v>HP</v>
      </c>
      <c r="C161" s="1" t="s">
        <v>1067</v>
      </c>
      <c r="D161" s="1" t="str">
        <f t="shared" si="1"/>
        <v>Victus 16-R0022NE</v>
      </c>
      <c r="E161" s="1" t="str">
        <f t="array" aca="1" ref="E161" ca="1">IFERROR(
INDEX(Family_Map!$B$2:$B$35,
_xludf.AGGREGATE(14,6,(ROW(Family_Map!$A$2:$A$35)-ROW(Family_Map!$A$2)+1)/(ISNUMBER(SEARCH(Family_Map!$A$2:$A$35,D161))),1)
),
"Other")</f>
        <v>Other</v>
      </c>
      <c r="F161" s="1" t="s">
        <v>361</v>
      </c>
      <c r="G161" s="1" t="e">
        <f t="shared" ca="1" si="2"/>
        <v>#NAME?</v>
      </c>
      <c r="H161" s="1" t="str">
        <f t="shared" ca="1" si="12"/>
        <v>Other</v>
      </c>
      <c r="I161" s="1" t="s">
        <v>362</v>
      </c>
      <c r="J161" s="1" t="str">
        <f t="shared" si="3"/>
        <v>6GB</v>
      </c>
      <c r="K161" s="1" t="s">
        <v>1068</v>
      </c>
      <c r="L161" s="1">
        <f t="shared" si="4"/>
        <v>16</v>
      </c>
      <c r="M161" s="1" t="s">
        <v>118</v>
      </c>
      <c r="N161" s="1" t="str">
        <f t="shared" si="5"/>
        <v>512 GB</v>
      </c>
      <c r="O161" s="1" t="str">
        <f t="shared" si="6"/>
        <v>512 GB</v>
      </c>
      <c r="P161" s="1" t="s">
        <v>120</v>
      </c>
      <c r="Q161" s="1" t="str">
        <f t="shared" si="7"/>
        <v>1920x1080</v>
      </c>
      <c r="R161" s="1" t="s">
        <v>75</v>
      </c>
      <c r="S161" s="1" t="str">
        <f t="shared" si="8"/>
        <v>144Hz</v>
      </c>
      <c r="T161" s="1" t="s">
        <v>101</v>
      </c>
      <c r="U161" s="1" t="str">
        <f t="shared" si="9"/>
        <v>DOS</v>
      </c>
      <c r="W161" s="1" t="str">
        <f t="shared" si="10"/>
        <v/>
      </c>
      <c r="X161" s="1" t="s">
        <v>78</v>
      </c>
      <c r="Y161" s="1" t="str">
        <f t="shared" si="11"/>
        <v>1 Year</v>
      </c>
      <c r="Z161" s="4">
        <v>41199</v>
      </c>
      <c r="AA161" s="1" t="s">
        <v>79</v>
      </c>
    </row>
    <row r="162" spans="1:27" ht="15.75" customHeight="1" x14ac:dyDescent="0.35">
      <c r="A162" s="1" t="s">
        <v>112</v>
      </c>
      <c r="B162" s="1" t="str">
        <f t="shared" si="16"/>
        <v>HP</v>
      </c>
      <c r="C162" s="1" t="s">
        <v>1072</v>
      </c>
      <c r="D162" s="1" t="str">
        <f t="shared" si="1"/>
        <v>Victus 15-FA1006NE</v>
      </c>
      <c r="E162" s="1" t="str">
        <f t="array" aca="1" ref="E162" ca="1">IFERROR(
INDEX(Family_Map!$B$2:$B$35,
_xludf.AGGREGATE(14,6,(ROW(Family_Map!$A$2:$A$35)-ROW(Family_Map!$A$2)+1)/(ISNUMBER(SEARCH(Family_Map!$A$2:$A$35,D162))),1)
),
"Other")</f>
        <v>Other</v>
      </c>
      <c r="F162" s="1" t="s">
        <v>693</v>
      </c>
      <c r="G162" s="1" t="e">
        <f t="shared" ca="1" si="2"/>
        <v>#NAME?</v>
      </c>
      <c r="H162" s="1" t="str">
        <f t="shared" ca="1" si="12"/>
        <v>Other</v>
      </c>
      <c r="I162" s="1" t="s">
        <v>70</v>
      </c>
      <c r="J162" s="1" t="str">
        <f t="shared" si="3"/>
        <v>6GB</v>
      </c>
      <c r="K162" s="1" t="s">
        <v>665</v>
      </c>
      <c r="L162" s="1">
        <f t="shared" si="4"/>
        <v>16</v>
      </c>
      <c r="M162" s="1" t="s">
        <v>118</v>
      </c>
      <c r="N162" s="1" t="str">
        <f t="shared" si="5"/>
        <v>512 GB</v>
      </c>
      <c r="O162" s="1" t="str">
        <f t="shared" si="6"/>
        <v>512 GB</v>
      </c>
      <c r="P162" s="1" t="s">
        <v>120</v>
      </c>
      <c r="Q162" s="1" t="str">
        <f t="shared" si="7"/>
        <v>1920x1080</v>
      </c>
      <c r="R162" s="1" t="s">
        <v>75</v>
      </c>
      <c r="S162" s="1" t="str">
        <f t="shared" si="8"/>
        <v>144Hz</v>
      </c>
      <c r="T162" s="1" t="s">
        <v>90</v>
      </c>
      <c r="U162" s="1" t="str">
        <f t="shared" si="9"/>
        <v>Windows 11 Home</v>
      </c>
      <c r="V162" s="1" t="s">
        <v>127</v>
      </c>
      <c r="W162" s="1" t="str">
        <f t="shared" si="10"/>
        <v>2.29 kg</v>
      </c>
      <c r="X162" s="1" t="s">
        <v>78</v>
      </c>
      <c r="Y162" s="1" t="str">
        <f t="shared" si="11"/>
        <v>1 Year</v>
      </c>
      <c r="Z162" s="4">
        <v>44444</v>
      </c>
      <c r="AA162" s="1" t="s">
        <v>79</v>
      </c>
    </row>
    <row r="163" spans="1:27" ht="15.75" customHeight="1" x14ac:dyDescent="0.35">
      <c r="A163" s="1" t="s">
        <v>151</v>
      </c>
      <c r="B163" s="1" t="str">
        <f t="shared" si="16"/>
        <v>Lenovo</v>
      </c>
      <c r="C163" s="1" t="s">
        <v>1074</v>
      </c>
      <c r="D163" s="1" t="str">
        <f t="shared" si="1"/>
        <v>Legion 5 15ITH6H</v>
      </c>
      <c r="E163" s="1" t="str">
        <f t="array" aca="1" ref="E163" ca="1">IFERROR(
INDEX(Family_Map!$B$2:$B$35,
_xludf.AGGREGATE(14,6,(ROW(Family_Map!$A$2:$A$35)-ROW(Family_Map!$A$2)+1)/(ISNUMBER(SEARCH(Family_Map!$A$2:$A$35,D163))),1)
),
"Other")</f>
        <v>Other</v>
      </c>
      <c r="F163" s="1" t="s">
        <v>1075</v>
      </c>
      <c r="G163" s="1" t="e">
        <f t="shared" ca="1" si="2"/>
        <v>#NAME?</v>
      </c>
      <c r="H163" s="1" t="str">
        <f t="shared" ca="1" si="12"/>
        <v>Other</v>
      </c>
      <c r="I163" s="1" t="s">
        <v>410</v>
      </c>
      <c r="J163" s="1" t="str">
        <f t="shared" si="3"/>
        <v>8GB</v>
      </c>
      <c r="K163" s="1" t="s">
        <v>1077</v>
      </c>
      <c r="L163" s="1">
        <f t="shared" si="4"/>
        <v>16</v>
      </c>
      <c r="M163" s="1" t="s">
        <v>796</v>
      </c>
      <c r="N163" s="1" t="str">
        <f t="shared" si="5"/>
        <v>1TB</v>
      </c>
      <c r="O163" s="1" t="str">
        <f t="shared" si="6"/>
        <v>1024GB</v>
      </c>
      <c r="P163" s="1" t="s">
        <v>120</v>
      </c>
      <c r="Q163" s="1" t="str">
        <f t="shared" si="7"/>
        <v>1920x1080</v>
      </c>
      <c r="R163" s="1" t="s">
        <v>57</v>
      </c>
      <c r="S163" s="1" t="str">
        <f t="shared" si="8"/>
        <v>165Hz</v>
      </c>
      <c r="T163" s="1" t="s">
        <v>90</v>
      </c>
      <c r="U163" s="1" t="str">
        <f t="shared" si="9"/>
        <v>Windows 11 Home</v>
      </c>
      <c r="V163" s="1" t="s">
        <v>63</v>
      </c>
      <c r="W163" s="1" t="str">
        <f t="shared" si="10"/>
        <v>2.4 kg</v>
      </c>
      <c r="X163" s="1" t="s">
        <v>78</v>
      </c>
      <c r="Y163" s="1" t="str">
        <f t="shared" si="11"/>
        <v>1 Year</v>
      </c>
      <c r="Z163" s="4">
        <v>57777</v>
      </c>
      <c r="AA163" s="1" t="s">
        <v>1082</v>
      </c>
    </row>
    <row r="164" spans="1:27" ht="15.75" customHeight="1" x14ac:dyDescent="0.35">
      <c r="A164" s="1" t="s">
        <v>151</v>
      </c>
      <c r="B164" s="1" t="str">
        <f t="shared" si="16"/>
        <v>Lenovo</v>
      </c>
      <c r="C164" s="1" t="s">
        <v>1085</v>
      </c>
      <c r="D164" s="1" t="str">
        <f t="shared" si="1"/>
        <v>Legion Pro 5 16IRX8</v>
      </c>
      <c r="E164" s="1" t="str">
        <f t="array" aca="1" ref="E164" ca="1">IFERROR(
INDEX(Family_Map!$B$2:$B$35,
_xludf.AGGREGATE(14,6,(ROW(Family_Map!$A$2:$A$35)-ROW(Family_Map!$A$2)+1)/(ISNUMBER(SEARCH(Family_Map!$A$2:$A$35,D164))),1)
),
"Other")</f>
        <v>Other</v>
      </c>
      <c r="F164" s="1" t="s">
        <v>1086</v>
      </c>
      <c r="G164" s="1" t="e">
        <f t="shared" ca="1" si="2"/>
        <v>#NAME?</v>
      </c>
      <c r="H164" s="1" t="str">
        <f t="shared" ca="1" si="12"/>
        <v>Other</v>
      </c>
      <c r="I164" s="1" t="s">
        <v>70</v>
      </c>
      <c r="J164" s="1" t="str">
        <f t="shared" si="3"/>
        <v>6GB</v>
      </c>
      <c r="K164" s="1" t="s">
        <v>614</v>
      </c>
      <c r="L164" s="1">
        <f t="shared" si="4"/>
        <v>16</v>
      </c>
      <c r="M164" s="1" t="s">
        <v>1087</v>
      </c>
      <c r="N164" s="1" t="str">
        <f t="shared" si="5"/>
        <v>512GB</v>
      </c>
      <c r="O164" s="1" t="str">
        <f t="shared" si="6"/>
        <v>512GB</v>
      </c>
      <c r="P164" s="1" t="s">
        <v>89</v>
      </c>
      <c r="Q164" s="1" t="str">
        <f t="shared" si="7"/>
        <v>2560x1600</v>
      </c>
      <c r="R164" s="1" t="s">
        <v>57</v>
      </c>
      <c r="S164" s="1" t="str">
        <f t="shared" si="8"/>
        <v>165Hz</v>
      </c>
      <c r="T164" s="1" t="s">
        <v>101</v>
      </c>
      <c r="U164" s="1" t="str">
        <f t="shared" si="9"/>
        <v>DOS</v>
      </c>
      <c r="V164" s="1" t="s">
        <v>1091</v>
      </c>
      <c r="W164" s="1" t="str">
        <f t="shared" si="10"/>
        <v>2.55 kg</v>
      </c>
      <c r="X164" s="1" t="s">
        <v>78</v>
      </c>
      <c r="Y164" s="1" t="str">
        <f t="shared" si="11"/>
        <v>1 Year</v>
      </c>
      <c r="Z164" s="4">
        <v>72999</v>
      </c>
      <c r="AA164" s="1" t="s">
        <v>79</v>
      </c>
    </row>
    <row r="165" spans="1:27" ht="15.75" customHeight="1" x14ac:dyDescent="0.35">
      <c r="A165" s="1" t="s">
        <v>151</v>
      </c>
      <c r="B165" s="1" t="str">
        <f t="shared" si="16"/>
        <v>Lenovo</v>
      </c>
      <c r="C165" s="1" t="s">
        <v>1094</v>
      </c>
      <c r="D165" s="1" t="str">
        <f t="shared" si="1"/>
        <v>IdeaPad Pro 5 16IMH9</v>
      </c>
      <c r="E165" s="1" t="str">
        <f t="array" aca="1" ref="E165" ca="1">IFERROR(
INDEX(Family_Map!$B$2:$B$35,
_xludf.AGGREGATE(14,6,(ROW(Family_Map!$A$2:$A$35)-ROW(Family_Map!$A$2)+1)/(ISNUMBER(SEARCH(Family_Map!$A$2:$A$35,D165))),1)
),
"Other")</f>
        <v>Other</v>
      </c>
      <c r="F165" s="1" t="s">
        <v>1095</v>
      </c>
      <c r="G165" s="1" t="e">
        <f t="shared" ca="1" si="2"/>
        <v>#NAME?</v>
      </c>
      <c r="H165" s="1" t="str">
        <f t="shared" ca="1" si="12"/>
        <v>Other</v>
      </c>
      <c r="I165" s="1" t="s">
        <v>70</v>
      </c>
      <c r="J165" s="1" t="str">
        <f t="shared" si="3"/>
        <v>6GB</v>
      </c>
      <c r="K165" s="1" t="s">
        <v>1096</v>
      </c>
      <c r="L165" s="1">
        <f t="shared" si="4"/>
        <v>16</v>
      </c>
      <c r="M165" s="1" t="s">
        <v>156</v>
      </c>
      <c r="N165" s="1" t="str">
        <f t="shared" si="5"/>
        <v>512GB</v>
      </c>
      <c r="O165" s="1" t="str">
        <f t="shared" si="6"/>
        <v>512GB</v>
      </c>
      <c r="P165" s="1" t="s">
        <v>1098</v>
      </c>
      <c r="Q165" s="1" t="str">
        <f t="shared" si="7"/>
        <v>2048x1280</v>
      </c>
      <c r="R165" s="1" t="s">
        <v>39</v>
      </c>
      <c r="S165" s="1" t="str">
        <f t="shared" si="8"/>
        <v>120Hz</v>
      </c>
      <c r="T165" s="1" t="s">
        <v>90</v>
      </c>
      <c r="U165" s="1" t="str">
        <f t="shared" si="9"/>
        <v>Windows 11 Home</v>
      </c>
      <c r="V165" s="1" t="s">
        <v>1104</v>
      </c>
      <c r="W165" s="1" t="str">
        <f t="shared" si="10"/>
        <v>1.94 kg</v>
      </c>
      <c r="X165" s="1" t="s">
        <v>78</v>
      </c>
      <c r="Y165" s="1" t="str">
        <f t="shared" si="11"/>
        <v>1 Year</v>
      </c>
      <c r="Z165" s="4">
        <v>66666</v>
      </c>
      <c r="AA165" s="1" t="s">
        <v>5735</v>
      </c>
    </row>
    <row r="166" spans="1:27" ht="15.75" customHeight="1" x14ac:dyDescent="0.35">
      <c r="A166" s="1" t="s">
        <v>151</v>
      </c>
      <c r="B166" s="1" t="str">
        <f t="shared" si="16"/>
        <v>Lenovo</v>
      </c>
      <c r="C166" s="1" t="s">
        <v>1108</v>
      </c>
      <c r="D166" s="1" t="str">
        <f t="shared" si="1"/>
        <v>Legion 5 15ACH6A</v>
      </c>
      <c r="E166" s="1" t="str">
        <f t="array" aca="1" ref="E166" ca="1">IFERROR(
INDEX(Family_Map!$B$2:$B$35,
_xludf.AGGREGATE(14,6,(ROW(Family_Map!$A$2:$A$35)-ROW(Family_Map!$A$2)+1)/(ISNUMBER(SEARCH(Family_Map!$A$2:$A$35,D166))),1)
),
"Other")</f>
        <v>Other</v>
      </c>
      <c r="F166" s="1" t="s">
        <v>827</v>
      </c>
      <c r="G166" s="1" t="e">
        <f t="shared" ca="1" si="2"/>
        <v>#NAME?</v>
      </c>
      <c r="H166" s="1" t="str">
        <f t="shared" ca="1" si="12"/>
        <v>Other</v>
      </c>
      <c r="I166" s="1" t="s">
        <v>410</v>
      </c>
      <c r="J166" s="1" t="str">
        <f t="shared" si="3"/>
        <v>8GB</v>
      </c>
      <c r="K166" s="1" t="s">
        <v>1077</v>
      </c>
      <c r="L166" s="1">
        <f t="shared" si="4"/>
        <v>16</v>
      </c>
      <c r="M166" s="1" t="s">
        <v>1110</v>
      </c>
      <c r="N166" s="1" t="str">
        <f t="shared" si="5"/>
        <v>1TB</v>
      </c>
      <c r="O166" s="1" t="str">
        <f t="shared" si="6"/>
        <v>1024GB</v>
      </c>
      <c r="P166" s="1" t="s">
        <v>120</v>
      </c>
      <c r="Q166" s="1" t="str">
        <f t="shared" si="7"/>
        <v>1920x1080</v>
      </c>
      <c r="R166" s="1" t="s">
        <v>57</v>
      </c>
      <c r="S166" s="1" t="str">
        <f t="shared" si="8"/>
        <v>165Hz</v>
      </c>
      <c r="T166" s="1" t="s">
        <v>101</v>
      </c>
      <c r="U166" s="1" t="str">
        <f t="shared" si="9"/>
        <v>DOS</v>
      </c>
      <c r="V166" s="1" t="s">
        <v>63</v>
      </c>
      <c r="W166" s="1" t="str">
        <f t="shared" si="10"/>
        <v>2.4 kg</v>
      </c>
      <c r="X166" s="1" t="s">
        <v>78</v>
      </c>
      <c r="Y166" s="1" t="str">
        <f t="shared" si="11"/>
        <v>1 Year</v>
      </c>
      <c r="Z166" s="4">
        <v>45499</v>
      </c>
      <c r="AA166" s="1" t="s">
        <v>5735</v>
      </c>
    </row>
    <row r="167" spans="1:27" ht="15.75" customHeight="1" x14ac:dyDescent="0.35">
      <c r="A167" s="1" t="s">
        <v>234</v>
      </c>
      <c r="B167" s="1" t="str">
        <f t="shared" si="16"/>
        <v>ASUS</v>
      </c>
      <c r="C167" s="1" t="s">
        <v>1116</v>
      </c>
      <c r="D167" s="1" t="str">
        <f t="shared" si="1"/>
        <v>TUF Gaming F16 FX607VU-RL165W</v>
      </c>
      <c r="E167" s="1" t="str">
        <f t="array" aca="1" ref="E167" ca="1">IFERROR(
INDEX(Family_Map!$B$2:$B$35,
_xludf.AGGREGATE(14,6,(ROW(Family_Map!$A$2:$A$35)-ROW(Family_Map!$A$2)+1)/(ISNUMBER(SEARCH(Family_Map!$A$2:$A$35,D167))),1)
),
"Other")</f>
        <v>Other</v>
      </c>
      <c r="F167" s="1" t="s">
        <v>460</v>
      </c>
      <c r="G167" s="1" t="e">
        <f t="shared" ca="1" si="2"/>
        <v>#NAME?</v>
      </c>
      <c r="H167" s="1" t="str">
        <f t="shared" ca="1" si="12"/>
        <v>Other</v>
      </c>
      <c r="I167" s="1" t="s">
        <v>70</v>
      </c>
      <c r="J167" s="1" t="str">
        <f t="shared" si="3"/>
        <v>6GB</v>
      </c>
      <c r="K167" s="1" t="s">
        <v>491</v>
      </c>
      <c r="L167" s="1">
        <f t="shared" si="4"/>
        <v>16</v>
      </c>
      <c r="M167" s="1" t="s">
        <v>295</v>
      </c>
      <c r="N167" s="1" t="str">
        <f t="shared" si="5"/>
        <v>512GB</v>
      </c>
      <c r="O167" s="1" t="str">
        <f t="shared" si="6"/>
        <v>512GB</v>
      </c>
      <c r="P167" s="1" t="s">
        <v>275</v>
      </c>
      <c r="Q167" s="1" t="str">
        <f t="shared" si="7"/>
        <v>1920x1200</v>
      </c>
      <c r="R167" s="1" t="s">
        <v>75</v>
      </c>
      <c r="S167" s="1" t="str">
        <f t="shared" si="8"/>
        <v>144Hz</v>
      </c>
      <c r="T167" s="1" t="s">
        <v>90</v>
      </c>
      <c r="U167" s="1" t="str">
        <f t="shared" si="9"/>
        <v>Windows 11 Home</v>
      </c>
      <c r="V167" s="1" t="s">
        <v>300</v>
      </c>
      <c r="W167" s="1" t="str">
        <f t="shared" si="10"/>
        <v>2.2 kg</v>
      </c>
      <c r="X167" s="1" t="s">
        <v>78</v>
      </c>
      <c r="Y167" s="1" t="str">
        <f t="shared" si="11"/>
        <v>1 Year</v>
      </c>
      <c r="Z167" s="4">
        <v>41999</v>
      </c>
      <c r="AA167" s="1" t="s">
        <v>5735</v>
      </c>
    </row>
    <row r="168" spans="1:27" ht="15.75" customHeight="1" x14ac:dyDescent="0.35">
      <c r="A168" s="1" t="s">
        <v>234</v>
      </c>
      <c r="B168" s="1" t="str">
        <f t="shared" si="16"/>
        <v>ASUS</v>
      </c>
      <c r="C168" s="1" t="s">
        <v>1117</v>
      </c>
      <c r="D168" s="1" t="str">
        <f t="shared" si="1"/>
        <v>TUF Gaming F15 FX507ZI4-LP34W</v>
      </c>
      <c r="E168" s="1" t="str">
        <f t="array" aca="1" ref="E168" ca="1">IFERROR(
INDEX(Family_Map!$B$2:$B$35,
_xludf.AGGREGATE(14,6,(ROW(Family_Map!$A$2:$A$35)-ROW(Family_Map!$A$2)+1)/(ISNUMBER(SEARCH(Family_Map!$A$2:$A$35,D168))),1)
),
"Other")</f>
        <v>Other</v>
      </c>
      <c r="F168" s="1" t="s">
        <v>1118</v>
      </c>
      <c r="G168" s="1" t="e">
        <f t="shared" ca="1" si="2"/>
        <v>#NAME?</v>
      </c>
      <c r="H168" s="1" t="str">
        <f t="shared" ca="1" si="12"/>
        <v>Other</v>
      </c>
      <c r="I168" s="1" t="s">
        <v>410</v>
      </c>
      <c r="J168" s="1" t="str">
        <f t="shared" si="3"/>
        <v>8GB</v>
      </c>
      <c r="K168" s="1" t="s">
        <v>1119</v>
      </c>
      <c r="L168" s="1">
        <f t="shared" si="4"/>
        <v>16</v>
      </c>
      <c r="M168" s="1" t="s">
        <v>1120</v>
      </c>
      <c r="N168" s="1" t="str">
        <f t="shared" si="5"/>
        <v>512GB</v>
      </c>
      <c r="O168" s="1" t="str">
        <f t="shared" si="6"/>
        <v>512GB</v>
      </c>
      <c r="P168" s="1" t="s">
        <v>120</v>
      </c>
      <c r="Q168" s="1" t="str">
        <f t="shared" si="7"/>
        <v>1920x1080</v>
      </c>
      <c r="R168" s="1" t="s">
        <v>75</v>
      </c>
      <c r="S168" s="1" t="str">
        <f t="shared" si="8"/>
        <v>144Hz</v>
      </c>
      <c r="T168" s="1" t="s">
        <v>90</v>
      </c>
      <c r="U168" s="1" t="str">
        <f t="shared" si="9"/>
        <v>Windows 11 Home</v>
      </c>
      <c r="W168" s="1" t="str">
        <f t="shared" si="10"/>
        <v/>
      </c>
      <c r="X168" s="1" t="s">
        <v>78</v>
      </c>
      <c r="Y168" s="1" t="str">
        <f t="shared" si="11"/>
        <v>1 Year</v>
      </c>
      <c r="Z168" s="4">
        <v>58999</v>
      </c>
      <c r="AA168" s="1" t="s">
        <v>166</v>
      </c>
    </row>
    <row r="169" spans="1:27" ht="15.75" customHeight="1" x14ac:dyDescent="0.35">
      <c r="A169" s="1" t="s">
        <v>151</v>
      </c>
      <c r="B169" s="1" t="str">
        <f t="shared" si="16"/>
        <v>Lenovo</v>
      </c>
      <c r="C169" s="1" t="s">
        <v>1123</v>
      </c>
      <c r="D169" s="1" t="str">
        <f t="shared" si="1"/>
        <v>Legion 5 16IRX9</v>
      </c>
      <c r="E169" s="1" t="str">
        <f t="array" aca="1" ref="E169" ca="1">IFERROR(
INDEX(Family_Map!$B$2:$B$35,
_xludf.AGGREGATE(14,6,(ROW(Family_Map!$A$2:$A$35)-ROW(Family_Map!$A$2)+1)/(ISNUMBER(SEARCH(Family_Map!$A$2:$A$35,D169))),1)
),
"Other")</f>
        <v>Other</v>
      </c>
      <c r="F169" s="1" t="s">
        <v>490</v>
      </c>
      <c r="G169" s="1" t="e">
        <f t="shared" ca="1" si="2"/>
        <v>#NAME?</v>
      </c>
      <c r="H169" s="1" t="str">
        <f t="shared" ca="1" si="12"/>
        <v>Other</v>
      </c>
      <c r="I169" s="1" t="s">
        <v>410</v>
      </c>
      <c r="J169" s="1" t="str">
        <f t="shared" si="3"/>
        <v>8GB</v>
      </c>
      <c r="K169" s="1" t="s">
        <v>447</v>
      </c>
      <c r="L169" s="1">
        <f t="shared" si="4"/>
        <v>32</v>
      </c>
      <c r="M169" s="1" t="s">
        <v>796</v>
      </c>
      <c r="N169" s="1" t="str">
        <f t="shared" si="5"/>
        <v>1TB</v>
      </c>
      <c r="O169" s="1" t="str">
        <f t="shared" si="6"/>
        <v>1024GB</v>
      </c>
      <c r="P169" s="1" t="s">
        <v>89</v>
      </c>
      <c r="Q169" s="1" t="str">
        <f t="shared" si="7"/>
        <v>2560x1600</v>
      </c>
      <c r="R169" s="1" t="s">
        <v>57</v>
      </c>
      <c r="S169" s="1" t="str">
        <f t="shared" si="8"/>
        <v>165Hz</v>
      </c>
      <c r="T169" s="1" t="s">
        <v>90</v>
      </c>
      <c r="U169" s="1" t="str">
        <f t="shared" si="9"/>
        <v>Windows 11 Home</v>
      </c>
      <c r="V169" s="1" t="s">
        <v>1127</v>
      </c>
      <c r="W169" s="1" t="str">
        <f t="shared" si="10"/>
        <v>2.36 kg</v>
      </c>
      <c r="X169" s="1" t="s">
        <v>78</v>
      </c>
      <c r="Y169" s="1" t="str">
        <f t="shared" si="11"/>
        <v>1 Year</v>
      </c>
      <c r="Z169" s="4">
        <v>82499</v>
      </c>
      <c r="AA169" s="1" t="s">
        <v>65</v>
      </c>
    </row>
    <row r="170" spans="1:27" ht="15.75" customHeight="1" x14ac:dyDescent="0.35">
      <c r="A170" s="1" t="s">
        <v>30</v>
      </c>
      <c r="B170" s="1" t="str">
        <f t="shared" si="16"/>
        <v>MSI</v>
      </c>
      <c r="C170" s="1" t="s">
        <v>1129</v>
      </c>
      <c r="D170" s="1" t="str">
        <f t="shared" si="1"/>
        <v>Thin A15 B7UC</v>
      </c>
      <c r="E170" s="1" t="str">
        <f t="array" aca="1" ref="E170" ca="1">IFERROR(
INDEX(Family_Map!$B$2:$B$35,
_xludf.AGGREGATE(14,6,(ROW(Family_Map!$A$2:$A$35)-ROW(Family_Map!$A$2)+1)/(ISNUMBER(SEARCH(Family_Map!$A$2:$A$35,D170))),1)
),
"Other")</f>
        <v>Other</v>
      </c>
      <c r="F170" s="1" t="s">
        <v>643</v>
      </c>
      <c r="G170" s="1" t="e">
        <f t="shared" ca="1" si="2"/>
        <v>#NAME?</v>
      </c>
      <c r="H170" s="1" t="str">
        <f t="shared" ca="1" si="12"/>
        <v>Other</v>
      </c>
      <c r="I170" s="1" t="s">
        <v>507</v>
      </c>
      <c r="J170" s="1" t="str">
        <f t="shared" si="3"/>
        <v>4GB</v>
      </c>
      <c r="K170" s="1" t="s">
        <v>53</v>
      </c>
      <c r="L170" s="1">
        <f t="shared" si="4"/>
        <v>16</v>
      </c>
      <c r="M170" s="1" t="s">
        <v>644</v>
      </c>
      <c r="N170" s="1" t="str">
        <f t="shared" si="5"/>
        <v>512GB</v>
      </c>
      <c r="O170" s="1" t="str">
        <f t="shared" si="6"/>
        <v>512GB</v>
      </c>
      <c r="P170" s="1" t="s">
        <v>120</v>
      </c>
      <c r="Q170" s="1" t="str">
        <f t="shared" si="7"/>
        <v>1920x1080</v>
      </c>
      <c r="R170" s="1" t="s">
        <v>75</v>
      </c>
      <c r="S170" s="1" t="str">
        <f t="shared" si="8"/>
        <v>144Hz</v>
      </c>
      <c r="T170" s="1" t="s">
        <v>101</v>
      </c>
      <c r="U170" s="1" t="str">
        <f t="shared" si="9"/>
        <v>DOS</v>
      </c>
      <c r="V170" s="1" t="s">
        <v>376</v>
      </c>
      <c r="W170" s="1" t="str">
        <f t="shared" si="10"/>
        <v>1.86 kg</v>
      </c>
      <c r="X170" s="1" t="s">
        <v>165</v>
      </c>
      <c r="Y170" s="1" t="str">
        <f t="shared" si="11"/>
        <v>2 Years</v>
      </c>
      <c r="Z170" s="4">
        <v>36899</v>
      </c>
      <c r="AA170" s="1" t="s">
        <v>5735</v>
      </c>
    </row>
    <row r="171" spans="1:27" ht="15.75" customHeight="1" x14ac:dyDescent="0.35">
      <c r="A171" s="1" t="s">
        <v>30</v>
      </c>
      <c r="B171" s="1" t="str">
        <f t="shared" si="16"/>
        <v>MSI</v>
      </c>
      <c r="C171" s="1" t="s">
        <v>1131</v>
      </c>
      <c r="D171" s="1" t="str">
        <f t="shared" si="1"/>
        <v>Thin 15 A B7VE</v>
      </c>
      <c r="E171" s="1" t="str">
        <f t="array" aca="1" ref="E171" ca="1">IFERROR(
INDEX(Family_Map!$B$2:$B$35,
_xludf.AGGREGATE(14,6,(ROW(Family_Map!$A$2:$A$35)-ROW(Family_Map!$A$2)+1)/(ISNUMBER(SEARCH(Family_Map!$A$2:$A$35,D171))),1)
),
"Other")</f>
        <v>Other</v>
      </c>
      <c r="F171" s="1" t="s">
        <v>643</v>
      </c>
      <c r="G171" s="1" t="e">
        <f t="shared" ca="1" si="2"/>
        <v>#NAME?</v>
      </c>
      <c r="H171" s="1" t="str">
        <f t="shared" ca="1" si="12"/>
        <v>Other</v>
      </c>
      <c r="I171" s="1" t="s">
        <v>70</v>
      </c>
      <c r="J171" s="1" t="str">
        <f t="shared" si="3"/>
        <v>6GB</v>
      </c>
      <c r="K171" s="1" t="s">
        <v>53</v>
      </c>
      <c r="L171" s="1">
        <f t="shared" si="4"/>
        <v>16</v>
      </c>
      <c r="M171" s="1" t="s">
        <v>644</v>
      </c>
      <c r="N171" s="1" t="str">
        <f t="shared" si="5"/>
        <v>512GB</v>
      </c>
      <c r="O171" s="1" t="str">
        <f t="shared" si="6"/>
        <v>512GB</v>
      </c>
      <c r="P171" s="1" t="s">
        <v>120</v>
      </c>
      <c r="Q171" s="1" t="str">
        <f t="shared" si="7"/>
        <v>1920x1080</v>
      </c>
      <c r="R171" s="1" t="s">
        <v>75</v>
      </c>
      <c r="S171" s="1" t="str">
        <f t="shared" si="8"/>
        <v>144Hz</v>
      </c>
      <c r="T171" s="1" t="s">
        <v>101</v>
      </c>
      <c r="U171" s="1" t="str">
        <f t="shared" si="9"/>
        <v>DOS</v>
      </c>
      <c r="V171" s="1" t="s">
        <v>376</v>
      </c>
      <c r="W171" s="1" t="str">
        <f t="shared" si="10"/>
        <v>1.86 kg</v>
      </c>
      <c r="X171" s="1" t="s">
        <v>165</v>
      </c>
      <c r="Y171" s="1" t="str">
        <f t="shared" si="11"/>
        <v>2 Years</v>
      </c>
      <c r="Z171" s="4">
        <v>38339</v>
      </c>
      <c r="AA171" s="1" t="s">
        <v>5735</v>
      </c>
    </row>
    <row r="172" spans="1:27" ht="15.75" customHeight="1" x14ac:dyDescent="0.35">
      <c r="A172" s="1" t="s">
        <v>30</v>
      </c>
      <c r="B172" s="1" t="str">
        <f t="shared" si="16"/>
        <v>MSI</v>
      </c>
      <c r="C172" s="1" t="s">
        <v>1132</v>
      </c>
      <c r="D172" s="1" t="str">
        <f t="shared" si="1"/>
        <v>Thin 15 B12UCX</v>
      </c>
      <c r="E172" s="1" t="str">
        <f t="array" aca="1" ref="E172" ca="1">IFERROR(
INDEX(Family_Map!$B$2:$B$35,
_xludf.AGGREGATE(14,6,(ROW(Family_Map!$A$2:$A$35)-ROW(Family_Map!$A$2)+1)/(ISNUMBER(SEARCH(Family_Map!$A$2:$A$35,D172))),1)
),
"Other")</f>
        <v>Other</v>
      </c>
      <c r="F172" s="1" t="s">
        <v>1133</v>
      </c>
      <c r="G172" s="1" t="e">
        <f t="shared" ca="1" si="2"/>
        <v>#NAME?</v>
      </c>
      <c r="H172" s="1" t="str">
        <f t="shared" ca="1" si="12"/>
        <v>Other</v>
      </c>
      <c r="I172" s="1" t="s">
        <v>507</v>
      </c>
      <c r="J172" s="1" t="str">
        <f t="shared" si="3"/>
        <v>4GB</v>
      </c>
      <c r="K172" s="1" t="s">
        <v>1134</v>
      </c>
      <c r="L172" s="1">
        <f t="shared" si="4"/>
        <v>8</v>
      </c>
      <c r="M172" s="1" t="s">
        <v>1135</v>
      </c>
      <c r="N172" s="1" t="str">
        <f t="shared" si="5"/>
        <v>512GB</v>
      </c>
      <c r="O172" s="1" t="str">
        <f t="shared" si="6"/>
        <v>512GB</v>
      </c>
      <c r="P172" s="1" t="s">
        <v>74</v>
      </c>
      <c r="Q172" s="1" t="str">
        <f t="shared" si="7"/>
        <v>1920x1080</v>
      </c>
      <c r="R172" s="1" t="s">
        <v>75</v>
      </c>
      <c r="S172" s="1" t="str">
        <f t="shared" si="8"/>
        <v>144Hz</v>
      </c>
      <c r="T172" s="1" t="s">
        <v>101</v>
      </c>
      <c r="U172" s="1" t="str">
        <f t="shared" si="9"/>
        <v>DOS</v>
      </c>
      <c r="V172" s="1" t="s">
        <v>376</v>
      </c>
      <c r="W172" s="1" t="str">
        <f t="shared" si="10"/>
        <v>1.86 kg</v>
      </c>
      <c r="X172" s="1" t="s">
        <v>165</v>
      </c>
      <c r="Y172" s="1" t="str">
        <f t="shared" si="11"/>
        <v>2 Years</v>
      </c>
      <c r="Z172" s="4">
        <v>28449</v>
      </c>
      <c r="AA172" s="1" t="s">
        <v>166</v>
      </c>
    </row>
    <row r="173" spans="1:27" ht="15.75" customHeight="1" x14ac:dyDescent="0.35">
      <c r="A173" s="1" t="s">
        <v>30</v>
      </c>
      <c r="B173" s="1" t="str">
        <f t="shared" si="16"/>
        <v>MSI</v>
      </c>
      <c r="C173" s="1" t="s">
        <v>1137</v>
      </c>
      <c r="D173" s="1" t="str">
        <f t="shared" si="1"/>
        <v>Thin 15 B13VE</v>
      </c>
      <c r="E173" s="1" t="str">
        <f t="array" aca="1" ref="E173" ca="1">IFERROR(
INDEX(Family_Map!$B$2:$B$35,
_xludf.AGGREGATE(14,6,(ROW(Family_Map!$A$2:$A$35)-ROW(Family_Map!$A$2)+1)/(ISNUMBER(SEARCH(Family_Map!$A$2:$A$35,D173))),1)
),
"Other")</f>
        <v>Other</v>
      </c>
      <c r="F173" s="1" t="s">
        <v>114</v>
      </c>
      <c r="G173" s="1" t="e">
        <f t="shared" ca="1" si="2"/>
        <v>#NAME?</v>
      </c>
      <c r="H173" s="1" t="str">
        <f t="shared" ca="1" si="12"/>
        <v>Other</v>
      </c>
      <c r="I173" s="1" t="s">
        <v>70</v>
      </c>
      <c r="J173" s="1" t="str">
        <f t="shared" si="3"/>
        <v>6GB</v>
      </c>
      <c r="K173" s="1" t="s">
        <v>1138</v>
      </c>
      <c r="L173" s="1">
        <f t="shared" si="4"/>
        <v>16</v>
      </c>
      <c r="M173" s="1" t="s">
        <v>657</v>
      </c>
      <c r="N173" s="1" t="str">
        <f t="shared" si="5"/>
        <v>512GB</v>
      </c>
      <c r="O173" s="1" t="str">
        <f t="shared" si="6"/>
        <v>512GB</v>
      </c>
      <c r="P173" s="1" t="s">
        <v>74</v>
      </c>
      <c r="Q173" s="1" t="str">
        <f t="shared" si="7"/>
        <v>1920x1080</v>
      </c>
      <c r="R173" s="1" t="s">
        <v>75</v>
      </c>
      <c r="S173" s="1" t="str">
        <f t="shared" si="8"/>
        <v>144Hz</v>
      </c>
      <c r="T173" s="1" t="s">
        <v>101</v>
      </c>
      <c r="U173" s="1" t="str">
        <f t="shared" si="9"/>
        <v>DOS</v>
      </c>
      <c r="V173" s="1" t="s">
        <v>376</v>
      </c>
      <c r="W173" s="1" t="str">
        <f t="shared" si="10"/>
        <v>1.86 kg</v>
      </c>
      <c r="X173" s="1" t="s">
        <v>165</v>
      </c>
      <c r="Y173" s="1" t="str">
        <f t="shared" si="11"/>
        <v>2 Years</v>
      </c>
      <c r="Z173" s="4">
        <v>42999</v>
      </c>
      <c r="AA173" s="1" t="s">
        <v>79</v>
      </c>
    </row>
    <row r="174" spans="1:27" ht="15.75" customHeight="1" x14ac:dyDescent="0.35">
      <c r="A174" s="1" t="s">
        <v>112</v>
      </c>
      <c r="B174" s="1" t="str">
        <f t="shared" si="16"/>
        <v>HP</v>
      </c>
      <c r="C174" s="1" t="s">
        <v>1140</v>
      </c>
      <c r="D174" s="1" t="str">
        <f t="shared" si="1"/>
        <v>16-r0042ne</v>
      </c>
      <c r="E174" s="1" t="str">
        <f t="array" aca="1" ref="E174" ca="1">IFERROR(
INDEX(Family_Map!$B$2:$B$35,
_xludf.AGGREGATE(14,6,(ROW(Family_Map!$A$2:$A$35)-ROW(Family_Map!$A$2)+1)/(ISNUMBER(SEARCH(Family_Map!$A$2:$A$35,D174))),1)
),
"Other")</f>
        <v>Other</v>
      </c>
      <c r="F174" s="1" t="s">
        <v>402</v>
      </c>
      <c r="G174" s="1" t="e">
        <f t="shared" ca="1" si="2"/>
        <v>#NAME?</v>
      </c>
      <c r="H174" s="1" t="str">
        <f t="shared" ca="1" si="12"/>
        <v>Other</v>
      </c>
      <c r="I174" s="1" t="s">
        <v>540</v>
      </c>
      <c r="J174" s="1" t="str">
        <f t="shared" si="3"/>
        <v>8 GB</v>
      </c>
      <c r="K174" s="1" t="s">
        <v>1141</v>
      </c>
      <c r="L174" s="1">
        <f t="shared" si="4"/>
        <v>16</v>
      </c>
      <c r="M174" s="1" t="s">
        <v>171</v>
      </c>
      <c r="N174" s="1" t="str">
        <f t="shared" si="5"/>
        <v>1 TB</v>
      </c>
      <c r="O174" s="1" t="str">
        <f t="shared" si="6"/>
        <v>1024GB</v>
      </c>
      <c r="P174" s="1" t="s">
        <v>120</v>
      </c>
      <c r="Q174" s="1" t="str">
        <f t="shared" si="7"/>
        <v>1920x1080</v>
      </c>
      <c r="R174" s="1" t="s">
        <v>75</v>
      </c>
      <c r="S174" s="1" t="str">
        <f t="shared" si="8"/>
        <v>144Hz</v>
      </c>
      <c r="T174" s="1" t="s">
        <v>101</v>
      </c>
      <c r="U174" s="1" t="str">
        <f t="shared" si="9"/>
        <v>DOS</v>
      </c>
      <c r="V174" s="1" t="s">
        <v>267</v>
      </c>
      <c r="W174" s="1" t="str">
        <f t="shared" si="10"/>
        <v>2.33 kg</v>
      </c>
      <c r="X174" s="1" t="s">
        <v>78</v>
      </c>
      <c r="Y174" s="1" t="str">
        <f t="shared" si="11"/>
        <v>1 Year</v>
      </c>
      <c r="Z174" s="4">
        <v>51999</v>
      </c>
      <c r="AA174" s="1" t="s">
        <v>79</v>
      </c>
    </row>
    <row r="175" spans="1:27" ht="15.75" customHeight="1" x14ac:dyDescent="0.35">
      <c r="A175" s="1" t="s">
        <v>112</v>
      </c>
      <c r="B175" s="1" t="str">
        <f t="shared" si="16"/>
        <v>HP</v>
      </c>
      <c r="C175" s="1" t="s">
        <v>1143</v>
      </c>
      <c r="D175" s="1" t="str">
        <f t="shared" si="1"/>
        <v>OMEN 16-AE0073CL</v>
      </c>
      <c r="E175" s="1" t="str">
        <f t="array" aca="1" ref="E175" ca="1">IFERROR(
INDEX(Family_Map!$B$2:$B$35,
_xludf.AGGREGATE(14,6,(ROW(Family_Map!$A$2:$A$35)-ROW(Family_Map!$A$2)+1)/(ISNUMBER(SEARCH(Family_Map!$A$2:$A$35,D175))),1)
),
"Other")</f>
        <v>Other</v>
      </c>
      <c r="F175" s="1" t="s">
        <v>1144</v>
      </c>
      <c r="G175" s="1" t="e">
        <f t="shared" ca="1" si="2"/>
        <v>#NAME?</v>
      </c>
      <c r="H175" s="1" t="str">
        <f t="shared" ca="1" si="12"/>
        <v>Other</v>
      </c>
      <c r="I175" s="1" t="s">
        <v>410</v>
      </c>
      <c r="J175" s="1" t="str">
        <f t="shared" si="3"/>
        <v>8GB</v>
      </c>
      <c r="K175" s="1" t="s">
        <v>1145</v>
      </c>
      <c r="L175" s="1">
        <f t="shared" si="4"/>
        <v>32</v>
      </c>
      <c r="M175" s="1" t="s">
        <v>542</v>
      </c>
      <c r="N175" s="1" t="str">
        <f t="shared" si="5"/>
        <v>1 TB</v>
      </c>
      <c r="O175" s="1" t="str">
        <f t="shared" si="6"/>
        <v>1024GB</v>
      </c>
      <c r="P175" s="1" t="s">
        <v>120</v>
      </c>
      <c r="Q175" s="1" t="str">
        <f t="shared" si="7"/>
        <v>1920x1080</v>
      </c>
      <c r="R175" s="1" t="s">
        <v>75</v>
      </c>
      <c r="S175" s="1" t="str">
        <f t="shared" si="8"/>
        <v>144Hz</v>
      </c>
      <c r="T175" s="1" t="s">
        <v>90</v>
      </c>
      <c r="U175" s="1" t="str">
        <f t="shared" si="9"/>
        <v>Windows 11 Home</v>
      </c>
      <c r="V175" s="1" t="s">
        <v>547</v>
      </c>
      <c r="W175" s="1" t="str">
        <f t="shared" si="10"/>
        <v>2.31 kg</v>
      </c>
      <c r="X175" s="1" t="s">
        <v>78</v>
      </c>
      <c r="Y175" s="1" t="str">
        <f t="shared" si="11"/>
        <v>1 Year</v>
      </c>
      <c r="Z175" s="4">
        <v>74999</v>
      </c>
      <c r="AA175" s="1" t="s">
        <v>65</v>
      </c>
    </row>
    <row r="176" spans="1:27" ht="15.75" customHeight="1" x14ac:dyDescent="0.35">
      <c r="A176" s="1" t="s">
        <v>234</v>
      </c>
      <c r="B176" s="1" t="str">
        <f t="shared" si="16"/>
        <v>ASUS</v>
      </c>
      <c r="C176" s="1" t="s">
        <v>1148</v>
      </c>
      <c r="D176" s="1" t="str">
        <f t="shared" si="1"/>
        <v>ROG Zephyrus G16 GA605WI-QR050W</v>
      </c>
      <c r="E176" s="1" t="str">
        <f t="array" aca="1" ref="E176" ca="1">IFERROR(
INDEX(Family_Map!$B$2:$B$35,
_xludf.AGGREGATE(14,6,(ROW(Family_Map!$A$2:$A$35)-ROW(Family_Map!$A$2)+1)/(ISNUMBER(SEARCH(Family_Map!$A$2:$A$35,D176))),1)
),
"Other")</f>
        <v>Other</v>
      </c>
      <c r="F176" s="1" t="s">
        <v>668</v>
      </c>
      <c r="G176" s="1" t="e">
        <f t="shared" ca="1" si="2"/>
        <v>#NAME?</v>
      </c>
      <c r="H176" s="1" t="str">
        <f t="shared" ca="1" si="12"/>
        <v>Other</v>
      </c>
      <c r="I176" s="1" t="s">
        <v>410</v>
      </c>
      <c r="J176" s="1" t="str">
        <f t="shared" si="3"/>
        <v>8GB</v>
      </c>
      <c r="K176" s="1" t="s">
        <v>1150</v>
      </c>
      <c r="L176" s="1">
        <f t="shared" si="4"/>
        <v>32</v>
      </c>
      <c r="M176" s="1" t="s">
        <v>239</v>
      </c>
      <c r="N176" s="1" t="str">
        <f t="shared" si="5"/>
        <v>1TB</v>
      </c>
      <c r="O176" s="1" t="str">
        <f t="shared" si="6"/>
        <v>1024GB</v>
      </c>
      <c r="P176" s="1" t="s">
        <v>89</v>
      </c>
      <c r="Q176" s="1" t="str">
        <f t="shared" si="7"/>
        <v>2560x1600</v>
      </c>
      <c r="R176" s="1" t="s">
        <v>256</v>
      </c>
      <c r="S176" s="1" t="str">
        <f t="shared" si="8"/>
        <v>240Hz</v>
      </c>
      <c r="T176" s="1" t="s">
        <v>90</v>
      </c>
      <c r="U176" s="1" t="str">
        <f t="shared" si="9"/>
        <v>Windows 11 Home</v>
      </c>
      <c r="V176" s="1" t="s">
        <v>245</v>
      </c>
      <c r="W176" s="1" t="str">
        <f t="shared" si="10"/>
        <v>1.85 kg</v>
      </c>
      <c r="X176" s="1" t="s">
        <v>78</v>
      </c>
      <c r="Y176" s="1" t="str">
        <f t="shared" si="11"/>
        <v>1 Year</v>
      </c>
      <c r="Z176" s="4">
        <v>134999</v>
      </c>
      <c r="AA176" s="1" t="s">
        <v>5735</v>
      </c>
    </row>
    <row r="177" spans="1:27" ht="15.75" customHeight="1" x14ac:dyDescent="0.35">
      <c r="A177" s="1" t="s">
        <v>234</v>
      </c>
      <c r="B177" s="1" t="str">
        <f t="shared" si="16"/>
        <v>ASUS</v>
      </c>
      <c r="C177" s="1" t="s">
        <v>1155</v>
      </c>
      <c r="D177" s="1" t="str">
        <f t="shared" si="1"/>
        <v>ProArt P16 H7606WI-ME058W</v>
      </c>
      <c r="E177" s="1" t="str">
        <f t="array" aca="1" ref="E177" ca="1">IFERROR(
INDEX(Family_Map!$B$2:$B$35,
_xludf.AGGREGATE(14,6,(ROW(Family_Map!$A$2:$A$35)-ROW(Family_Map!$A$2)+1)/(ISNUMBER(SEARCH(Family_Map!$A$2:$A$35,D177))),1)
),
"Other")</f>
        <v>Other</v>
      </c>
      <c r="F177" s="1" t="s">
        <v>668</v>
      </c>
      <c r="G177" s="1" t="e">
        <f t="shared" ca="1" si="2"/>
        <v>#NAME?</v>
      </c>
      <c r="H177" s="1" t="str">
        <f t="shared" ca="1" si="12"/>
        <v>Other</v>
      </c>
      <c r="I177" s="1" t="s">
        <v>410</v>
      </c>
      <c r="J177" s="1" t="str">
        <f t="shared" si="3"/>
        <v>8GB</v>
      </c>
      <c r="K177" s="1" t="s">
        <v>968</v>
      </c>
      <c r="L177" s="1">
        <f t="shared" si="4"/>
        <v>64</v>
      </c>
      <c r="M177" s="1" t="s">
        <v>1156</v>
      </c>
      <c r="N177" s="1" t="str">
        <f t="shared" si="5"/>
        <v>2TB</v>
      </c>
      <c r="O177" s="1" t="str">
        <f t="shared" si="6"/>
        <v>2048GB</v>
      </c>
      <c r="P177" s="1" t="s">
        <v>345</v>
      </c>
      <c r="Q177" s="1" t="str">
        <f t="shared" si="7"/>
        <v>3840x2400</v>
      </c>
      <c r="R177" s="1" t="s">
        <v>971</v>
      </c>
      <c r="S177" s="1" t="str">
        <f t="shared" si="8"/>
        <v>60Hz</v>
      </c>
      <c r="T177" s="1" t="s">
        <v>201</v>
      </c>
      <c r="U177" s="1" t="str">
        <f t="shared" si="9"/>
        <v>Windows 11 Home</v>
      </c>
      <c r="V177" s="1" t="s">
        <v>976</v>
      </c>
      <c r="W177" s="1" t="str">
        <f t="shared" si="10"/>
        <v>1.85 kg</v>
      </c>
      <c r="X177" s="1" t="s">
        <v>78</v>
      </c>
      <c r="Y177" s="1" t="str">
        <f t="shared" si="11"/>
        <v>1 Year</v>
      </c>
      <c r="Z177" s="4">
        <v>150000</v>
      </c>
      <c r="AA177" s="1" t="s">
        <v>5735</v>
      </c>
    </row>
    <row r="178" spans="1:27" ht="15.75" customHeight="1" x14ac:dyDescent="0.35">
      <c r="A178" s="1" t="s">
        <v>234</v>
      </c>
      <c r="B178" s="1" t="str">
        <f t="shared" si="16"/>
        <v>ASUS</v>
      </c>
      <c r="C178" s="1" t="s">
        <v>1162</v>
      </c>
      <c r="D178" s="1" t="str">
        <f t="shared" si="1"/>
        <v>TUF Gaming A14 FA401WU-RG037W</v>
      </c>
      <c r="E178" s="1" t="str">
        <f t="array" aca="1" ref="E178" ca="1">IFERROR(
INDEX(Family_Map!$B$2:$B$35,
_xludf.AGGREGATE(14,6,(ROW(Family_Map!$A$2:$A$35)-ROW(Family_Map!$A$2)+1)/(ISNUMBER(SEARCH(Family_Map!$A$2:$A$35,D178))),1)
),
"Other")</f>
        <v>Other</v>
      </c>
      <c r="F178" s="1" t="s">
        <v>668</v>
      </c>
      <c r="G178" s="1" t="e">
        <f t="shared" ca="1" si="2"/>
        <v>#NAME?</v>
      </c>
      <c r="H178" s="1" t="str">
        <f t="shared" ca="1" si="12"/>
        <v>Other</v>
      </c>
      <c r="I178" s="1" t="s">
        <v>70</v>
      </c>
      <c r="J178" s="1" t="str">
        <f t="shared" si="3"/>
        <v>6GB</v>
      </c>
      <c r="K178" s="1" t="s">
        <v>313</v>
      </c>
      <c r="L178" s="1">
        <f t="shared" si="4"/>
        <v>16</v>
      </c>
      <c r="M178" s="1" t="s">
        <v>239</v>
      </c>
      <c r="N178" s="1" t="str">
        <f t="shared" si="5"/>
        <v>1TB</v>
      </c>
      <c r="O178" s="1" t="str">
        <f t="shared" si="6"/>
        <v>1024GB</v>
      </c>
      <c r="P178" s="1" t="s">
        <v>89</v>
      </c>
      <c r="Q178" s="1" t="str">
        <f t="shared" si="7"/>
        <v>2560x1600</v>
      </c>
      <c r="R178" s="1" t="s">
        <v>57</v>
      </c>
      <c r="S178" s="1" t="str">
        <f t="shared" si="8"/>
        <v>165Hz</v>
      </c>
      <c r="T178" s="1" t="s">
        <v>90</v>
      </c>
      <c r="U178" s="1" t="str">
        <f t="shared" si="9"/>
        <v>Windows 11 Home</v>
      </c>
      <c r="V178" s="1" t="s">
        <v>309</v>
      </c>
      <c r="W178" s="1" t="str">
        <f t="shared" si="10"/>
        <v>1.46 kg</v>
      </c>
      <c r="X178" s="1" t="s">
        <v>78</v>
      </c>
      <c r="Y178" s="1" t="str">
        <f t="shared" si="11"/>
        <v>1 Year</v>
      </c>
      <c r="Z178" s="4">
        <v>69999</v>
      </c>
      <c r="AA178" s="1" t="s">
        <v>5735</v>
      </c>
    </row>
    <row r="179" spans="1:27" ht="15.75" customHeight="1" x14ac:dyDescent="0.35">
      <c r="A179" s="1" t="s">
        <v>151</v>
      </c>
      <c r="B179" s="1" t="str">
        <f t="shared" si="16"/>
        <v>Lenovo</v>
      </c>
      <c r="C179" s="1" t="s">
        <v>1123</v>
      </c>
      <c r="D179" s="1" t="str">
        <f t="shared" si="1"/>
        <v>Legion 5 16IRX9</v>
      </c>
      <c r="E179" s="1" t="str">
        <f t="array" aca="1" ref="E179" ca="1">IFERROR(
INDEX(Family_Map!$B$2:$B$35,
_xludf.AGGREGATE(14,6,(ROW(Family_Map!$A$2:$A$35)-ROW(Family_Map!$A$2)+1)/(ISNUMBER(SEARCH(Family_Map!$A$2:$A$35,D179))),1)
),
"Other")</f>
        <v>Other</v>
      </c>
      <c r="F179" s="1" t="s">
        <v>1144</v>
      </c>
      <c r="G179" s="1" t="e">
        <f t="shared" ca="1" si="2"/>
        <v>#NAME?</v>
      </c>
      <c r="H179" s="1" t="str">
        <f t="shared" ca="1" si="12"/>
        <v>Other</v>
      </c>
      <c r="I179" s="1" t="s">
        <v>410</v>
      </c>
      <c r="J179" s="1" t="str">
        <f t="shared" si="3"/>
        <v>8GB</v>
      </c>
      <c r="K179" s="1" t="s">
        <v>614</v>
      </c>
      <c r="L179" s="1">
        <f t="shared" si="4"/>
        <v>16</v>
      </c>
      <c r="M179" s="1" t="s">
        <v>796</v>
      </c>
      <c r="N179" s="1" t="str">
        <f t="shared" si="5"/>
        <v>1TB</v>
      </c>
      <c r="O179" s="1" t="str">
        <f t="shared" si="6"/>
        <v>1024GB</v>
      </c>
      <c r="P179" s="1" t="s">
        <v>224</v>
      </c>
      <c r="Q179" s="1" t="str">
        <f t="shared" si="7"/>
        <v>2560x1600</v>
      </c>
      <c r="R179" s="1" t="s">
        <v>57</v>
      </c>
      <c r="S179" s="1" t="str">
        <f t="shared" si="8"/>
        <v>165Hz</v>
      </c>
      <c r="T179" s="1" t="s">
        <v>90</v>
      </c>
      <c r="U179" s="1" t="str">
        <f t="shared" si="9"/>
        <v>Windows 11 Home</v>
      </c>
      <c r="V179" s="1" t="s">
        <v>1127</v>
      </c>
      <c r="W179" s="1" t="str">
        <f t="shared" si="10"/>
        <v>2.36 kg</v>
      </c>
      <c r="X179" s="1" t="s">
        <v>78</v>
      </c>
      <c r="Y179" s="1" t="str">
        <f t="shared" si="11"/>
        <v>1 Year</v>
      </c>
      <c r="Z179" s="4">
        <v>67999</v>
      </c>
      <c r="AA179" s="1" t="s">
        <v>65</v>
      </c>
    </row>
    <row r="180" spans="1:27" ht="15.75" customHeight="1" x14ac:dyDescent="0.35">
      <c r="A180" s="1" t="s">
        <v>151</v>
      </c>
      <c r="B180" s="1" t="str">
        <f t="shared" si="16"/>
        <v>Lenovo</v>
      </c>
      <c r="C180" s="1" t="s">
        <v>568</v>
      </c>
      <c r="D180" s="1" t="str">
        <f t="shared" si="1"/>
        <v>LOQ 15IRX9</v>
      </c>
      <c r="E180" s="1" t="str">
        <f t="array" aca="1" ref="E180" ca="1">IFERROR(
INDEX(Family_Map!$B$2:$B$35,
_xludf.AGGREGATE(14,6,(ROW(Family_Map!$A$2:$A$35)-ROW(Family_Map!$A$2)+1)/(ISNUMBER(SEARCH(Family_Map!$A$2:$A$35,D180))),1)
),
"Other")</f>
        <v>Other</v>
      </c>
      <c r="F180" s="1" t="s">
        <v>711</v>
      </c>
      <c r="G180" s="1" t="e">
        <f t="shared" ca="1" si="2"/>
        <v>#NAME?</v>
      </c>
      <c r="H180" s="1" t="str">
        <f t="shared" ca="1" si="12"/>
        <v>Other</v>
      </c>
      <c r="I180" s="1" t="s">
        <v>410</v>
      </c>
      <c r="J180" s="1" t="str">
        <f t="shared" si="3"/>
        <v>8GB</v>
      </c>
      <c r="K180" s="1" t="s">
        <v>888</v>
      </c>
      <c r="L180" s="1">
        <f t="shared" si="4"/>
        <v>24</v>
      </c>
      <c r="M180" s="1" t="s">
        <v>156</v>
      </c>
      <c r="N180" s="1" t="str">
        <f t="shared" si="5"/>
        <v>512GB</v>
      </c>
      <c r="O180" s="1" t="str">
        <f t="shared" si="6"/>
        <v>512GB</v>
      </c>
      <c r="P180" s="1" t="s">
        <v>120</v>
      </c>
      <c r="Q180" s="1" t="str">
        <f t="shared" si="7"/>
        <v>1920x1080</v>
      </c>
      <c r="R180" s="1" t="s">
        <v>75</v>
      </c>
      <c r="S180" s="1" t="str">
        <f t="shared" si="8"/>
        <v>144Hz</v>
      </c>
      <c r="T180" s="1" t="s">
        <v>101</v>
      </c>
      <c r="U180" s="1" t="str">
        <f t="shared" si="9"/>
        <v>DOS</v>
      </c>
      <c r="V180" s="1" t="s">
        <v>398</v>
      </c>
      <c r="W180" s="1" t="str">
        <f t="shared" si="10"/>
        <v>2.38 kg</v>
      </c>
      <c r="X180" s="1" t="s">
        <v>78</v>
      </c>
      <c r="Y180" s="1" t="str">
        <f t="shared" si="11"/>
        <v>1 Year</v>
      </c>
      <c r="Z180" s="4">
        <v>51999</v>
      </c>
      <c r="AA180" s="1" t="s">
        <v>79</v>
      </c>
    </row>
    <row r="181" spans="1:27" ht="15.75" customHeight="1" x14ac:dyDescent="0.35">
      <c r="A181" s="1" t="s">
        <v>151</v>
      </c>
      <c r="B181" s="1" t="str">
        <f t="shared" si="16"/>
        <v>Lenovo</v>
      </c>
      <c r="C181" s="1" t="s">
        <v>939</v>
      </c>
      <c r="D181" s="1" t="str">
        <f t="shared" si="1"/>
        <v>Legion Pro 5 16IRX9</v>
      </c>
      <c r="E181" s="1" t="str">
        <f t="array" aca="1" ref="E181" ca="1">IFERROR(
INDEX(Family_Map!$B$2:$B$35,
_xludf.AGGREGATE(14,6,(ROW(Family_Map!$A$2:$A$35)-ROW(Family_Map!$A$2)+1)/(ISNUMBER(SEARCH(Family_Map!$A$2:$A$35,D181))),1)
),
"Other")</f>
        <v>Other</v>
      </c>
      <c r="F181" s="1" t="s">
        <v>133</v>
      </c>
      <c r="G181" s="1" t="e">
        <f t="shared" ca="1" si="2"/>
        <v>#NAME?</v>
      </c>
      <c r="H181" s="1" t="str">
        <f t="shared" ca="1" si="12"/>
        <v>Other</v>
      </c>
      <c r="I181" s="1" t="s">
        <v>410</v>
      </c>
      <c r="J181" s="1" t="str">
        <f t="shared" si="3"/>
        <v>8GB</v>
      </c>
      <c r="K181" s="1" t="s">
        <v>221</v>
      </c>
      <c r="L181" s="1">
        <f t="shared" si="4"/>
        <v>16</v>
      </c>
      <c r="M181" s="1" t="s">
        <v>796</v>
      </c>
      <c r="N181" s="1" t="str">
        <f t="shared" si="5"/>
        <v>1TB</v>
      </c>
      <c r="O181" s="1" t="str">
        <f t="shared" si="6"/>
        <v>1024GB</v>
      </c>
      <c r="P181" s="1" t="s">
        <v>89</v>
      </c>
      <c r="Q181" s="1" t="str">
        <f t="shared" si="7"/>
        <v>2560x1600</v>
      </c>
      <c r="R181" s="1" t="s">
        <v>57</v>
      </c>
      <c r="S181" s="1" t="str">
        <f t="shared" si="8"/>
        <v>165Hz</v>
      </c>
      <c r="T181" s="1" t="s">
        <v>90</v>
      </c>
      <c r="U181" s="1" t="str">
        <f t="shared" si="9"/>
        <v>Windows 11 Home</v>
      </c>
      <c r="V181" s="1" t="s">
        <v>944</v>
      </c>
      <c r="W181" s="1" t="str">
        <f t="shared" si="10"/>
        <v>2.5 kg</v>
      </c>
      <c r="X181" s="1" t="s">
        <v>129</v>
      </c>
      <c r="Y181" s="1" t="str">
        <f t="shared" si="11"/>
        <v>1 Year</v>
      </c>
      <c r="Z181" s="4">
        <v>89999</v>
      </c>
      <c r="AA181" s="1" t="s">
        <v>65</v>
      </c>
    </row>
    <row r="182" spans="1:27" ht="15.75" customHeight="1" x14ac:dyDescent="0.35">
      <c r="A182" s="1" t="s">
        <v>151</v>
      </c>
      <c r="B182" s="1" t="str">
        <f t="shared" si="16"/>
        <v>Lenovo</v>
      </c>
      <c r="C182" s="1" t="s">
        <v>1170</v>
      </c>
      <c r="D182" s="1" t="str">
        <f t="shared" si="1"/>
        <v>83LK0070ED</v>
      </c>
      <c r="E182" s="1" t="str">
        <f t="array" aca="1" ref="E182" ca="1">IFERROR(
INDEX(Family_Map!$B$2:$B$35,
_xludf.AGGREGATE(14,6,(ROW(Family_Map!$A$2:$A$35)-ROW(Family_Map!$A$2)+1)/(ISNUMBER(SEARCH(Family_Map!$A$2:$A$35,D182))),1)
),
"Other")</f>
        <v>Other</v>
      </c>
      <c r="F182" s="1" t="s">
        <v>153</v>
      </c>
      <c r="G182" s="1" t="e">
        <f t="shared" ca="1" si="2"/>
        <v>#NAME?</v>
      </c>
      <c r="H182" s="1" t="str">
        <f t="shared" ca="1" si="12"/>
        <v>Other</v>
      </c>
      <c r="I182" s="1" t="s">
        <v>70</v>
      </c>
      <c r="J182" s="1" t="str">
        <f t="shared" si="3"/>
        <v>6GB</v>
      </c>
      <c r="K182" s="1" t="s">
        <v>1171</v>
      </c>
      <c r="L182" s="1">
        <f t="shared" si="4"/>
        <v>16</v>
      </c>
      <c r="M182" s="1" t="s">
        <v>156</v>
      </c>
      <c r="N182" s="1" t="str">
        <f t="shared" si="5"/>
        <v>512GB</v>
      </c>
      <c r="O182" s="1" t="str">
        <f t="shared" si="6"/>
        <v>512GB</v>
      </c>
      <c r="P182" s="1" t="s">
        <v>74</v>
      </c>
      <c r="Q182" s="1" t="str">
        <f t="shared" si="7"/>
        <v>1920x1080</v>
      </c>
      <c r="R182" s="1" t="s">
        <v>75</v>
      </c>
      <c r="S182" s="1" t="str">
        <f t="shared" si="8"/>
        <v>144Hz</v>
      </c>
      <c r="T182" s="1" t="s">
        <v>101</v>
      </c>
      <c r="U182" s="1" t="str">
        <f t="shared" si="9"/>
        <v>DOS</v>
      </c>
      <c r="V182" s="1" t="s">
        <v>163</v>
      </c>
      <c r="W182" s="1" t="str">
        <f t="shared" si="10"/>
        <v>1.77 kg</v>
      </c>
      <c r="X182" s="1" t="s">
        <v>48</v>
      </c>
      <c r="Y182" s="1" t="str">
        <f t="shared" si="11"/>
        <v>2 Years</v>
      </c>
      <c r="Z182" s="4">
        <v>31999</v>
      </c>
      <c r="AA182" s="1" t="s">
        <v>166</v>
      </c>
    </row>
    <row r="183" spans="1:27" ht="15.75" customHeight="1" x14ac:dyDescent="0.35">
      <c r="A183" s="1" t="s">
        <v>151</v>
      </c>
      <c r="B183" s="1" t="str">
        <f t="shared" si="16"/>
        <v>Lenovo</v>
      </c>
      <c r="C183" s="1" t="s">
        <v>1094</v>
      </c>
      <c r="D183" s="1" t="str">
        <f t="shared" si="1"/>
        <v>IdeaPad Pro 5 16IMH9</v>
      </c>
      <c r="E183" s="1" t="str">
        <f t="array" aca="1" ref="E183" ca="1">IFERROR(
INDEX(Family_Map!$B$2:$B$35,
_xludf.AGGREGATE(14,6,(ROW(Family_Map!$A$2:$A$35)-ROW(Family_Map!$A$2)+1)/(ISNUMBER(SEARCH(Family_Map!$A$2:$A$35,D183))),1)
),
"Other")</f>
        <v>Other</v>
      </c>
      <c r="F183" s="1" t="s">
        <v>510</v>
      </c>
      <c r="G183" s="1" t="e">
        <f t="shared" ca="1" si="2"/>
        <v>#NAME?</v>
      </c>
      <c r="H183" s="1" t="str">
        <f t="shared" ca="1" si="12"/>
        <v>Other</v>
      </c>
      <c r="I183" s="1" t="s">
        <v>70</v>
      </c>
      <c r="J183" s="1" t="str">
        <f t="shared" si="3"/>
        <v>6GB</v>
      </c>
      <c r="K183" s="1" t="s">
        <v>1172</v>
      </c>
      <c r="L183" s="1">
        <f t="shared" si="4"/>
        <v>32</v>
      </c>
      <c r="M183" s="1" t="s">
        <v>222</v>
      </c>
      <c r="N183" s="1" t="str">
        <f t="shared" si="5"/>
        <v>1TB</v>
      </c>
      <c r="O183" s="1" t="str">
        <f t="shared" si="6"/>
        <v>1024GB</v>
      </c>
      <c r="P183" s="1" t="s">
        <v>1174</v>
      </c>
      <c r="Q183" s="1" t="str">
        <f t="shared" si="7"/>
        <v>2048x1280</v>
      </c>
      <c r="R183" s="1" t="s">
        <v>39</v>
      </c>
      <c r="S183" s="1" t="str">
        <f t="shared" si="8"/>
        <v>120Hz</v>
      </c>
      <c r="T183" s="1" t="s">
        <v>201</v>
      </c>
      <c r="U183" s="1" t="str">
        <f t="shared" si="9"/>
        <v>Windows 11 Home</v>
      </c>
      <c r="V183" s="1" t="s">
        <v>1104</v>
      </c>
      <c r="W183" s="1" t="str">
        <f t="shared" si="10"/>
        <v>1.94 kg</v>
      </c>
      <c r="X183" s="1" t="s">
        <v>78</v>
      </c>
      <c r="Y183" s="1" t="str">
        <f t="shared" si="11"/>
        <v>1 Year</v>
      </c>
      <c r="Z183" s="4">
        <v>70499</v>
      </c>
      <c r="AA183" s="1" t="s">
        <v>5735</v>
      </c>
    </row>
    <row r="184" spans="1:27" ht="15.75" customHeight="1" x14ac:dyDescent="0.35">
      <c r="A184" s="1" t="s">
        <v>151</v>
      </c>
      <c r="B184" s="1" t="str">
        <f t="shared" si="16"/>
        <v>Lenovo</v>
      </c>
      <c r="C184" s="1" t="s">
        <v>1123</v>
      </c>
      <c r="D184" s="1" t="str">
        <f t="shared" si="1"/>
        <v>Legion 5 16IRX9</v>
      </c>
      <c r="E184" s="1" t="str">
        <f t="array" aca="1" ref="E184" ca="1">IFERROR(
INDEX(Family_Map!$B$2:$B$35,
_xludf.AGGREGATE(14,6,(ROW(Family_Map!$A$2:$A$35)-ROW(Family_Map!$A$2)+1)/(ISNUMBER(SEARCH(Family_Map!$A$2:$A$35,D184))),1)
),
"Other")</f>
        <v>Other</v>
      </c>
      <c r="F184" s="1" t="s">
        <v>704</v>
      </c>
      <c r="G184" s="1" t="e">
        <f t="shared" ca="1" si="2"/>
        <v>#NAME?</v>
      </c>
      <c r="H184" s="1" t="str">
        <f t="shared" ca="1" si="12"/>
        <v>Other</v>
      </c>
      <c r="I184" s="1" t="s">
        <v>410</v>
      </c>
      <c r="J184" s="1" t="str">
        <f t="shared" si="3"/>
        <v>8GB</v>
      </c>
      <c r="K184" s="1" t="s">
        <v>1179</v>
      </c>
      <c r="L184" s="1">
        <v>16</v>
      </c>
      <c r="M184" s="1" t="s">
        <v>222</v>
      </c>
      <c r="N184" s="1" t="str">
        <f t="shared" si="5"/>
        <v>1TB</v>
      </c>
      <c r="O184" s="1" t="str">
        <f t="shared" si="6"/>
        <v>1024GB</v>
      </c>
      <c r="P184" s="1" t="s">
        <v>224</v>
      </c>
      <c r="Q184" s="1" t="str">
        <f t="shared" si="7"/>
        <v>2560x1600</v>
      </c>
      <c r="R184" s="1" t="s">
        <v>57</v>
      </c>
      <c r="S184" s="1" t="str">
        <f t="shared" si="8"/>
        <v>165Hz</v>
      </c>
      <c r="T184" s="1" t="s">
        <v>90</v>
      </c>
      <c r="U184" s="1" t="str">
        <f t="shared" si="9"/>
        <v>Windows 11 Home</v>
      </c>
      <c r="V184" s="1" t="s">
        <v>1127</v>
      </c>
      <c r="W184" s="1" t="str">
        <f t="shared" si="10"/>
        <v>2.36 kg</v>
      </c>
      <c r="X184" s="1" t="s">
        <v>129</v>
      </c>
      <c r="Y184" s="1" t="str">
        <f t="shared" si="11"/>
        <v>1 Year</v>
      </c>
      <c r="Z184" s="4">
        <v>64999</v>
      </c>
      <c r="AA184" s="1" t="s">
        <v>79</v>
      </c>
    </row>
    <row r="185" spans="1:27" ht="15.75" customHeight="1" x14ac:dyDescent="0.35">
      <c r="A185" s="1" t="s">
        <v>112</v>
      </c>
      <c r="B185" s="1" t="str">
        <f t="shared" si="16"/>
        <v>HP</v>
      </c>
      <c r="C185" s="1" t="s">
        <v>678</v>
      </c>
      <c r="D185" s="1" t="str">
        <f t="shared" si="1"/>
        <v>OMEN 16T-WF000​</v>
      </c>
      <c r="E185" s="1" t="str">
        <f t="array" aca="1" ref="E185" ca="1">IFERROR(
INDEX(Family_Map!$B$2:$B$35,
_xludf.AGGREGATE(14,6,(ROW(Family_Map!$A$2:$A$35)-ROW(Family_Map!$A$2)+1)/(ISNUMBER(SEARCH(Family_Map!$A$2:$A$35,D185))),1)
),
"Other")</f>
        <v>Other</v>
      </c>
      <c r="F185" s="1" t="s">
        <v>539</v>
      </c>
      <c r="G185" s="1" t="e">
        <f t="shared" ca="1" si="2"/>
        <v>#NAME?</v>
      </c>
      <c r="H185" s="1" t="str">
        <f t="shared" ca="1" si="12"/>
        <v>Other</v>
      </c>
      <c r="I185" s="1" t="s">
        <v>410</v>
      </c>
      <c r="J185" s="1" t="str">
        <f t="shared" si="3"/>
        <v>8GB</v>
      </c>
      <c r="K185" s="1" t="s">
        <v>680</v>
      </c>
      <c r="L185" s="1">
        <f t="shared" ref="L185:L242" si="17">IFERROR(
VALUE(SUBSTITUTE(SUBSTITUTE(LEFT(UPPER(TRIM(K185)),FIND("GB",UPPER(K185)&amp;"GB")+1),"GB","")," ","")),
IFERROR(
VALUE(SUBSTITUTE(SUBSTITUTE(MID(UPPER(K185),FIND("GB",UPPER(K185)&amp;"GB")-3,3),"GB","")," ",""))
*
IF(
OR(
ISNUMBER(SEARCH("2X",UPPER(K185))),
ISNUMBER(SEARCH("X 2",UPPER(K185))),
ISNUMBER(SEARCH("*2",UPPER(K185))),
ISNUMBER(SEARCH("2*",UPPER(K185))),
ISNUMBER(SEARCH("(2 X",UPPER(K185)))
),
2,1),
"")
)</f>
        <v>16</v>
      </c>
      <c r="M185" s="1" t="s">
        <v>1120</v>
      </c>
      <c r="N185" s="1" t="str">
        <f t="shared" si="5"/>
        <v>512GB</v>
      </c>
      <c r="O185" s="1" t="str">
        <f t="shared" si="6"/>
        <v>512GB</v>
      </c>
      <c r="P185" s="1" t="s">
        <v>616</v>
      </c>
      <c r="Q185" s="1" t="str">
        <f t="shared" si="7"/>
        <v>1920x1080</v>
      </c>
      <c r="R185" s="1" t="s">
        <v>57</v>
      </c>
      <c r="S185" s="1" t="str">
        <f t="shared" si="8"/>
        <v>165Hz</v>
      </c>
      <c r="T185" s="1" t="s">
        <v>555</v>
      </c>
      <c r="U185" s="1" t="str">
        <f t="shared" si="9"/>
        <v>Windows 11 Home</v>
      </c>
      <c r="V185" s="1" t="s">
        <v>684</v>
      </c>
      <c r="W185" s="1" t="str">
        <f t="shared" si="10"/>
        <v>2.39 kg</v>
      </c>
      <c r="X185" s="1" t="s">
        <v>129</v>
      </c>
      <c r="Y185" s="1" t="str">
        <f t="shared" si="11"/>
        <v>1 Year</v>
      </c>
      <c r="Z185" s="4">
        <v>86666</v>
      </c>
      <c r="AA185" s="1" t="s">
        <v>65</v>
      </c>
    </row>
    <row r="186" spans="1:27" ht="15.75" customHeight="1" x14ac:dyDescent="0.35">
      <c r="A186" s="1" t="s">
        <v>151</v>
      </c>
      <c r="B186" s="1" t="str">
        <f t="shared" si="16"/>
        <v>Lenovo</v>
      </c>
      <c r="C186" s="1" t="s">
        <v>939</v>
      </c>
      <c r="D186" s="1" t="str">
        <f t="shared" si="1"/>
        <v>Legion Pro 5 16IRX9</v>
      </c>
      <c r="E186" s="1" t="str">
        <f t="array" aca="1" ref="E186" ca="1">IFERROR(
INDEX(Family_Map!$B$2:$B$35,
_xludf.AGGREGATE(14,6,(ROW(Family_Map!$A$2:$A$35)-ROW(Family_Map!$A$2)+1)/(ISNUMBER(SEARCH(Family_Map!$A$2:$A$35,D186))),1)
),
"Other")</f>
        <v>Other</v>
      </c>
      <c r="F186" s="1" t="s">
        <v>50</v>
      </c>
      <c r="G186" s="1" t="e">
        <f t="shared" ca="1" si="2"/>
        <v>#NAME?</v>
      </c>
      <c r="H186" s="1" t="str">
        <f t="shared" ca="1" si="12"/>
        <v>Other</v>
      </c>
      <c r="I186" s="1" t="s">
        <v>410</v>
      </c>
      <c r="J186" s="1" t="str">
        <f t="shared" si="3"/>
        <v>8GB</v>
      </c>
      <c r="K186" s="1" t="s">
        <v>447</v>
      </c>
      <c r="L186" s="1">
        <f t="shared" si="17"/>
        <v>32</v>
      </c>
      <c r="M186" s="1" t="s">
        <v>796</v>
      </c>
      <c r="N186" s="1" t="str">
        <f t="shared" si="5"/>
        <v>1TB</v>
      </c>
      <c r="O186" s="1" t="str">
        <f t="shared" si="6"/>
        <v>1024GB</v>
      </c>
      <c r="P186" s="1" t="s">
        <v>89</v>
      </c>
      <c r="Q186" s="1" t="str">
        <f t="shared" si="7"/>
        <v>2560x1600</v>
      </c>
      <c r="R186" s="1" t="s">
        <v>256</v>
      </c>
      <c r="S186" s="1" t="str">
        <f t="shared" si="8"/>
        <v>240Hz</v>
      </c>
      <c r="T186" s="1" t="s">
        <v>101</v>
      </c>
      <c r="U186" s="1" t="str">
        <f t="shared" si="9"/>
        <v>DOS</v>
      </c>
      <c r="V186" s="1" t="s">
        <v>944</v>
      </c>
      <c r="W186" s="1" t="str">
        <f t="shared" si="10"/>
        <v>2.5 kg</v>
      </c>
      <c r="X186" s="1" t="s">
        <v>129</v>
      </c>
      <c r="Y186" s="1" t="str">
        <f t="shared" si="11"/>
        <v>1 Year</v>
      </c>
      <c r="Z186" s="4">
        <v>109999</v>
      </c>
      <c r="AA186" s="1" t="s">
        <v>65</v>
      </c>
    </row>
    <row r="187" spans="1:27" ht="15.75" customHeight="1" x14ac:dyDescent="0.35">
      <c r="A187" s="1" t="s">
        <v>112</v>
      </c>
      <c r="B187" s="1" t="str">
        <f t="shared" si="16"/>
        <v>HP</v>
      </c>
      <c r="C187" s="1" t="s">
        <v>1183</v>
      </c>
      <c r="D187" s="1" t="str">
        <f t="shared" si="1"/>
        <v>Victus 15-FA1002NE</v>
      </c>
      <c r="E187" s="1" t="str">
        <f t="array" aca="1" ref="E187" ca="1">IFERROR(
INDEX(Family_Map!$B$2:$B$35,
_xludf.AGGREGATE(14,6,(ROW(Family_Map!$A$2:$A$35)-ROW(Family_Map!$A$2)+1)/(ISNUMBER(SEARCH(Family_Map!$A$2:$A$35,D187))),1)
),
"Other")</f>
        <v>Other</v>
      </c>
      <c r="F187" s="1" t="s">
        <v>693</v>
      </c>
      <c r="G187" s="1" t="e">
        <f t="shared" ca="1" si="2"/>
        <v>#NAME?</v>
      </c>
      <c r="H187" s="1" t="str">
        <f t="shared" ca="1" si="12"/>
        <v>Other</v>
      </c>
      <c r="I187" s="1" t="s">
        <v>70</v>
      </c>
      <c r="J187" s="1" t="str">
        <f t="shared" si="3"/>
        <v>6GB</v>
      </c>
      <c r="K187" s="1" t="s">
        <v>665</v>
      </c>
      <c r="L187" s="1">
        <f t="shared" si="17"/>
        <v>16</v>
      </c>
      <c r="M187" s="1" t="s">
        <v>906</v>
      </c>
      <c r="N187" s="1" t="str">
        <f t="shared" si="5"/>
        <v>1 TB</v>
      </c>
      <c r="O187" s="1" t="str">
        <f t="shared" si="6"/>
        <v>1024GB</v>
      </c>
      <c r="P187" s="1" t="s">
        <v>120</v>
      </c>
      <c r="Q187" s="1" t="str">
        <f t="shared" si="7"/>
        <v>1920x1080</v>
      </c>
      <c r="R187" s="1" t="s">
        <v>75</v>
      </c>
      <c r="S187" s="1" t="str">
        <f t="shared" si="8"/>
        <v>144Hz</v>
      </c>
      <c r="T187" s="1" t="s">
        <v>90</v>
      </c>
      <c r="U187" s="1" t="str">
        <f t="shared" si="9"/>
        <v>Windows 11 Home</v>
      </c>
      <c r="V187" s="1" t="s">
        <v>127</v>
      </c>
      <c r="W187" s="1" t="str">
        <f t="shared" si="10"/>
        <v>2.29 kg</v>
      </c>
      <c r="X187" s="1" t="s">
        <v>78</v>
      </c>
      <c r="Y187" s="1" t="str">
        <f t="shared" si="11"/>
        <v>1 Year</v>
      </c>
      <c r="Z187" s="4">
        <v>50999</v>
      </c>
      <c r="AA187" s="1" t="s">
        <v>79</v>
      </c>
    </row>
    <row r="188" spans="1:27" ht="15.75" customHeight="1" x14ac:dyDescent="0.35">
      <c r="A188" s="1" t="s">
        <v>112</v>
      </c>
      <c r="B188" s="1" t="str">
        <f t="shared" si="16"/>
        <v>HP</v>
      </c>
      <c r="C188" s="1" t="s">
        <v>1185</v>
      </c>
      <c r="D188" s="1" t="str">
        <f t="shared" si="1"/>
        <v>Victus 15-fa1041ne</v>
      </c>
      <c r="E188" s="1" t="str">
        <f t="array" aca="1" ref="E188" ca="1">IFERROR(
INDEX(Family_Map!$B$2:$B$35,
_xludf.AGGREGATE(14,6,(ROW(Family_Map!$A$2:$A$35)-ROW(Family_Map!$A$2)+1)/(ISNUMBER(SEARCH(Family_Map!$A$2:$A$35,D188))),1)
),
"Other")</f>
        <v>Other</v>
      </c>
      <c r="F188" s="1" t="s">
        <v>361</v>
      </c>
      <c r="G188" s="1" t="e">
        <f t="shared" ca="1" si="2"/>
        <v>#NAME?</v>
      </c>
      <c r="H188" s="1" t="str">
        <f t="shared" ca="1" si="12"/>
        <v>Other</v>
      </c>
      <c r="I188" s="1" t="s">
        <v>116</v>
      </c>
      <c r="J188" s="1" t="str">
        <f t="shared" si="3"/>
        <v>6 GB</v>
      </c>
      <c r="K188" s="1" t="s">
        <v>491</v>
      </c>
      <c r="L188" s="1">
        <f t="shared" si="17"/>
        <v>16</v>
      </c>
      <c r="M188" s="1" t="s">
        <v>118</v>
      </c>
      <c r="N188" s="1" t="str">
        <f t="shared" si="5"/>
        <v>512 GB</v>
      </c>
      <c r="O188" s="1" t="str">
        <f t="shared" si="6"/>
        <v>512 GB</v>
      </c>
      <c r="P188" s="1" t="s">
        <v>120</v>
      </c>
      <c r="Q188" s="1" t="str">
        <f t="shared" si="7"/>
        <v>1920x1080</v>
      </c>
      <c r="R188" s="1" t="s">
        <v>75</v>
      </c>
      <c r="S188" s="1" t="str">
        <f t="shared" si="8"/>
        <v>144Hz</v>
      </c>
      <c r="T188" s="1" t="s">
        <v>101</v>
      </c>
      <c r="U188" s="1" t="str">
        <f t="shared" si="9"/>
        <v>DOS</v>
      </c>
      <c r="V188" s="1" t="s">
        <v>127</v>
      </c>
      <c r="W188" s="1" t="str">
        <f t="shared" si="10"/>
        <v>2.29 kg</v>
      </c>
      <c r="X188" s="1" t="s">
        <v>78</v>
      </c>
      <c r="Y188" s="1" t="str">
        <f t="shared" si="11"/>
        <v>1 Year</v>
      </c>
      <c r="Z188" s="4">
        <v>35499</v>
      </c>
      <c r="AA188" s="1" t="s">
        <v>79</v>
      </c>
    </row>
    <row r="189" spans="1:27" ht="15.75" customHeight="1" x14ac:dyDescent="0.35">
      <c r="A189" s="1" t="s">
        <v>151</v>
      </c>
      <c r="B189" s="1" t="str">
        <f t="shared" si="16"/>
        <v>Lenovo</v>
      </c>
      <c r="C189" s="1" t="s">
        <v>939</v>
      </c>
      <c r="D189" s="1" t="str">
        <f t="shared" si="1"/>
        <v>Legion Pro 5 16IRX9</v>
      </c>
      <c r="E189" s="1" t="str">
        <f t="array" aca="1" ref="E189" ca="1">IFERROR(
INDEX(Family_Map!$B$2:$B$35,
_xludf.AGGREGATE(14,6,(ROW(Family_Map!$A$2:$A$35)-ROW(Family_Map!$A$2)+1)/(ISNUMBER(SEARCH(Family_Map!$A$2:$A$35,D189))),1)
),
"Other")</f>
        <v>Other</v>
      </c>
      <c r="F189" s="1" t="s">
        <v>429</v>
      </c>
      <c r="G189" s="1" t="e">
        <f t="shared" ca="1" si="2"/>
        <v>#NAME?</v>
      </c>
      <c r="H189" s="1" t="str">
        <f t="shared" ca="1" si="12"/>
        <v>Other</v>
      </c>
      <c r="I189" s="1" t="s">
        <v>410</v>
      </c>
      <c r="J189" s="1" t="str">
        <f t="shared" si="3"/>
        <v>8GB</v>
      </c>
      <c r="K189" s="1" t="s">
        <v>221</v>
      </c>
      <c r="L189" s="1">
        <f t="shared" si="17"/>
        <v>16</v>
      </c>
      <c r="M189" s="1" t="s">
        <v>796</v>
      </c>
      <c r="N189" s="1" t="str">
        <f t="shared" si="5"/>
        <v>1TB</v>
      </c>
      <c r="O189" s="1" t="str">
        <f t="shared" si="6"/>
        <v>1024GB</v>
      </c>
      <c r="P189" s="1" t="s">
        <v>89</v>
      </c>
      <c r="Q189" s="1" t="str">
        <f t="shared" si="7"/>
        <v>2560x1600</v>
      </c>
      <c r="R189" s="1" t="s">
        <v>256</v>
      </c>
      <c r="S189" s="1" t="str">
        <f t="shared" si="8"/>
        <v>240Hz</v>
      </c>
      <c r="T189" s="1" t="s">
        <v>101</v>
      </c>
      <c r="U189" s="1" t="str">
        <f t="shared" si="9"/>
        <v>DOS</v>
      </c>
      <c r="V189" s="1" t="s">
        <v>944</v>
      </c>
      <c r="W189" s="1" t="str">
        <f t="shared" si="10"/>
        <v>2.5 kg</v>
      </c>
      <c r="X189" s="1" t="s">
        <v>78</v>
      </c>
      <c r="Y189" s="1" t="str">
        <f t="shared" si="11"/>
        <v>1 Year</v>
      </c>
      <c r="Z189" s="4">
        <v>69999</v>
      </c>
      <c r="AA189" s="1" t="s">
        <v>65</v>
      </c>
    </row>
    <row r="190" spans="1:27" ht="15.75" customHeight="1" x14ac:dyDescent="0.35">
      <c r="A190" s="1" t="s">
        <v>112</v>
      </c>
      <c r="B190" s="1" t="str">
        <f t="shared" si="16"/>
        <v>HP</v>
      </c>
      <c r="C190" s="1" t="s">
        <v>692</v>
      </c>
      <c r="D190" s="1" t="str">
        <f t="shared" si="1"/>
        <v>Victus 15-FA1039NE</v>
      </c>
      <c r="E190" s="1" t="str">
        <f t="array" aca="1" ref="E190" ca="1">IFERROR(
INDEX(Family_Map!$B$2:$B$35,
_xludf.AGGREGATE(14,6,(ROW(Family_Map!$A$2:$A$35)-ROW(Family_Map!$A$2)+1)/(ISNUMBER(SEARCH(Family_Map!$A$2:$A$35,D190))),1)
),
"Other")</f>
        <v>Other</v>
      </c>
      <c r="F190" s="1" t="s">
        <v>693</v>
      </c>
      <c r="G190" s="1" t="e">
        <f t="shared" ca="1" si="2"/>
        <v>#NAME?</v>
      </c>
      <c r="H190" s="1" t="str">
        <f t="shared" ca="1" si="12"/>
        <v>Other</v>
      </c>
      <c r="I190" s="1" t="s">
        <v>70</v>
      </c>
      <c r="J190" s="1" t="str">
        <f t="shared" si="3"/>
        <v>6GB</v>
      </c>
      <c r="K190" s="1" t="s">
        <v>491</v>
      </c>
      <c r="L190" s="1">
        <f t="shared" si="17"/>
        <v>16</v>
      </c>
      <c r="M190" s="1" t="s">
        <v>118</v>
      </c>
      <c r="N190" s="1" t="str">
        <f t="shared" si="5"/>
        <v>512 GB</v>
      </c>
      <c r="O190" s="1" t="str">
        <f t="shared" si="6"/>
        <v>512 GB</v>
      </c>
      <c r="P190" s="1" t="s">
        <v>120</v>
      </c>
      <c r="Q190" s="1" t="str">
        <f t="shared" si="7"/>
        <v>1920x1080</v>
      </c>
      <c r="R190" s="1" t="s">
        <v>75</v>
      </c>
      <c r="S190" s="1" t="str">
        <f t="shared" si="8"/>
        <v>144Hz</v>
      </c>
      <c r="T190" s="1" t="s">
        <v>101</v>
      </c>
      <c r="U190" s="1" t="str">
        <f t="shared" si="9"/>
        <v>DOS</v>
      </c>
      <c r="V190" s="1" t="s">
        <v>127</v>
      </c>
      <c r="W190" s="1" t="str">
        <f t="shared" si="10"/>
        <v>2.29 kg</v>
      </c>
      <c r="X190" s="1" t="s">
        <v>78</v>
      </c>
      <c r="Y190" s="1" t="str">
        <f t="shared" si="11"/>
        <v>1 Year</v>
      </c>
      <c r="Z190" s="4">
        <v>46999</v>
      </c>
      <c r="AA190" s="1" t="s">
        <v>79</v>
      </c>
    </row>
    <row r="191" spans="1:27" ht="15.75" customHeight="1" x14ac:dyDescent="0.35">
      <c r="A191" s="1" t="s">
        <v>151</v>
      </c>
      <c r="B191" s="1" t="str">
        <f t="shared" si="16"/>
        <v>Lenovo</v>
      </c>
      <c r="C191" s="1" t="s">
        <v>389</v>
      </c>
      <c r="D191" s="1" t="str">
        <f t="shared" si="1"/>
        <v>LOQ 15ARP9</v>
      </c>
      <c r="E191" s="1" t="str">
        <f t="array" aca="1" ref="E191" ca="1">IFERROR(
INDEX(Family_Map!$B$2:$B$35,
_xludf.AGGREGATE(14,6,(ROW(Family_Map!$A$2:$A$35)-ROW(Family_Map!$A$2)+1)/(ISNUMBER(SEARCH(Family_Map!$A$2:$A$35,D191))),1)
),
"Other")</f>
        <v>Other</v>
      </c>
      <c r="F191" s="1" t="s">
        <v>408</v>
      </c>
      <c r="G191" s="1" t="e">
        <f t="shared" ca="1" si="2"/>
        <v>#NAME?</v>
      </c>
      <c r="H191" s="1" t="str">
        <f t="shared" ca="1" si="12"/>
        <v>Other</v>
      </c>
      <c r="I191" s="1" t="s">
        <v>410</v>
      </c>
      <c r="J191" s="1" t="str">
        <f t="shared" si="3"/>
        <v>8GB</v>
      </c>
      <c r="K191" s="1" t="s">
        <v>1188</v>
      </c>
      <c r="L191" s="1">
        <f t="shared" si="17"/>
        <v>16</v>
      </c>
      <c r="M191" s="1" t="s">
        <v>156</v>
      </c>
      <c r="N191" s="1" t="str">
        <f t="shared" si="5"/>
        <v>512GB</v>
      </c>
      <c r="O191" s="1" t="str">
        <f t="shared" si="6"/>
        <v>512GB</v>
      </c>
      <c r="P191" s="1" t="s">
        <v>120</v>
      </c>
      <c r="Q191" s="1" t="str">
        <f t="shared" si="7"/>
        <v>1920x1080</v>
      </c>
      <c r="R191" s="1" t="s">
        <v>75</v>
      </c>
      <c r="S191" s="1" t="str">
        <f t="shared" si="8"/>
        <v>144Hz</v>
      </c>
      <c r="T191" s="1" t="s">
        <v>90</v>
      </c>
      <c r="U191" s="1" t="str">
        <f t="shared" si="9"/>
        <v>Windows 11 Home</v>
      </c>
      <c r="V191" s="1" t="s">
        <v>398</v>
      </c>
      <c r="W191" s="1" t="str">
        <f t="shared" si="10"/>
        <v>2.38 kg</v>
      </c>
      <c r="X191" s="1" t="s">
        <v>78</v>
      </c>
      <c r="Y191" s="1" t="str">
        <f t="shared" si="11"/>
        <v>1 Year</v>
      </c>
      <c r="Z191" s="4">
        <v>60650</v>
      </c>
      <c r="AA191" s="1" t="s">
        <v>5735</v>
      </c>
    </row>
    <row r="192" spans="1:27" ht="15.75" customHeight="1" x14ac:dyDescent="0.35">
      <c r="A192" s="1" t="s">
        <v>151</v>
      </c>
      <c r="B192" s="1" t="str">
        <f t="shared" si="16"/>
        <v>Lenovo</v>
      </c>
      <c r="C192" s="1" t="s">
        <v>568</v>
      </c>
      <c r="D192" s="1" t="str">
        <f t="shared" si="1"/>
        <v>LOQ 15IRX9</v>
      </c>
      <c r="E192" s="1" t="str">
        <f t="array" aca="1" ref="E192" ca="1">IFERROR(
INDEX(Family_Map!$B$2:$B$35,
_xludf.AGGREGATE(14,6,(ROW(Family_Map!$A$2:$A$35)-ROW(Family_Map!$A$2)+1)/(ISNUMBER(SEARCH(Family_Map!$A$2:$A$35,D192))),1)
),
"Other")</f>
        <v>Other</v>
      </c>
      <c r="F192" s="1" t="s">
        <v>746</v>
      </c>
      <c r="G192" s="1" t="e">
        <f t="shared" ca="1" si="2"/>
        <v>#NAME?</v>
      </c>
      <c r="H192" s="1" t="str">
        <f t="shared" ca="1" si="12"/>
        <v>Other</v>
      </c>
      <c r="I192" s="1" t="s">
        <v>410</v>
      </c>
      <c r="J192" s="1" t="str">
        <f t="shared" si="3"/>
        <v>8GB</v>
      </c>
      <c r="K192" s="1" t="s">
        <v>155</v>
      </c>
      <c r="L192" s="1">
        <f t="shared" si="17"/>
        <v>16</v>
      </c>
      <c r="M192" s="1" t="s">
        <v>156</v>
      </c>
      <c r="N192" s="1" t="str">
        <f t="shared" si="5"/>
        <v>512GB</v>
      </c>
      <c r="O192" s="1" t="str">
        <f t="shared" si="6"/>
        <v>512GB</v>
      </c>
      <c r="P192" s="1" t="s">
        <v>120</v>
      </c>
      <c r="Q192" s="1" t="str">
        <f t="shared" si="7"/>
        <v>1920x1080</v>
      </c>
      <c r="R192" s="1" t="s">
        <v>75</v>
      </c>
      <c r="S192" s="1" t="str">
        <f t="shared" si="8"/>
        <v>144Hz</v>
      </c>
      <c r="T192" s="1" t="s">
        <v>90</v>
      </c>
      <c r="U192" s="1" t="str">
        <f t="shared" si="9"/>
        <v>Windows 11 Home</v>
      </c>
      <c r="V192" s="1" t="s">
        <v>398</v>
      </c>
      <c r="W192" s="1" t="str">
        <f t="shared" si="10"/>
        <v>2.38 kg</v>
      </c>
      <c r="X192" s="1" t="s">
        <v>78</v>
      </c>
      <c r="Y192" s="1" t="str">
        <f t="shared" si="11"/>
        <v>1 Year</v>
      </c>
      <c r="Z192" s="4">
        <v>53499</v>
      </c>
      <c r="AA192" s="1" t="s">
        <v>79</v>
      </c>
    </row>
    <row r="193" spans="1:27" ht="15.75" customHeight="1" x14ac:dyDescent="0.35">
      <c r="A193" s="1" t="s">
        <v>30</v>
      </c>
      <c r="B193" s="1" t="str">
        <f t="shared" si="16"/>
        <v>MSI</v>
      </c>
      <c r="C193" s="1" t="s">
        <v>1191</v>
      </c>
      <c r="D193" s="1" t="str">
        <f t="shared" si="1"/>
        <v>Sword 17 HX B14VGKG</v>
      </c>
      <c r="E193" s="1" t="str">
        <f t="array" aca="1" ref="E193" ca="1">IFERROR(
INDEX(Family_Map!$B$2:$B$35,
_xludf.AGGREGATE(14,6,(ROW(Family_Map!$A$2:$A$35)-ROW(Family_Map!$A$2)+1)/(ISNUMBER(SEARCH(Family_Map!$A$2:$A$35,D193))),1)
),
"Other")</f>
        <v>Other</v>
      </c>
      <c r="F193" s="1" t="s">
        <v>1144</v>
      </c>
      <c r="G193" s="1" t="e">
        <f t="shared" ca="1" si="2"/>
        <v>#NAME?</v>
      </c>
      <c r="H193" s="1" t="str">
        <f t="shared" ca="1" si="12"/>
        <v>Other</v>
      </c>
      <c r="I193" s="1" t="s">
        <v>410</v>
      </c>
      <c r="J193" s="1" t="str">
        <f t="shared" si="3"/>
        <v>8GB</v>
      </c>
      <c r="K193" s="1" t="s">
        <v>53</v>
      </c>
      <c r="L193" s="1">
        <f t="shared" si="17"/>
        <v>16</v>
      </c>
      <c r="M193" s="1" t="s">
        <v>54</v>
      </c>
      <c r="N193" s="1" t="str">
        <f t="shared" si="5"/>
        <v>1TB</v>
      </c>
      <c r="O193" s="1" t="str">
        <f t="shared" si="6"/>
        <v>1024GB</v>
      </c>
      <c r="P193" s="1" t="s">
        <v>89</v>
      </c>
      <c r="Q193" s="1" t="str">
        <f t="shared" si="7"/>
        <v>2560x1600</v>
      </c>
      <c r="R193" s="1" t="s">
        <v>256</v>
      </c>
      <c r="S193" s="1" t="str">
        <f t="shared" si="8"/>
        <v>240Hz</v>
      </c>
      <c r="T193" s="1" t="s">
        <v>90</v>
      </c>
      <c r="U193" s="1" t="str">
        <f t="shared" si="9"/>
        <v>Windows 11 Home</v>
      </c>
      <c r="V193" s="1" t="s">
        <v>1196</v>
      </c>
      <c r="W193" s="1" t="str">
        <f t="shared" si="10"/>
        <v>2.6 kg</v>
      </c>
      <c r="X193" s="1" t="s">
        <v>165</v>
      </c>
      <c r="Y193" s="1" t="str">
        <f t="shared" si="11"/>
        <v>2 Years</v>
      </c>
      <c r="Z193" s="4">
        <v>88888</v>
      </c>
      <c r="AA193" s="1" t="s">
        <v>65</v>
      </c>
    </row>
    <row r="194" spans="1:27" ht="15.75" customHeight="1" x14ac:dyDescent="0.35">
      <c r="A194" s="1" t="s">
        <v>30</v>
      </c>
      <c r="B194" s="1" t="str">
        <f t="shared" si="16"/>
        <v>MSI</v>
      </c>
      <c r="C194" s="1" t="s">
        <v>1199</v>
      </c>
      <c r="D194" s="1" t="str">
        <f t="shared" si="1"/>
        <v>Katana 15 B13VFK</v>
      </c>
      <c r="E194" s="1" t="str">
        <f t="array" aca="1" ref="E194" ca="1">IFERROR(
INDEX(Family_Map!$B$2:$B$35,
_xludf.AGGREGATE(14,6,(ROW(Family_Map!$A$2:$A$35)-ROW(Family_Map!$A$2)+1)/(ISNUMBER(SEARCH(Family_Map!$A$2:$A$35,D194))),1)
),
"Other")</f>
        <v>Other</v>
      </c>
      <c r="F194" s="1" t="s">
        <v>1200</v>
      </c>
      <c r="G194" s="1" t="e">
        <f t="shared" ca="1" si="2"/>
        <v>#NAME?</v>
      </c>
      <c r="H194" s="1" t="str">
        <f t="shared" ca="1" si="12"/>
        <v>Other</v>
      </c>
      <c r="I194" s="1" t="s">
        <v>410</v>
      </c>
      <c r="J194" s="1" t="str">
        <f t="shared" si="3"/>
        <v>8GB</v>
      </c>
      <c r="K194" s="1" t="s">
        <v>1201</v>
      </c>
      <c r="L194" s="1">
        <f t="shared" si="17"/>
        <v>32</v>
      </c>
      <c r="M194" s="1" t="s">
        <v>54</v>
      </c>
      <c r="N194" s="1" t="str">
        <f t="shared" si="5"/>
        <v>1TB</v>
      </c>
      <c r="O194" s="1" t="str">
        <f t="shared" si="6"/>
        <v>1024GB</v>
      </c>
      <c r="P194" s="1" t="s">
        <v>56</v>
      </c>
      <c r="Q194" s="1" t="str">
        <f t="shared" si="7"/>
        <v>2560x1440</v>
      </c>
      <c r="R194" s="1" t="s">
        <v>57</v>
      </c>
      <c r="S194" s="1" t="str">
        <f t="shared" si="8"/>
        <v>165Hz</v>
      </c>
      <c r="T194" s="1" t="s">
        <v>101</v>
      </c>
      <c r="U194" s="1" t="str">
        <f t="shared" si="9"/>
        <v>DOS</v>
      </c>
      <c r="V194" s="1" t="s">
        <v>1196</v>
      </c>
      <c r="W194" s="1" t="str">
        <f t="shared" si="10"/>
        <v>2.6 kg</v>
      </c>
      <c r="X194" s="1" t="s">
        <v>165</v>
      </c>
      <c r="Y194" s="1" t="str">
        <f t="shared" si="11"/>
        <v>2 Years</v>
      </c>
      <c r="Z194" s="4">
        <v>68422</v>
      </c>
      <c r="AA194" s="1" t="s">
        <v>79</v>
      </c>
    </row>
    <row r="195" spans="1:27" ht="15.75" customHeight="1" x14ac:dyDescent="0.35">
      <c r="A195" s="1" t="s">
        <v>30</v>
      </c>
      <c r="B195" s="1" t="str">
        <f t="shared" si="16"/>
        <v>MSI</v>
      </c>
      <c r="C195" s="1" t="s">
        <v>1203</v>
      </c>
      <c r="D195" s="1" t="str">
        <f t="shared" si="1"/>
        <v>CYBORG 15 A13UDX</v>
      </c>
      <c r="E195" s="1" t="str">
        <f t="array" aca="1" ref="E195" ca="1">IFERROR(
INDEX(Family_Map!$B$2:$B$35,
_xludf.AGGREGATE(14,6,(ROW(Family_Map!$A$2:$A$35)-ROW(Family_Map!$A$2)+1)/(ISNUMBER(SEARCH(Family_Map!$A$2:$A$35,D195))),1)
),
"Other")</f>
        <v>Other</v>
      </c>
      <c r="F195" s="1" t="s">
        <v>1204</v>
      </c>
      <c r="G195" s="1" t="e">
        <f t="shared" ca="1" si="2"/>
        <v>#NAME?</v>
      </c>
      <c r="H195" s="1" t="str">
        <f t="shared" ca="1" si="12"/>
        <v>Other</v>
      </c>
      <c r="I195" s="1" t="s">
        <v>70</v>
      </c>
      <c r="J195" s="1" t="str">
        <f t="shared" si="3"/>
        <v>6GB</v>
      </c>
      <c r="K195" s="1" t="s">
        <v>1205</v>
      </c>
      <c r="L195" s="1">
        <f t="shared" si="17"/>
        <v>16</v>
      </c>
      <c r="M195" s="1" t="s">
        <v>1206</v>
      </c>
      <c r="N195" s="1" t="str">
        <f t="shared" si="5"/>
        <v>512GB</v>
      </c>
      <c r="O195" s="1" t="str">
        <f t="shared" si="6"/>
        <v>512GB</v>
      </c>
      <c r="P195" s="1" t="s">
        <v>74</v>
      </c>
      <c r="Q195" s="1" t="str">
        <f t="shared" si="7"/>
        <v>1920x1080</v>
      </c>
      <c r="R195" s="1" t="s">
        <v>75</v>
      </c>
      <c r="S195" s="1" t="str">
        <f t="shared" si="8"/>
        <v>144Hz</v>
      </c>
      <c r="T195" s="1" t="s">
        <v>101</v>
      </c>
      <c r="U195" s="1" t="str">
        <f t="shared" si="9"/>
        <v>DOS</v>
      </c>
      <c r="V195" s="1" t="s">
        <v>781</v>
      </c>
      <c r="W195" s="1" t="str">
        <f t="shared" si="10"/>
        <v>1.98 kg</v>
      </c>
      <c r="X195" s="1" t="s">
        <v>78</v>
      </c>
      <c r="Y195" s="1" t="str">
        <f t="shared" si="11"/>
        <v>1 Year</v>
      </c>
      <c r="Z195" s="4">
        <v>36499</v>
      </c>
      <c r="AA195" s="1" t="s">
        <v>79</v>
      </c>
    </row>
    <row r="196" spans="1:27" ht="15.75" customHeight="1" x14ac:dyDescent="0.35">
      <c r="A196" s="1" t="s">
        <v>30</v>
      </c>
      <c r="B196" s="1" t="str">
        <f t="shared" si="16"/>
        <v>MSI</v>
      </c>
      <c r="C196" s="1" t="s">
        <v>1211</v>
      </c>
      <c r="D196" s="1" t="str">
        <f t="shared" si="1"/>
        <v>Sword 16 HX B13VFKG</v>
      </c>
      <c r="E196" s="1" t="str">
        <f t="array" aca="1" ref="E196" ca="1">IFERROR(
INDEX(Family_Map!$B$2:$B$35,
_xludf.AGGREGATE(14,6,(ROW(Family_Map!$A$2:$A$35)-ROW(Family_Map!$A$2)+1)/(ISNUMBER(SEARCH(Family_Map!$A$2:$A$35,D196))),1)
),
"Other")</f>
        <v>Other</v>
      </c>
      <c r="F196" s="1" t="s">
        <v>1212</v>
      </c>
      <c r="G196" s="1" t="e">
        <f t="shared" ca="1" si="2"/>
        <v>#NAME?</v>
      </c>
      <c r="H196" s="1" t="str">
        <f t="shared" ca="1" si="12"/>
        <v>Other</v>
      </c>
      <c r="I196" s="1" t="s">
        <v>1214</v>
      </c>
      <c r="J196" s="1" t="str">
        <f t="shared" si="3"/>
        <v>6 8GB</v>
      </c>
      <c r="K196" s="1" t="s">
        <v>1215</v>
      </c>
      <c r="L196" s="1">
        <f t="shared" si="17"/>
        <v>16</v>
      </c>
      <c r="M196" s="1" t="s">
        <v>382</v>
      </c>
      <c r="N196" s="1" t="str">
        <f t="shared" si="5"/>
        <v>512GB</v>
      </c>
      <c r="O196" s="1" t="str">
        <f t="shared" si="6"/>
        <v>512GB</v>
      </c>
      <c r="P196" s="1" t="s">
        <v>275</v>
      </c>
      <c r="Q196" s="1" t="str">
        <f t="shared" si="7"/>
        <v>1920x1200</v>
      </c>
      <c r="R196" s="1" t="s">
        <v>75</v>
      </c>
      <c r="S196" s="1" t="str">
        <f t="shared" si="8"/>
        <v>144Hz</v>
      </c>
      <c r="T196" s="1" t="s">
        <v>90</v>
      </c>
      <c r="U196" s="1" t="str">
        <f t="shared" si="9"/>
        <v>Windows 11 Home</v>
      </c>
      <c r="V196" s="1" t="s">
        <v>503</v>
      </c>
      <c r="W196" s="1" t="str">
        <f t="shared" si="10"/>
        <v>2.3 kg</v>
      </c>
      <c r="X196" s="1" t="s">
        <v>48</v>
      </c>
      <c r="Y196" s="1" t="str">
        <f t="shared" si="11"/>
        <v>2 Years</v>
      </c>
      <c r="Z196" s="4">
        <v>57877</v>
      </c>
      <c r="AA196" s="1" t="s">
        <v>79</v>
      </c>
    </row>
    <row r="197" spans="1:27" ht="15.75" customHeight="1" x14ac:dyDescent="0.35">
      <c r="A197" s="1" t="s">
        <v>30</v>
      </c>
      <c r="B197" s="1" t="str">
        <f t="shared" si="16"/>
        <v>MSI</v>
      </c>
      <c r="C197" s="1" t="s">
        <v>1217</v>
      </c>
      <c r="D197" s="1" t="str">
        <f t="shared" si="1"/>
        <v>Vector 16 HX A14VHG</v>
      </c>
      <c r="E197" s="1" t="str">
        <f t="array" aca="1" ref="E197" ca="1">IFERROR(
INDEX(Family_Map!$B$2:$B$35,
_xludf.AGGREGATE(14,6,(ROW(Family_Map!$A$2:$A$35)-ROW(Family_Map!$A$2)+1)/(ISNUMBER(SEARCH(Family_Map!$A$2:$A$35,D197))),1)
),
"Other")</f>
        <v>Other</v>
      </c>
      <c r="F197" s="1" t="s">
        <v>384</v>
      </c>
      <c r="G197" s="1" t="e">
        <f t="shared" ca="1" si="2"/>
        <v>#NAME?</v>
      </c>
      <c r="H197" s="1" t="str">
        <f t="shared" ca="1" si="12"/>
        <v>Other</v>
      </c>
      <c r="I197" s="1" t="s">
        <v>1048</v>
      </c>
      <c r="J197" s="1" t="str">
        <f t="shared" si="3"/>
        <v>12GB</v>
      </c>
      <c r="K197" s="1" t="s">
        <v>321</v>
      </c>
      <c r="L197" s="1">
        <f t="shared" si="17"/>
        <v>32</v>
      </c>
      <c r="M197" s="1" t="s">
        <v>1219</v>
      </c>
      <c r="N197" s="1" t="str">
        <f t="shared" si="5"/>
        <v>1TB</v>
      </c>
      <c r="O197" s="1" t="str">
        <f t="shared" si="6"/>
        <v>1024GB</v>
      </c>
      <c r="P197" s="1" t="s">
        <v>89</v>
      </c>
      <c r="Q197" s="1" t="str">
        <f t="shared" si="7"/>
        <v>2560x1600</v>
      </c>
      <c r="R197" s="1" t="s">
        <v>256</v>
      </c>
      <c r="S197" s="1" t="str">
        <f t="shared" si="8"/>
        <v>240Hz</v>
      </c>
      <c r="T197" s="1" t="s">
        <v>90</v>
      </c>
      <c r="U197" s="1" t="str">
        <f t="shared" si="9"/>
        <v>Windows 11 Home</v>
      </c>
      <c r="V197" s="1" t="s">
        <v>537</v>
      </c>
      <c r="W197" s="1" t="str">
        <f t="shared" si="10"/>
        <v>2.7 kg</v>
      </c>
      <c r="X197" s="1" t="s">
        <v>339</v>
      </c>
      <c r="Y197" s="1" t="str">
        <f t="shared" si="11"/>
        <v>2 Years</v>
      </c>
      <c r="Z197" s="4">
        <v>129999</v>
      </c>
      <c r="AA197" s="1" t="s">
        <v>65</v>
      </c>
    </row>
    <row r="198" spans="1:27" ht="15.75" customHeight="1" x14ac:dyDescent="0.35">
      <c r="A198" s="1" t="s">
        <v>30</v>
      </c>
      <c r="B198" s="1" t="str">
        <f t="shared" si="16"/>
        <v>MSI</v>
      </c>
      <c r="C198" s="1" t="s">
        <v>891</v>
      </c>
      <c r="D198" s="1" t="str">
        <f t="shared" si="1"/>
        <v>Thin 15 B13UCX</v>
      </c>
      <c r="E198" s="1" t="str">
        <f t="array" aca="1" ref="E198" ca="1">IFERROR(
INDEX(Family_Map!$B$2:$B$35,
_xludf.AGGREGATE(14,6,(ROW(Family_Map!$A$2:$A$35)-ROW(Family_Map!$A$2)+1)/(ISNUMBER(SEARCH(Family_Map!$A$2:$A$35,D198))),1)
),
"Other")</f>
        <v>Other</v>
      </c>
      <c r="F198" s="1" t="s">
        <v>655</v>
      </c>
      <c r="G198" s="1" t="e">
        <f t="shared" ca="1" si="2"/>
        <v>#NAME?</v>
      </c>
      <c r="H198" s="1" t="str">
        <f t="shared" ca="1" si="12"/>
        <v>Other</v>
      </c>
      <c r="I198" s="1" t="s">
        <v>507</v>
      </c>
      <c r="J198" s="1" t="str">
        <f t="shared" si="3"/>
        <v>4GB</v>
      </c>
      <c r="K198" s="1" t="s">
        <v>656</v>
      </c>
      <c r="L198" s="1">
        <f t="shared" si="17"/>
        <v>16</v>
      </c>
      <c r="M198" s="1" t="s">
        <v>894</v>
      </c>
      <c r="N198" s="1" t="str">
        <f t="shared" si="5"/>
        <v>512GB</v>
      </c>
      <c r="O198" s="1" t="str">
        <f t="shared" si="6"/>
        <v>512GB</v>
      </c>
      <c r="P198" s="1" t="s">
        <v>896</v>
      </c>
      <c r="Q198" s="1" t="str">
        <f t="shared" si="7"/>
        <v>1920x1080</v>
      </c>
      <c r="R198" s="1" t="s">
        <v>75</v>
      </c>
      <c r="S198" s="1" t="str">
        <f t="shared" si="8"/>
        <v>144Hz</v>
      </c>
      <c r="T198" s="1" t="s">
        <v>101</v>
      </c>
      <c r="U198" s="1" t="str">
        <f t="shared" si="9"/>
        <v>DOS</v>
      </c>
      <c r="V198" s="1" t="s">
        <v>376</v>
      </c>
      <c r="W198" s="1" t="str">
        <f t="shared" si="10"/>
        <v>1.86 kg</v>
      </c>
      <c r="X198" s="1" t="s">
        <v>48</v>
      </c>
      <c r="Y198" s="1" t="str">
        <f t="shared" si="11"/>
        <v>2 Years</v>
      </c>
      <c r="Z198" s="4">
        <v>33399</v>
      </c>
      <c r="AA198" s="1" t="s">
        <v>79</v>
      </c>
    </row>
    <row r="199" spans="1:27" ht="15.75" customHeight="1" x14ac:dyDescent="0.35">
      <c r="A199" s="1" t="s">
        <v>30</v>
      </c>
      <c r="B199" s="1" t="str">
        <f t="shared" si="16"/>
        <v>MSI</v>
      </c>
      <c r="C199" s="1" t="s">
        <v>1221</v>
      </c>
      <c r="D199" s="1" t="str">
        <f t="shared" si="1"/>
        <v>Pulse 17 AI C1VGKG</v>
      </c>
      <c r="E199" s="1" t="str">
        <f t="array" aca="1" ref="E199" ca="1">IFERROR(
INDEX(Family_Map!$B$2:$B$35,
_xludf.AGGREGATE(14,6,(ROW(Family_Map!$A$2:$A$35)-ROW(Family_Map!$A$2)+1)/(ISNUMBER(SEARCH(Family_Map!$A$2:$A$35,D199))),1)
),
"Other")</f>
        <v>Other</v>
      </c>
      <c r="F199" s="1" t="s">
        <v>1222</v>
      </c>
      <c r="G199" s="1" t="e">
        <f t="shared" ca="1" si="2"/>
        <v>#NAME?</v>
      </c>
      <c r="H199" s="1" t="str">
        <f t="shared" ca="1" si="12"/>
        <v>Other</v>
      </c>
      <c r="I199" s="1" t="s">
        <v>1224</v>
      </c>
      <c r="J199" s="1" t="str">
        <f t="shared" si="3"/>
        <v>8GB</v>
      </c>
      <c r="K199" s="1" t="s">
        <v>1225</v>
      </c>
      <c r="L199" s="1">
        <f t="shared" si="17"/>
        <v>16</v>
      </c>
      <c r="M199" s="1" t="s">
        <v>54</v>
      </c>
      <c r="N199" s="1" t="str">
        <f t="shared" si="5"/>
        <v>1TB</v>
      </c>
      <c r="O199" s="1" t="str">
        <f t="shared" si="6"/>
        <v>1024GB</v>
      </c>
      <c r="P199" s="1" t="s">
        <v>224</v>
      </c>
      <c r="Q199" s="1" t="str">
        <f t="shared" si="7"/>
        <v>2560x1600</v>
      </c>
      <c r="R199" s="1" t="s">
        <v>256</v>
      </c>
      <c r="S199" s="1" t="str">
        <f t="shared" si="8"/>
        <v>240Hz</v>
      </c>
      <c r="T199" s="1" t="s">
        <v>90</v>
      </c>
      <c r="U199" s="1" t="str">
        <f t="shared" si="9"/>
        <v>Windows 11 Home</v>
      </c>
      <c r="V199" s="1" t="s">
        <v>1227</v>
      </c>
      <c r="W199" s="1" t="str">
        <f t="shared" si="10"/>
        <v>2.8 kg</v>
      </c>
      <c r="X199" s="1" t="s">
        <v>48</v>
      </c>
      <c r="Y199" s="1" t="str">
        <f t="shared" si="11"/>
        <v>2 Years</v>
      </c>
      <c r="Z199" s="4">
        <v>102000</v>
      </c>
      <c r="AA199" s="1" t="s">
        <v>5735</v>
      </c>
    </row>
    <row r="200" spans="1:27" ht="15.75" customHeight="1" x14ac:dyDescent="0.35">
      <c r="A200" s="1" t="s">
        <v>30</v>
      </c>
      <c r="B200" s="1" t="str">
        <f t="shared" si="16"/>
        <v>MSI</v>
      </c>
      <c r="C200" s="1" t="s">
        <v>1228</v>
      </c>
      <c r="D200" s="1" t="str">
        <f t="shared" si="1"/>
        <v>Raider 18 HX A14VIG</v>
      </c>
      <c r="E200" s="1" t="str">
        <f t="array" aca="1" ref="E200" ca="1">IFERROR(
INDEX(Family_Map!$B$2:$B$35,
_xludf.AGGREGATE(14,6,(ROW(Family_Map!$A$2:$A$35)-ROW(Family_Map!$A$2)+1)/(ISNUMBER(SEARCH(Family_Map!$A$2:$A$35,D200))),1)
),
"Other")</f>
        <v>Other</v>
      </c>
      <c r="F200" s="1" t="s">
        <v>50</v>
      </c>
      <c r="G200" s="1" t="e">
        <f t="shared" ca="1" si="2"/>
        <v>#NAME?</v>
      </c>
      <c r="H200" s="1" t="str">
        <f t="shared" ca="1" si="12"/>
        <v>Other</v>
      </c>
      <c r="I200" s="1" t="s">
        <v>552</v>
      </c>
      <c r="J200" s="1" t="str">
        <f t="shared" si="3"/>
        <v>16GB</v>
      </c>
      <c r="K200" s="1" t="s">
        <v>1230</v>
      </c>
      <c r="L200" s="1">
        <f t="shared" si="17"/>
        <v>32</v>
      </c>
      <c r="M200" s="1" t="s">
        <v>1231</v>
      </c>
      <c r="N200" s="1" t="str">
        <f t="shared" si="5"/>
        <v>2TB</v>
      </c>
      <c r="O200" s="1" t="str">
        <f t="shared" si="6"/>
        <v>2048GB</v>
      </c>
      <c r="P200" s="1" t="s">
        <v>224</v>
      </c>
      <c r="Q200" s="1" t="str">
        <f t="shared" si="7"/>
        <v>2560x1600</v>
      </c>
      <c r="R200" s="1" t="s">
        <v>256</v>
      </c>
      <c r="S200" s="1" t="str">
        <f t="shared" si="8"/>
        <v>240Hz</v>
      </c>
      <c r="T200" s="1" t="s">
        <v>90</v>
      </c>
      <c r="U200" s="1" t="str">
        <f t="shared" si="9"/>
        <v>Windows 11 Home</v>
      </c>
      <c r="V200" s="1" t="s">
        <v>46</v>
      </c>
      <c r="W200" s="1" t="str">
        <f t="shared" si="10"/>
        <v>3.6 kg</v>
      </c>
      <c r="X200" s="1" t="s">
        <v>339</v>
      </c>
      <c r="Y200" s="1" t="str">
        <f t="shared" si="11"/>
        <v>2 Years</v>
      </c>
      <c r="Z200" s="4">
        <v>176499</v>
      </c>
      <c r="AA200" s="1" t="s">
        <v>65</v>
      </c>
    </row>
    <row r="201" spans="1:27" ht="15.75" customHeight="1" x14ac:dyDescent="0.35">
      <c r="A201" s="1" t="s">
        <v>112</v>
      </c>
      <c r="B201" s="1" t="str">
        <f t="shared" si="16"/>
        <v>HP</v>
      </c>
      <c r="C201" s="1" t="s">
        <v>1235</v>
      </c>
      <c r="D201" s="1" t="str">
        <f t="shared" si="1"/>
        <v>​HP Victus 15-FA1038NE</v>
      </c>
      <c r="E201" s="1" t="str">
        <f t="array" aca="1" ref="E201" ca="1">IFERROR(
INDEX(Family_Map!$B$2:$B$35,
_xludf.AGGREGATE(14,6,(ROW(Family_Map!$A$2:$A$35)-ROW(Family_Map!$A$2)+1)/(ISNUMBER(SEARCH(Family_Map!$A$2:$A$35,D201))),1)
),
"Other")</f>
        <v>Other</v>
      </c>
      <c r="F201" s="1" t="s">
        <v>402</v>
      </c>
      <c r="G201" s="1" t="e">
        <f t="shared" ca="1" si="2"/>
        <v>#NAME?</v>
      </c>
      <c r="H201" s="1" t="str">
        <f t="shared" ca="1" si="12"/>
        <v>Other</v>
      </c>
      <c r="I201" s="1" t="s">
        <v>116</v>
      </c>
      <c r="J201" s="1" t="str">
        <f t="shared" si="3"/>
        <v>6 GB</v>
      </c>
      <c r="K201" s="1" t="s">
        <v>491</v>
      </c>
      <c r="L201" s="1">
        <f t="shared" si="17"/>
        <v>16</v>
      </c>
      <c r="M201" s="1" t="s">
        <v>118</v>
      </c>
      <c r="N201" s="1" t="str">
        <f t="shared" si="5"/>
        <v>512 GB</v>
      </c>
      <c r="O201" s="1" t="str">
        <f t="shared" si="6"/>
        <v>512 GB</v>
      </c>
      <c r="P201" s="1" t="s">
        <v>120</v>
      </c>
      <c r="Q201" s="1" t="str">
        <f t="shared" si="7"/>
        <v>1920x1080</v>
      </c>
      <c r="R201" s="1" t="s">
        <v>75</v>
      </c>
      <c r="S201" s="1" t="str">
        <f t="shared" si="8"/>
        <v>144Hz</v>
      </c>
      <c r="T201" s="1" t="s">
        <v>101</v>
      </c>
      <c r="U201" s="1" t="str">
        <f t="shared" si="9"/>
        <v>DOS</v>
      </c>
      <c r="V201" s="1" t="s">
        <v>127</v>
      </c>
      <c r="W201" s="1" t="str">
        <f t="shared" si="10"/>
        <v>2.29 kg</v>
      </c>
      <c r="X201" s="1" t="s">
        <v>78</v>
      </c>
      <c r="Y201" s="1" t="str">
        <f t="shared" si="11"/>
        <v>1 Year</v>
      </c>
      <c r="Z201" s="4">
        <v>43999</v>
      </c>
      <c r="AA201" s="1" t="s">
        <v>79</v>
      </c>
    </row>
    <row r="202" spans="1:27" ht="15.75" customHeight="1" x14ac:dyDescent="0.35">
      <c r="A202" s="1" t="s">
        <v>112</v>
      </c>
      <c r="B202" s="1" t="str">
        <f t="shared" si="16"/>
        <v>HP</v>
      </c>
      <c r="C202" s="1" t="s">
        <v>1237</v>
      </c>
      <c r="D202" s="1" t="str">
        <f t="shared" si="1"/>
        <v>Victus 15-FB1004NE</v>
      </c>
      <c r="E202" s="1" t="str">
        <f t="array" aca="1" ref="E202" ca="1">IFERROR(
INDEX(Family_Map!$B$2:$B$35,
_xludf.AGGREGATE(14,6,(ROW(Family_Map!$A$2:$A$35)-ROW(Family_Map!$A$2)+1)/(ISNUMBER(SEARCH(Family_Map!$A$2:$A$35,D202))),1)
),
"Other")</f>
        <v>Other</v>
      </c>
      <c r="F202" s="1" t="s">
        <v>1238</v>
      </c>
      <c r="G202" s="1" t="e">
        <f t="shared" ca="1" si="2"/>
        <v>#NAME?</v>
      </c>
      <c r="H202" s="1" t="str">
        <f t="shared" ca="1" si="12"/>
        <v>Other</v>
      </c>
      <c r="I202" s="1" t="s">
        <v>507</v>
      </c>
      <c r="J202" s="1" t="str">
        <f t="shared" si="3"/>
        <v>4GB</v>
      </c>
      <c r="K202" s="1" t="s">
        <v>1239</v>
      </c>
      <c r="L202" s="1">
        <f t="shared" si="17"/>
        <v>16</v>
      </c>
      <c r="M202" s="1" t="s">
        <v>610</v>
      </c>
      <c r="N202" s="1" t="str">
        <f t="shared" si="5"/>
        <v>512GB</v>
      </c>
      <c r="O202" s="1" t="str">
        <f t="shared" si="6"/>
        <v>512GB</v>
      </c>
      <c r="P202" s="1" t="s">
        <v>120</v>
      </c>
      <c r="Q202" s="1" t="str">
        <f t="shared" si="7"/>
        <v>1920x1080</v>
      </c>
      <c r="R202" s="1" t="s">
        <v>75</v>
      </c>
      <c r="S202" s="1" t="str">
        <f t="shared" si="8"/>
        <v>144Hz</v>
      </c>
      <c r="T202" s="1" t="s">
        <v>90</v>
      </c>
      <c r="U202" s="1" t="str">
        <f t="shared" si="9"/>
        <v>Windows 11 Home</v>
      </c>
      <c r="V202" s="1" t="s">
        <v>127</v>
      </c>
      <c r="W202" s="1" t="str">
        <f t="shared" si="10"/>
        <v>2.29 kg</v>
      </c>
      <c r="X202" s="1" t="s">
        <v>78</v>
      </c>
      <c r="Y202" s="1" t="str">
        <f t="shared" si="11"/>
        <v>1 Year</v>
      </c>
      <c r="Z202" s="4">
        <v>29999</v>
      </c>
      <c r="AA202" s="1" t="s">
        <v>5735</v>
      </c>
    </row>
    <row r="203" spans="1:27" ht="15.75" customHeight="1" x14ac:dyDescent="0.35">
      <c r="A203" s="1" t="s">
        <v>81</v>
      </c>
      <c r="B203" s="1" t="str">
        <f t="shared" si="16"/>
        <v>Dell</v>
      </c>
      <c r="C203" s="1" t="s">
        <v>1244</v>
      </c>
      <c r="D203" s="1" t="str">
        <f t="shared" si="1"/>
        <v>Inspiron 16 Plus 7630</v>
      </c>
      <c r="E203" s="1" t="str">
        <f t="array" aca="1" ref="E203" ca="1">IFERROR(
INDEX(Family_Map!$B$2:$B$35,
_xludf.AGGREGATE(14,6,(ROW(Family_Map!$A$2:$A$35)-ROW(Family_Map!$A$2)+1)/(ISNUMBER(SEARCH(Family_Map!$A$2:$A$35,D203))),1)
),
"Other")</f>
        <v>Other</v>
      </c>
      <c r="F203" s="1" t="s">
        <v>114</v>
      </c>
      <c r="G203" s="1" t="e">
        <f t="shared" ca="1" si="2"/>
        <v>#NAME?</v>
      </c>
      <c r="H203" s="1" t="str">
        <f t="shared" ca="1" si="12"/>
        <v>Other</v>
      </c>
      <c r="I203" s="1" t="s">
        <v>116</v>
      </c>
      <c r="J203" s="1" t="str">
        <f t="shared" si="3"/>
        <v>6 GB</v>
      </c>
      <c r="K203" s="1" t="s">
        <v>1245</v>
      </c>
      <c r="L203" s="1">
        <f t="shared" si="17"/>
        <v>16</v>
      </c>
      <c r="M203" s="1" t="s">
        <v>1246</v>
      </c>
      <c r="N203" s="1" t="str">
        <f t="shared" si="5"/>
        <v>2 TB</v>
      </c>
      <c r="O203" s="1" t="str">
        <f t="shared" si="6"/>
        <v>2048GB</v>
      </c>
      <c r="P203" s="1" t="s">
        <v>224</v>
      </c>
      <c r="Q203" s="1" t="str">
        <f t="shared" si="7"/>
        <v>2560x1600</v>
      </c>
      <c r="R203" s="1" t="s">
        <v>111</v>
      </c>
      <c r="S203" s="1" t="str">
        <f t="shared" si="8"/>
        <v>120Hz</v>
      </c>
      <c r="T203" s="1" t="s">
        <v>555</v>
      </c>
      <c r="U203" s="1" t="str">
        <f t="shared" si="9"/>
        <v>Windows 11 Home</v>
      </c>
      <c r="V203" s="1" t="s">
        <v>1251</v>
      </c>
      <c r="W203" s="1" t="str">
        <f t="shared" si="10"/>
        <v>2.06 kg</v>
      </c>
      <c r="X203" s="1" t="s">
        <v>78</v>
      </c>
      <c r="Y203" s="1" t="str">
        <f t="shared" si="11"/>
        <v>1 Year</v>
      </c>
      <c r="Z203" s="4">
        <v>52499</v>
      </c>
      <c r="AA203" s="1" t="s">
        <v>79</v>
      </c>
    </row>
    <row r="204" spans="1:27" ht="15.75" customHeight="1" x14ac:dyDescent="0.35">
      <c r="A204" s="1" t="s">
        <v>234</v>
      </c>
      <c r="B204" s="1" t="str">
        <f t="shared" si="16"/>
        <v>ASUS</v>
      </c>
      <c r="C204" s="1" t="s">
        <v>1254</v>
      </c>
      <c r="D204" s="1" t="str">
        <f t="shared" si="1"/>
        <v>Vivobook 16X K3605VV-N1116W</v>
      </c>
      <c r="E204" s="1" t="str">
        <f t="array" aca="1" ref="E204" ca="1">IFERROR(
INDEX(Family_Map!$B$2:$B$35,
_xludf.AGGREGATE(14,6,(ROW(Family_Map!$A$2:$A$35)-ROW(Family_Map!$A$2)+1)/(ISNUMBER(SEARCH(Family_Map!$A$2:$A$35,D204))),1)
),
"Other")</f>
        <v>Other</v>
      </c>
      <c r="F204" s="1" t="s">
        <v>402</v>
      </c>
      <c r="G204" s="1" t="e">
        <f t="shared" ca="1" si="2"/>
        <v>#NAME?</v>
      </c>
      <c r="H204" s="1" t="str">
        <f t="shared" ca="1" si="12"/>
        <v>Other</v>
      </c>
      <c r="I204" s="1" t="s">
        <v>410</v>
      </c>
      <c r="J204" s="1" t="str">
        <f t="shared" si="3"/>
        <v>8GB</v>
      </c>
      <c r="K204" s="1" t="s">
        <v>1255</v>
      </c>
      <c r="L204" s="1">
        <f t="shared" si="17"/>
        <v>16</v>
      </c>
      <c r="M204" s="1" t="s">
        <v>1120</v>
      </c>
      <c r="N204" s="1" t="str">
        <f t="shared" si="5"/>
        <v>512GB</v>
      </c>
      <c r="O204" s="1" t="str">
        <f t="shared" si="6"/>
        <v>512GB</v>
      </c>
      <c r="P204" s="1" t="s">
        <v>275</v>
      </c>
      <c r="Q204" s="1" t="str">
        <f t="shared" si="7"/>
        <v>1920x1200</v>
      </c>
      <c r="R204" s="1" t="s">
        <v>39</v>
      </c>
      <c r="S204" s="1" t="str">
        <f t="shared" si="8"/>
        <v>120Hz</v>
      </c>
      <c r="T204" s="1" t="s">
        <v>90</v>
      </c>
      <c r="U204" s="1" t="str">
        <f t="shared" si="9"/>
        <v>Windows 11 Home</v>
      </c>
      <c r="V204" s="1" t="s">
        <v>636</v>
      </c>
      <c r="W204" s="1" t="str">
        <f t="shared" si="10"/>
        <v>1.8 kg</v>
      </c>
      <c r="X204" s="1" t="s">
        <v>78</v>
      </c>
      <c r="Y204" s="1" t="str">
        <f t="shared" si="11"/>
        <v>1 Year</v>
      </c>
      <c r="Z204" s="4">
        <v>49999</v>
      </c>
      <c r="AA204" s="1" t="s">
        <v>79</v>
      </c>
    </row>
    <row r="205" spans="1:27" ht="15.75" customHeight="1" x14ac:dyDescent="0.35">
      <c r="A205" s="1" t="s">
        <v>234</v>
      </c>
      <c r="B205" s="1" t="str">
        <f t="shared" si="16"/>
        <v>ASUS</v>
      </c>
      <c r="C205" s="1" t="s">
        <v>1262</v>
      </c>
      <c r="D205" s="1" t="str">
        <f t="shared" si="1"/>
        <v>TUF Gaming A15 FA507NVR-LP007W</v>
      </c>
      <c r="E205" s="1" t="str">
        <f t="array" aca="1" ref="E205" ca="1">IFERROR(
INDEX(Family_Map!$B$2:$B$35,
_xludf.AGGREGATE(14,6,(ROW(Family_Map!$A$2:$A$35)-ROW(Family_Map!$A$2)+1)/(ISNUMBER(SEARCH(Family_Map!$A$2:$A$35,D205))),1)
),
"Other")</f>
        <v>Other</v>
      </c>
      <c r="F205" s="1" t="s">
        <v>408</v>
      </c>
      <c r="G205" s="1" t="e">
        <f t="shared" ca="1" si="2"/>
        <v>#NAME?</v>
      </c>
      <c r="H205" s="1" t="str">
        <f t="shared" ca="1" si="12"/>
        <v>Other</v>
      </c>
      <c r="I205" s="1" t="s">
        <v>410</v>
      </c>
      <c r="J205" s="1" t="str">
        <f t="shared" si="3"/>
        <v>8GB</v>
      </c>
      <c r="K205" s="1" t="s">
        <v>1264</v>
      </c>
      <c r="L205" s="1">
        <f t="shared" si="17"/>
        <v>16</v>
      </c>
      <c r="M205" s="1" t="s">
        <v>295</v>
      </c>
      <c r="N205" s="1" t="str">
        <f t="shared" si="5"/>
        <v>512GB</v>
      </c>
      <c r="O205" s="1" t="str">
        <f t="shared" si="6"/>
        <v>512GB</v>
      </c>
      <c r="P205" s="1" t="s">
        <v>120</v>
      </c>
      <c r="Q205" s="1" t="str">
        <f t="shared" si="7"/>
        <v>1920x1080</v>
      </c>
      <c r="R205" s="1" t="s">
        <v>75</v>
      </c>
      <c r="S205" s="1" t="str">
        <f t="shared" si="8"/>
        <v>144Hz</v>
      </c>
      <c r="T205" s="1" t="s">
        <v>90</v>
      </c>
      <c r="U205" s="1" t="str">
        <f t="shared" si="9"/>
        <v>Windows 11 Home</v>
      </c>
      <c r="V205" s="1" t="s">
        <v>300</v>
      </c>
      <c r="W205" s="1" t="str">
        <f t="shared" si="10"/>
        <v>2.2 kg</v>
      </c>
      <c r="X205" s="1" t="s">
        <v>78</v>
      </c>
      <c r="Y205" s="1" t="str">
        <f t="shared" si="11"/>
        <v>1 Year</v>
      </c>
      <c r="Z205" s="4">
        <v>47299</v>
      </c>
      <c r="AA205" s="1" t="s">
        <v>5735</v>
      </c>
    </row>
    <row r="206" spans="1:27" ht="15.75" customHeight="1" x14ac:dyDescent="0.35">
      <c r="A206" s="1" t="s">
        <v>234</v>
      </c>
      <c r="B206" s="1" t="str">
        <f t="shared" si="16"/>
        <v>ASUS</v>
      </c>
      <c r="C206" s="1" t="s">
        <v>1270</v>
      </c>
      <c r="D206" s="1" t="str">
        <f t="shared" si="1"/>
        <v>TUF Gaming F15 FX507VU-LP163W</v>
      </c>
      <c r="E206" s="1" t="str">
        <f t="array" aca="1" ref="E206" ca="1">IFERROR(
INDEX(Family_Map!$B$2:$B$35,
_xludf.AGGREGATE(14,6,(ROW(Family_Map!$A$2:$A$35)-ROW(Family_Map!$A$2)+1)/(ISNUMBER(SEARCH(Family_Map!$A$2:$A$35,D206))),1)
),
"Other")</f>
        <v>Other</v>
      </c>
      <c r="F206" s="1" t="s">
        <v>806</v>
      </c>
      <c r="G206" s="1" t="e">
        <f t="shared" ca="1" si="2"/>
        <v>#NAME?</v>
      </c>
      <c r="H206" s="1" t="str">
        <f t="shared" ca="1" si="12"/>
        <v>Other</v>
      </c>
      <c r="I206" s="1" t="s">
        <v>70</v>
      </c>
      <c r="J206" s="1" t="str">
        <f t="shared" si="3"/>
        <v>6GB</v>
      </c>
      <c r="K206" s="1" t="s">
        <v>1271</v>
      </c>
      <c r="L206" s="1">
        <f t="shared" si="17"/>
        <v>16</v>
      </c>
      <c r="M206" s="1" t="s">
        <v>295</v>
      </c>
      <c r="N206" s="1" t="str">
        <f t="shared" si="5"/>
        <v>512GB</v>
      </c>
      <c r="O206" s="1" t="str">
        <f t="shared" si="6"/>
        <v>512GB</v>
      </c>
      <c r="P206" s="1" t="s">
        <v>120</v>
      </c>
      <c r="Q206" s="1" t="str">
        <f t="shared" si="7"/>
        <v>1920x1080</v>
      </c>
      <c r="R206" s="1" t="s">
        <v>75</v>
      </c>
      <c r="S206" s="1" t="str">
        <f t="shared" si="8"/>
        <v>144Hz</v>
      </c>
      <c r="T206" s="1" t="s">
        <v>90</v>
      </c>
      <c r="U206" s="1" t="str">
        <f t="shared" si="9"/>
        <v>Windows 11 Home</v>
      </c>
      <c r="V206" s="1" t="s">
        <v>300</v>
      </c>
      <c r="W206" s="1" t="str">
        <f t="shared" si="10"/>
        <v>2.2 kg</v>
      </c>
      <c r="X206" s="1" t="s">
        <v>78</v>
      </c>
      <c r="Y206" s="1" t="str">
        <f t="shared" si="11"/>
        <v>1 Year</v>
      </c>
      <c r="Z206" s="4">
        <v>47777</v>
      </c>
      <c r="AA206" s="1" t="s">
        <v>79</v>
      </c>
    </row>
    <row r="207" spans="1:27" ht="15.75" customHeight="1" x14ac:dyDescent="0.35">
      <c r="A207" s="1" t="s">
        <v>234</v>
      </c>
      <c r="B207" s="1" t="str">
        <f t="shared" si="16"/>
        <v>ASUS</v>
      </c>
      <c r="C207" s="1" t="s">
        <v>1276</v>
      </c>
      <c r="D207" s="1" t="str">
        <f t="shared" si="1"/>
        <v>TUF Gaming F15 FX507VV-LP156W</v>
      </c>
      <c r="E207" s="1" t="str">
        <f t="array" aca="1" ref="E207" ca="1">IFERROR(
INDEX(Family_Map!$B$2:$B$35,
_xludf.AGGREGATE(14,6,(ROW(Family_Map!$A$2:$A$35)-ROW(Family_Map!$A$2)+1)/(ISNUMBER(SEARCH(Family_Map!$A$2:$A$35,D207))),1)
),
"Other")</f>
        <v>Other</v>
      </c>
      <c r="F207" s="1" t="s">
        <v>806</v>
      </c>
      <c r="G207" s="1" t="e">
        <f t="shared" ca="1" si="2"/>
        <v>#NAME?</v>
      </c>
      <c r="H207" s="1" t="str">
        <f t="shared" ca="1" si="12"/>
        <v>Other</v>
      </c>
      <c r="I207" s="1" t="s">
        <v>410</v>
      </c>
      <c r="J207" s="1" t="str">
        <f t="shared" si="3"/>
        <v>8GB</v>
      </c>
      <c r="K207" s="1" t="s">
        <v>1277</v>
      </c>
      <c r="L207" s="1">
        <f t="shared" si="17"/>
        <v>16</v>
      </c>
      <c r="M207" s="1" t="s">
        <v>239</v>
      </c>
      <c r="N207" s="1" t="str">
        <f t="shared" si="5"/>
        <v>1TB</v>
      </c>
      <c r="O207" s="1" t="str">
        <f t="shared" si="6"/>
        <v>1024GB</v>
      </c>
      <c r="P207" s="1" t="s">
        <v>120</v>
      </c>
      <c r="Q207" s="1" t="str">
        <f t="shared" si="7"/>
        <v>1920x1080</v>
      </c>
      <c r="R207" s="1" t="s">
        <v>75</v>
      </c>
      <c r="S207" s="1" t="str">
        <f t="shared" si="8"/>
        <v>144Hz</v>
      </c>
      <c r="T207" s="1" t="s">
        <v>90</v>
      </c>
      <c r="U207" s="1" t="str">
        <f t="shared" si="9"/>
        <v>Windows 11 Home</v>
      </c>
      <c r="V207" s="1" t="s">
        <v>300</v>
      </c>
      <c r="W207" s="1" t="str">
        <f t="shared" si="10"/>
        <v>2.2 kg</v>
      </c>
      <c r="X207" s="1" t="s">
        <v>78</v>
      </c>
      <c r="Y207" s="1" t="str">
        <f t="shared" si="11"/>
        <v>1 Year</v>
      </c>
      <c r="Z207" s="4">
        <v>52999</v>
      </c>
      <c r="AA207" s="1" t="s">
        <v>79</v>
      </c>
    </row>
    <row r="208" spans="1:27" ht="15.75" customHeight="1" x14ac:dyDescent="0.35">
      <c r="A208" s="1" t="s">
        <v>112</v>
      </c>
      <c r="B208" s="1" t="str">
        <f t="shared" si="16"/>
        <v>HP</v>
      </c>
      <c r="C208" s="1" t="s">
        <v>1281</v>
      </c>
      <c r="D208" s="1" t="str">
        <f t="shared" si="1"/>
        <v>Omen 16-WF0083</v>
      </c>
      <c r="E208" s="1" t="str">
        <f t="array" aca="1" ref="E208" ca="1">IFERROR(
INDEX(Family_Map!$B$2:$B$35,
_xludf.AGGREGATE(14,6,(ROW(Family_Map!$A$2:$A$35)-ROW(Family_Map!$A$2)+1)/(ISNUMBER(SEARCH(Family_Map!$A$2:$A$35,D208))),1)
),
"Other")</f>
        <v>Other</v>
      </c>
      <c r="F208" s="1" t="s">
        <v>1282</v>
      </c>
      <c r="G208" s="1" t="e">
        <f t="shared" ca="1" si="2"/>
        <v>#NAME?</v>
      </c>
      <c r="H208" s="1" t="str">
        <f t="shared" ca="1" si="12"/>
        <v>Other</v>
      </c>
      <c r="I208" s="1" t="s">
        <v>540</v>
      </c>
      <c r="J208" s="1" t="str">
        <f t="shared" si="3"/>
        <v>8 GB</v>
      </c>
      <c r="K208" s="1" t="s">
        <v>707</v>
      </c>
      <c r="L208" s="1">
        <f t="shared" si="17"/>
        <v>16</v>
      </c>
      <c r="M208" s="1" t="s">
        <v>735</v>
      </c>
      <c r="N208" s="1" t="str">
        <f t="shared" si="5"/>
        <v>1 TB</v>
      </c>
      <c r="O208" s="1" t="str">
        <f t="shared" si="6"/>
        <v>1024GB</v>
      </c>
      <c r="P208" s="1" t="s">
        <v>120</v>
      </c>
      <c r="Q208" s="1" t="str">
        <f t="shared" si="7"/>
        <v>1920x1080</v>
      </c>
      <c r="R208" s="1" t="s">
        <v>57</v>
      </c>
      <c r="S208" s="1" t="str">
        <f t="shared" si="8"/>
        <v>165Hz</v>
      </c>
      <c r="T208" s="1" t="s">
        <v>201</v>
      </c>
      <c r="U208" s="1" t="str">
        <f t="shared" si="9"/>
        <v>Windows 11 Home</v>
      </c>
      <c r="V208" s="1" t="s">
        <v>1285</v>
      </c>
      <c r="W208" s="1" t="str">
        <f t="shared" si="10"/>
        <v>4.28 kg</v>
      </c>
      <c r="X208" s="1" t="s">
        <v>78</v>
      </c>
      <c r="Y208" s="1" t="str">
        <f t="shared" si="11"/>
        <v>1 Year</v>
      </c>
      <c r="Z208" s="4">
        <v>72999</v>
      </c>
      <c r="AA208" s="1" t="s">
        <v>79</v>
      </c>
    </row>
    <row r="209" spans="1:27" ht="15.75" customHeight="1" x14ac:dyDescent="0.35">
      <c r="A209" s="1" t="s">
        <v>234</v>
      </c>
      <c r="B209" s="1" t="str">
        <f t="shared" si="16"/>
        <v>ASUS</v>
      </c>
      <c r="C209" s="1" t="s">
        <v>1288</v>
      </c>
      <c r="D209" s="1" t="str">
        <f t="shared" si="1"/>
        <v>TUF Gaming F15 FX507VV-LP314</v>
      </c>
      <c r="E209" s="1" t="str">
        <f t="array" aca="1" ref="E209" ca="1">IFERROR(
INDEX(Family_Map!$B$2:$B$35,
_xludf.AGGREGATE(14,6,(ROW(Family_Map!$A$2:$A$35)-ROW(Family_Map!$A$2)+1)/(ISNUMBER(SEARCH(Family_Map!$A$2:$A$35,D209))),1)
),
"Other")</f>
        <v>Other</v>
      </c>
      <c r="F209" s="1" t="s">
        <v>806</v>
      </c>
      <c r="G209" s="1" t="e">
        <f t="shared" ca="1" si="2"/>
        <v>#NAME?</v>
      </c>
      <c r="H209" s="1" t="str">
        <f t="shared" ca="1" si="12"/>
        <v>Other</v>
      </c>
      <c r="I209" s="1" t="s">
        <v>410</v>
      </c>
      <c r="J209" s="1" t="str">
        <f t="shared" si="3"/>
        <v>8GB</v>
      </c>
      <c r="K209" s="1" t="s">
        <v>1289</v>
      </c>
      <c r="L209" s="1">
        <f t="shared" si="17"/>
        <v>16</v>
      </c>
      <c r="M209" s="1" t="s">
        <v>1120</v>
      </c>
      <c r="N209" s="1" t="str">
        <f t="shared" si="5"/>
        <v>512GB</v>
      </c>
      <c r="O209" s="1" t="str">
        <f t="shared" si="6"/>
        <v>512GB</v>
      </c>
      <c r="P209" s="1" t="s">
        <v>120</v>
      </c>
      <c r="Q209" s="1" t="str">
        <f t="shared" si="7"/>
        <v>1920x1080</v>
      </c>
      <c r="R209" s="1" t="s">
        <v>75</v>
      </c>
      <c r="S209" s="1" t="str">
        <f t="shared" si="8"/>
        <v>144Hz</v>
      </c>
      <c r="T209" s="1" t="s">
        <v>101</v>
      </c>
      <c r="U209" s="1" t="str">
        <f t="shared" si="9"/>
        <v>DOS</v>
      </c>
      <c r="V209" s="1" t="s">
        <v>300</v>
      </c>
      <c r="W209" s="1" t="str">
        <f t="shared" si="10"/>
        <v>2.2 kg</v>
      </c>
      <c r="X209" s="1" t="s">
        <v>78</v>
      </c>
      <c r="Y209" s="1" t="str">
        <f t="shared" si="11"/>
        <v>1 Year</v>
      </c>
      <c r="Z209" s="4">
        <v>52999</v>
      </c>
      <c r="AA209" s="1" t="s">
        <v>79</v>
      </c>
    </row>
    <row r="210" spans="1:27" ht="15.75" customHeight="1" x14ac:dyDescent="0.35">
      <c r="A210" s="1" t="s">
        <v>30</v>
      </c>
      <c r="B210" s="1" t="str">
        <f t="shared" si="16"/>
        <v>MSI</v>
      </c>
      <c r="C210" s="1" t="s">
        <v>1290</v>
      </c>
      <c r="D210" s="1" t="str">
        <f t="shared" si="1"/>
        <v>Katana 15 B13VGK-484</v>
      </c>
      <c r="E210" s="1" t="str">
        <f t="array" aca="1" ref="E210" ca="1">IFERROR(
INDEX(Family_Map!$B$2:$B$35,
_xludf.AGGREGATE(14,6,(ROW(Family_Map!$A$2:$A$35)-ROW(Family_Map!$A$2)+1)/(ISNUMBER(SEARCH(Family_Map!$A$2:$A$35,D210))),1)
),
"Other")</f>
        <v>Other</v>
      </c>
      <c r="F210" s="1" t="s">
        <v>114</v>
      </c>
      <c r="G210" s="1" t="e">
        <f t="shared" ca="1" si="2"/>
        <v>#NAME?</v>
      </c>
      <c r="H210" s="1" t="str">
        <f t="shared" ca="1" si="12"/>
        <v>Other</v>
      </c>
      <c r="I210" s="1" t="s">
        <v>1292</v>
      </c>
      <c r="J210" s="1" t="str">
        <f t="shared" si="3"/>
        <v>8GB</v>
      </c>
      <c r="K210" s="1" t="s">
        <v>656</v>
      </c>
      <c r="L210" s="1">
        <f t="shared" si="17"/>
        <v>16</v>
      </c>
      <c r="M210" s="1" t="s">
        <v>1293</v>
      </c>
      <c r="N210" s="1" t="str">
        <f t="shared" si="5"/>
        <v>1TB</v>
      </c>
      <c r="O210" s="1" t="str">
        <f t="shared" si="6"/>
        <v>1024GB</v>
      </c>
      <c r="P210" s="1" t="s">
        <v>74</v>
      </c>
      <c r="Q210" s="1" t="str">
        <f t="shared" si="7"/>
        <v>1920x1080</v>
      </c>
      <c r="R210" s="1" t="s">
        <v>75</v>
      </c>
      <c r="S210" s="1" t="str">
        <f t="shared" si="8"/>
        <v>144Hz</v>
      </c>
      <c r="T210" s="1" t="s">
        <v>201</v>
      </c>
      <c r="U210" s="1" t="str">
        <f t="shared" si="9"/>
        <v>Windows 11 Home</v>
      </c>
      <c r="V210" s="1" t="s">
        <v>1299</v>
      </c>
      <c r="W210" s="1" t="str">
        <f t="shared" si="10"/>
        <v>2.24 kg</v>
      </c>
      <c r="X210" s="1" t="s">
        <v>78</v>
      </c>
      <c r="Y210" s="1" t="str">
        <f t="shared" si="11"/>
        <v>1 Year</v>
      </c>
      <c r="Z210" s="4">
        <v>68999</v>
      </c>
      <c r="AA210" s="1" t="s">
        <v>79</v>
      </c>
    </row>
    <row r="211" spans="1:27" ht="15.75" customHeight="1" x14ac:dyDescent="0.35">
      <c r="A211" s="1" t="s">
        <v>30</v>
      </c>
      <c r="B211" s="1" t="str">
        <f t="shared" si="16"/>
        <v>MSI</v>
      </c>
      <c r="C211" s="1" t="s">
        <v>1300</v>
      </c>
      <c r="D211" s="1" t="str">
        <f t="shared" si="1"/>
        <v>Katana 15 B13VFK-817</v>
      </c>
      <c r="E211" s="1" t="str">
        <f t="array" aca="1" ref="E211" ca="1">IFERROR(
INDEX(Family_Map!$B$2:$B$35,
_xludf.AGGREGATE(14,6,(ROW(Family_Map!$A$2:$A$35)-ROW(Family_Map!$A$2)+1)/(ISNUMBER(SEARCH(Family_Map!$A$2:$A$35,D211))),1)
),
"Other")</f>
        <v>Other</v>
      </c>
      <c r="F211" s="1" t="s">
        <v>114</v>
      </c>
      <c r="G211" s="1" t="e">
        <f t="shared" ca="1" si="2"/>
        <v>#NAME?</v>
      </c>
      <c r="H211" s="1" t="str">
        <f t="shared" ca="1" si="12"/>
        <v>Other</v>
      </c>
      <c r="I211" s="1" t="s">
        <v>1292</v>
      </c>
      <c r="J211" s="1" t="str">
        <f t="shared" si="3"/>
        <v>8GB</v>
      </c>
      <c r="K211" s="1" t="s">
        <v>656</v>
      </c>
      <c r="L211" s="1">
        <f t="shared" si="17"/>
        <v>16</v>
      </c>
      <c r="M211" s="1" t="s">
        <v>1293</v>
      </c>
      <c r="N211" s="1" t="str">
        <f t="shared" si="5"/>
        <v>1TB</v>
      </c>
      <c r="O211" s="1" t="str">
        <f t="shared" si="6"/>
        <v>1024GB</v>
      </c>
      <c r="P211" s="1" t="s">
        <v>74</v>
      </c>
      <c r="Q211" s="1" t="str">
        <f t="shared" si="7"/>
        <v>1920x1080</v>
      </c>
      <c r="R211" s="1" t="s">
        <v>75</v>
      </c>
      <c r="S211" s="1" t="str">
        <f t="shared" si="8"/>
        <v>144Hz</v>
      </c>
      <c r="T211" s="1" t="s">
        <v>201</v>
      </c>
      <c r="U211" s="1" t="str">
        <f t="shared" si="9"/>
        <v>Windows 11 Home</v>
      </c>
      <c r="V211" s="1" t="s">
        <v>1299</v>
      </c>
      <c r="W211" s="1" t="str">
        <f t="shared" si="10"/>
        <v>2.24 kg</v>
      </c>
      <c r="X211" s="1" t="s">
        <v>78</v>
      </c>
      <c r="Y211" s="1" t="str">
        <f t="shared" si="11"/>
        <v>1 Year</v>
      </c>
      <c r="Z211" s="4">
        <v>58888</v>
      </c>
      <c r="AA211" s="1" t="s">
        <v>79</v>
      </c>
    </row>
    <row r="212" spans="1:27" ht="15.75" customHeight="1" x14ac:dyDescent="0.35">
      <c r="A212" s="1" t="s">
        <v>151</v>
      </c>
      <c r="B212" s="1" t="str">
        <f t="shared" si="16"/>
        <v>Lenovo</v>
      </c>
      <c r="C212" s="1" t="s">
        <v>1123</v>
      </c>
      <c r="D212" s="1" t="str">
        <f t="shared" si="1"/>
        <v>Legion 5 16IRX9</v>
      </c>
      <c r="E212" s="1" t="str">
        <f t="array" aca="1" ref="E212" ca="1">IFERROR(
INDEX(Family_Map!$B$2:$B$35,
_xludf.AGGREGATE(14,6,(ROW(Family_Map!$A$2:$A$35)-ROW(Family_Map!$A$2)+1)/(ISNUMBER(SEARCH(Family_Map!$A$2:$A$35,D212))),1)
),
"Other")</f>
        <v>Other</v>
      </c>
      <c r="F212" s="1" t="s">
        <v>429</v>
      </c>
      <c r="G212" s="1" t="e">
        <f t="shared" ca="1" si="2"/>
        <v>#NAME?</v>
      </c>
      <c r="H212" s="1" t="str">
        <f t="shared" ca="1" si="12"/>
        <v>Other</v>
      </c>
      <c r="I212" s="1" t="s">
        <v>410</v>
      </c>
      <c r="J212" s="1" t="str">
        <f t="shared" si="3"/>
        <v>8GB</v>
      </c>
      <c r="K212" s="1" t="s">
        <v>221</v>
      </c>
      <c r="L212" s="1">
        <f t="shared" si="17"/>
        <v>16</v>
      </c>
      <c r="M212" s="1" t="s">
        <v>156</v>
      </c>
      <c r="N212" s="1" t="str">
        <f t="shared" si="5"/>
        <v>512GB</v>
      </c>
      <c r="O212" s="1" t="str">
        <f t="shared" si="6"/>
        <v>512GB</v>
      </c>
      <c r="P212" s="1" t="s">
        <v>89</v>
      </c>
      <c r="Q212" s="1" t="str">
        <f t="shared" si="7"/>
        <v>2560x1600</v>
      </c>
      <c r="R212" s="1" t="s">
        <v>57</v>
      </c>
      <c r="S212" s="1" t="str">
        <f t="shared" si="8"/>
        <v>165Hz</v>
      </c>
      <c r="T212" s="1" t="s">
        <v>90</v>
      </c>
      <c r="U212" s="1" t="str">
        <f t="shared" si="9"/>
        <v>Windows 11 Home</v>
      </c>
      <c r="V212" s="1" t="s">
        <v>1127</v>
      </c>
      <c r="W212" s="1" t="str">
        <f t="shared" si="10"/>
        <v>2.36 kg</v>
      </c>
      <c r="X212" s="1" t="s">
        <v>78</v>
      </c>
      <c r="Y212" s="1" t="str">
        <f t="shared" si="11"/>
        <v>1 Year</v>
      </c>
      <c r="Z212" s="4">
        <v>66899</v>
      </c>
      <c r="AA212" s="1" t="s">
        <v>65</v>
      </c>
    </row>
    <row r="213" spans="1:27" ht="15.75" customHeight="1" x14ac:dyDescent="0.35">
      <c r="A213" s="1" t="s">
        <v>30</v>
      </c>
      <c r="B213" s="1" t="str">
        <f t="shared" si="16"/>
        <v>MSI</v>
      </c>
      <c r="C213" s="1" t="s">
        <v>1307</v>
      </c>
      <c r="D213" s="1" t="str">
        <f t="shared" si="1"/>
        <v>Raider GE68 HX 14VGG</v>
      </c>
      <c r="E213" s="1" t="str">
        <f t="array" aca="1" ref="E213" ca="1">IFERROR(
INDEX(Family_Map!$B$2:$B$35,
_xludf.AGGREGATE(14,6,(ROW(Family_Map!$A$2:$A$35)-ROW(Family_Map!$A$2)+1)/(ISNUMBER(SEARCH(Family_Map!$A$2:$A$35,D213))),1)
),
"Other")</f>
        <v>Other</v>
      </c>
      <c r="F213" s="1" t="s">
        <v>384</v>
      </c>
      <c r="G213" s="1" t="e">
        <f t="shared" ca="1" si="2"/>
        <v>#NAME?</v>
      </c>
      <c r="H213" s="1" t="str">
        <f t="shared" ca="1" si="12"/>
        <v>Other</v>
      </c>
      <c r="I213" s="1" t="s">
        <v>1292</v>
      </c>
      <c r="J213" s="1" t="str">
        <f t="shared" si="3"/>
        <v>8GB</v>
      </c>
      <c r="K213" s="1" t="s">
        <v>321</v>
      </c>
      <c r="L213" s="1">
        <f t="shared" si="17"/>
        <v>32</v>
      </c>
      <c r="M213" s="1" t="s">
        <v>1293</v>
      </c>
      <c r="N213" s="1" t="str">
        <f t="shared" si="5"/>
        <v>1TB</v>
      </c>
      <c r="O213" s="1" t="str">
        <f t="shared" si="6"/>
        <v>1024GB</v>
      </c>
      <c r="P213" s="1" t="s">
        <v>1015</v>
      </c>
      <c r="Q213" s="1" t="str">
        <f t="shared" si="7"/>
        <v>1920x1200</v>
      </c>
      <c r="S213" s="1" t="str">
        <f t="shared" si="8"/>
        <v/>
      </c>
      <c r="T213" s="1" t="s">
        <v>201</v>
      </c>
      <c r="U213" s="1" t="str">
        <f t="shared" si="9"/>
        <v>Windows 11 Home</v>
      </c>
      <c r="V213" s="1" t="s">
        <v>1313</v>
      </c>
      <c r="W213" s="1" t="str">
        <f t="shared" si="10"/>
        <v>2.74 kg</v>
      </c>
      <c r="X213" s="1" t="s">
        <v>78</v>
      </c>
      <c r="Y213" s="1" t="str">
        <f t="shared" si="11"/>
        <v>1 Year</v>
      </c>
      <c r="Z213" s="4">
        <v>105000</v>
      </c>
      <c r="AA213" s="1" t="s">
        <v>65</v>
      </c>
    </row>
    <row r="214" spans="1:27" ht="15.75" customHeight="1" x14ac:dyDescent="0.35">
      <c r="A214" s="1" t="s">
        <v>81</v>
      </c>
      <c r="B214" s="1" t="str">
        <f t="shared" si="16"/>
        <v>Dell</v>
      </c>
      <c r="C214" s="1" t="s">
        <v>1314</v>
      </c>
      <c r="D214" s="1" t="str">
        <f t="shared" si="1"/>
        <v>Alienware m16 R2</v>
      </c>
      <c r="E214" s="1" t="str">
        <f t="array" aca="1" ref="E214" ca="1">IFERROR(
INDEX(Family_Map!$B$2:$B$35,
_xludf.AGGREGATE(14,6,(ROW(Family_Map!$A$2:$A$35)-ROW(Family_Map!$A$2)+1)/(ISNUMBER(SEARCH(Family_Map!$A$2:$A$35,D214))),1)
),
"Other")</f>
        <v>Other</v>
      </c>
      <c r="F214" s="1" t="s">
        <v>510</v>
      </c>
      <c r="G214" s="1" t="e">
        <f t="shared" ca="1" si="2"/>
        <v>#NAME?</v>
      </c>
      <c r="H214" s="1" t="str">
        <f t="shared" ca="1" si="12"/>
        <v>Other</v>
      </c>
      <c r="I214" s="1" t="s">
        <v>410</v>
      </c>
      <c r="J214" s="1" t="str">
        <f t="shared" si="3"/>
        <v>8GB</v>
      </c>
      <c r="K214" s="1" t="s">
        <v>1315</v>
      </c>
      <c r="L214" s="1">
        <f t="shared" si="17"/>
        <v>32</v>
      </c>
      <c r="M214" s="1" t="s">
        <v>871</v>
      </c>
      <c r="N214" s="1" t="str">
        <f t="shared" si="5"/>
        <v>1 TB</v>
      </c>
      <c r="O214" s="1" t="str">
        <f t="shared" si="6"/>
        <v>1024GB</v>
      </c>
      <c r="P214" s="1" t="s">
        <v>224</v>
      </c>
      <c r="Q214" s="1" t="str">
        <f t="shared" si="7"/>
        <v>2560x1600</v>
      </c>
      <c r="R214" s="1" t="s">
        <v>256</v>
      </c>
      <c r="S214" s="1" t="str">
        <f t="shared" si="8"/>
        <v>240Hz</v>
      </c>
      <c r="T214" s="1" t="s">
        <v>90</v>
      </c>
      <c r="U214" s="1" t="str">
        <f t="shared" si="9"/>
        <v>Windows 11 Home</v>
      </c>
      <c r="V214" s="1" t="s">
        <v>1321</v>
      </c>
      <c r="W214" s="1" t="str">
        <f t="shared" si="10"/>
        <v>2.61 kg</v>
      </c>
      <c r="X214" s="1" t="s">
        <v>78</v>
      </c>
      <c r="Y214" s="1" t="str">
        <f t="shared" si="11"/>
        <v>1 Year</v>
      </c>
      <c r="Z214" s="4">
        <v>125000</v>
      </c>
      <c r="AA214" s="1" t="s">
        <v>5735</v>
      </c>
    </row>
    <row r="215" spans="1:27" ht="15.75" customHeight="1" x14ac:dyDescent="0.35">
      <c r="A215" s="1" t="s">
        <v>234</v>
      </c>
      <c r="B215" s="1" t="str">
        <f t="shared" si="16"/>
        <v>ASUS</v>
      </c>
      <c r="C215" s="1" t="s">
        <v>1323</v>
      </c>
      <c r="D215" s="1" t="str">
        <f t="shared" si="1"/>
        <v>TUF Gaming F15 FX507VI-LP066W</v>
      </c>
      <c r="E215" s="1" t="str">
        <f t="array" aca="1" ref="E215" ca="1">IFERROR(
INDEX(Family_Map!$B$2:$B$35,
_xludf.AGGREGATE(14,6,(ROW(Family_Map!$A$2:$A$35)-ROW(Family_Map!$A$2)+1)/(ISNUMBER(SEARCH(Family_Map!$A$2:$A$35,D215))),1)
),
"Other")</f>
        <v>Other</v>
      </c>
      <c r="F215" s="1" t="s">
        <v>806</v>
      </c>
      <c r="G215" s="1" t="e">
        <f t="shared" ca="1" si="2"/>
        <v>#NAME?</v>
      </c>
      <c r="H215" s="1" t="str">
        <f t="shared" ca="1" si="12"/>
        <v>Other</v>
      </c>
      <c r="I215" s="1" t="s">
        <v>410</v>
      </c>
      <c r="J215" s="1" t="str">
        <f t="shared" si="3"/>
        <v>8GB</v>
      </c>
      <c r="K215" s="1" t="s">
        <v>1324</v>
      </c>
      <c r="L215" s="1">
        <f t="shared" si="17"/>
        <v>16</v>
      </c>
      <c r="M215" s="1" t="s">
        <v>1325</v>
      </c>
      <c r="N215" s="1" t="str">
        <f t="shared" si="5"/>
        <v>1TB</v>
      </c>
      <c r="O215" s="1" t="str">
        <f t="shared" si="6"/>
        <v>1024GB</v>
      </c>
      <c r="P215" s="1" t="s">
        <v>120</v>
      </c>
      <c r="Q215" s="1" t="str">
        <f t="shared" si="7"/>
        <v>1920x1080</v>
      </c>
      <c r="R215" s="1" t="s">
        <v>75</v>
      </c>
      <c r="S215" s="1" t="str">
        <f t="shared" si="8"/>
        <v>144Hz</v>
      </c>
      <c r="T215" s="1" t="s">
        <v>90</v>
      </c>
      <c r="U215" s="1" t="str">
        <f t="shared" si="9"/>
        <v>Windows 11 Home</v>
      </c>
      <c r="V215" s="1" t="s">
        <v>300</v>
      </c>
      <c r="W215" s="1" t="str">
        <f t="shared" si="10"/>
        <v>2.2 kg</v>
      </c>
      <c r="X215" s="1" t="s">
        <v>78</v>
      </c>
      <c r="Y215" s="1" t="str">
        <f t="shared" si="11"/>
        <v>1 Year</v>
      </c>
      <c r="Z215" s="4">
        <v>64888</v>
      </c>
      <c r="AA215" s="1" t="s">
        <v>79</v>
      </c>
    </row>
    <row r="216" spans="1:27" ht="15.75" customHeight="1" x14ac:dyDescent="0.35">
      <c r="A216" s="1" t="s">
        <v>151</v>
      </c>
      <c r="B216" s="1" t="str">
        <f t="shared" si="16"/>
        <v>Lenovo</v>
      </c>
      <c r="C216" s="1" t="s">
        <v>1085</v>
      </c>
      <c r="D216" s="1" t="str">
        <f t="shared" si="1"/>
        <v>Legion Pro 5 16IRX8</v>
      </c>
      <c r="E216" s="1" t="str">
        <f t="array" aca="1" ref="E216" ca="1">IFERROR(
INDEX(Family_Map!$B$2:$B$35,
_xludf.AGGREGATE(14,6,(ROW(Family_Map!$A$2:$A$35)-ROW(Family_Map!$A$2)+1)/(ISNUMBER(SEARCH(Family_Map!$A$2:$A$35,D216))),1)
),
"Other")</f>
        <v>Other</v>
      </c>
      <c r="F216" s="1" t="s">
        <v>1053</v>
      </c>
      <c r="G216" s="1" t="e">
        <f t="shared" ca="1" si="2"/>
        <v>#NAME?</v>
      </c>
      <c r="H216" s="1" t="str">
        <f t="shared" ca="1" si="12"/>
        <v>Other</v>
      </c>
      <c r="I216" s="1" t="s">
        <v>410</v>
      </c>
      <c r="J216" s="1" t="str">
        <f t="shared" si="3"/>
        <v>8GB</v>
      </c>
      <c r="K216" s="1" t="s">
        <v>1188</v>
      </c>
      <c r="L216" s="1">
        <f t="shared" si="17"/>
        <v>16</v>
      </c>
      <c r="M216" s="1" t="s">
        <v>796</v>
      </c>
      <c r="N216" s="1" t="str">
        <f t="shared" si="5"/>
        <v>1TB</v>
      </c>
      <c r="O216" s="1" t="str">
        <f t="shared" si="6"/>
        <v>1024GB</v>
      </c>
      <c r="P216" s="1" t="s">
        <v>89</v>
      </c>
      <c r="Q216" s="1" t="str">
        <f t="shared" si="7"/>
        <v>2560x1600</v>
      </c>
      <c r="R216" s="1" t="s">
        <v>57</v>
      </c>
      <c r="S216" s="1" t="str">
        <f t="shared" si="8"/>
        <v>165Hz</v>
      </c>
      <c r="T216" s="1" t="s">
        <v>90</v>
      </c>
      <c r="U216" s="1" t="str">
        <f t="shared" si="9"/>
        <v>Windows 11 Home</v>
      </c>
      <c r="V216" s="1" t="s">
        <v>1091</v>
      </c>
      <c r="W216" s="1" t="str">
        <f t="shared" si="10"/>
        <v>2.55 kg</v>
      </c>
      <c r="X216" s="1" t="s">
        <v>78</v>
      </c>
      <c r="Y216" s="1" t="str">
        <f t="shared" si="11"/>
        <v>1 Year</v>
      </c>
      <c r="Z216" s="4">
        <v>91999</v>
      </c>
      <c r="AA216" s="1" t="s">
        <v>79</v>
      </c>
    </row>
    <row r="217" spans="1:27" ht="15.75" customHeight="1" x14ac:dyDescent="0.35">
      <c r="A217" s="1" t="s">
        <v>112</v>
      </c>
      <c r="B217" s="1" t="str">
        <f t="shared" si="16"/>
        <v>HP</v>
      </c>
      <c r="C217" s="1" t="s">
        <v>1333</v>
      </c>
      <c r="D217" s="1" t="str">
        <f t="shared" si="1"/>
        <v>Victus 15-fa1096ne</v>
      </c>
      <c r="E217" s="1" t="str">
        <f t="array" aca="1" ref="E217" ca="1">IFERROR(
INDEX(Family_Map!$B$2:$B$35,
_xludf.AGGREGATE(14,6,(ROW(Family_Map!$A$2:$A$35)-ROW(Family_Map!$A$2)+1)/(ISNUMBER(SEARCH(Family_Map!$A$2:$A$35,D217))),1)
),
"Other")</f>
        <v>Other</v>
      </c>
      <c r="F217" s="1" t="s">
        <v>402</v>
      </c>
      <c r="G217" s="1" t="e">
        <f t="shared" ca="1" si="2"/>
        <v>#NAME?</v>
      </c>
      <c r="H217" s="1" t="str">
        <f t="shared" ca="1" si="12"/>
        <v>Other</v>
      </c>
      <c r="I217" s="1" t="s">
        <v>116</v>
      </c>
      <c r="J217" s="1" t="str">
        <f t="shared" si="3"/>
        <v>6 GB</v>
      </c>
      <c r="K217" s="1" t="s">
        <v>1334</v>
      </c>
      <c r="L217" s="1">
        <f t="shared" si="17"/>
        <v>16</v>
      </c>
      <c r="M217" s="1" t="s">
        <v>118</v>
      </c>
      <c r="N217" s="1" t="str">
        <f t="shared" si="5"/>
        <v>512 GB</v>
      </c>
      <c r="O217" s="1" t="str">
        <f t="shared" si="6"/>
        <v>512 GB</v>
      </c>
      <c r="P217" s="1" t="s">
        <v>120</v>
      </c>
      <c r="Q217" s="1" t="str">
        <f t="shared" si="7"/>
        <v>1920x1080</v>
      </c>
      <c r="R217" s="1" t="s">
        <v>75</v>
      </c>
      <c r="S217" s="1" t="str">
        <f t="shared" si="8"/>
        <v>144Hz</v>
      </c>
      <c r="T217" s="1" t="s">
        <v>101</v>
      </c>
      <c r="U217" s="1" t="str">
        <f t="shared" si="9"/>
        <v>DOS</v>
      </c>
      <c r="V217" s="1" t="s">
        <v>127</v>
      </c>
      <c r="W217" s="1" t="str">
        <f t="shared" si="10"/>
        <v>2.29 kg</v>
      </c>
      <c r="X217" s="1" t="s">
        <v>78</v>
      </c>
      <c r="Y217" s="1" t="str">
        <f t="shared" si="11"/>
        <v>1 Year</v>
      </c>
      <c r="Z217" s="4">
        <v>45999</v>
      </c>
      <c r="AA217" s="1" t="s">
        <v>79</v>
      </c>
    </row>
    <row r="218" spans="1:27" ht="15.75" customHeight="1" x14ac:dyDescent="0.35">
      <c r="A218" s="1" t="s">
        <v>112</v>
      </c>
      <c r="B218" s="1" t="str">
        <f t="shared" si="16"/>
        <v>HP</v>
      </c>
      <c r="C218" s="1" t="s">
        <v>1185</v>
      </c>
      <c r="D218" s="1" t="str">
        <f t="shared" si="1"/>
        <v>Victus 15-fa1041ne</v>
      </c>
      <c r="E218" s="1" t="str">
        <f t="array" aca="1" ref="E218" ca="1">IFERROR(
INDEX(Family_Map!$B$2:$B$35,
_xludf.AGGREGATE(14,6,(ROW(Family_Map!$A$2:$A$35)-ROW(Family_Map!$A$2)+1)/(ISNUMBER(SEARCH(Family_Map!$A$2:$A$35,D218))),1)
),
"Other")</f>
        <v>Other</v>
      </c>
      <c r="F218" s="1" t="s">
        <v>754</v>
      </c>
      <c r="G218" s="1" t="e">
        <f t="shared" ca="1" si="2"/>
        <v>#NAME?</v>
      </c>
      <c r="H218" s="1" t="str">
        <f t="shared" ca="1" si="12"/>
        <v>Other</v>
      </c>
      <c r="I218" s="1" t="s">
        <v>116</v>
      </c>
      <c r="J218" s="1" t="str">
        <f t="shared" si="3"/>
        <v>6 GB</v>
      </c>
      <c r="K218" s="1" t="s">
        <v>440</v>
      </c>
      <c r="L218" s="1">
        <f t="shared" si="17"/>
        <v>8</v>
      </c>
      <c r="M218" s="1" t="s">
        <v>118</v>
      </c>
      <c r="N218" s="1" t="str">
        <f t="shared" si="5"/>
        <v>512 GB</v>
      </c>
      <c r="O218" s="1" t="str">
        <f t="shared" si="6"/>
        <v>512 GB</v>
      </c>
      <c r="P218" s="1" t="s">
        <v>120</v>
      </c>
      <c r="Q218" s="1" t="str">
        <f t="shared" si="7"/>
        <v>1920x1080</v>
      </c>
      <c r="R218" s="1" t="s">
        <v>75</v>
      </c>
      <c r="S218" s="1" t="str">
        <f t="shared" si="8"/>
        <v>144Hz</v>
      </c>
      <c r="T218" s="1" t="s">
        <v>101</v>
      </c>
      <c r="U218" s="1" t="str">
        <f t="shared" si="9"/>
        <v>DOS</v>
      </c>
      <c r="V218" s="1" t="s">
        <v>127</v>
      </c>
      <c r="W218" s="1" t="str">
        <f t="shared" si="10"/>
        <v>2.29 kg</v>
      </c>
      <c r="X218" s="1" t="s">
        <v>78</v>
      </c>
      <c r="Y218" s="1" t="str">
        <f t="shared" si="11"/>
        <v>1 Year</v>
      </c>
      <c r="Z218" s="4">
        <v>35000</v>
      </c>
      <c r="AA218" s="1" t="s">
        <v>79</v>
      </c>
    </row>
    <row r="219" spans="1:27" ht="15.75" customHeight="1" x14ac:dyDescent="0.35">
      <c r="A219" s="1" t="s">
        <v>151</v>
      </c>
      <c r="B219" s="1" t="str">
        <f t="shared" si="16"/>
        <v>Lenovo</v>
      </c>
      <c r="C219" s="1" t="s">
        <v>826</v>
      </c>
      <c r="D219" s="1" t="str">
        <f t="shared" si="1"/>
        <v>IdeaPad Gaming 3 15ACH6</v>
      </c>
      <c r="E219" s="1" t="str">
        <f t="array" aca="1" ref="E219" ca="1">IFERROR(
INDEX(Family_Map!$B$2:$B$35,
_xludf.AGGREGATE(14,6,(ROW(Family_Map!$A$2:$A$35)-ROW(Family_Map!$A$2)+1)/(ISNUMBER(SEARCH(Family_Map!$A$2:$A$35,D219))),1)
),
"Other")</f>
        <v>Other</v>
      </c>
      <c r="F219" s="1" t="s">
        <v>1338</v>
      </c>
      <c r="G219" s="1" t="e">
        <f t="shared" ca="1" si="2"/>
        <v>#NAME?</v>
      </c>
      <c r="H219" s="1" t="str">
        <f t="shared" ca="1" si="12"/>
        <v>Other</v>
      </c>
      <c r="I219" s="1" t="s">
        <v>507</v>
      </c>
      <c r="J219" s="1" t="str">
        <f t="shared" si="3"/>
        <v>4GB</v>
      </c>
      <c r="K219" s="1" t="s">
        <v>1339</v>
      </c>
      <c r="L219" s="1">
        <f t="shared" si="17"/>
        <v>8</v>
      </c>
      <c r="M219" s="1" t="s">
        <v>156</v>
      </c>
      <c r="N219" s="1" t="str">
        <f t="shared" si="5"/>
        <v>512GB</v>
      </c>
      <c r="O219" s="1" t="str">
        <f t="shared" si="6"/>
        <v>512GB</v>
      </c>
      <c r="P219" s="1" t="s">
        <v>74</v>
      </c>
      <c r="Q219" s="1" t="str">
        <f t="shared" si="7"/>
        <v>1920x1080</v>
      </c>
      <c r="R219" s="1" t="s">
        <v>75</v>
      </c>
      <c r="S219" s="1" t="str">
        <f t="shared" si="8"/>
        <v>144Hz</v>
      </c>
      <c r="T219" s="1" t="s">
        <v>101</v>
      </c>
      <c r="U219" s="1" t="str">
        <f t="shared" si="9"/>
        <v>DOS</v>
      </c>
      <c r="V219" s="1" t="s">
        <v>652</v>
      </c>
      <c r="W219" s="1" t="str">
        <f t="shared" si="10"/>
        <v>2.25 kg</v>
      </c>
      <c r="X219" s="1" t="s">
        <v>78</v>
      </c>
      <c r="Y219" s="1" t="str">
        <f t="shared" si="11"/>
        <v>1 Year</v>
      </c>
      <c r="Z219" s="4">
        <v>31399</v>
      </c>
      <c r="AA219" s="1" t="s">
        <v>5735</v>
      </c>
    </row>
    <row r="220" spans="1:27" ht="15.75" customHeight="1" x14ac:dyDescent="0.35">
      <c r="A220" s="1" t="s">
        <v>151</v>
      </c>
      <c r="B220" s="1" t="str">
        <f t="shared" si="16"/>
        <v>Lenovo</v>
      </c>
      <c r="C220" s="1" t="s">
        <v>568</v>
      </c>
      <c r="D220" s="1" t="str">
        <f t="shared" si="1"/>
        <v>LOQ 15IRX9</v>
      </c>
      <c r="E220" s="1" t="str">
        <f t="array" aca="1" ref="E220" ca="1">IFERROR(
INDEX(Family_Map!$B$2:$B$35,
_xludf.AGGREGATE(14,6,(ROW(Family_Map!$A$2:$A$35)-ROW(Family_Map!$A$2)+1)/(ISNUMBER(SEARCH(Family_Map!$A$2:$A$35,D220))),1)
),
"Other")</f>
        <v>Other</v>
      </c>
      <c r="F220" s="1" t="s">
        <v>746</v>
      </c>
      <c r="G220" s="1" t="e">
        <f t="shared" ca="1" si="2"/>
        <v>#NAME?</v>
      </c>
      <c r="H220" s="1" t="str">
        <f t="shared" ca="1" si="12"/>
        <v>Other</v>
      </c>
      <c r="I220" s="1" t="s">
        <v>410</v>
      </c>
      <c r="J220" s="1" t="str">
        <f t="shared" si="3"/>
        <v>8GB</v>
      </c>
      <c r="K220" s="1" t="s">
        <v>155</v>
      </c>
      <c r="L220" s="1">
        <f t="shared" si="17"/>
        <v>16</v>
      </c>
      <c r="M220" s="1" t="s">
        <v>156</v>
      </c>
      <c r="N220" s="1" t="str">
        <f t="shared" si="5"/>
        <v>512GB</v>
      </c>
      <c r="O220" s="1" t="str">
        <f t="shared" si="6"/>
        <v>512GB</v>
      </c>
      <c r="P220" s="1" t="s">
        <v>120</v>
      </c>
      <c r="Q220" s="1" t="str">
        <f t="shared" si="7"/>
        <v>1920x1080</v>
      </c>
      <c r="R220" s="1" t="s">
        <v>75</v>
      </c>
      <c r="S220" s="1" t="str">
        <f t="shared" si="8"/>
        <v>144Hz</v>
      </c>
      <c r="T220" s="1" t="s">
        <v>101</v>
      </c>
      <c r="U220" s="1" t="str">
        <f t="shared" si="9"/>
        <v>DOS</v>
      </c>
      <c r="V220" s="1" t="s">
        <v>398</v>
      </c>
      <c r="W220" s="1" t="str">
        <f t="shared" si="10"/>
        <v>2.38 kg</v>
      </c>
      <c r="X220" s="1" t="s">
        <v>78</v>
      </c>
      <c r="Y220" s="1" t="str">
        <f t="shared" si="11"/>
        <v>1 Year</v>
      </c>
      <c r="Z220" s="4">
        <v>52499</v>
      </c>
      <c r="AA220" s="1" t="s">
        <v>79</v>
      </c>
    </row>
    <row r="221" spans="1:27" ht="15.75" customHeight="1" x14ac:dyDescent="0.35">
      <c r="A221" s="1" t="s">
        <v>151</v>
      </c>
      <c r="B221" s="1" t="str">
        <f t="shared" si="16"/>
        <v>Lenovo</v>
      </c>
      <c r="C221" s="1" t="s">
        <v>1345</v>
      </c>
      <c r="D221" s="1" t="str">
        <f t="shared" si="1"/>
        <v>Lenovo LOQ 15IRX9</v>
      </c>
      <c r="E221" s="1" t="str">
        <f t="array" aca="1" ref="E221" ca="1">IFERROR(
INDEX(Family_Map!$B$2:$B$35,
_xludf.AGGREGATE(14,6,(ROW(Family_Map!$A$2:$A$35)-ROW(Family_Map!$A$2)+1)/(ISNUMBER(SEARCH(Family_Map!$A$2:$A$35,D221))),1)
),
"Other")</f>
        <v>Other</v>
      </c>
      <c r="F221" s="1" t="s">
        <v>569</v>
      </c>
      <c r="G221" s="1" t="e">
        <f t="shared" ca="1" si="2"/>
        <v>#NAME?</v>
      </c>
      <c r="H221" s="1" t="str">
        <f t="shared" ca="1" si="12"/>
        <v>Other</v>
      </c>
      <c r="I221" s="1" t="s">
        <v>70</v>
      </c>
      <c r="J221" s="1" t="str">
        <f t="shared" si="3"/>
        <v>6GB</v>
      </c>
      <c r="K221" s="1" t="s">
        <v>1171</v>
      </c>
      <c r="L221" s="1">
        <f t="shared" si="17"/>
        <v>16</v>
      </c>
      <c r="M221" s="1" t="s">
        <v>156</v>
      </c>
      <c r="N221" s="1" t="str">
        <f t="shared" si="5"/>
        <v>512GB</v>
      </c>
      <c r="O221" s="1" t="str">
        <f t="shared" si="6"/>
        <v>512GB</v>
      </c>
      <c r="P221" s="1" t="s">
        <v>74</v>
      </c>
      <c r="Q221" s="1" t="str">
        <f t="shared" si="7"/>
        <v>1920x1080</v>
      </c>
      <c r="R221" s="1" t="s">
        <v>75</v>
      </c>
      <c r="S221" s="1" t="str">
        <f t="shared" si="8"/>
        <v>144Hz</v>
      </c>
      <c r="T221" s="1" t="s">
        <v>101</v>
      </c>
      <c r="U221" s="1" t="str">
        <f t="shared" si="9"/>
        <v>DOS</v>
      </c>
      <c r="V221" s="1" t="s">
        <v>398</v>
      </c>
      <c r="W221" s="1" t="str">
        <f t="shared" si="10"/>
        <v>2.38 kg</v>
      </c>
      <c r="X221" s="1" t="s">
        <v>78</v>
      </c>
      <c r="Y221" s="1" t="str">
        <f t="shared" si="11"/>
        <v>1 Year</v>
      </c>
      <c r="Z221" s="4">
        <v>38888</v>
      </c>
      <c r="AA221" s="1" t="s">
        <v>79</v>
      </c>
    </row>
    <row r="222" spans="1:27" ht="15.75" customHeight="1" x14ac:dyDescent="0.35">
      <c r="A222" s="1" t="s">
        <v>151</v>
      </c>
      <c r="B222" s="1" t="str">
        <f t="shared" si="16"/>
        <v>Lenovo</v>
      </c>
      <c r="C222" s="1" t="s">
        <v>1348</v>
      </c>
      <c r="D222" s="1" t="str">
        <f t="shared" si="1"/>
        <v>Legion 7 16IRX9</v>
      </c>
      <c r="E222" s="1" t="str">
        <f t="array" aca="1" ref="E222" ca="1">IFERROR(
INDEX(Family_Map!$B$2:$B$35,
_xludf.AGGREGATE(14,6,(ROW(Family_Map!$A$2:$A$35)-ROW(Family_Map!$A$2)+1)/(ISNUMBER(SEARCH(Family_Map!$A$2:$A$35,D222))),1)
),
"Other")</f>
        <v>Other</v>
      </c>
      <c r="F222" s="1" t="s">
        <v>384</v>
      </c>
      <c r="G222" s="1" t="e">
        <f t="shared" ca="1" si="2"/>
        <v>#NAME?</v>
      </c>
      <c r="H222" s="1" t="str">
        <f t="shared" ca="1" si="12"/>
        <v>Other</v>
      </c>
      <c r="I222" s="1" t="s">
        <v>410</v>
      </c>
      <c r="J222" s="1" t="str">
        <f t="shared" si="3"/>
        <v>8GB</v>
      </c>
      <c r="K222" s="1" t="s">
        <v>1349</v>
      </c>
      <c r="L222" s="1">
        <f t="shared" si="17"/>
        <v>16</v>
      </c>
      <c r="M222" s="1" t="s">
        <v>796</v>
      </c>
      <c r="N222" s="1" t="str">
        <f t="shared" si="5"/>
        <v>1TB</v>
      </c>
      <c r="O222" s="1" t="str">
        <f t="shared" si="6"/>
        <v>1024GB</v>
      </c>
      <c r="P222" s="1" t="s">
        <v>224</v>
      </c>
      <c r="Q222" s="1" t="str">
        <f t="shared" si="7"/>
        <v>2560x1600</v>
      </c>
      <c r="R222" s="1" t="s">
        <v>256</v>
      </c>
      <c r="S222" s="1" t="str">
        <f t="shared" si="8"/>
        <v>240Hz</v>
      </c>
      <c r="T222" s="1" t="s">
        <v>201</v>
      </c>
      <c r="U222" s="1" t="str">
        <f t="shared" si="9"/>
        <v>Windows 11 Home</v>
      </c>
      <c r="V222" s="1" t="s">
        <v>1299</v>
      </c>
      <c r="W222" s="1" t="str">
        <f t="shared" si="10"/>
        <v>2.24 kg</v>
      </c>
      <c r="X222" s="1" t="s">
        <v>78</v>
      </c>
      <c r="Y222" s="1" t="str">
        <f t="shared" si="11"/>
        <v>1 Year</v>
      </c>
      <c r="Z222" s="4">
        <v>105000</v>
      </c>
      <c r="AA222" s="1" t="s">
        <v>65</v>
      </c>
    </row>
    <row r="223" spans="1:27" ht="15.75" customHeight="1" x14ac:dyDescent="0.35">
      <c r="A223" s="1" t="s">
        <v>81</v>
      </c>
      <c r="B223" s="1" t="str">
        <f t="shared" si="16"/>
        <v>Dell</v>
      </c>
      <c r="C223" s="1" t="s">
        <v>1314</v>
      </c>
      <c r="D223" s="1" t="str">
        <f t="shared" si="1"/>
        <v>Alienware m16 R2</v>
      </c>
      <c r="E223" s="1" t="str">
        <f t="array" aca="1" ref="E223" ca="1">IFERROR(
INDEX(Family_Map!$B$2:$B$35,
_xludf.AGGREGATE(14,6,(ROW(Family_Map!$A$2:$A$35)-ROW(Family_Map!$A$2)+1)/(ISNUMBER(SEARCH(Family_Map!$A$2:$A$35,D223))),1)
),
"Other")</f>
        <v>Other</v>
      </c>
      <c r="F223" s="1" t="s">
        <v>1356</v>
      </c>
      <c r="G223" s="1" t="e">
        <f t="shared" ca="1" si="2"/>
        <v>#NAME?</v>
      </c>
      <c r="H223" s="1" t="str">
        <f t="shared" ca="1" si="12"/>
        <v>Other</v>
      </c>
      <c r="I223" s="1" t="s">
        <v>540</v>
      </c>
      <c r="J223" s="1" t="str">
        <f t="shared" si="3"/>
        <v>8 GB</v>
      </c>
      <c r="K223" s="1" t="s">
        <v>1357</v>
      </c>
      <c r="L223" s="1">
        <f t="shared" si="17"/>
        <v>16</v>
      </c>
      <c r="M223" s="1" t="s">
        <v>322</v>
      </c>
      <c r="N223" s="1" t="str">
        <f t="shared" si="5"/>
        <v>1TB</v>
      </c>
      <c r="O223" s="1" t="str">
        <f t="shared" si="6"/>
        <v>1024GB</v>
      </c>
      <c r="P223" s="1" t="s">
        <v>224</v>
      </c>
      <c r="Q223" s="1" t="str">
        <f t="shared" si="7"/>
        <v>2560x1600</v>
      </c>
      <c r="R223" s="1" t="s">
        <v>256</v>
      </c>
      <c r="S223" s="1" t="str">
        <f t="shared" si="8"/>
        <v>240Hz</v>
      </c>
      <c r="T223" s="1" t="s">
        <v>201</v>
      </c>
      <c r="U223" s="1" t="str">
        <f t="shared" si="9"/>
        <v>Windows 11 Home</v>
      </c>
      <c r="V223" s="1" t="s">
        <v>1321</v>
      </c>
      <c r="W223" s="1" t="str">
        <f t="shared" si="10"/>
        <v>2.61 kg</v>
      </c>
      <c r="X223" s="1" t="s">
        <v>78</v>
      </c>
      <c r="Y223" s="1" t="str">
        <f t="shared" si="11"/>
        <v>1 Year</v>
      </c>
      <c r="Z223" s="4">
        <v>99999</v>
      </c>
      <c r="AA223" s="1" t="s">
        <v>5735</v>
      </c>
    </row>
    <row r="224" spans="1:27" ht="15.75" customHeight="1" x14ac:dyDescent="0.35">
      <c r="A224" s="1" t="s">
        <v>151</v>
      </c>
      <c r="B224" s="1" t="str">
        <f t="shared" si="16"/>
        <v>Lenovo</v>
      </c>
      <c r="C224" s="1" t="s">
        <v>1123</v>
      </c>
      <c r="D224" s="1" t="str">
        <f t="shared" si="1"/>
        <v>Legion 5 16IRX9</v>
      </c>
      <c r="E224" s="1" t="str">
        <f t="array" aca="1" ref="E224" ca="1">IFERROR(
INDEX(Family_Map!$B$2:$B$35,
_xludf.AGGREGATE(14,6,(ROW(Family_Map!$A$2:$A$35)-ROW(Family_Map!$A$2)+1)/(ISNUMBER(SEARCH(Family_Map!$A$2:$A$35,D224))),1)
),
"Other")</f>
        <v>Other</v>
      </c>
      <c r="F224" s="1" t="s">
        <v>384</v>
      </c>
      <c r="G224" s="1" t="e">
        <f t="shared" ca="1" si="2"/>
        <v>#NAME?</v>
      </c>
      <c r="H224" s="1" t="str">
        <f t="shared" ca="1" si="12"/>
        <v>Other</v>
      </c>
      <c r="I224" s="1" t="s">
        <v>410</v>
      </c>
      <c r="J224" s="1" t="str">
        <f t="shared" si="3"/>
        <v>8GB</v>
      </c>
      <c r="K224" s="1" t="s">
        <v>1349</v>
      </c>
      <c r="L224" s="1">
        <f t="shared" si="17"/>
        <v>16</v>
      </c>
      <c r="M224" s="1" t="s">
        <v>796</v>
      </c>
      <c r="N224" s="1" t="str">
        <f t="shared" si="5"/>
        <v>1TB</v>
      </c>
      <c r="O224" s="1" t="str">
        <f t="shared" si="6"/>
        <v>1024GB</v>
      </c>
      <c r="P224" s="1" t="s">
        <v>224</v>
      </c>
      <c r="Q224" s="1" t="str">
        <f t="shared" si="7"/>
        <v>2560x1600</v>
      </c>
      <c r="R224" s="1" t="s">
        <v>57</v>
      </c>
      <c r="S224" s="1" t="str">
        <f t="shared" si="8"/>
        <v>165Hz</v>
      </c>
      <c r="T224" s="1" t="s">
        <v>201</v>
      </c>
      <c r="U224" s="1" t="str">
        <f t="shared" si="9"/>
        <v>Windows 11 Home</v>
      </c>
      <c r="V224" s="1" t="s">
        <v>1127</v>
      </c>
      <c r="W224" s="1" t="str">
        <f t="shared" si="10"/>
        <v>2.36 kg</v>
      </c>
      <c r="X224" s="1" t="s">
        <v>78</v>
      </c>
      <c r="Y224" s="1" t="str">
        <f t="shared" si="11"/>
        <v>1 Year</v>
      </c>
      <c r="Z224" s="4">
        <v>95999</v>
      </c>
      <c r="AA224" s="1" t="s">
        <v>65</v>
      </c>
    </row>
    <row r="225" spans="1:27" ht="15.75" customHeight="1" x14ac:dyDescent="0.35">
      <c r="A225" s="1" t="s">
        <v>30</v>
      </c>
      <c r="B225" s="1" t="str">
        <f t="shared" si="16"/>
        <v>MSI</v>
      </c>
      <c r="C225" s="1" t="s">
        <v>1362</v>
      </c>
      <c r="D225" s="1" t="str">
        <f t="shared" si="1"/>
        <v>Thin 15 B12VE</v>
      </c>
      <c r="E225" s="1" t="str">
        <f t="array" aca="1" ref="E225" ca="1">IFERROR(
INDEX(Family_Map!$B$2:$B$35,
_xludf.AGGREGATE(14,6,(ROW(Family_Map!$A$2:$A$35)-ROW(Family_Map!$A$2)+1)/(ISNUMBER(SEARCH(Family_Map!$A$2:$A$35,D225))),1)
),
"Other")</f>
        <v>Other</v>
      </c>
      <c r="F225" s="1" t="s">
        <v>1133</v>
      </c>
      <c r="G225" s="1" t="e">
        <f t="shared" ca="1" si="2"/>
        <v>#NAME?</v>
      </c>
      <c r="H225" s="1" t="str">
        <f t="shared" ca="1" si="12"/>
        <v>Other</v>
      </c>
      <c r="I225" s="1" t="s">
        <v>70</v>
      </c>
      <c r="J225" s="1" t="str">
        <f t="shared" si="3"/>
        <v>6GB</v>
      </c>
      <c r="K225" s="1" t="s">
        <v>1363</v>
      </c>
      <c r="L225" s="1">
        <f t="shared" si="17"/>
        <v>8</v>
      </c>
      <c r="M225" s="1" t="s">
        <v>1120</v>
      </c>
      <c r="N225" s="1" t="str">
        <f t="shared" si="5"/>
        <v>512GB</v>
      </c>
      <c r="O225" s="1" t="str">
        <f t="shared" si="6"/>
        <v>512GB</v>
      </c>
      <c r="P225" s="1" t="s">
        <v>74</v>
      </c>
      <c r="Q225" s="1" t="str">
        <f t="shared" si="7"/>
        <v>1920x1080</v>
      </c>
      <c r="R225" s="1" t="s">
        <v>75</v>
      </c>
      <c r="S225" s="1" t="str">
        <f t="shared" si="8"/>
        <v>144Hz</v>
      </c>
      <c r="T225" s="1" t="s">
        <v>201</v>
      </c>
      <c r="U225" s="1" t="str">
        <f t="shared" si="9"/>
        <v>Windows 11 Home</v>
      </c>
      <c r="V225" s="1" t="s">
        <v>376</v>
      </c>
      <c r="W225" s="1" t="str">
        <f t="shared" si="10"/>
        <v>1.86 kg</v>
      </c>
      <c r="X225" s="1" t="s">
        <v>339</v>
      </c>
      <c r="Y225" s="1" t="str">
        <f t="shared" si="11"/>
        <v>2 Years</v>
      </c>
      <c r="Z225" s="4">
        <v>39999</v>
      </c>
      <c r="AA225" s="1" t="s">
        <v>166</v>
      </c>
    </row>
    <row r="226" spans="1:27" ht="15.75" customHeight="1" x14ac:dyDescent="0.35">
      <c r="A226" s="1" t="s">
        <v>151</v>
      </c>
      <c r="B226" s="1" t="str">
        <f t="shared" si="16"/>
        <v>Lenovo</v>
      </c>
      <c r="C226" s="1" t="s">
        <v>1123</v>
      </c>
      <c r="D226" s="1" t="str">
        <f t="shared" si="1"/>
        <v>Legion 5 16IRX9</v>
      </c>
      <c r="E226" s="1" t="str">
        <f t="array" aca="1" ref="E226" ca="1">IFERROR(
INDEX(Family_Map!$B$2:$B$35,
_xludf.AGGREGATE(14,6,(ROW(Family_Map!$A$2:$A$35)-ROW(Family_Map!$A$2)+1)/(ISNUMBER(SEARCH(Family_Map!$A$2:$A$35,D226))),1)
),
"Other")</f>
        <v>Other</v>
      </c>
      <c r="F226" s="1" t="s">
        <v>429</v>
      </c>
      <c r="G226" s="1" t="e">
        <f t="shared" ca="1" si="2"/>
        <v>#NAME?</v>
      </c>
      <c r="H226" s="1" t="str">
        <f t="shared" ca="1" si="12"/>
        <v>Other</v>
      </c>
      <c r="I226" s="1" t="s">
        <v>410</v>
      </c>
      <c r="J226" s="1" t="str">
        <f t="shared" si="3"/>
        <v>8GB</v>
      </c>
      <c r="K226" s="1" t="s">
        <v>1349</v>
      </c>
      <c r="L226" s="1">
        <f t="shared" si="17"/>
        <v>16</v>
      </c>
      <c r="M226" s="1" t="s">
        <v>796</v>
      </c>
      <c r="N226" s="1" t="str">
        <f t="shared" si="5"/>
        <v>1TB</v>
      </c>
      <c r="O226" s="1" t="str">
        <f t="shared" si="6"/>
        <v>1024GB</v>
      </c>
      <c r="P226" s="1" t="s">
        <v>224</v>
      </c>
      <c r="Q226" s="1" t="str">
        <f t="shared" si="7"/>
        <v>2560x1600</v>
      </c>
      <c r="R226" s="1" t="s">
        <v>256</v>
      </c>
      <c r="S226" s="1" t="str">
        <f t="shared" si="8"/>
        <v>240Hz</v>
      </c>
      <c r="T226" s="1" t="s">
        <v>90</v>
      </c>
      <c r="U226" s="1" t="str">
        <f t="shared" si="9"/>
        <v>Windows 11 Home</v>
      </c>
      <c r="V226" s="1" t="s">
        <v>1127</v>
      </c>
      <c r="W226" s="1" t="str">
        <f t="shared" si="10"/>
        <v>2.36 kg</v>
      </c>
      <c r="X226" s="1" t="s">
        <v>78</v>
      </c>
      <c r="Y226" s="1" t="str">
        <f t="shared" si="11"/>
        <v>1 Year</v>
      </c>
      <c r="Z226" s="4">
        <v>69888</v>
      </c>
      <c r="AA226" s="1" t="s">
        <v>65</v>
      </c>
    </row>
    <row r="227" spans="1:27" ht="15.75" customHeight="1" x14ac:dyDescent="0.35">
      <c r="A227" s="1" t="s">
        <v>151</v>
      </c>
      <c r="B227" s="1" t="str">
        <f t="shared" si="16"/>
        <v>Lenovo</v>
      </c>
      <c r="C227" s="1" t="s">
        <v>1367</v>
      </c>
      <c r="D227" s="1" t="str">
        <f t="shared" si="1"/>
        <v>Legion 5 15ARP8</v>
      </c>
      <c r="E227" s="1" t="str">
        <f t="array" aca="1" ref="E227" ca="1">IFERROR(
INDEX(Family_Map!$B$2:$B$35,
_xludf.AGGREGATE(14,6,(ROW(Family_Map!$A$2:$A$35)-ROW(Family_Map!$A$2)+1)/(ISNUMBER(SEARCH(Family_Map!$A$2:$A$35,D227))),1)
),
"Other")</f>
        <v>Other</v>
      </c>
      <c r="F227" s="1" t="s">
        <v>1368</v>
      </c>
      <c r="G227" s="1" t="e">
        <f t="shared" ca="1" si="2"/>
        <v>#NAME?</v>
      </c>
      <c r="H227" s="1" t="str">
        <f t="shared" ca="1" si="12"/>
        <v>Other</v>
      </c>
      <c r="I227" s="1" t="s">
        <v>410</v>
      </c>
      <c r="J227" s="1" t="str">
        <f t="shared" si="3"/>
        <v>8GB</v>
      </c>
      <c r="K227" s="1" t="s">
        <v>1369</v>
      </c>
      <c r="L227" s="1">
        <f t="shared" si="17"/>
        <v>16</v>
      </c>
      <c r="M227" s="1" t="s">
        <v>222</v>
      </c>
      <c r="N227" s="1" t="str">
        <f t="shared" si="5"/>
        <v>1TB</v>
      </c>
      <c r="O227" s="1" t="str">
        <f t="shared" si="6"/>
        <v>1024GB</v>
      </c>
      <c r="P227" s="1" t="s">
        <v>1371</v>
      </c>
      <c r="Q227" s="1" t="str">
        <f t="shared" si="7"/>
        <v>2560x1440</v>
      </c>
      <c r="R227" s="1" t="s">
        <v>57</v>
      </c>
      <c r="S227" s="1" t="str">
        <f t="shared" si="8"/>
        <v>165Hz</v>
      </c>
      <c r="T227" s="1" t="s">
        <v>201</v>
      </c>
      <c r="U227" s="1" t="str">
        <f t="shared" si="9"/>
        <v>Windows 11 Home</v>
      </c>
      <c r="V227" s="1" t="s">
        <v>63</v>
      </c>
      <c r="W227" s="1" t="str">
        <f t="shared" si="10"/>
        <v>2.4 kg</v>
      </c>
      <c r="X227" s="1" t="s">
        <v>78</v>
      </c>
      <c r="Y227" s="1" t="str">
        <f t="shared" si="11"/>
        <v>1 Year</v>
      </c>
      <c r="Z227" s="4">
        <v>63333</v>
      </c>
      <c r="AA227" s="1" t="s">
        <v>5735</v>
      </c>
    </row>
    <row r="228" spans="1:27" ht="15.75" customHeight="1" x14ac:dyDescent="0.35">
      <c r="A228" s="1" t="s">
        <v>81</v>
      </c>
      <c r="B228" s="1" t="str">
        <f t="shared" si="16"/>
        <v>Dell</v>
      </c>
      <c r="C228" s="1" t="s">
        <v>414</v>
      </c>
      <c r="D228" s="1" t="str">
        <f t="shared" si="1"/>
        <v>G15 5530</v>
      </c>
      <c r="E228" s="1" t="str">
        <f t="array" aca="1" ref="E228" ca="1">IFERROR(
INDEX(Family_Map!$B$2:$B$35,
_xludf.AGGREGATE(14,6,(ROW(Family_Map!$A$2:$A$35)-ROW(Family_Map!$A$2)+1)/(ISNUMBER(SEARCH(Family_Map!$A$2:$A$35,D228))),1)
),
"Other")</f>
        <v>Other</v>
      </c>
      <c r="F228" s="1" t="s">
        <v>746</v>
      </c>
      <c r="G228" s="1" t="e">
        <f t="shared" ca="1" si="2"/>
        <v>#NAME?</v>
      </c>
      <c r="H228" s="1" t="str">
        <f t="shared" ca="1" si="12"/>
        <v>Other</v>
      </c>
      <c r="I228" s="1" t="s">
        <v>70</v>
      </c>
      <c r="J228" s="1" t="str">
        <f t="shared" si="3"/>
        <v>6GB</v>
      </c>
      <c r="K228" s="1" t="s">
        <v>792</v>
      </c>
      <c r="L228" s="1">
        <f t="shared" si="17"/>
        <v>16</v>
      </c>
      <c r="M228" s="1" t="s">
        <v>417</v>
      </c>
      <c r="N228" s="1" t="str">
        <f t="shared" si="5"/>
        <v>512GB</v>
      </c>
      <c r="O228" s="1" t="str">
        <f t="shared" si="6"/>
        <v>512GB</v>
      </c>
      <c r="P228" s="1" t="s">
        <v>120</v>
      </c>
      <c r="Q228" s="1" t="str">
        <f t="shared" si="7"/>
        <v>1920x1080</v>
      </c>
      <c r="R228" s="1" t="s">
        <v>39</v>
      </c>
      <c r="S228" s="1" t="str">
        <f t="shared" si="8"/>
        <v>120Hz</v>
      </c>
      <c r="T228" s="1" t="s">
        <v>101</v>
      </c>
      <c r="U228" s="1" t="str">
        <f t="shared" si="9"/>
        <v>DOS</v>
      </c>
      <c r="V228" s="1" t="s">
        <v>423</v>
      </c>
      <c r="W228" s="1" t="str">
        <f t="shared" si="10"/>
        <v>2.81 kg</v>
      </c>
      <c r="X228" s="1" t="s">
        <v>78</v>
      </c>
      <c r="Y228" s="1" t="str">
        <f t="shared" si="11"/>
        <v>1 Year</v>
      </c>
      <c r="Z228" s="4">
        <v>52999</v>
      </c>
      <c r="AA228" s="1" t="s">
        <v>79</v>
      </c>
    </row>
    <row r="229" spans="1:27" ht="15.75" customHeight="1" x14ac:dyDescent="0.35">
      <c r="A229" s="1" t="s">
        <v>151</v>
      </c>
      <c r="B229" s="1" t="str">
        <f t="shared" si="16"/>
        <v>Lenovo</v>
      </c>
      <c r="C229" s="1" t="s">
        <v>1378</v>
      </c>
      <c r="D229" s="1" t="str">
        <f t="shared" si="1"/>
        <v>Legion Pro 7 16IRX9H</v>
      </c>
      <c r="E229" s="1" t="str">
        <f t="array" aca="1" ref="E229" ca="1">IFERROR(
INDEX(Family_Map!$B$2:$B$35,
_xludf.AGGREGATE(14,6,(ROW(Family_Map!$A$2:$A$35)-ROW(Family_Map!$A$2)+1)/(ISNUMBER(SEARCH(Family_Map!$A$2:$A$35,D229))),1)
),
"Other")</f>
        <v>Other</v>
      </c>
      <c r="F229" s="1" t="s">
        <v>50</v>
      </c>
      <c r="G229" s="1" t="e">
        <f t="shared" ca="1" si="2"/>
        <v>#NAME?</v>
      </c>
      <c r="H229" s="1" t="str">
        <f t="shared" ca="1" si="12"/>
        <v>Other</v>
      </c>
      <c r="I229" s="1" t="s">
        <v>552</v>
      </c>
      <c r="J229" s="1" t="str">
        <f t="shared" si="3"/>
        <v>16GB</v>
      </c>
      <c r="K229" s="1" t="s">
        <v>447</v>
      </c>
      <c r="L229" s="1">
        <f t="shared" si="17"/>
        <v>32</v>
      </c>
      <c r="M229" s="1" t="s">
        <v>796</v>
      </c>
      <c r="N229" s="1" t="str">
        <f t="shared" si="5"/>
        <v>1TB</v>
      </c>
      <c r="O229" s="1" t="str">
        <f t="shared" si="6"/>
        <v>1024GB</v>
      </c>
      <c r="P229" s="1" t="s">
        <v>224</v>
      </c>
      <c r="Q229" s="1" t="str">
        <f t="shared" si="7"/>
        <v>2560x1600</v>
      </c>
      <c r="R229" s="1" t="s">
        <v>256</v>
      </c>
      <c r="S229" s="1" t="str">
        <f t="shared" si="8"/>
        <v>240Hz</v>
      </c>
      <c r="T229" s="1" t="s">
        <v>101</v>
      </c>
      <c r="U229" s="1" t="str">
        <f t="shared" si="9"/>
        <v>DOS</v>
      </c>
      <c r="V229" s="1" t="s">
        <v>1383</v>
      </c>
      <c r="W229" s="1" t="str">
        <f t="shared" si="10"/>
        <v>2.62 kg</v>
      </c>
      <c r="X229" s="1" t="s">
        <v>78</v>
      </c>
      <c r="Y229" s="1" t="str">
        <f t="shared" si="11"/>
        <v>1 Year</v>
      </c>
      <c r="Z229" s="4">
        <v>235000</v>
      </c>
      <c r="AA229" s="1" t="s">
        <v>65</v>
      </c>
    </row>
    <row r="230" spans="1:27" ht="15.75" customHeight="1" x14ac:dyDescent="0.35">
      <c r="A230" s="1" t="s">
        <v>112</v>
      </c>
      <c r="B230" s="1" t="str">
        <f t="shared" si="16"/>
        <v>HP</v>
      </c>
      <c r="C230" s="1" t="s">
        <v>1385</v>
      </c>
      <c r="D230" s="1" t="str">
        <f t="shared" si="1"/>
        <v>Victus 16-R1052NE</v>
      </c>
      <c r="E230" s="1" t="str">
        <f t="array" aca="1" ref="E230" ca="1">IFERROR(
INDEX(Family_Map!$B$2:$B$35,
_xludf.AGGREGATE(14,6,(ROW(Family_Map!$A$2:$A$35)-ROW(Family_Map!$A$2)+1)/(ISNUMBER(SEARCH(Family_Map!$A$2:$A$35,D230))),1)
),
"Other")</f>
        <v>Other</v>
      </c>
      <c r="F230" s="1" t="s">
        <v>539</v>
      </c>
      <c r="G230" s="1" t="e">
        <f t="shared" ca="1" si="2"/>
        <v>#NAME?</v>
      </c>
      <c r="H230" s="1" t="str">
        <f t="shared" ca="1" si="12"/>
        <v>Other</v>
      </c>
      <c r="I230" s="1" t="s">
        <v>410</v>
      </c>
      <c r="J230" s="1" t="str">
        <f t="shared" si="3"/>
        <v>8GB</v>
      </c>
      <c r="K230" s="1" t="s">
        <v>541</v>
      </c>
      <c r="L230" s="1">
        <f t="shared" si="17"/>
        <v>16</v>
      </c>
      <c r="M230" s="1" t="s">
        <v>171</v>
      </c>
      <c r="N230" s="1" t="str">
        <f t="shared" si="5"/>
        <v>1 TB</v>
      </c>
      <c r="O230" s="1" t="str">
        <f t="shared" si="6"/>
        <v>1024GB</v>
      </c>
      <c r="P230" s="1" t="s">
        <v>120</v>
      </c>
      <c r="Q230" s="1" t="str">
        <f t="shared" si="7"/>
        <v>1920x1080</v>
      </c>
      <c r="R230" s="1" t="s">
        <v>75</v>
      </c>
      <c r="S230" s="1" t="str">
        <f t="shared" si="8"/>
        <v>144Hz</v>
      </c>
      <c r="T230" s="1" t="s">
        <v>101</v>
      </c>
      <c r="U230" s="1" t="str">
        <f t="shared" si="9"/>
        <v>DOS</v>
      </c>
      <c r="V230" s="1" t="s">
        <v>267</v>
      </c>
      <c r="W230" s="1" t="str">
        <f t="shared" si="10"/>
        <v>2.33 kg</v>
      </c>
      <c r="X230" s="1" t="s">
        <v>78</v>
      </c>
      <c r="Y230" s="1" t="str">
        <f t="shared" si="11"/>
        <v>1 Year</v>
      </c>
      <c r="Z230" s="4">
        <v>67999</v>
      </c>
      <c r="AA230" s="1" t="s">
        <v>65</v>
      </c>
    </row>
    <row r="231" spans="1:27" ht="15.75" customHeight="1" x14ac:dyDescent="0.35">
      <c r="A231" s="1" t="s">
        <v>112</v>
      </c>
      <c r="B231" s="1" t="str">
        <f t="shared" si="16"/>
        <v>HP</v>
      </c>
      <c r="C231" s="1" t="s">
        <v>1388</v>
      </c>
      <c r="D231" s="1" t="str">
        <f t="shared" si="1"/>
        <v>Victus 16-R0043NE</v>
      </c>
      <c r="E231" s="1" t="str">
        <f t="array" aca="1" ref="E231" ca="1">IFERROR(
INDEX(Family_Map!$B$2:$B$35,
_xludf.AGGREGATE(14,6,(ROW(Family_Map!$A$2:$A$35)-ROW(Family_Map!$A$2)+1)/(ISNUMBER(SEARCH(Family_Map!$A$2:$A$35,D231))),1)
),
"Other")</f>
        <v>Other</v>
      </c>
      <c r="F231" s="1" t="s">
        <v>693</v>
      </c>
      <c r="G231" s="1" t="e">
        <f t="shared" ca="1" si="2"/>
        <v>#NAME?</v>
      </c>
      <c r="H231" s="1" t="str">
        <f t="shared" ca="1" si="12"/>
        <v>Other</v>
      </c>
      <c r="I231" s="1" t="s">
        <v>410</v>
      </c>
      <c r="J231" s="1" t="str">
        <f t="shared" si="3"/>
        <v>8GB</v>
      </c>
      <c r="K231" s="1" t="s">
        <v>609</v>
      </c>
      <c r="L231" s="1">
        <f t="shared" si="17"/>
        <v>16</v>
      </c>
      <c r="M231" s="1" t="s">
        <v>171</v>
      </c>
      <c r="N231" s="1" t="str">
        <f t="shared" si="5"/>
        <v>1 TB</v>
      </c>
      <c r="O231" s="1" t="str">
        <f t="shared" si="6"/>
        <v>1024GB</v>
      </c>
      <c r="P231" s="1" t="s">
        <v>120</v>
      </c>
      <c r="Q231" s="1" t="str">
        <f t="shared" si="7"/>
        <v>1920x1080</v>
      </c>
      <c r="R231" s="1" t="s">
        <v>75</v>
      </c>
      <c r="S231" s="1" t="str">
        <f t="shared" si="8"/>
        <v>144Hz</v>
      </c>
      <c r="T231" s="1" t="s">
        <v>101</v>
      </c>
      <c r="U231" s="1" t="str">
        <f t="shared" si="9"/>
        <v>DOS</v>
      </c>
      <c r="V231" s="1" t="s">
        <v>267</v>
      </c>
      <c r="W231" s="1" t="str">
        <f t="shared" si="10"/>
        <v>2.33 kg</v>
      </c>
      <c r="X231" s="1" t="s">
        <v>78</v>
      </c>
      <c r="Y231" s="1" t="str">
        <f t="shared" si="11"/>
        <v>1 Year</v>
      </c>
      <c r="Z231" s="4">
        <v>53999</v>
      </c>
      <c r="AA231" s="1" t="s">
        <v>79</v>
      </c>
    </row>
    <row r="232" spans="1:27" ht="15.75" customHeight="1" x14ac:dyDescent="0.35">
      <c r="A232" s="1" t="s">
        <v>234</v>
      </c>
      <c r="B232" s="1" t="str">
        <f t="shared" si="16"/>
        <v>ASUS</v>
      </c>
      <c r="C232" s="1" t="s">
        <v>1390</v>
      </c>
      <c r="D232" s="1" t="str">
        <f t="shared" si="1"/>
        <v>ROG Strix G16 G614JV-N3487W</v>
      </c>
      <c r="E232" s="1" t="str">
        <f t="array" aca="1" ref="E232" ca="1">IFERROR(
INDEX(Family_Map!$B$2:$B$35,
_xludf.AGGREGATE(14,6,(ROW(Family_Map!$A$2:$A$35)-ROW(Family_Map!$A$2)+1)/(ISNUMBER(SEARCH(Family_Map!$A$2:$A$35,D232))),1)
),
"Other")</f>
        <v>Other</v>
      </c>
      <c r="F232" s="1" t="s">
        <v>746</v>
      </c>
      <c r="G232" s="1" t="e">
        <f t="shared" ca="1" si="2"/>
        <v>#NAME?</v>
      </c>
      <c r="H232" s="1" t="str">
        <f t="shared" ca="1" si="12"/>
        <v>Other</v>
      </c>
      <c r="I232" s="1" t="s">
        <v>410</v>
      </c>
      <c r="J232" s="1" t="str">
        <f t="shared" si="3"/>
        <v>8GB</v>
      </c>
      <c r="K232" s="1" t="s">
        <v>1264</v>
      </c>
      <c r="L232" s="1">
        <f t="shared" si="17"/>
        <v>16</v>
      </c>
      <c r="M232" s="1" t="s">
        <v>239</v>
      </c>
      <c r="N232" s="1" t="str">
        <f t="shared" si="5"/>
        <v>1TB</v>
      </c>
      <c r="O232" s="1" t="str">
        <f t="shared" si="6"/>
        <v>1024GB</v>
      </c>
      <c r="P232" s="1" t="s">
        <v>275</v>
      </c>
      <c r="Q232" s="1" t="str">
        <f t="shared" si="7"/>
        <v>1920x1200</v>
      </c>
      <c r="R232" s="1" t="s">
        <v>57</v>
      </c>
      <c r="S232" s="1" t="str">
        <f t="shared" si="8"/>
        <v>165Hz</v>
      </c>
      <c r="T232" s="1" t="s">
        <v>90</v>
      </c>
      <c r="U232" s="1" t="str">
        <f t="shared" si="9"/>
        <v>Windows 11 Home</v>
      </c>
      <c r="V232" s="1" t="s">
        <v>280</v>
      </c>
      <c r="W232" s="1" t="str">
        <f t="shared" si="10"/>
        <v>2.5 kg</v>
      </c>
      <c r="X232" s="1" t="s">
        <v>78</v>
      </c>
      <c r="Y232" s="1" t="str">
        <f t="shared" si="11"/>
        <v>1 Year</v>
      </c>
      <c r="Z232" s="4">
        <v>62999</v>
      </c>
      <c r="AA232" s="1" t="s">
        <v>79</v>
      </c>
    </row>
    <row r="233" spans="1:27" ht="15.75" customHeight="1" x14ac:dyDescent="0.35">
      <c r="A233" s="1" t="s">
        <v>234</v>
      </c>
      <c r="B233" s="1" t="str">
        <f t="shared" si="16"/>
        <v>ASUS</v>
      </c>
      <c r="C233" s="1" t="s">
        <v>1394</v>
      </c>
      <c r="D233" s="1" t="str">
        <f t="shared" si="1"/>
        <v>TUF Gaming A15 FA506NCR-HN007W</v>
      </c>
      <c r="E233" s="1" t="str">
        <f t="array" aca="1" ref="E233" ca="1">IFERROR(
INDEX(Family_Map!$B$2:$B$35,
_xludf.AGGREGATE(14,6,(ROW(Family_Map!$A$2:$A$35)-ROW(Family_Map!$A$2)+1)/(ISNUMBER(SEARCH(Family_Map!$A$2:$A$35,D233))),1)
),
"Other")</f>
        <v>Other</v>
      </c>
      <c r="F233" s="1" t="s">
        <v>408</v>
      </c>
      <c r="G233" s="1" t="e">
        <f t="shared" ca="1" si="2"/>
        <v>#NAME?</v>
      </c>
      <c r="H233" s="1" t="str">
        <f t="shared" ca="1" si="12"/>
        <v>Other</v>
      </c>
      <c r="I233" s="1" t="s">
        <v>507</v>
      </c>
      <c r="J233" s="1" t="str">
        <f t="shared" si="3"/>
        <v>4GB</v>
      </c>
      <c r="K233" s="1" t="s">
        <v>622</v>
      </c>
      <c r="L233" s="1">
        <f t="shared" si="17"/>
        <v>8</v>
      </c>
      <c r="M233" s="1" t="s">
        <v>1395</v>
      </c>
      <c r="N233" s="1" t="str">
        <f t="shared" si="5"/>
        <v>512GB</v>
      </c>
      <c r="O233" s="1" t="str">
        <f t="shared" si="6"/>
        <v>512GB</v>
      </c>
      <c r="P233" s="1" t="s">
        <v>120</v>
      </c>
      <c r="Q233" s="1" t="str">
        <f t="shared" si="7"/>
        <v>1920x1080</v>
      </c>
      <c r="R233" s="1" t="s">
        <v>75</v>
      </c>
      <c r="S233" s="1" t="str">
        <f t="shared" si="8"/>
        <v>144Hz</v>
      </c>
      <c r="T233" s="1" t="s">
        <v>90</v>
      </c>
      <c r="U233" s="1" t="str">
        <f t="shared" si="9"/>
        <v>Windows 11 Home</v>
      </c>
      <c r="V233" s="1" t="s">
        <v>1400</v>
      </c>
      <c r="W233" s="1" t="str">
        <f t="shared" si="10"/>
        <v>2.3 kg</v>
      </c>
      <c r="X233" s="1" t="s">
        <v>78</v>
      </c>
      <c r="Y233" s="1" t="str">
        <f t="shared" si="11"/>
        <v>1 Year</v>
      </c>
      <c r="Z233" s="4">
        <v>32666</v>
      </c>
      <c r="AA233" s="1" t="s">
        <v>5735</v>
      </c>
    </row>
    <row r="234" spans="1:27" ht="15.75" customHeight="1" x14ac:dyDescent="0.35">
      <c r="A234" s="1" t="s">
        <v>234</v>
      </c>
      <c r="B234" s="1" t="str">
        <f t="shared" si="16"/>
        <v>ASUS</v>
      </c>
      <c r="C234" s="1" t="s">
        <v>1402</v>
      </c>
      <c r="D234" s="1" t="str">
        <f t="shared" si="1"/>
        <v>TUF Gaming A15 FA506NFR-HN007W</v>
      </c>
      <c r="E234" s="1" t="str">
        <f t="array" aca="1" ref="E234" ca="1">IFERROR(
INDEX(Family_Map!$B$2:$B$35,
_xludf.AGGREGATE(14,6,(ROW(Family_Map!$A$2:$A$35)-ROW(Family_Map!$A$2)+1)/(ISNUMBER(SEARCH(Family_Map!$A$2:$A$35,D234))),1)
),
"Other")</f>
        <v>Other</v>
      </c>
      <c r="F234" s="1" t="s">
        <v>408</v>
      </c>
      <c r="G234" s="1" t="e">
        <f t="shared" ca="1" si="2"/>
        <v>#NAME?</v>
      </c>
      <c r="H234" s="1" t="str">
        <f t="shared" ca="1" si="12"/>
        <v>Other</v>
      </c>
      <c r="I234" s="1" t="s">
        <v>507</v>
      </c>
      <c r="J234" s="1" t="str">
        <f t="shared" si="3"/>
        <v>4GB</v>
      </c>
      <c r="K234" s="1" t="s">
        <v>1403</v>
      </c>
      <c r="L234" s="1">
        <f t="shared" si="17"/>
        <v>8</v>
      </c>
      <c r="M234" s="1" t="s">
        <v>295</v>
      </c>
      <c r="N234" s="1" t="str">
        <f t="shared" si="5"/>
        <v>512GB</v>
      </c>
      <c r="O234" s="1" t="str">
        <f t="shared" si="6"/>
        <v>512GB</v>
      </c>
      <c r="P234" s="1" t="s">
        <v>120</v>
      </c>
      <c r="Q234" s="1" t="str">
        <f t="shared" si="7"/>
        <v>1920x1080</v>
      </c>
      <c r="R234" s="1" t="s">
        <v>75</v>
      </c>
      <c r="S234" s="1" t="str">
        <f t="shared" si="8"/>
        <v>144Hz</v>
      </c>
      <c r="T234" s="1" t="s">
        <v>90</v>
      </c>
      <c r="U234" s="1" t="str">
        <f t="shared" si="9"/>
        <v>Windows 11 Home</v>
      </c>
      <c r="V234" s="1" t="s">
        <v>1400</v>
      </c>
      <c r="W234" s="1" t="str">
        <f t="shared" si="10"/>
        <v>2.3 kg</v>
      </c>
      <c r="X234" s="1" t="s">
        <v>78</v>
      </c>
      <c r="Y234" s="1" t="str">
        <f t="shared" si="11"/>
        <v>1 Year</v>
      </c>
      <c r="Z234" s="4">
        <v>32499</v>
      </c>
      <c r="AA234" s="1" t="s">
        <v>5735</v>
      </c>
    </row>
    <row r="235" spans="1:27" ht="15.75" customHeight="1" x14ac:dyDescent="0.35">
      <c r="A235" s="1" t="s">
        <v>151</v>
      </c>
      <c r="B235" s="1" t="str">
        <f t="shared" si="16"/>
        <v>Lenovo</v>
      </c>
      <c r="C235" s="1" t="s">
        <v>1123</v>
      </c>
      <c r="D235" s="1" t="str">
        <f t="shared" si="1"/>
        <v>Legion 5 16IRX9</v>
      </c>
      <c r="E235" s="1" t="str">
        <f t="array" aca="1" ref="E235" ca="1">IFERROR(
INDEX(Family_Map!$B$2:$B$35,
_xludf.AGGREGATE(14,6,(ROW(Family_Map!$A$2:$A$35)-ROW(Family_Map!$A$2)+1)/(ISNUMBER(SEARCH(Family_Map!$A$2:$A$35,D235))),1)
),
"Other")</f>
        <v>Other</v>
      </c>
      <c r="F235" s="1" t="s">
        <v>429</v>
      </c>
      <c r="G235" s="1" t="e">
        <f t="shared" ca="1" si="2"/>
        <v>#NAME?</v>
      </c>
      <c r="H235" s="1" t="str">
        <f t="shared" ca="1" si="12"/>
        <v>Other</v>
      </c>
      <c r="I235" s="1" t="s">
        <v>1410</v>
      </c>
      <c r="J235" s="1" t="str">
        <f t="shared" si="3"/>
        <v>8GB</v>
      </c>
      <c r="K235" s="1" t="s">
        <v>221</v>
      </c>
      <c r="L235" s="1">
        <f t="shared" si="17"/>
        <v>16</v>
      </c>
      <c r="M235" s="1" t="s">
        <v>796</v>
      </c>
      <c r="N235" s="1" t="str">
        <f t="shared" si="5"/>
        <v>1TB</v>
      </c>
      <c r="O235" s="1" t="str">
        <f t="shared" si="6"/>
        <v>1024GB</v>
      </c>
      <c r="P235" s="1" t="s">
        <v>89</v>
      </c>
      <c r="Q235" s="1" t="str">
        <f t="shared" si="7"/>
        <v>2560x1600</v>
      </c>
      <c r="R235" s="1" t="s">
        <v>256</v>
      </c>
      <c r="S235" s="1" t="str">
        <f t="shared" si="8"/>
        <v>240Hz</v>
      </c>
      <c r="T235" s="1" t="s">
        <v>101</v>
      </c>
      <c r="U235" s="1" t="str">
        <f t="shared" si="9"/>
        <v>DOS</v>
      </c>
      <c r="V235" s="1" t="s">
        <v>1127</v>
      </c>
      <c r="W235" s="1" t="str">
        <f t="shared" si="10"/>
        <v>2.36 kg</v>
      </c>
      <c r="X235" s="1" t="s">
        <v>78</v>
      </c>
      <c r="Y235" s="1" t="str">
        <f t="shared" si="11"/>
        <v>1 Year</v>
      </c>
      <c r="Z235" s="4">
        <v>78888</v>
      </c>
      <c r="AA235" s="1" t="s">
        <v>65</v>
      </c>
    </row>
    <row r="236" spans="1:27" ht="15.75" customHeight="1" x14ac:dyDescent="0.35">
      <c r="A236" s="1" t="s">
        <v>112</v>
      </c>
      <c r="B236" s="1" t="str">
        <f t="shared" si="16"/>
        <v>HP</v>
      </c>
      <c r="C236" s="1" t="s">
        <v>1413</v>
      </c>
      <c r="D236" s="1" t="str">
        <f t="shared" si="1"/>
        <v>Victus 15-FA0033DX</v>
      </c>
      <c r="E236" s="1" t="str">
        <f t="array" aca="1" ref="E236" ca="1">IFERROR(
INDEX(Family_Map!$B$2:$B$35,
_xludf.AGGREGATE(14,6,(ROW(Family_Map!$A$2:$A$35)-ROW(Family_Map!$A$2)+1)/(ISNUMBER(SEARCH(Family_Map!$A$2:$A$35,D236))),1)
),
"Other")</f>
        <v>Other</v>
      </c>
      <c r="F236" s="1" t="s">
        <v>1133</v>
      </c>
      <c r="G236" s="1" t="e">
        <f t="shared" ca="1" si="2"/>
        <v>#NAME?</v>
      </c>
      <c r="H236" s="1" t="str">
        <f t="shared" ca="1" si="12"/>
        <v>Other</v>
      </c>
      <c r="I236" s="1" t="s">
        <v>439</v>
      </c>
      <c r="J236" s="1" t="str">
        <f t="shared" si="3"/>
        <v>4 GB</v>
      </c>
      <c r="K236" s="1" t="s">
        <v>363</v>
      </c>
      <c r="L236" s="1">
        <f t="shared" si="17"/>
        <v>8</v>
      </c>
      <c r="M236" s="1" t="s">
        <v>118</v>
      </c>
      <c r="N236" s="1" t="str">
        <f t="shared" si="5"/>
        <v>512 GB</v>
      </c>
      <c r="O236" s="1" t="str">
        <f t="shared" si="6"/>
        <v>512 GB</v>
      </c>
      <c r="P236" s="1" t="s">
        <v>120</v>
      </c>
      <c r="Q236" s="1" t="str">
        <f t="shared" si="7"/>
        <v>1920x1080</v>
      </c>
      <c r="R236" s="1" t="s">
        <v>75</v>
      </c>
      <c r="S236" s="1" t="str">
        <f t="shared" si="8"/>
        <v>144Hz</v>
      </c>
      <c r="T236" s="1" t="s">
        <v>90</v>
      </c>
      <c r="U236" s="1" t="str">
        <f t="shared" si="9"/>
        <v>Windows 11 Home</v>
      </c>
      <c r="V236" s="1" t="s">
        <v>127</v>
      </c>
      <c r="W236" s="1" t="str">
        <f t="shared" si="10"/>
        <v>2.29 kg</v>
      </c>
      <c r="X236" s="1" t="s">
        <v>78</v>
      </c>
      <c r="Y236" s="1" t="str">
        <f t="shared" si="11"/>
        <v>1 Year</v>
      </c>
      <c r="Z236" s="4">
        <v>30999</v>
      </c>
      <c r="AA236" s="1" t="s">
        <v>166</v>
      </c>
    </row>
    <row r="237" spans="1:27" ht="15.75" customHeight="1" x14ac:dyDescent="0.35">
      <c r="A237" s="1" t="s">
        <v>151</v>
      </c>
      <c r="B237" s="1" t="str">
        <f t="shared" si="16"/>
        <v>Lenovo</v>
      </c>
      <c r="C237" s="1" t="s">
        <v>568</v>
      </c>
      <c r="D237" s="1" t="str">
        <f t="shared" si="1"/>
        <v>LOQ 15IRX9</v>
      </c>
      <c r="E237" s="1" t="str">
        <f t="array" aca="1" ref="E237" ca="1">IFERROR(
INDEX(Family_Map!$B$2:$B$35,
_xludf.AGGREGATE(14,6,(ROW(Family_Map!$A$2:$A$35)-ROW(Family_Map!$A$2)+1)/(ISNUMBER(SEARCH(Family_Map!$A$2:$A$35,D237))),1)
),
"Other")</f>
        <v>Other</v>
      </c>
      <c r="F237" s="1" t="s">
        <v>746</v>
      </c>
      <c r="G237" s="1" t="e">
        <f t="shared" ca="1" si="2"/>
        <v>#NAME?</v>
      </c>
      <c r="H237" s="1" t="str">
        <f t="shared" ca="1" si="12"/>
        <v>Other</v>
      </c>
      <c r="I237" s="1" t="s">
        <v>70</v>
      </c>
      <c r="J237" s="1" t="str">
        <f t="shared" si="3"/>
        <v>6GB</v>
      </c>
      <c r="K237" s="1" t="s">
        <v>155</v>
      </c>
      <c r="L237" s="1">
        <f t="shared" si="17"/>
        <v>16</v>
      </c>
      <c r="M237" s="1" t="s">
        <v>222</v>
      </c>
      <c r="N237" s="1" t="str">
        <f t="shared" si="5"/>
        <v>1TB</v>
      </c>
      <c r="O237" s="1" t="str">
        <f t="shared" si="6"/>
        <v>1024GB</v>
      </c>
      <c r="P237" s="1" t="s">
        <v>120</v>
      </c>
      <c r="Q237" s="1" t="str">
        <f t="shared" si="7"/>
        <v>1920x1080</v>
      </c>
      <c r="R237" s="1" t="s">
        <v>75</v>
      </c>
      <c r="S237" s="1" t="str">
        <f t="shared" si="8"/>
        <v>144Hz</v>
      </c>
      <c r="T237" s="1" t="s">
        <v>40</v>
      </c>
      <c r="U237" s="1" t="str">
        <f t="shared" si="9"/>
        <v>Windows 11 Home</v>
      </c>
      <c r="V237" s="1" t="s">
        <v>398</v>
      </c>
      <c r="W237" s="1" t="str">
        <f t="shared" si="10"/>
        <v>2.38 kg</v>
      </c>
      <c r="X237" s="1" t="s">
        <v>78</v>
      </c>
      <c r="Y237" s="1" t="str">
        <f t="shared" si="11"/>
        <v>1 Year</v>
      </c>
      <c r="Z237" s="4">
        <v>48888</v>
      </c>
      <c r="AA237" s="1" t="s">
        <v>79</v>
      </c>
    </row>
    <row r="238" spans="1:27" ht="15.75" customHeight="1" x14ac:dyDescent="0.35">
      <c r="A238" s="1" t="s">
        <v>151</v>
      </c>
      <c r="B238" s="1" t="str">
        <f t="shared" si="16"/>
        <v>Lenovo</v>
      </c>
      <c r="C238" s="1" t="s">
        <v>505</v>
      </c>
      <c r="D238" s="1" t="str">
        <f t="shared" si="1"/>
        <v>LOQ 15IAX9</v>
      </c>
      <c r="E238" s="1" t="str">
        <f t="array" aca="1" ref="E238" ca="1">IFERROR(
INDEX(Family_Map!$B$2:$B$35,
_xludf.AGGREGATE(14,6,(ROW(Family_Map!$A$2:$A$35)-ROW(Family_Map!$A$2)+1)/(ISNUMBER(SEARCH(Family_Map!$A$2:$A$35,D238))),1)
),
"Other")</f>
        <v>Other</v>
      </c>
      <c r="F238" s="1" t="s">
        <v>153</v>
      </c>
      <c r="G238" s="1" t="e">
        <f t="shared" ca="1" si="2"/>
        <v>#NAME?</v>
      </c>
      <c r="H238" s="1" t="str">
        <f t="shared" ca="1" si="12"/>
        <v>Other</v>
      </c>
      <c r="I238" s="1" t="s">
        <v>70</v>
      </c>
      <c r="J238" s="1" t="str">
        <f t="shared" si="3"/>
        <v>6GB</v>
      </c>
      <c r="K238" s="1" t="s">
        <v>411</v>
      </c>
      <c r="L238" s="1">
        <f t="shared" si="17"/>
        <v>24</v>
      </c>
      <c r="M238" s="1" t="s">
        <v>156</v>
      </c>
      <c r="N238" s="1" t="str">
        <f t="shared" si="5"/>
        <v>512GB</v>
      </c>
      <c r="O238" s="1" t="str">
        <f t="shared" si="6"/>
        <v>512GB</v>
      </c>
      <c r="P238" s="1" t="s">
        <v>74</v>
      </c>
      <c r="Q238" s="1" t="str">
        <f t="shared" si="7"/>
        <v>1920x1080</v>
      </c>
      <c r="R238" s="1" t="s">
        <v>75</v>
      </c>
      <c r="S238" s="1" t="str">
        <f t="shared" si="8"/>
        <v>144Hz</v>
      </c>
      <c r="T238" s="1" t="s">
        <v>101</v>
      </c>
      <c r="U238" s="1" t="str">
        <f t="shared" si="9"/>
        <v>DOS</v>
      </c>
      <c r="V238" s="1" t="s">
        <v>398</v>
      </c>
      <c r="W238" s="1" t="str">
        <f t="shared" si="10"/>
        <v>2.38 kg</v>
      </c>
      <c r="X238" s="1" t="s">
        <v>78</v>
      </c>
      <c r="Y238" s="1" t="str">
        <f t="shared" si="11"/>
        <v>1 Year</v>
      </c>
      <c r="Z238" s="4">
        <v>36999</v>
      </c>
      <c r="AA238" s="1" t="s">
        <v>166</v>
      </c>
    </row>
    <row r="239" spans="1:27" ht="15.75" customHeight="1" x14ac:dyDescent="0.35">
      <c r="A239" s="1" t="s">
        <v>151</v>
      </c>
      <c r="B239" s="1" t="str">
        <f t="shared" si="16"/>
        <v>Lenovo</v>
      </c>
      <c r="C239" s="1" t="s">
        <v>1085</v>
      </c>
      <c r="D239" s="1" t="str">
        <f t="shared" si="1"/>
        <v>Legion Pro 5 16IRX8</v>
      </c>
      <c r="E239" s="1" t="str">
        <f t="array" aca="1" ref="E239" ca="1">IFERROR(
INDEX(Family_Map!$B$2:$B$35,
_xludf.AGGREGATE(14,6,(ROW(Family_Map!$A$2:$A$35)-ROW(Family_Map!$A$2)+1)/(ISNUMBER(SEARCH(Family_Map!$A$2:$A$35,D239))),1)
),
"Other")</f>
        <v>Other</v>
      </c>
      <c r="F239" s="1" t="s">
        <v>1053</v>
      </c>
      <c r="G239" s="1" t="e">
        <f t="shared" ca="1" si="2"/>
        <v>#NAME?</v>
      </c>
      <c r="H239" s="1" t="str">
        <f t="shared" ca="1" si="12"/>
        <v>Other</v>
      </c>
      <c r="I239" s="1" t="s">
        <v>410</v>
      </c>
      <c r="J239" s="1" t="str">
        <f t="shared" si="3"/>
        <v>8GB</v>
      </c>
      <c r="K239" s="1" t="s">
        <v>1188</v>
      </c>
      <c r="L239" s="1">
        <f t="shared" si="17"/>
        <v>16</v>
      </c>
      <c r="M239" s="1" t="s">
        <v>796</v>
      </c>
      <c r="N239" s="1" t="str">
        <f t="shared" si="5"/>
        <v>1TB</v>
      </c>
      <c r="O239" s="1" t="str">
        <f t="shared" si="6"/>
        <v>1024GB</v>
      </c>
      <c r="P239" s="1" t="s">
        <v>89</v>
      </c>
      <c r="Q239" s="1" t="str">
        <f t="shared" si="7"/>
        <v>2560x1600</v>
      </c>
      <c r="R239" s="1" t="s">
        <v>256</v>
      </c>
      <c r="S239" s="1" t="str">
        <f t="shared" si="8"/>
        <v>240Hz</v>
      </c>
      <c r="T239" s="1" t="s">
        <v>90</v>
      </c>
      <c r="U239" s="1" t="str">
        <f t="shared" si="9"/>
        <v>Windows 11 Home</v>
      </c>
      <c r="V239" s="1" t="s">
        <v>1091</v>
      </c>
      <c r="W239" s="1" t="str">
        <f t="shared" si="10"/>
        <v>2.55 kg</v>
      </c>
      <c r="X239" s="1" t="s">
        <v>78</v>
      </c>
      <c r="Y239" s="1" t="str">
        <f t="shared" si="11"/>
        <v>1 Year</v>
      </c>
      <c r="Z239" s="4">
        <v>72999</v>
      </c>
      <c r="AA239" s="1" t="s">
        <v>79</v>
      </c>
    </row>
    <row r="240" spans="1:27" ht="15.75" customHeight="1" x14ac:dyDescent="0.35">
      <c r="A240" s="1" t="s">
        <v>151</v>
      </c>
      <c r="B240" s="1" t="str">
        <f t="shared" si="16"/>
        <v>Lenovo</v>
      </c>
      <c r="C240" s="1" t="s">
        <v>568</v>
      </c>
      <c r="D240" s="1" t="str">
        <f t="shared" si="1"/>
        <v>LOQ 15IRX9</v>
      </c>
      <c r="E240" s="1" t="str">
        <f t="array" aca="1" ref="E240" ca="1">IFERROR(
INDEX(Family_Map!$B$2:$B$35,
_xludf.AGGREGATE(14,6,(ROW(Family_Map!$A$2:$A$35)-ROW(Family_Map!$A$2)+1)/(ISNUMBER(SEARCH(Family_Map!$A$2:$A$35,D240))),1)
),
"Other")</f>
        <v>Other</v>
      </c>
      <c r="F240" s="1" t="s">
        <v>704</v>
      </c>
      <c r="G240" s="1" t="e">
        <f t="shared" ca="1" si="2"/>
        <v>#NAME?</v>
      </c>
      <c r="H240" s="1" t="str">
        <f t="shared" ca="1" si="12"/>
        <v>Other</v>
      </c>
      <c r="I240" s="1" t="s">
        <v>70</v>
      </c>
      <c r="J240" s="1" t="str">
        <f t="shared" si="3"/>
        <v>6GB</v>
      </c>
      <c r="K240" s="1" t="s">
        <v>155</v>
      </c>
      <c r="L240" s="1">
        <f t="shared" si="17"/>
        <v>16</v>
      </c>
      <c r="M240" s="1" t="s">
        <v>222</v>
      </c>
      <c r="N240" s="1" t="str">
        <f t="shared" si="5"/>
        <v>1TB</v>
      </c>
      <c r="O240" s="1" t="str">
        <f t="shared" si="6"/>
        <v>1024GB</v>
      </c>
      <c r="P240" s="1" t="s">
        <v>120</v>
      </c>
      <c r="Q240" s="1" t="str">
        <f t="shared" si="7"/>
        <v>1920x1080</v>
      </c>
      <c r="R240" s="1" t="s">
        <v>75</v>
      </c>
      <c r="S240" s="1" t="str">
        <f t="shared" si="8"/>
        <v>144Hz</v>
      </c>
      <c r="T240" s="1" t="s">
        <v>40</v>
      </c>
      <c r="U240" s="1" t="str">
        <f t="shared" si="9"/>
        <v>Windows 11 Home</v>
      </c>
      <c r="V240" s="1" t="s">
        <v>398</v>
      </c>
      <c r="W240" s="1" t="str">
        <f t="shared" si="10"/>
        <v>2.38 kg</v>
      </c>
      <c r="X240" s="1" t="s">
        <v>78</v>
      </c>
      <c r="Y240" s="1" t="str">
        <f t="shared" si="11"/>
        <v>1 Year</v>
      </c>
      <c r="Z240" s="4">
        <v>45499</v>
      </c>
      <c r="AA240" s="1" t="s">
        <v>79</v>
      </c>
    </row>
    <row r="241" spans="1:27" ht="15.75" customHeight="1" x14ac:dyDescent="0.35">
      <c r="A241" s="1" t="s">
        <v>112</v>
      </c>
      <c r="B241" s="1" t="str">
        <f t="shared" si="16"/>
        <v>HP</v>
      </c>
      <c r="C241" s="1" t="s">
        <v>1424</v>
      </c>
      <c r="D241" s="1" t="str">
        <f t="shared" si="1"/>
        <v>Victus 15-FA1043NE</v>
      </c>
      <c r="E241" s="1" t="str">
        <f t="array" aca="1" ref="E241" ca="1">IFERROR(
INDEX(Family_Map!$B$2:$B$35,
_xludf.AGGREGATE(14,6,(ROW(Family_Map!$A$2:$A$35)-ROW(Family_Map!$A$2)+1)/(ISNUMBER(SEARCH(Family_Map!$A$2:$A$35,D241))),1)
),
"Other")</f>
        <v>Other</v>
      </c>
      <c r="F241" s="1" t="s">
        <v>361</v>
      </c>
      <c r="G241" s="1" t="e">
        <f t="shared" ca="1" si="2"/>
        <v>#NAME?</v>
      </c>
      <c r="H241" s="1" t="str">
        <f t="shared" ca="1" si="12"/>
        <v>Other</v>
      </c>
      <c r="I241" s="1" t="s">
        <v>70</v>
      </c>
      <c r="J241" s="1" t="str">
        <f t="shared" si="3"/>
        <v>6GB</v>
      </c>
      <c r="K241" s="1" t="s">
        <v>1426</v>
      </c>
      <c r="L241" s="1">
        <f t="shared" si="17"/>
        <v>8</v>
      </c>
      <c r="M241" s="1" t="s">
        <v>118</v>
      </c>
      <c r="N241" s="1" t="str">
        <f t="shared" si="5"/>
        <v>512 GB</v>
      </c>
      <c r="O241" s="1" t="str">
        <f t="shared" si="6"/>
        <v>512 GB</v>
      </c>
      <c r="P241" s="1" t="s">
        <v>120</v>
      </c>
      <c r="Q241" s="1" t="str">
        <f t="shared" si="7"/>
        <v>1920x1080</v>
      </c>
      <c r="R241" s="1" t="s">
        <v>75</v>
      </c>
      <c r="S241" s="1" t="str">
        <f t="shared" si="8"/>
        <v>144Hz</v>
      </c>
      <c r="T241" s="1" t="s">
        <v>101</v>
      </c>
      <c r="U241" s="1" t="str">
        <f t="shared" si="9"/>
        <v>DOS</v>
      </c>
      <c r="V241" s="1" t="s">
        <v>127</v>
      </c>
      <c r="W241" s="1" t="str">
        <f t="shared" si="10"/>
        <v>2.29 kg</v>
      </c>
      <c r="X241" s="1" t="s">
        <v>78</v>
      </c>
      <c r="Y241" s="1" t="str">
        <f t="shared" si="11"/>
        <v>1 Year</v>
      </c>
      <c r="Z241" s="4">
        <v>34477</v>
      </c>
      <c r="AA241" s="1" t="s">
        <v>79</v>
      </c>
    </row>
    <row r="242" spans="1:27" ht="15.75" customHeight="1" x14ac:dyDescent="0.35">
      <c r="A242" s="1" t="s">
        <v>112</v>
      </c>
      <c r="B242" s="1" t="str">
        <f t="shared" si="16"/>
        <v>HP</v>
      </c>
      <c r="C242" s="1" t="s">
        <v>1428</v>
      </c>
      <c r="D242" s="1" t="str">
        <f t="shared" si="1"/>
        <v>Victus 15-FA0025NR</v>
      </c>
      <c r="E242" s="1" t="str">
        <f t="array" aca="1" ref="E242" ca="1">IFERROR(
INDEX(Family_Map!$B$2:$B$35,
_xludf.AGGREGATE(14,6,(ROW(Family_Map!$A$2:$A$35)-ROW(Family_Map!$A$2)+1)/(ISNUMBER(SEARCH(Family_Map!$A$2:$A$35,D242))),1)
),
"Other")</f>
        <v>Other</v>
      </c>
      <c r="F242" s="1" t="s">
        <v>627</v>
      </c>
      <c r="G242" s="1" t="e">
        <f t="shared" ca="1" si="2"/>
        <v>#NAME?</v>
      </c>
      <c r="H242" s="1" t="str">
        <f t="shared" ca="1" si="12"/>
        <v>Other</v>
      </c>
      <c r="I242" s="1" t="s">
        <v>507</v>
      </c>
      <c r="J242" s="1" t="str">
        <f t="shared" si="3"/>
        <v>4GB</v>
      </c>
      <c r="K242" s="1" t="s">
        <v>1429</v>
      </c>
      <c r="L242" s="1">
        <f t="shared" si="17"/>
        <v>8</v>
      </c>
      <c r="M242" s="1" t="s">
        <v>136</v>
      </c>
      <c r="N242" s="1" t="str">
        <f t="shared" si="5"/>
        <v>512 GB</v>
      </c>
      <c r="O242" s="1" t="str">
        <f t="shared" si="6"/>
        <v>512 GB</v>
      </c>
      <c r="P242" s="1" t="s">
        <v>120</v>
      </c>
      <c r="Q242" s="1" t="str">
        <f t="shared" si="7"/>
        <v>1920x1080</v>
      </c>
      <c r="S242" s="1" t="str">
        <f t="shared" si="8"/>
        <v/>
      </c>
      <c r="T242" s="1" t="s">
        <v>90</v>
      </c>
      <c r="U242" s="1" t="str">
        <f t="shared" si="9"/>
        <v>Windows 11 Home</v>
      </c>
      <c r="V242" s="1" t="s">
        <v>127</v>
      </c>
      <c r="W242" s="1" t="str">
        <f t="shared" si="10"/>
        <v>2.29 kg</v>
      </c>
      <c r="X242" s="1" t="s">
        <v>78</v>
      </c>
      <c r="Y242" s="1" t="str">
        <f t="shared" si="11"/>
        <v>1 Year</v>
      </c>
      <c r="Z242" s="4">
        <v>36249</v>
      </c>
      <c r="AA242" s="1" t="s">
        <v>166</v>
      </c>
    </row>
    <row r="243" spans="1:27" ht="15.75" customHeight="1" x14ac:dyDescent="0.35">
      <c r="A243" s="1" t="s">
        <v>151</v>
      </c>
      <c r="B243" s="1" t="str">
        <f t="shared" si="16"/>
        <v>Lenovo</v>
      </c>
      <c r="C243" s="1" t="s">
        <v>505</v>
      </c>
      <c r="D243" s="1" t="str">
        <f t="shared" si="1"/>
        <v>LOQ 15IAX9</v>
      </c>
      <c r="E243" s="1" t="str">
        <f t="array" aca="1" ref="E243" ca="1">IFERROR(
INDEX(Family_Map!$B$2:$B$35,
_xludf.AGGREGATE(14,6,(ROW(Family_Map!$A$2:$A$35)-ROW(Family_Map!$A$2)+1)/(ISNUMBER(SEARCH(Family_Map!$A$2:$A$35,D243))),1)
),
"Other")</f>
        <v>Other</v>
      </c>
      <c r="F243" s="1" t="s">
        <v>676</v>
      </c>
      <c r="G243" s="1" t="e">
        <f t="shared" ca="1" si="2"/>
        <v>#NAME?</v>
      </c>
      <c r="H243" s="1" t="str">
        <f t="shared" ca="1" si="12"/>
        <v>Other</v>
      </c>
      <c r="I243" s="1" t="s">
        <v>70</v>
      </c>
      <c r="J243" s="1" t="str">
        <f t="shared" si="3"/>
        <v>6GB</v>
      </c>
      <c r="K243" s="1" t="s">
        <v>1433</v>
      </c>
      <c r="L243" s="1">
        <v>8</v>
      </c>
      <c r="M243" s="1" t="s">
        <v>156</v>
      </c>
      <c r="N243" s="1" t="str">
        <f t="shared" si="5"/>
        <v>512GB</v>
      </c>
      <c r="O243" s="1" t="str">
        <f t="shared" si="6"/>
        <v>512GB</v>
      </c>
      <c r="P243" s="1" t="s">
        <v>120</v>
      </c>
      <c r="Q243" s="1" t="str">
        <f t="shared" si="7"/>
        <v>1920x1080</v>
      </c>
      <c r="R243" s="1" t="s">
        <v>75</v>
      </c>
      <c r="S243" s="1" t="str">
        <f t="shared" si="8"/>
        <v>144Hz</v>
      </c>
      <c r="T243" s="1" t="s">
        <v>101</v>
      </c>
      <c r="U243" s="1" t="str">
        <f t="shared" si="9"/>
        <v>DOS</v>
      </c>
      <c r="V243" s="1" t="s">
        <v>398</v>
      </c>
      <c r="W243" s="1" t="str">
        <f t="shared" si="10"/>
        <v>2.38 kg</v>
      </c>
      <c r="X243" s="1" t="s">
        <v>165</v>
      </c>
      <c r="Y243" s="1" t="str">
        <f t="shared" si="11"/>
        <v>2 Years</v>
      </c>
      <c r="Z243" s="4">
        <v>34333</v>
      </c>
      <c r="AA243" s="1" t="s">
        <v>166</v>
      </c>
    </row>
    <row r="244" spans="1:27" ht="15.75" customHeight="1" x14ac:dyDescent="0.35">
      <c r="A244" s="1" t="s">
        <v>30</v>
      </c>
      <c r="B244" s="1" t="str">
        <f t="shared" si="16"/>
        <v>MSI</v>
      </c>
      <c r="C244" s="1" t="s">
        <v>1435</v>
      </c>
      <c r="D244" s="1" t="str">
        <f t="shared" si="1"/>
        <v>Katana 15 B13VGK</v>
      </c>
      <c r="E244" s="1" t="str">
        <f t="array" aca="1" ref="E244" ca="1">IFERROR(
INDEX(Family_Map!$B$2:$B$35,
_xludf.AGGREGATE(14,6,(ROW(Family_Map!$A$2:$A$35)-ROW(Family_Map!$A$2)+1)/(ISNUMBER(SEARCH(Family_Map!$A$2:$A$35,D244))),1)
),
"Other")</f>
        <v>Other</v>
      </c>
      <c r="F244" s="1" t="s">
        <v>806</v>
      </c>
      <c r="G244" s="1" t="e">
        <f t="shared" ca="1" si="2"/>
        <v>#NAME?</v>
      </c>
      <c r="H244" s="1" t="str">
        <f t="shared" ca="1" si="12"/>
        <v>Other</v>
      </c>
      <c r="I244" s="1" t="s">
        <v>410</v>
      </c>
      <c r="J244" s="1" t="str">
        <f t="shared" si="3"/>
        <v>8GB</v>
      </c>
      <c r="K244" s="1" t="s">
        <v>1436</v>
      </c>
      <c r="L244" s="1">
        <f t="shared" ref="L244:L248" si="18">IFERROR(
VALUE(SUBSTITUTE(SUBSTITUTE(LEFT(UPPER(TRIM(K244)),FIND("GB",UPPER(K244)&amp;"GB")+1),"GB","")," ","")),
IFERROR(
VALUE(SUBSTITUTE(SUBSTITUTE(MID(UPPER(K244),FIND("GB",UPPER(K244)&amp;"GB")-3,3),"GB","")," ",""))
*
IF(
OR(
ISNUMBER(SEARCH("2X",UPPER(K244))),
ISNUMBER(SEARCH("X 2",UPPER(K244))),
ISNUMBER(SEARCH("*2",UPPER(K244))),
ISNUMBER(SEARCH("2*",UPPER(K244))),
ISNUMBER(SEARCH("(2 X",UPPER(K244)))
),
2,1),
"")
)</f>
        <v>16</v>
      </c>
      <c r="M244" s="1" t="s">
        <v>1437</v>
      </c>
      <c r="N244" s="1" t="str">
        <f t="shared" si="5"/>
        <v>512GB</v>
      </c>
      <c r="O244" s="1" t="str">
        <f t="shared" si="6"/>
        <v>512GB</v>
      </c>
      <c r="P244" s="1" t="s">
        <v>120</v>
      </c>
      <c r="Q244" s="1" t="str">
        <f t="shared" si="7"/>
        <v>1920x1080</v>
      </c>
      <c r="R244" s="1" t="s">
        <v>75</v>
      </c>
      <c r="S244" s="1" t="str">
        <f t="shared" si="8"/>
        <v>144Hz</v>
      </c>
      <c r="T244" s="1" t="s">
        <v>90</v>
      </c>
      <c r="U244" s="1" t="str">
        <f t="shared" si="9"/>
        <v>Windows 11 Home</v>
      </c>
      <c r="V244" s="1" t="s">
        <v>652</v>
      </c>
      <c r="W244" s="1" t="str">
        <f t="shared" si="10"/>
        <v>2.25 kg</v>
      </c>
      <c r="X244" s="1" t="s">
        <v>165</v>
      </c>
      <c r="Y244" s="1" t="str">
        <f t="shared" si="11"/>
        <v>2 Years</v>
      </c>
      <c r="Z244" s="4">
        <v>71930</v>
      </c>
      <c r="AA244" s="1" t="s">
        <v>79</v>
      </c>
    </row>
    <row r="245" spans="1:27" ht="15.75" customHeight="1" x14ac:dyDescent="0.35">
      <c r="A245" s="1" t="s">
        <v>30</v>
      </c>
      <c r="B245" s="1" t="str">
        <f t="shared" si="16"/>
        <v>MSI</v>
      </c>
      <c r="C245" s="1" t="s">
        <v>1438</v>
      </c>
      <c r="D245" s="1" t="str">
        <f t="shared" si="1"/>
        <v>Thin GF63 12UC</v>
      </c>
      <c r="E245" s="1" t="str">
        <f t="array" aca="1" ref="E245" ca="1">IFERROR(
INDEX(Family_Map!$B$2:$B$35,
_xludf.AGGREGATE(14,6,(ROW(Family_Map!$A$2:$A$35)-ROW(Family_Map!$A$2)+1)/(ISNUMBER(SEARCH(Family_Map!$A$2:$A$35,D245))),1)
),
"Other")</f>
        <v>Other</v>
      </c>
      <c r="F245" s="1" t="s">
        <v>1439</v>
      </c>
      <c r="G245" s="1" t="e">
        <f t="shared" ca="1" si="2"/>
        <v>#NAME?</v>
      </c>
      <c r="H245" s="1" t="str">
        <f t="shared" ca="1" si="12"/>
        <v>Other</v>
      </c>
      <c r="I245" s="1" t="s">
        <v>507</v>
      </c>
      <c r="J245" s="1" t="str">
        <f t="shared" si="3"/>
        <v>4GB</v>
      </c>
      <c r="K245" s="1" t="s">
        <v>1138</v>
      </c>
      <c r="L245" s="1">
        <f t="shared" si="18"/>
        <v>16</v>
      </c>
      <c r="M245" s="1" t="s">
        <v>1437</v>
      </c>
      <c r="N245" s="1" t="str">
        <f t="shared" si="5"/>
        <v>512GB</v>
      </c>
      <c r="O245" s="1" t="str">
        <f t="shared" si="6"/>
        <v>512GB</v>
      </c>
      <c r="P245" s="1" t="s">
        <v>120</v>
      </c>
      <c r="Q245" s="1" t="str">
        <f t="shared" si="7"/>
        <v>1920x1080</v>
      </c>
      <c r="R245" s="1" t="s">
        <v>75</v>
      </c>
      <c r="S245" s="1" t="str">
        <f t="shared" si="8"/>
        <v>144Hz</v>
      </c>
      <c r="T245" s="1" t="s">
        <v>101</v>
      </c>
      <c r="U245" s="1" t="str">
        <f t="shared" si="9"/>
        <v>DOS</v>
      </c>
      <c r="V245" s="1" t="s">
        <v>376</v>
      </c>
      <c r="W245" s="1" t="str">
        <f t="shared" si="10"/>
        <v>1.86 kg</v>
      </c>
      <c r="X245" s="1" t="s">
        <v>165</v>
      </c>
      <c r="Y245" s="1" t="str">
        <f t="shared" si="11"/>
        <v>2 Years</v>
      </c>
      <c r="Z245" s="4">
        <v>38999</v>
      </c>
      <c r="AA245" s="1" t="s">
        <v>166</v>
      </c>
    </row>
    <row r="246" spans="1:27" ht="15.75" customHeight="1" x14ac:dyDescent="0.35">
      <c r="A246" s="1" t="s">
        <v>30</v>
      </c>
      <c r="B246" s="1" t="str">
        <f t="shared" si="16"/>
        <v>MSI</v>
      </c>
      <c r="C246" s="1" t="s">
        <v>1442</v>
      </c>
      <c r="D246" s="1" t="str">
        <f t="shared" si="1"/>
        <v>Thin GF63 12UCX</v>
      </c>
      <c r="E246" s="1" t="str">
        <f t="array" aca="1" ref="E246" ca="1">IFERROR(
INDEX(Family_Map!$B$2:$B$35,
_xludf.AGGREGATE(14,6,(ROW(Family_Map!$A$2:$A$35)-ROW(Family_Map!$A$2)+1)/(ISNUMBER(SEARCH(Family_Map!$A$2:$A$35,D246))),1)
),
"Other")</f>
        <v>Other</v>
      </c>
      <c r="F246" s="1" t="s">
        <v>1443</v>
      </c>
      <c r="G246" s="1" t="e">
        <f t="shared" ca="1" si="2"/>
        <v>#NAME?</v>
      </c>
      <c r="H246" s="1" t="str">
        <f t="shared" ca="1" si="12"/>
        <v>Other</v>
      </c>
      <c r="I246" s="1" t="s">
        <v>507</v>
      </c>
      <c r="J246" s="1" t="str">
        <f t="shared" si="3"/>
        <v>4GB</v>
      </c>
      <c r="K246" s="1" t="s">
        <v>1134</v>
      </c>
      <c r="L246" s="1">
        <f t="shared" si="18"/>
        <v>8</v>
      </c>
      <c r="M246" s="1" t="s">
        <v>1437</v>
      </c>
      <c r="N246" s="1" t="str">
        <f t="shared" si="5"/>
        <v>512GB</v>
      </c>
      <c r="O246" s="1" t="str">
        <f t="shared" si="6"/>
        <v>512GB</v>
      </c>
      <c r="P246" s="1" t="s">
        <v>120</v>
      </c>
      <c r="Q246" s="1" t="str">
        <f t="shared" si="7"/>
        <v>1920x1080</v>
      </c>
      <c r="R246" s="1" t="s">
        <v>75</v>
      </c>
      <c r="S246" s="1" t="str">
        <f t="shared" si="8"/>
        <v>144Hz</v>
      </c>
      <c r="T246" s="1" t="s">
        <v>121</v>
      </c>
      <c r="U246" s="1" t="str">
        <f t="shared" si="9"/>
        <v>DOS</v>
      </c>
      <c r="V246" s="1" t="s">
        <v>376</v>
      </c>
      <c r="W246" s="1" t="str">
        <f t="shared" si="10"/>
        <v>1.86 kg</v>
      </c>
      <c r="X246" s="1" t="s">
        <v>165</v>
      </c>
      <c r="Y246" s="1" t="str">
        <f t="shared" si="11"/>
        <v>2 Years</v>
      </c>
      <c r="Z246" s="4">
        <v>28899</v>
      </c>
      <c r="AA246" s="1" t="s">
        <v>166</v>
      </c>
    </row>
    <row r="247" spans="1:27" ht="15.75" customHeight="1" x14ac:dyDescent="0.35">
      <c r="A247" s="1" t="s">
        <v>30</v>
      </c>
      <c r="B247" s="1" t="str">
        <f t="shared" si="16"/>
        <v>MSI</v>
      </c>
      <c r="C247" s="1" t="s">
        <v>775</v>
      </c>
      <c r="D247" s="1" t="str">
        <f t="shared" si="1"/>
        <v>Cyborg 15 A13VF</v>
      </c>
      <c r="E247" s="1" t="str">
        <f t="array" aca="1" ref="E247" ca="1">IFERROR(
INDEX(Family_Map!$B$2:$B$35,
_xludf.AGGREGATE(14,6,(ROW(Family_Map!$A$2:$A$35)-ROW(Family_Map!$A$2)+1)/(ISNUMBER(SEARCH(Family_Map!$A$2:$A$35,D247))),1)
),
"Other")</f>
        <v>Other</v>
      </c>
      <c r="F247" s="1" t="s">
        <v>655</v>
      </c>
      <c r="G247" s="1" t="e">
        <f t="shared" ca="1" si="2"/>
        <v>#NAME?</v>
      </c>
      <c r="H247" s="1" t="str">
        <f t="shared" ca="1" si="12"/>
        <v>Other</v>
      </c>
      <c r="I247" s="1" t="s">
        <v>70</v>
      </c>
      <c r="J247" s="1" t="str">
        <f t="shared" si="3"/>
        <v>6GB</v>
      </c>
      <c r="K247" s="1" t="s">
        <v>776</v>
      </c>
      <c r="L247" s="1">
        <f t="shared" si="18"/>
        <v>16</v>
      </c>
      <c r="M247" s="1" t="s">
        <v>777</v>
      </c>
      <c r="N247" s="1" t="str">
        <f t="shared" si="5"/>
        <v>512GB</v>
      </c>
      <c r="O247" s="1" t="str">
        <f t="shared" si="6"/>
        <v>512GB</v>
      </c>
      <c r="P247" s="1" t="s">
        <v>74</v>
      </c>
      <c r="Q247" s="1" t="str">
        <f t="shared" si="7"/>
        <v>1920x1080</v>
      </c>
      <c r="R247" s="1" t="s">
        <v>75</v>
      </c>
      <c r="S247" s="1" t="str">
        <f t="shared" si="8"/>
        <v>144Hz</v>
      </c>
      <c r="T247" s="1" t="s">
        <v>101</v>
      </c>
      <c r="U247" s="1" t="str">
        <f t="shared" si="9"/>
        <v>DOS</v>
      </c>
      <c r="V247" s="1" t="s">
        <v>781</v>
      </c>
      <c r="W247" s="1" t="str">
        <f t="shared" si="10"/>
        <v>1.98 kg</v>
      </c>
      <c r="X247" s="1" t="s">
        <v>339</v>
      </c>
      <c r="Y247" s="1" t="str">
        <f t="shared" si="11"/>
        <v>2 Years</v>
      </c>
      <c r="Z247" s="4">
        <v>49999</v>
      </c>
      <c r="AA247" s="1" t="s">
        <v>79</v>
      </c>
    </row>
    <row r="248" spans="1:27" ht="15.75" customHeight="1" x14ac:dyDescent="0.35">
      <c r="A248" s="1" t="s">
        <v>151</v>
      </c>
      <c r="B248" s="1" t="str">
        <f t="shared" si="16"/>
        <v>Lenovo</v>
      </c>
      <c r="C248" s="1" t="s">
        <v>505</v>
      </c>
      <c r="D248" s="1" t="str">
        <f t="shared" si="1"/>
        <v>LOQ 15IAX9</v>
      </c>
      <c r="E248" s="1" t="str">
        <f t="array" aca="1" ref="E248" ca="1">IFERROR(
INDEX(Family_Map!$B$2:$B$35,
_xludf.AGGREGATE(14,6,(ROW(Family_Map!$A$2:$A$35)-ROW(Family_Map!$A$2)+1)/(ISNUMBER(SEARCH(Family_Map!$A$2:$A$35,D248))),1)
),
"Other")</f>
        <v>Other</v>
      </c>
      <c r="F248" s="1" t="s">
        <v>676</v>
      </c>
      <c r="G248" s="1" t="e">
        <f t="shared" ca="1" si="2"/>
        <v>#NAME?</v>
      </c>
      <c r="H248" s="1" t="str">
        <f t="shared" ca="1" si="12"/>
        <v>Other</v>
      </c>
      <c r="I248" s="1" t="s">
        <v>507</v>
      </c>
      <c r="J248" s="1" t="str">
        <f t="shared" si="3"/>
        <v>4GB</v>
      </c>
      <c r="K248" s="1" t="s">
        <v>1188</v>
      </c>
      <c r="L248" s="1">
        <f t="shared" si="18"/>
        <v>16</v>
      </c>
      <c r="M248" s="1" t="s">
        <v>156</v>
      </c>
      <c r="N248" s="1" t="str">
        <f t="shared" si="5"/>
        <v>512GB</v>
      </c>
      <c r="O248" s="1" t="str">
        <f t="shared" si="6"/>
        <v>512GB</v>
      </c>
      <c r="P248" s="1" t="s">
        <v>120</v>
      </c>
      <c r="Q248" s="1" t="str">
        <f t="shared" si="7"/>
        <v>1920x1080</v>
      </c>
      <c r="R248" s="1" t="s">
        <v>75</v>
      </c>
      <c r="S248" s="1" t="str">
        <f t="shared" si="8"/>
        <v>144Hz</v>
      </c>
      <c r="T248" s="1" t="s">
        <v>101</v>
      </c>
      <c r="U248" s="1" t="str">
        <f t="shared" si="9"/>
        <v>DOS</v>
      </c>
      <c r="V248" s="1" t="s">
        <v>398</v>
      </c>
      <c r="W248" s="1" t="str">
        <f t="shared" si="10"/>
        <v>2.38 kg</v>
      </c>
      <c r="X248" s="1" t="s">
        <v>165</v>
      </c>
      <c r="Y248" s="1" t="str">
        <f t="shared" si="11"/>
        <v>2 Years</v>
      </c>
      <c r="Z248" s="4">
        <v>31999</v>
      </c>
      <c r="AA248" s="1" t="s">
        <v>166</v>
      </c>
    </row>
    <row r="249" spans="1:27" ht="15.75" customHeight="1" x14ac:dyDescent="0.35">
      <c r="A249" s="1" t="s">
        <v>151</v>
      </c>
      <c r="B249" s="1" t="str">
        <f t="shared" si="16"/>
        <v>Lenovo</v>
      </c>
      <c r="C249" s="1" t="s">
        <v>826</v>
      </c>
      <c r="D249" s="1" t="str">
        <f t="shared" si="1"/>
        <v>IdeaPad Gaming 3 15ACH6</v>
      </c>
      <c r="E249" s="1" t="str">
        <f t="array" aca="1" ref="E249" ca="1">IFERROR(
INDEX(Family_Map!$B$2:$B$35,
_xludf.AGGREGATE(14,6,(ROW(Family_Map!$A$2:$A$35)-ROW(Family_Map!$A$2)+1)/(ISNUMBER(SEARCH(Family_Map!$A$2:$A$35,D249))),1)
),
"Other")</f>
        <v>Other</v>
      </c>
      <c r="F249" s="1" t="s">
        <v>1447</v>
      </c>
      <c r="G249" s="1" t="e">
        <f t="shared" ca="1" si="2"/>
        <v>#NAME?</v>
      </c>
      <c r="H249" s="1" t="str">
        <f t="shared" ca="1" si="12"/>
        <v>Other</v>
      </c>
      <c r="I249" s="1" t="s">
        <v>507</v>
      </c>
      <c r="J249" s="1" t="str">
        <f t="shared" si="3"/>
        <v>4GB</v>
      </c>
      <c r="K249" s="1" t="s">
        <v>1448</v>
      </c>
      <c r="L249" s="1">
        <v>16</v>
      </c>
      <c r="M249" s="1" t="s">
        <v>156</v>
      </c>
      <c r="N249" s="1" t="str">
        <f t="shared" si="5"/>
        <v>512GB</v>
      </c>
      <c r="O249" s="1" t="str">
        <f t="shared" si="6"/>
        <v>512GB</v>
      </c>
      <c r="P249" s="1" t="s">
        <v>120</v>
      </c>
      <c r="Q249" s="1" t="str">
        <f t="shared" si="7"/>
        <v>1920x1080</v>
      </c>
      <c r="R249" s="1" t="s">
        <v>75</v>
      </c>
      <c r="S249" s="1" t="str">
        <f t="shared" si="8"/>
        <v>144Hz</v>
      </c>
      <c r="T249" s="1" t="s">
        <v>90</v>
      </c>
      <c r="U249" s="1" t="str">
        <f t="shared" si="9"/>
        <v>Windows 11 Home</v>
      </c>
      <c r="V249" s="1" t="s">
        <v>652</v>
      </c>
      <c r="W249" s="1" t="str">
        <f t="shared" si="10"/>
        <v>2.25 kg</v>
      </c>
      <c r="X249" s="1" t="s">
        <v>78</v>
      </c>
      <c r="Y249" s="1" t="str">
        <f t="shared" si="11"/>
        <v>1 Year</v>
      </c>
      <c r="Z249" s="4">
        <v>26999</v>
      </c>
      <c r="AA249" s="1" t="s">
        <v>5735</v>
      </c>
    </row>
    <row r="250" spans="1:27" ht="15.75" customHeight="1" x14ac:dyDescent="0.35">
      <c r="A250" s="1" t="s">
        <v>112</v>
      </c>
      <c r="B250" s="1" t="str">
        <f t="shared" si="16"/>
        <v>HP</v>
      </c>
      <c r="C250" s="1" t="s">
        <v>1451</v>
      </c>
      <c r="D250" s="1" t="str">
        <f t="shared" si="1"/>
        <v>Victus 16-D1058NE</v>
      </c>
      <c r="E250" s="1" t="str">
        <f t="array" aca="1" ref="E250" ca="1">IFERROR(
INDEX(Family_Map!$B$2:$B$35,
_xludf.AGGREGATE(14,6,(ROW(Family_Map!$A$2:$A$35)-ROW(Family_Map!$A$2)+1)/(ISNUMBER(SEARCH(Family_Map!$A$2:$A$35,D250))),1)
),
"Other")</f>
        <v>Other</v>
      </c>
      <c r="F250" s="1" t="s">
        <v>1452</v>
      </c>
      <c r="G250" s="1" t="e">
        <f t="shared" ca="1" si="2"/>
        <v>#NAME?</v>
      </c>
      <c r="H250" s="1" t="str">
        <f t="shared" ca="1" si="12"/>
        <v>Other</v>
      </c>
      <c r="I250" s="1" t="s">
        <v>70</v>
      </c>
      <c r="J250" s="1" t="str">
        <f t="shared" si="3"/>
        <v>6GB</v>
      </c>
      <c r="K250" s="1" t="s">
        <v>1454</v>
      </c>
      <c r="L250" s="1">
        <f t="shared" ref="L250:L256" si="19">IFERROR(
VALUE(SUBSTITUTE(SUBSTITUTE(LEFT(UPPER(TRIM(K250)),FIND("GB",UPPER(K250)&amp;"GB")+1),"GB","")," ","")),
IFERROR(
VALUE(SUBSTITUTE(SUBSTITUTE(MID(UPPER(K250),FIND("GB",UPPER(K250)&amp;"GB")-3,3),"GB","")," ",""))
*
IF(
OR(
ISNUMBER(SEARCH("2X",UPPER(K250))),
ISNUMBER(SEARCH("X 2",UPPER(K250))),
ISNUMBER(SEARCH("*2",UPPER(K250))),
ISNUMBER(SEARCH("2*",UPPER(K250))),
ISNUMBER(SEARCH("(2 X",UPPER(K250)))
),
2,1),
"")
)</f>
        <v>16</v>
      </c>
      <c r="M250" s="1" t="s">
        <v>136</v>
      </c>
      <c r="N250" s="1" t="str">
        <f t="shared" si="5"/>
        <v>512 GB</v>
      </c>
      <c r="O250" s="1" t="str">
        <f t="shared" si="6"/>
        <v>512 GB</v>
      </c>
      <c r="P250" s="1" t="s">
        <v>120</v>
      </c>
      <c r="Q250" s="1" t="str">
        <f t="shared" si="7"/>
        <v>1920x1080</v>
      </c>
      <c r="R250" s="1" t="s">
        <v>75</v>
      </c>
      <c r="S250" s="1" t="str">
        <f t="shared" si="8"/>
        <v>144Hz</v>
      </c>
      <c r="T250" s="1" t="s">
        <v>90</v>
      </c>
      <c r="U250" s="1" t="str">
        <f t="shared" si="9"/>
        <v>Windows 11 Home</v>
      </c>
      <c r="W250" s="1" t="str">
        <f t="shared" si="10"/>
        <v/>
      </c>
      <c r="X250" s="1" t="s">
        <v>78</v>
      </c>
      <c r="Y250" s="1" t="str">
        <f t="shared" si="11"/>
        <v>1 Year</v>
      </c>
      <c r="Z250" s="4">
        <v>52599</v>
      </c>
      <c r="AA250" s="1" t="s">
        <v>166</v>
      </c>
    </row>
    <row r="251" spans="1:27" ht="15.75" customHeight="1" x14ac:dyDescent="0.35">
      <c r="A251" s="1" t="s">
        <v>112</v>
      </c>
      <c r="B251" s="1" t="str">
        <f t="shared" si="16"/>
        <v>HP</v>
      </c>
      <c r="C251" s="1" t="s">
        <v>1460</v>
      </c>
      <c r="D251" s="1" t="str">
        <f t="shared" si="1"/>
        <v>Victus 15-FA1113NIA</v>
      </c>
      <c r="E251" s="1" t="str">
        <f t="array" aca="1" ref="E251" ca="1">IFERROR(
INDEX(Family_Map!$B$2:$B$35,
_xludf.AGGREGATE(14,6,(ROW(Family_Map!$A$2:$A$35)-ROW(Family_Map!$A$2)+1)/(ISNUMBER(SEARCH(Family_Map!$A$2:$A$35,D251))),1)
),
"Other")</f>
        <v>Other</v>
      </c>
      <c r="F251" s="1" t="s">
        <v>693</v>
      </c>
      <c r="G251" s="1" t="e">
        <f t="shared" ca="1" si="2"/>
        <v>#NAME?</v>
      </c>
      <c r="H251" s="1" t="str">
        <f t="shared" ca="1" si="12"/>
        <v>Other</v>
      </c>
      <c r="I251" s="1" t="s">
        <v>70</v>
      </c>
      <c r="J251" s="1" t="str">
        <f t="shared" si="3"/>
        <v>6GB</v>
      </c>
      <c r="K251" s="1" t="s">
        <v>1462</v>
      </c>
      <c r="L251" s="1">
        <f t="shared" si="19"/>
        <v>16</v>
      </c>
      <c r="M251" s="1" t="s">
        <v>1463</v>
      </c>
      <c r="N251" s="1" t="str">
        <f t="shared" si="5"/>
        <v>512GB</v>
      </c>
      <c r="O251" s="1" t="str">
        <f t="shared" si="6"/>
        <v>512GB</v>
      </c>
      <c r="P251" s="1" t="s">
        <v>120</v>
      </c>
      <c r="Q251" s="1" t="str">
        <f t="shared" si="7"/>
        <v>1920x1080</v>
      </c>
      <c r="R251" s="1" t="s">
        <v>75</v>
      </c>
      <c r="S251" s="1" t="str">
        <f t="shared" si="8"/>
        <v>144Hz</v>
      </c>
      <c r="T251" s="1" t="s">
        <v>101</v>
      </c>
      <c r="U251" s="1" t="str">
        <f t="shared" si="9"/>
        <v>DOS</v>
      </c>
      <c r="V251" s="1" t="s">
        <v>127</v>
      </c>
      <c r="W251" s="1" t="str">
        <f t="shared" si="10"/>
        <v>2.29 kg</v>
      </c>
      <c r="X251" s="1" t="s">
        <v>78</v>
      </c>
      <c r="Y251" s="1" t="str">
        <f t="shared" si="11"/>
        <v>1 Year</v>
      </c>
      <c r="Z251" s="4">
        <v>54499</v>
      </c>
      <c r="AA251" s="1" t="s">
        <v>79</v>
      </c>
    </row>
    <row r="252" spans="1:27" ht="15.75" customHeight="1" x14ac:dyDescent="0.35">
      <c r="A252" s="1" t="s">
        <v>151</v>
      </c>
      <c r="B252" s="1" t="str">
        <f t="shared" si="16"/>
        <v>Lenovo</v>
      </c>
      <c r="C252" s="1" t="s">
        <v>505</v>
      </c>
      <c r="D252" s="1" t="str">
        <f t="shared" si="1"/>
        <v>LOQ 15IAX9</v>
      </c>
      <c r="E252" s="1" t="str">
        <f t="array" aca="1" ref="E252" ca="1">IFERROR(
INDEX(Family_Map!$B$2:$B$35,
_xludf.AGGREGATE(14,6,(ROW(Family_Map!$A$2:$A$35)-ROW(Family_Map!$A$2)+1)/(ISNUMBER(SEARCH(Family_Map!$A$2:$A$35,D252))),1)
),
"Other")</f>
        <v>Other</v>
      </c>
      <c r="F252" s="1" t="s">
        <v>676</v>
      </c>
      <c r="G252" s="1" t="e">
        <f t="shared" ca="1" si="2"/>
        <v>#NAME?</v>
      </c>
      <c r="H252" s="1" t="str">
        <f t="shared" ca="1" si="12"/>
        <v>Other</v>
      </c>
      <c r="I252" s="1" t="s">
        <v>70</v>
      </c>
      <c r="J252" s="1" t="str">
        <f t="shared" si="3"/>
        <v>6GB</v>
      </c>
      <c r="K252" s="1" t="s">
        <v>1264</v>
      </c>
      <c r="L252" s="1">
        <f t="shared" si="19"/>
        <v>16</v>
      </c>
      <c r="M252" s="1" t="s">
        <v>156</v>
      </c>
      <c r="N252" s="1" t="str">
        <f t="shared" si="5"/>
        <v>512GB</v>
      </c>
      <c r="O252" s="1" t="str">
        <f t="shared" si="6"/>
        <v>512GB</v>
      </c>
      <c r="P252" s="1" t="s">
        <v>120</v>
      </c>
      <c r="Q252" s="1" t="str">
        <f t="shared" si="7"/>
        <v>1920x1080</v>
      </c>
      <c r="R252" s="1" t="s">
        <v>75</v>
      </c>
      <c r="S252" s="1" t="str">
        <f t="shared" si="8"/>
        <v>144Hz</v>
      </c>
      <c r="T252" s="1" t="s">
        <v>121</v>
      </c>
      <c r="U252" s="1" t="str">
        <f t="shared" si="9"/>
        <v>DOS</v>
      </c>
      <c r="V252" s="1" t="s">
        <v>398</v>
      </c>
      <c r="W252" s="1" t="str">
        <f t="shared" si="10"/>
        <v>2.38 kg</v>
      </c>
      <c r="X252" s="1" t="s">
        <v>78</v>
      </c>
      <c r="Y252" s="1" t="str">
        <f t="shared" si="11"/>
        <v>1 Year</v>
      </c>
      <c r="Z252" s="4">
        <v>38888</v>
      </c>
      <c r="AA252" s="1" t="s">
        <v>166</v>
      </c>
    </row>
    <row r="253" spans="1:27" ht="15.75" customHeight="1" x14ac:dyDescent="0.35">
      <c r="A253" s="1" t="s">
        <v>151</v>
      </c>
      <c r="B253" s="1" t="str">
        <f t="shared" si="16"/>
        <v>Lenovo</v>
      </c>
      <c r="C253" s="1" t="s">
        <v>505</v>
      </c>
      <c r="D253" s="1" t="str">
        <f t="shared" si="1"/>
        <v>LOQ 15IAX9</v>
      </c>
      <c r="E253" s="1" t="str">
        <f t="array" aca="1" ref="E253" ca="1">IFERROR(
INDEX(Family_Map!$B$2:$B$35,
_xludf.AGGREGATE(14,6,(ROW(Family_Map!$A$2:$A$35)-ROW(Family_Map!$A$2)+1)/(ISNUMBER(SEARCH(Family_Map!$A$2:$A$35,D253))),1)
),
"Other")</f>
        <v>Other</v>
      </c>
      <c r="F253" s="1" t="s">
        <v>153</v>
      </c>
      <c r="G253" s="1" t="e">
        <f t="shared" ca="1" si="2"/>
        <v>#NAME?</v>
      </c>
      <c r="H253" s="1" t="str">
        <f t="shared" ca="1" si="12"/>
        <v>Other</v>
      </c>
      <c r="I253" s="1" t="s">
        <v>507</v>
      </c>
      <c r="J253" s="1" t="str">
        <f t="shared" si="3"/>
        <v>4GB</v>
      </c>
      <c r="K253" s="1" t="s">
        <v>411</v>
      </c>
      <c r="L253" s="1">
        <f t="shared" si="19"/>
        <v>24</v>
      </c>
      <c r="M253" s="1" t="s">
        <v>156</v>
      </c>
      <c r="N253" s="1" t="str">
        <f t="shared" si="5"/>
        <v>512GB</v>
      </c>
      <c r="O253" s="1" t="str">
        <f t="shared" si="6"/>
        <v>512GB</v>
      </c>
      <c r="P253" s="1" t="s">
        <v>120</v>
      </c>
      <c r="Q253" s="1" t="str">
        <f t="shared" si="7"/>
        <v>1920x1080</v>
      </c>
      <c r="R253" s="1" t="s">
        <v>75</v>
      </c>
      <c r="S253" s="1" t="str">
        <f t="shared" si="8"/>
        <v>144Hz</v>
      </c>
      <c r="T253" s="1" t="s">
        <v>101</v>
      </c>
      <c r="U253" s="1" t="str">
        <f t="shared" si="9"/>
        <v>DOS</v>
      </c>
      <c r="V253" s="1" t="s">
        <v>398</v>
      </c>
      <c r="W253" s="1" t="str">
        <f t="shared" si="10"/>
        <v>2.38 kg</v>
      </c>
      <c r="X253" s="1" t="s">
        <v>78</v>
      </c>
      <c r="Y253" s="1" t="str">
        <f t="shared" si="11"/>
        <v>1 Year</v>
      </c>
      <c r="Z253" s="4">
        <v>30999</v>
      </c>
      <c r="AA253" s="1" t="s">
        <v>166</v>
      </c>
    </row>
    <row r="254" spans="1:27" ht="15.75" customHeight="1" x14ac:dyDescent="0.35">
      <c r="A254" s="1" t="s">
        <v>234</v>
      </c>
      <c r="B254" s="1" t="str">
        <f t="shared" si="16"/>
        <v>ASUS</v>
      </c>
      <c r="C254" s="1" t="s">
        <v>1466</v>
      </c>
      <c r="D254" s="1" t="str">
        <f t="shared" si="1"/>
        <v>TUF Gaming A15 FA506NF-HN005W</v>
      </c>
      <c r="E254" s="1" t="str">
        <f t="array" aca="1" ref="E254" ca="1">IFERROR(
INDEX(Family_Map!$B$2:$B$35,
_xludf.AGGREGATE(14,6,(ROW(Family_Map!$A$2:$A$35)-ROW(Family_Map!$A$2)+1)/(ISNUMBER(SEARCH(Family_Map!$A$2:$A$35,D254))),1)
),
"Other")</f>
        <v>Other</v>
      </c>
      <c r="F254" s="1" t="s">
        <v>1467</v>
      </c>
      <c r="G254" s="1" t="e">
        <f t="shared" ca="1" si="2"/>
        <v>#NAME?</v>
      </c>
      <c r="H254" s="1" t="str">
        <f t="shared" ca="1" si="12"/>
        <v>Other</v>
      </c>
      <c r="I254" s="1" t="s">
        <v>507</v>
      </c>
      <c r="J254" s="1" t="str">
        <f t="shared" si="3"/>
        <v>4GB</v>
      </c>
      <c r="K254" s="1" t="s">
        <v>622</v>
      </c>
      <c r="L254" s="1">
        <f t="shared" si="19"/>
        <v>8</v>
      </c>
      <c r="M254" s="1" t="s">
        <v>295</v>
      </c>
      <c r="N254" s="1" t="str">
        <f t="shared" si="5"/>
        <v>512GB</v>
      </c>
      <c r="O254" s="1" t="str">
        <f t="shared" si="6"/>
        <v>512GB</v>
      </c>
      <c r="P254" s="1" t="s">
        <v>120</v>
      </c>
      <c r="Q254" s="1" t="str">
        <f t="shared" si="7"/>
        <v>1920x1080</v>
      </c>
      <c r="R254" s="1" t="s">
        <v>75</v>
      </c>
      <c r="S254" s="1" t="str">
        <f t="shared" si="8"/>
        <v>144Hz</v>
      </c>
      <c r="T254" s="1" t="s">
        <v>90</v>
      </c>
      <c r="U254" s="1" t="str">
        <f t="shared" si="9"/>
        <v>Windows 11 Home</v>
      </c>
      <c r="V254" s="1" t="s">
        <v>1400</v>
      </c>
      <c r="W254" s="1" t="str">
        <f t="shared" si="10"/>
        <v>2.3 kg</v>
      </c>
      <c r="X254" s="1" t="s">
        <v>1471</v>
      </c>
      <c r="Y254" s="1" t="str">
        <f t="shared" si="11"/>
        <v>1 Year</v>
      </c>
      <c r="Z254" s="4">
        <v>29199</v>
      </c>
      <c r="AA254" s="1" t="s">
        <v>5735</v>
      </c>
    </row>
    <row r="255" spans="1:27" ht="15.75" customHeight="1" x14ac:dyDescent="0.35">
      <c r="A255" s="1" t="s">
        <v>234</v>
      </c>
      <c r="B255" s="1" t="str">
        <f t="shared" si="16"/>
        <v>ASUS</v>
      </c>
      <c r="C255" s="1" t="s">
        <v>1474</v>
      </c>
      <c r="D255" s="1" t="str">
        <f t="shared" si="1"/>
        <v>TUF Gaming A15 FA506NC-HN005W</v>
      </c>
      <c r="E255" s="1" t="str">
        <f t="array" aca="1" ref="E255" ca="1">IFERROR(
INDEX(Family_Map!$B$2:$B$35,
_xludf.AGGREGATE(14,6,(ROW(Family_Map!$A$2:$A$35)-ROW(Family_Map!$A$2)+1)/(ISNUMBER(SEARCH(Family_Map!$A$2:$A$35,D255))),1)
),
"Other")</f>
        <v>Other</v>
      </c>
      <c r="F255" s="1" t="s">
        <v>1467</v>
      </c>
      <c r="G255" s="1" t="e">
        <f t="shared" ca="1" si="2"/>
        <v>#NAME?</v>
      </c>
      <c r="H255" s="1" t="str">
        <f t="shared" ca="1" si="12"/>
        <v>Other</v>
      </c>
      <c r="I255" s="1" t="s">
        <v>507</v>
      </c>
      <c r="J255" s="1" t="str">
        <f t="shared" si="3"/>
        <v>4GB</v>
      </c>
      <c r="K255" s="1" t="s">
        <v>622</v>
      </c>
      <c r="L255" s="1">
        <f t="shared" si="19"/>
        <v>8</v>
      </c>
      <c r="M255" s="1" t="s">
        <v>295</v>
      </c>
      <c r="N255" s="1" t="str">
        <f t="shared" si="5"/>
        <v>512GB</v>
      </c>
      <c r="O255" s="1" t="str">
        <f t="shared" si="6"/>
        <v>512GB</v>
      </c>
      <c r="P255" s="1" t="s">
        <v>120</v>
      </c>
      <c r="Q255" s="1" t="str">
        <f t="shared" si="7"/>
        <v>1920x1080</v>
      </c>
      <c r="R255" s="1" t="s">
        <v>75</v>
      </c>
      <c r="S255" s="1" t="str">
        <f t="shared" si="8"/>
        <v>144Hz</v>
      </c>
      <c r="T255" s="1" t="s">
        <v>90</v>
      </c>
      <c r="U255" s="1" t="str">
        <f t="shared" si="9"/>
        <v>Windows 11 Home</v>
      </c>
      <c r="V255" s="1" t="s">
        <v>1400</v>
      </c>
      <c r="W255" s="1" t="str">
        <f t="shared" si="10"/>
        <v>2.3 kg</v>
      </c>
      <c r="X255" s="1" t="s">
        <v>1471</v>
      </c>
      <c r="Y255" s="1" t="str">
        <f t="shared" si="11"/>
        <v>1 Year</v>
      </c>
      <c r="Z255" s="4">
        <v>36000</v>
      </c>
      <c r="AA255" s="1" t="s">
        <v>5735</v>
      </c>
    </row>
    <row r="256" spans="1:27" ht="15.75" customHeight="1" x14ac:dyDescent="0.35">
      <c r="A256" s="1" t="s">
        <v>234</v>
      </c>
      <c r="B256" s="1" t="str">
        <f t="shared" si="16"/>
        <v>ASUS</v>
      </c>
      <c r="C256" s="1" t="s">
        <v>1476</v>
      </c>
      <c r="D256" s="1" t="str">
        <f t="shared" si="1"/>
        <v>TUF Gaming A15 FA507NU-LP007W</v>
      </c>
      <c r="E256" s="1" t="str">
        <f t="array" aca="1" ref="E256" ca="1">IFERROR(
INDEX(Family_Map!$B$2:$B$35,
_xludf.AGGREGATE(14,6,(ROW(Family_Map!$A$2:$A$35)-ROW(Family_Map!$A$2)+1)/(ISNUMBER(SEARCH(Family_Map!$A$2:$A$35,D256))),1)
),
"Other")</f>
        <v>Other</v>
      </c>
      <c r="F256" s="1" t="s">
        <v>1467</v>
      </c>
      <c r="G256" s="1" t="e">
        <f t="shared" ca="1" si="2"/>
        <v>#NAME?</v>
      </c>
      <c r="H256" s="1" t="str">
        <f t="shared" ca="1" si="12"/>
        <v>Other</v>
      </c>
      <c r="I256" s="1" t="s">
        <v>70</v>
      </c>
      <c r="J256" s="1" t="str">
        <f t="shared" si="3"/>
        <v>6GB</v>
      </c>
      <c r="K256" s="1" t="s">
        <v>1403</v>
      </c>
      <c r="L256" s="1">
        <f t="shared" si="19"/>
        <v>8</v>
      </c>
      <c r="M256" s="1" t="s">
        <v>295</v>
      </c>
      <c r="N256" s="1" t="str">
        <f t="shared" si="5"/>
        <v>512GB</v>
      </c>
      <c r="O256" s="1" t="str">
        <f t="shared" si="6"/>
        <v>512GB</v>
      </c>
      <c r="P256" s="1" t="s">
        <v>120</v>
      </c>
      <c r="Q256" s="1" t="str">
        <f t="shared" si="7"/>
        <v>1920x1080</v>
      </c>
      <c r="R256" s="1" t="s">
        <v>75</v>
      </c>
      <c r="S256" s="1" t="str">
        <f t="shared" si="8"/>
        <v>144Hz</v>
      </c>
      <c r="T256" s="1" t="s">
        <v>90</v>
      </c>
      <c r="U256" s="1" t="str">
        <f t="shared" si="9"/>
        <v>Windows 11 Home</v>
      </c>
      <c r="V256" s="1" t="s">
        <v>300</v>
      </c>
      <c r="W256" s="1" t="str">
        <f t="shared" si="10"/>
        <v>2.2 kg</v>
      </c>
      <c r="X256" s="1" t="s">
        <v>1471</v>
      </c>
      <c r="Y256" s="1" t="str">
        <f t="shared" si="11"/>
        <v>1 Year</v>
      </c>
      <c r="Z256" s="4">
        <v>39888</v>
      </c>
      <c r="AA256" s="1" t="s">
        <v>5735</v>
      </c>
    </row>
    <row r="257" spans="1:27" ht="15.75" customHeight="1" x14ac:dyDescent="0.35">
      <c r="A257" s="1" t="s">
        <v>151</v>
      </c>
      <c r="B257" s="1" t="str">
        <f t="shared" si="16"/>
        <v>Lenovo</v>
      </c>
      <c r="C257" s="1" t="s">
        <v>505</v>
      </c>
      <c r="D257" s="1" t="str">
        <f t="shared" si="1"/>
        <v>LOQ 15IAX9</v>
      </c>
      <c r="E257" s="1" t="str">
        <f t="array" aca="1" ref="E257" ca="1">IFERROR(
INDEX(Family_Map!$B$2:$B$35,
_xludf.AGGREGATE(14,6,(ROW(Family_Map!$A$2:$A$35)-ROW(Family_Map!$A$2)+1)/(ISNUMBER(SEARCH(Family_Map!$A$2:$A$35,D257))),1)
),
"Other")</f>
        <v>Other</v>
      </c>
      <c r="F257" s="1" t="s">
        <v>676</v>
      </c>
      <c r="G257" s="1" t="e">
        <f t="shared" ca="1" si="2"/>
        <v>#NAME?</v>
      </c>
      <c r="H257" s="1" t="str">
        <f t="shared" ca="1" si="12"/>
        <v>Other</v>
      </c>
      <c r="I257" s="1" t="s">
        <v>507</v>
      </c>
      <c r="J257" s="1" t="str">
        <f t="shared" si="3"/>
        <v>4GB</v>
      </c>
      <c r="K257" s="1" t="s">
        <v>1433</v>
      </c>
      <c r="L257" s="1">
        <v>8</v>
      </c>
      <c r="M257" s="1" t="s">
        <v>156</v>
      </c>
      <c r="N257" s="1" t="str">
        <f t="shared" si="5"/>
        <v>512GB</v>
      </c>
      <c r="O257" s="1" t="str">
        <f t="shared" si="6"/>
        <v>512GB</v>
      </c>
      <c r="P257" s="1" t="s">
        <v>120</v>
      </c>
      <c r="Q257" s="1" t="str">
        <f t="shared" si="7"/>
        <v>1920x1080</v>
      </c>
      <c r="R257" s="1" t="s">
        <v>75</v>
      </c>
      <c r="S257" s="1" t="str">
        <f t="shared" si="8"/>
        <v>144Hz</v>
      </c>
      <c r="T257" s="1" t="s">
        <v>101</v>
      </c>
      <c r="U257" s="1" t="str">
        <f t="shared" si="9"/>
        <v>DOS</v>
      </c>
      <c r="V257" s="1" t="s">
        <v>398</v>
      </c>
      <c r="W257" s="1" t="str">
        <f t="shared" si="10"/>
        <v>2.38 kg</v>
      </c>
      <c r="X257" s="1" t="s">
        <v>339</v>
      </c>
      <c r="Y257" s="1" t="str">
        <f t="shared" si="11"/>
        <v>2 Years</v>
      </c>
      <c r="Z257" s="4">
        <v>31499</v>
      </c>
      <c r="AA257" s="1" t="s">
        <v>166</v>
      </c>
    </row>
    <row r="258" spans="1:27" ht="15.75" customHeight="1" x14ac:dyDescent="0.35">
      <c r="A258" s="1" t="s">
        <v>112</v>
      </c>
      <c r="B258" s="1" t="str">
        <f t="shared" si="16"/>
        <v>HP</v>
      </c>
      <c r="C258" s="1" t="s">
        <v>1482</v>
      </c>
      <c r="D258" s="1" t="str">
        <f t="shared" si="1"/>
        <v>OMEN Transcend 16-u1047nr</v>
      </c>
      <c r="E258" s="1" t="str">
        <f t="array" aca="1" ref="E258" ca="1">IFERROR(
INDEX(Family_Map!$B$2:$B$35,
_xludf.AGGREGATE(14,6,(ROW(Family_Map!$A$2:$A$35)-ROW(Family_Map!$A$2)+1)/(ISNUMBER(SEARCH(Family_Map!$A$2:$A$35,D258))),1)
),
"Other")</f>
        <v>Other</v>
      </c>
      <c r="F258" s="1" t="s">
        <v>133</v>
      </c>
      <c r="G258" s="1" t="e">
        <f t="shared" ca="1" si="2"/>
        <v>#NAME?</v>
      </c>
      <c r="H258" s="1" t="str">
        <f t="shared" ca="1" si="12"/>
        <v>Other</v>
      </c>
      <c r="I258" s="1" t="s">
        <v>540</v>
      </c>
      <c r="J258" s="1" t="str">
        <f t="shared" si="3"/>
        <v>8 GB</v>
      </c>
      <c r="K258" s="1" t="s">
        <v>1483</v>
      </c>
      <c r="L258" s="1">
        <f t="shared" ref="L258:L261" si="20">IFERROR(
VALUE(SUBSTITUTE(SUBSTITUTE(LEFT(UPPER(TRIM(K258)),FIND("GB",UPPER(K258)&amp;"GB")+1),"GB","")," ","")),
IFERROR(
VALUE(SUBSTITUTE(SUBSTITUTE(MID(UPPER(K258),FIND("GB",UPPER(K258)&amp;"GB")-3,3),"GB","")," ",""))
*
IF(
OR(
ISNUMBER(SEARCH("2X",UPPER(K258))),
ISNUMBER(SEARCH("X 2",UPPER(K258))),
ISNUMBER(SEARCH("*2",UPPER(K258))),
ISNUMBER(SEARCH("2*",UPPER(K258))),
ISNUMBER(SEARCH("(2 X",UPPER(K258)))
),
2,1),
"")
)</f>
        <v>32</v>
      </c>
      <c r="M258" s="1" t="s">
        <v>1484</v>
      </c>
      <c r="N258" s="1" t="str">
        <f t="shared" si="5"/>
        <v>1 TB</v>
      </c>
      <c r="O258" s="1" t="str">
        <f t="shared" si="6"/>
        <v>1024GB</v>
      </c>
      <c r="P258" s="1" t="s">
        <v>89</v>
      </c>
      <c r="Q258" s="1" t="str">
        <f t="shared" si="7"/>
        <v>2560x1600</v>
      </c>
      <c r="R258" s="1" t="s">
        <v>256</v>
      </c>
      <c r="S258" s="1" t="str">
        <f t="shared" si="8"/>
        <v>240Hz</v>
      </c>
      <c r="T258" s="1" t="s">
        <v>201</v>
      </c>
      <c r="U258" s="1" t="str">
        <f t="shared" si="9"/>
        <v>Windows 11 Home</v>
      </c>
      <c r="V258" s="1" t="s">
        <v>1488</v>
      </c>
      <c r="W258" s="1" t="str">
        <f t="shared" si="10"/>
        <v>2.18 kg</v>
      </c>
      <c r="X258" s="1" t="s">
        <v>78</v>
      </c>
      <c r="Y258" s="1" t="str">
        <f t="shared" si="11"/>
        <v>1 Year</v>
      </c>
      <c r="Z258" s="4">
        <v>119999</v>
      </c>
      <c r="AA258" s="1" t="s">
        <v>65</v>
      </c>
    </row>
    <row r="259" spans="1:27" ht="15.75" customHeight="1" x14ac:dyDescent="0.35">
      <c r="A259" s="1" t="s">
        <v>112</v>
      </c>
      <c r="B259" s="1" t="str">
        <f t="shared" si="16"/>
        <v>HP</v>
      </c>
      <c r="C259" s="1" t="s">
        <v>1490</v>
      </c>
      <c r="D259" s="1" t="str">
        <f t="shared" si="1"/>
        <v>Omen 17-CM2020NR</v>
      </c>
      <c r="E259" s="1" t="str">
        <f t="array" aca="1" ref="E259" ca="1">IFERROR(
INDEX(Family_Map!$B$2:$B$35,
_xludf.AGGREGATE(14,6,(ROW(Family_Map!$A$2:$A$35)-ROW(Family_Map!$A$2)+1)/(ISNUMBER(SEARCH(Family_Map!$A$2:$A$35,D259))),1)
),
"Other")</f>
        <v>Other</v>
      </c>
      <c r="F259" s="1" t="s">
        <v>1053</v>
      </c>
      <c r="G259" s="1" t="e">
        <f t="shared" ca="1" si="2"/>
        <v>#NAME?</v>
      </c>
      <c r="H259" s="1" t="str">
        <f t="shared" ca="1" si="12"/>
        <v>Other</v>
      </c>
      <c r="I259" s="1" t="s">
        <v>410</v>
      </c>
      <c r="J259" s="1" t="str">
        <f t="shared" si="3"/>
        <v>8GB</v>
      </c>
      <c r="K259" s="1" t="s">
        <v>1491</v>
      </c>
      <c r="L259" s="1">
        <f t="shared" si="20"/>
        <v>16</v>
      </c>
      <c r="M259" s="1" t="s">
        <v>136</v>
      </c>
      <c r="N259" s="1" t="str">
        <f t="shared" si="5"/>
        <v>512 GB</v>
      </c>
      <c r="O259" s="1" t="str">
        <f t="shared" si="6"/>
        <v>512 GB</v>
      </c>
      <c r="P259" s="1" t="s">
        <v>1493</v>
      </c>
      <c r="Q259" s="1" t="str">
        <f t="shared" si="7"/>
        <v>2560x1440</v>
      </c>
      <c r="R259" s="1" t="s">
        <v>57</v>
      </c>
      <c r="S259" s="1" t="str">
        <f t="shared" si="8"/>
        <v>165Hz</v>
      </c>
      <c r="T259" s="1" t="s">
        <v>90</v>
      </c>
      <c r="U259" s="1" t="str">
        <f t="shared" si="9"/>
        <v>Windows 11 Home</v>
      </c>
      <c r="V259" s="1" t="s">
        <v>1497</v>
      </c>
      <c r="W259" s="1" t="str">
        <f t="shared" si="10"/>
        <v>2.78 kg</v>
      </c>
      <c r="X259" s="1" t="s">
        <v>78</v>
      </c>
      <c r="Y259" s="1" t="str">
        <f t="shared" si="11"/>
        <v>1 Year</v>
      </c>
      <c r="Z259" s="4">
        <v>89999</v>
      </c>
      <c r="AA259" s="1" t="s">
        <v>79</v>
      </c>
    </row>
    <row r="260" spans="1:27" ht="15.75" customHeight="1" x14ac:dyDescent="0.35">
      <c r="A260" s="1" t="s">
        <v>151</v>
      </c>
      <c r="B260" s="1" t="str">
        <f t="shared" si="16"/>
        <v>Lenovo</v>
      </c>
      <c r="C260" s="1" t="s">
        <v>568</v>
      </c>
      <c r="D260" s="1" t="str">
        <f t="shared" si="1"/>
        <v>LOQ 15IRX9</v>
      </c>
      <c r="E260" s="1" t="str">
        <f t="array" aca="1" ref="E260" ca="1">IFERROR(
INDEX(Family_Map!$B$2:$B$35,
_xludf.AGGREGATE(14,6,(ROW(Family_Map!$A$2:$A$35)-ROW(Family_Map!$A$2)+1)/(ISNUMBER(SEARCH(Family_Map!$A$2:$A$35,D260))),1)
),
"Other")</f>
        <v>Other</v>
      </c>
      <c r="F260" s="1" t="s">
        <v>746</v>
      </c>
      <c r="G260" s="1" t="e">
        <f t="shared" ca="1" si="2"/>
        <v>#NAME?</v>
      </c>
      <c r="H260" s="1" t="str">
        <f t="shared" ca="1" si="12"/>
        <v>Other</v>
      </c>
      <c r="I260" s="1" t="s">
        <v>70</v>
      </c>
      <c r="J260" s="1" t="str">
        <f t="shared" si="3"/>
        <v>6GB</v>
      </c>
      <c r="K260" s="1" t="s">
        <v>155</v>
      </c>
      <c r="L260" s="1">
        <f t="shared" si="20"/>
        <v>16</v>
      </c>
      <c r="M260" s="1" t="s">
        <v>156</v>
      </c>
      <c r="N260" s="1" t="str">
        <f t="shared" si="5"/>
        <v>512GB</v>
      </c>
      <c r="O260" s="1" t="str">
        <f t="shared" si="6"/>
        <v>512GB</v>
      </c>
      <c r="P260" s="1" t="s">
        <v>120</v>
      </c>
      <c r="Q260" s="1" t="str">
        <f t="shared" si="7"/>
        <v>1920x1080</v>
      </c>
      <c r="R260" s="1" t="s">
        <v>75</v>
      </c>
      <c r="S260" s="1" t="str">
        <f t="shared" si="8"/>
        <v>144Hz</v>
      </c>
      <c r="T260" s="1" t="s">
        <v>121</v>
      </c>
      <c r="U260" s="1" t="str">
        <f t="shared" si="9"/>
        <v>DOS</v>
      </c>
      <c r="V260" s="1" t="s">
        <v>398</v>
      </c>
      <c r="W260" s="1" t="str">
        <f t="shared" si="10"/>
        <v>2.38 kg</v>
      </c>
      <c r="X260" s="1" t="s">
        <v>78</v>
      </c>
      <c r="Y260" s="1" t="str">
        <f t="shared" si="11"/>
        <v>1 Year</v>
      </c>
      <c r="Z260" s="4">
        <v>42999</v>
      </c>
      <c r="AA260" s="1" t="s">
        <v>79</v>
      </c>
    </row>
    <row r="261" spans="1:27" ht="15.75" customHeight="1" x14ac:dyDescent="0.35">
      <c r="A261" s="1" t="s">
        <v>151</v>
      </c>
      <c r="B261" s="1" t="str">
        <f t="shared" si="16"/>
        <v>Lenovo</v>
      </c>
      <c r="C261" s="1" t="s">
        <v>1499</v>
      </c>
      <c r="D261" s="1" t="str">
        <f t="shared" si="1"/>
        <v>Legion 5 15ACH6H</v>
      </c>
      <c r="E261" s="1" t="str">
        <f t="array" aca="1" ref="E261" ca="1">IFERROR(
INDEX(Family_Map!$B$2:$B$35,
_xludf.AGGREGATE(14,6,(ROW(Family_Map!$A$2:$A$35)-ROW(Family_Map!$A$2)+1)/(ISNUMBER(SEARCH(Family_Map!$A$2:$A$35,D261))),1)
),
"Other")</f>
        <v>Other</v>
      </c>
      <c r="F261" s="1" t="s">
        <v>1500</v>
      </c>
      <c r="G261" s="1" t="e">
        <f t="shared" ca="1" si="2"/>
        <v>#NAME?</v>
      </c>
      <c r="H261" s="1" t="str">
        <f t="shared" ca="1" si="12"/>
        <v>Other</v>
      </c>
      <c r="I261" s="1" t="s">
        <v>70</v>
      </c>
      <c r="J261" s="1" t="str">
        <f t="shared" si="3"/>
        <v>6GB</v>
      </c>
      <c r="K261" s="1" t="s">
        <v>1077</v>
      </c>
      <c r="L261" s="1">
        <f t="shared" si="20"/>
        <v>16</v>
      </c>
      <c r="M261" s="1" t="s">
        <v>1110</v>
      </c>
      <c r="N261" s="1" t="str">
        <f t="shared" si="5"/>
        <v>1TB</v>
      </c>
      <c r="O261" s="1" t="str">
        <f t="shared" si="6"/>
        <v>1024GB</v>
      </c>
      <c r="P261" s="1" t="s">
        <v>120</v>
      </c>
      <c r="Q261" s="1" t="str">
        <f t="shared" si="7"/>
        <v>1920x1080</v>
      </c>
      <c r="R261" s="1" t="s">
        <v>57</v>
      </c>
      <c r="S261" s="1" t="str">
        <f t="shared" si="8"/>
        <v>165Hz</v>
      </c>
      <c r="T261" s="1" t="s">
        <v>101</v>
      </c>
      <c r="U261" s="1" t="str">
        <f t="shared" si="9"/>
        <v>DOS</v>
      </c>
      <c r="V261" s="1" t="s">
        <v>63</v>
      </c>
      <c r="W261" s="1" t="str">
        <f t="shared" si="10"/>
        <v>2.4 kg</v>
      </c>
      <c r="X261" s="1" t="s">
        <v>78</v>
      </c>
      <c r="Y261" s="1" t="str">
        <f t="shared" si="11"/>
        <v>1 Year</v>
      </c>
      <c r="Z261" s="4">
        <v>55999</v>
      </c>
      <c r="AA261" s="1" t="s">
        <v>5735</v>
      </c>
    </row>
    <row r="262" spans="1:27" ht="15.75" customHeight="1" x14ac:dyDescent="0.35">
      <c r="A262" s="1" t="s">
        <v>151</v>
      </c>
      <c r="B262" s="1" t="str">
        <f t="shared" si="16"/>
        <v>Lenovo</v>
      </c>
      <c r="C262" s="1" t="s">
        <v>1499</v>
      </c>
      <c r="D262" s="1" t="str">
        <f t="shared" si="1"/>
        <v>Legion 5 15ACH6H</v>
      </c>
      <c r="E262" s="1" t="str">
        <f t="array" aca="1" ref="E262" ca="1">IFERROR(
INDEX(Family_Map!$B$2:$B$35,
_xludf.AGGREGATE(14,6,(ROW(Family_Map!$A$2:$A$35)-ROW(Family_Map!$A$2)+1)/(ISNUMBER(SEARCH(Family_Map!$A$2:$A$35,D262))),1)
),
"Other")</f>
        <v>Other</v>
      </c>
      <c r="F262" s="1" t="s">
        <v>1500</v>
      </c>
      <c r="G262" s="1" t="e">
        <f t="shared" ca="1" si="2"/>
        <v>#NAME?</v>
      </c>
      <c r="H262" s="1" t="str">
        <f t="shared" ca="1" si="12"/>
        <v>Other</v>
      </c>
      <c r="I262" s="1" t="s">
        <v>507</v>
      </c>
      <c r="J262" s="1" t="str">
        <f t="shared" si="3"/>
        <v>4GB</v>
      </c>
      <c r="K262" s="1" t="s">
        <v>1448</v>
      </c>
      <c r="L262" s="1">
        <v>8</v>
      </c>
      <c r="M262" s="1" t="s">
        <v>1506</v>
      </c>
      <c r="N262" s="1" t="str">
        <f t="shared" si="5"/>
        <v>512GB</v>
      </c>
      <c r="O262" s="1" t="str">
        <f t="shared" si="6"/>
        <v>512GB</v>
      </c>
      <c r="P262" s="1" t="s">
        <v>120</v>
      </c>
      <c r="Q262" s="1" t="str">
        <f t="shared" si="7"/>
        <v>1920x1080</v>
      </c>
      <c r="R262" s="1" t="s">
        <v>39</v>
      </c>
      <c r="S262" s="1" t="str">
        <f t="shared" si="8"/>
        <v>120Hz</v>
      </c>
      <c r="T262" s="1" t="s">
        <v>40</v>
      </c>
      <c r="U262" s="1" t="str">
        <f t="shared" si="9"/>
        <v>Windows 11 Home</v>
      </c>
      <c r="V262" s="1" t="s">
        <v>63</v>
      </c>
      <c r="W262" s="1" t="str">
        <f t="shared" si="10"/>
        <v>2.4 kg</v>
      </c>
      <c r="X262" s="1" t="s">
        <v>78</v>
      </c>
      <c r="Y262" s="1" t="str">
        <f t="shared" si="11"/>
        <v>1 Year</v>
      </c>
      <c r="Z262" s="4">
        <v>39499</v>
      </c>
      <c r="AA262" s="1" t="s">
        <v>5735</v>
      </c>
    </row>
    <row r="263" spans="1:27" ht="15.75" customHeight="1" x14ac:dyDescent="0.35">
      <c r="A263" s="1" t="s">
        <v>151</v>
      </c>
      <c r="B263" s="1" t="str">
        <f t="shared" si="16"/>
        <v>Lenovo</v>
      </c>
      <c r="C263" s="1" t="s">
        <v>1509</v>
      </c>
      <c r="D263" s="1" t="str">
        <f t="shared" si="1"/>
        <v>LOQ 15APH8</v>
      </c>
      <c r="E263" s="1" t="str">
        <f t="array" aca="1" ref="E263" ca="1">IFERROR(
INDEX(Family_Map!$B$2:$B$35,
_xludf.AGGREGATE(14,6,(ROW(Family_Map!$A$2:$A$35)-ROW(Family_Map!$A$2)+1)/(ISNUMBER(SEARCH(Family_Map!$A$2:$A$35,D263))),1)
),
"Other")</f>
        <v>Other</v>
      </c>
      <c r="F263" s="1" t="s">
        <v>1510</v>
      </c>
      <c r="G263" s="1" t="e">
        <f t="shared" ca="1" si="2"/>
        <v>#NAME?</v>
      </c>
      <c r="H263" s="1" t="str">
        <f t="shared" ca="1" si="12"/>
        <v>Other</v>
      </c>
      <c r="I263" s="1" t="s">
        <v>70</v>
      </c>
      <c r="J263" s="1" t="str">
        <f t="shared" si="3"/>
        <v>6GB</v>
      </c>
      <c r="K263" s="1" t="s">
        <v>1349</v>
      </c>
      <c r="L263" s="1">
        <f t="shared" ref="L263:L264" si="21">IFERROR(
VALUE(SUBSTITUTE(SUBSTITUTE(LEFT(UPPER(TRIM(K263)),FIND("GB",UPPER(K263)&amp;"GB")+1),"GB","")," ","")),
IFERROR(
VALUE(SUBSTITUTE(SUBSTITUTE(MID(UPPER(K263),FIND("GB",UPPER(K263)&amp;"GB")-3,3),"GB","")," ",""))
*
IF(
OR(
ISNUMBER(SEARCH("2X",UPPER(K263))),
ISNUMBER(SEARCH("X 2",UPPER(K263))),
ISNUMBER(SEARCH("*2",UPPER(K263))),
ISNUMBER(SEARCH("2*",UPPER(K263))),
ISNUMBER(SEARCH("(2 X",UPPER(K263)))
),
2,1),
"")
)</f>
        <v>16</v>
      </c>
      <c r="M263" s="1" t="s">
        <v>156</v>
      </c>
      <c r="N263" s="1" t="str">
        <f t="shared" si="5"/>
        <v>512GB</v>
      </c>
      <c r="O263" s="1" t="str">
        <f t="shared" si="6"/>
        <v>512GB</v>
      </c>
      <c r="P263" s="1" t="s">
        <v>74</v>
      </c>
      <c r="Q263" s="1" t="str">
        <f t="shared" si="7"/>
        <v>1920x1080</v>
      </c>
      <c r="R263" s="1" t="s">
        <v>75</v>
      </c>
      <c r="S263" s="1" t="str">
        <f t="shared" si="8"/>
        <v>144Hz</v>
      </c>
      <c r="T263" s="1" t="s">
        <v>201</v>
      </c>
      <c r="U263" s="1" t="str">
        <f t="shared" si="9"/>
        <v>Windows 11 Home</v>
      </c>
      <c r="V263" s="1" t="s">
        <v>63</v>
      </c>
      <c r="W263" s="1" t="str">
        <f t="shared" si="10"/>
        <v>2.4 kg</v>
      </c>
      <c r="X263" s="1" t="s">
        <v>78</v>
      </c>
      <c r="Y263" s="1" t="str">
        <f t="shared" si="11"/>
        <v>1 Year</v>
      </c>
      <c r="Z263" s="4">
        <v>48000</v>
      </c>
      <c r="AA263" s="1" t="s">
        <v>5735</v>
      </c>
    </row>
    <row r="264" spans="1:27" ht="15.75" customHeight="1" x14ac:dyDescent="0.35">
      <c r="A264" s="1" t="s">
        <v>81</v>
      </c>
      <c r="B264" s="1" t="str">
        <f t="shared" si="16"/>
        <v>Dell</v>
      </c>
      <c r="C264" s="1" t="s">
        <v>414</v>
      </c>
      <c r="D264" s="1" t="str">
        <f t="shared" si="1"/>
        <v>G15 5530</v>
      </c>
      <c r="E264" s="1" t="str">
        <f t="array" aca="1" ref="E264" ca="1">IFERROR(
INDEX(Family_Map!$B$2:$B$35,
_xludf.AGGREGATE(14,6,(ROW(Family_Map!$A$2:$A$35)-ROW(Family_Map!$A$2)+1)/(ISNUMBER(SEARCH(Family_Map!$A$2:$A$35,D264))),1)
),
"Other")</f>
        <v>Other</v>
      </c>
      <c r="F264" s="1" t="s">
        <v>711</v>
      </c>
      <c r="G264" s="1" t="e">
        <f t="shared" ca="1" si="2"/>
        <v>#NAME?</v>
      </c>
      <c r="H264" s="1" t="str">
        <f t="shared" ca="1" si="12"/>
        <v>Other</v>
      </c>
      <c r="I264" s="1" t="s">
        <v>410</v>
      </c>
      <c r="J264" s="1" t="str">
        <f t="shared" si="3"/>
        <v>8GB</v>
      </c>
      <c r="K264" s="1" t="s">
        <v>1516</v>
      </c>
      <c r="L264" s="1">
        <f t="shared" si="21"/>
        <v>16</v>
      </c>
      <c r="M264" s="1" t="s">
        <v>322</v>
      </c>
      <c r="N264" s="1" t="str">
        <f t="shared" si="5"/>
        <v>1TB</v>
      </c>
      <c r="O264" s="1" t="str">
        <f t="shared" si="6"/>
        <v>1024GB</v>
      </c>
      <c r="P264" s="1" t="s">
        <v>120</v>
      </c>
      <c r="Q264" s="1" t="str">
        <f t="shared" si="7"/>
        <v>1920x1080</v>
      </c>
      <c r="R264" s="1" t="s">
        <v>1518</v>
      </c>
      <c r="S264" s="1" t="str">
        <f t="shared" si="8"/>
        <v>360Hz</v>
      </c>
      <c r="T264" s="1" t="s">
        <v>90</v>
      </c>
      <c r="U264" s="1" t="str">
        <f t="shared" si="9"/>
        <v>Windows 11 Home</v>
      </c>
      <c r="V264" s="1" t="s">
        <v>423</v>
      </c>
      <c r="W264" s="1" t="str">
        <f t="shared" si="10"/>
        <v>2.81 kg</v>
      </c>
      <c r="X264" s="1" t="s">
        <v>78</v>
      </c>
      <c r="Y264" s="1" t="str">
        <f t="shared" si="11"/>
        <v>1 Year</v>
      </c>
      <c r="Z264" s="4">
        <v>63999</v>
      </c>
      <c r="AA264" s="1" t="s">
        <v>79</v>
      </c>
    </row>
    <row r="265" spans="1:27" ht="15.75" customHeight="1" x14ac:dyDescent="0.35">
      <c r="A265" s="1" t="s">
        <v>151</v>
      </c>
      <c r="B265" s="1" t="str">
        <f t="shared" si="16"/>
        <v>Lenovo</v>
      </c>
      <c r="C265" s="1" t="s">
        <v>826</v>
      </c>
      <c r="D265" s="1" t="str">
        <f t="shared" si="1"/>
        <v>IdeaPad Gaming 3 15ACH6</v>
      </c>
      <c r="E265" s="1" t="str">
        <f t="array" aca="1" ref="E265" ca="1">IFERROR(
INDEX(Family_Map!$B$2:$B$35,
_xludf.AGGREGATE(14,6,(ROW(Family_Map!$A$2:$A$35)-ROW(Family_Map!$A$2)+1)/(ISNUMBER(SEARCH(Family_Map!$A$2:$A$35,D265))),1)
),
"Other")</f>
        <v>Other</v>
      </c>
      <c r="F265" s="1" t="s">
        <v>827</v>
      </c>
      <c r="G265" s="1" t="e">
        <f t="shared" ca="1" si="2"/>
        <v>#NAME?</v>
      </c>
      <c r="H265" s="1" t="str">
        <f t="shared" ca="1" si="12"/>
        <v>Other</v>
      </c>
      <c r="I265" s="1" t="s">
        <v>70</v>
      </c>
      <c r="J265" s="1" t="str">
        <f t="shared" si="3"/>
        <v>6GB</v>
      </c>
      <c r="K265" s="1" t="s">
        <v>1448</v>
      </c>
      <c r="L265" s="1">
        <v>8</v>
      </c>
      <c r="M265" s="1" t="s">
        <v>1520</v>
      </c>
      <c r="N265" s="1" t="str">
        <f t="shared" si="5"/>
        <v>512GB</v>
      </c>
      <c r="O265" s="1" t="str">
        <f t="shared" si="6"/>
        <v>512GB</v>
      </c>
      <c r="P265" s="1" t="s">
        <v>74</v>
      </c>
      <c r="Q265" s="1" t="str">
        <f t="shared" si="7"/>
        <v>1920x1080</v>
      </c>
      <c r="R265" s="1" t="s">
        <v>39</v>
      </c>
      <c r="S265" s="1" t="str">
        <f t="shared" si="8"/>
        <v>120Hz</v>
      </c>
      <c r="T265" s="1" t="s">
        <v>101</v>
      </c>
      <c r="U265" s="1" t="str">
        <f t="shared" si="9"/>
        <v>DOS</v>
      </c>
      <c r="V265" s="1" t="s">
        <v>652</v>
      </c>
      <c r="W265" s="1" t="str">
        <f t="shared" si="10"/>
        <v>2.25 kg</v>
      </c>
      <c r="X265" s="1" t="s">
        <v>78</v>
      </c>
      <c r="Y265" s="1" t="str">
        <f t="shared" si="11"/>
        <v>1 Year</v>
      </c>
      <c r="Z265" s="4">
        <v>45999</v>
      </c>
      <c r="AA265" s="1" t="s">
        <v>5735</v>
      </c>
    </row>
    <row r="266" spans="1:27" ht="15.75" customHeight="1" x14ac:dyDescent="0.35">
      <c r="A266" s="1" t="s">
        <v>112</v>
      </c>
      <c r="B266" s="1" t="str">
        <f t="shared" si="16"/>
        <v>HP</v>
      </c>
      <c r="C266" s="1" t="s">
        <v>1524</v>
      </c>
      <c r="D266" s="1" t="str">
        <f t="shared" si="1"/>
        <v>Victus 15-FA1093DX</v>
      </c>
      <c r="E266" s="1" t="str">
        <f t="array" aca="1" ref="E266" ca="1">IFERROR(
INDEX(Family_Map!$B$2:$B$35,
_xludf.AGGREGATE(14,6,(ROW(Family_Map!$A$2:$A$35)-ROW(Family_Map!$A$2)+1)/(ISNUMBER(SEARCH(Family_Map!$A$2:$A$35,D266))),1)
),
"Other")</f>
        <v>Other</v>
      </c>
      <c r="F266" s="1" t="s">
        <v>687</v>
      </c>
      <c r="G266" s="1" t="e">
        <f t="shared" ca="1" si="2"/>
        <v>#NAME?</v>
      </c>
      <c r="H266" s="1" t="str">
        <f t="shared" ca="1" si="12"/>
        <v>Other</v>
      </c>
      <c r="I266" s="1" t="s">
        <v>116</v>
      </c>
      <c r="J266" s="1" t="str">
        <f t="shared" si="3"/>
        <v>6 GB</v>
      </c>
      <c r="K266" s="1" t="s">
        <v>1525</v>
      </c>
      <c r="L266" s="1">
        <f t="shared" ref="L266:L295" si="22">IFERROR(
VALUE(SUBSTITUTE(SUBSTITUTE(LEFT(UPPER(TRIM(K266)),FIND("GB",UPPER(K266)&amp;"GB")+1),"GB","")," ","")),
IFERROR(
VALUE(SUBSTITUTE(SUBSTITUTE(MID(UPPER(K266),FIND("GB",UPPER(K266)&amp;"GB")-3,3),"GB","")," ",""))
*
IF(
OR(
ISNUMBER(SEARCH("2X",UPPER(K266))),
ISNUMBER(SEARCH("X 2",UPPER(K266))),
ISNUMBER(SEARCH("*2",UPPER(K266))),
ISNUMBER(SEARCH("2*",UPPER(K266))),
ISNUMBER(SEARCH("(2 X",UPPER(K266)))
),
2,1),
"")
)</f>
        <v>8</v>
      </c>
      <c r="M266" s="1" t="s">
        <v>136</v>
      </c>
      <c r="N266" s="1" t="str">
        <f t="shared" si="5"/>
        <v>512 GB</v>
      </c>
      <c r="O266" s="1" t="str">
        <f t="shared" si="6"/>
        <v>512 GB</v>
      </c>
      <c r="P266" s="1" t="s">
        <v>120</v>
      </c>
      <c r="Q266" s="1" t="str">
        <f t="shared" si="7"/>
        <v>1920x1080</v>
      </c>
      <c r="R266" s="1" t="s">
        <v>75</v>
      </c>
      <c r="S266" s="1" t="str">
        <f t="shared" si="8"/>
        <v>144Hz</v>
      </c>
      <c r="T266" s="1" t="s">
        <v>90</v>
      </c>
      <c r="U266" s="1" t="str">
        <f t="shared" si="9"/>
        <v>Windows 11 Home</v>
      </c>
      <c r="V266" s="1" t="s">
        <v>127</v>
      </c>
      <c r="W266" s="1" t="str">
        <f t="shared" si="10"/>
        <v>2.29 kg</v>
      </c>
      <c r="X266" s="1" t="s">
        <v>78</v>
      </c>
      <c r="Y266" s="1" t="str">
        <f t="shared" si="11"/>
        <v>1 Year</v>
      </c>
      <c r="Z266" s="4">
        <v>38799</v>
      </c>
      <c r="AA266" s="1" t="s">
        <v>79</v>
      </c>
    </row>
    <row r="267" spans="1:27" ht="15.75" customHeight="1" x14ac:dyDescent="0.35">
      <c r="A267" s="1" t="s">
        <v>112</v>
      </c>
      <c r="B267" s="1" t="str">
        <f t="shared" si="16"/>
        <v>HP</v>
      </c>
      <c r="C267" s="1" t="s">
        <v>1528</v>
      </c>
      <c r="D267" s="1" t="str">
        <f t="shared" si="1"/>
        <v>Victus 15-FA0089NE</v>
      </c>
      <c r="E267" s="1" t="str">
        <f t="array" aca="1" ref="E267" ca="1">IFERROR(
INDEX(Family_Map!$B$2:$B$35,
_xludf.AGGREGATE(14,6,(ROW(Family_Map!$A$2:$A$35)-ROW(Family_Map!$A$2)+1)/(ISNUMBER(SEARCH(Family_Map!$A$2:$A$35,D267))),1)
),
"Other")</f>
        <v>Other</v>
      </c>
      <c r="F267" s="1" t="s">
        <v>627</v>
      </c>
      <c r="G267" s="1" t="e">
        <f t="shared" ca="1" si="2"/>
        <v>#NAME?</v>
      </c>
      <c r="H267" s="1" t="str">
        <f t="shared" ca="1" si="12"/>
        <v>Other</v>
      </c>
      <c r="I267" s="1" t="s">
        <v>507</v>
      </c>
      <c r="J267" s="1" t="str">
        <f t="shared" si="3"/>
        <v>4GB</v>
      </c>
      <c r="K267" s="1" t="s">
        <v>1429</v>
      </c>
      <c r="L267" s="1">
        <f t="shared" si="22"/>
        <v>8</v>
      </c>
      <c r="M267" s="1" t="s">
        <v>735</v>
      </c>
      <c r="N267" s="1" t="str">
        <f t="shared" si="5"/>
        <v>1 TB</v>
      </c>
      <c r="O267" s="1" t="str">
        <f t="shared" si="6"/>
        <v>1024GB</v>
      </c>
      <c r="P267" s="1" t="s">
        <v>616</v>
      </c>
      <c r="Q267" s="1" t="str">
        <f t="shared" si="7"/>
        <v>1920x1080</v>
      </c>
      <c r="R267" s="1" t="s">
        <v>75</v>
      </c>
      <c r="S267" s="1" t="str">
        <f t="shared" si="8"/>
        <v>144Hz</v>
      </c>
      <c r="T267" s="1" t="s">
        <v>90</v>
      </c>
      <c r="U267" s="1" t="str">
        <f t="shared" si="9"/>
        <v>Windows 11 Home</v>
      </c>
      <c r="V267" s="1" t="s">
        <v>1530</v>
      </c>
      <c r="W267" s="1" t="str">
        <f t="shared" si="10"/>
        <v>2.29 kg</v>
      </c>
      <c r="X267" s="1" t="s">
        <v>78</v>
      </c>
      <c r="Y267" s="1" t="str">
        <f t="shared" si="11"/>
        <v>1 Year</v>
      </c>
      <c r="Z267" s="4">
        <v>30499</v>
      </c>
      <c r="AA267" s="1" t="s">
        <v>166</v>
      </c>
    </row>
    <row r="268" spans="1:27" ht="15.75" customHeight="1" x14ac:dyDescent="0.35">
      <c r="A268" s="1" t="s">
        <v>151</v>
      </c>
      <c r="B268" s="1" t="str">
        <f t="shared" si="16"/>
        <v>Lenovo</v>
      </c>
      <c r="C268" s="1" t="s">
        <v>1532</v>
      </c>
      <c r="D268" s="1" t="str">
        <f t="shared" si="1"/>
        <v>LOQ 15IRH8</v>
      </c>
      <c r="E268" s="1" t="str">
        <f t="array" aca="1" ref="E268" ca="1">IFERROR(
INDEX(Family_Map!$B$2:$B$35,
_xludf.AGGREGATE(14,6,(ROW(Family_Map!$A$2:$A$35)-ROW(Family_Map!$A$2)+1)/(ISNUMBER(SEARCH(Family_Map!$A$2:$A$35,D268))),1)
),
"Other")</f>
        <v>Other</v>
      </c>
      <c r="F268" s="1" t="s">
        <v>1533</v>
      </c>
      <c r="G268" s="1" t="e">
        <f t="shared" ca="1" si="2"/>
        <v>#NAME?</v>
      </c>
      <c r="H268" s="1" t="str">
        <f t="shared" ca="1" si="12"/>
        <v>Other</v>
      </c>
      <c r="I268" s="1" t="s">
        <v>70</v>
      </c>
      <c r="J268" s="1" t="str">
        <f t="shared" si="3"/>
        <v>6GB</v>
      </c>
      <c r="K268" s="1" t="s">
        <v>1188</v>
      </c>
      <c r="L268" s="1">
        <f t="shared" si="22"/>
        <v>16</v>
      </c>
      <c r="M268" s="1" t="s">
        <v>156</v>
      </c>
      <c r="N268" s="1" t="str">
        <f t="shared" si="5"/>
        <v>512GB</v>
      </c>
      <c r="O268" s="1" t="str">
        <f t="shared" si="6"/>
        <v>512GB</v>
      </c>
      <c r="P268" s="1" t="s">
        <v>74</v>
      </c>
      <c r="Q268" s="1" t="str">
        <f t="shared" si="7"/>
        <v>1920x1080</v>
      </c>
      <c r="R268" s="1" t="s">
        <v>75</v>
      </c>
      <c r="S268" s="1" t="str">
        <f t="shared" si="8"/>
        <v>144Hz</v>
      </c>
      <c r="T268" s="1" t="s">
        <v>101</v>
      </c>
      <c r="U268" s="1" t="str">
        <f t="shared" si="9"/>
        <v>DOS</v>
      </c>
      <c r="V268" s="1" t="s">
        <v>63</v>
      </c>
      <c r="W268" s="1" t="str">
        <f t="shared" si="10"/>
        <v>2.4 kg</v>
      </c>
      <c r="X268" s="1" t="s">
        <v>78</v>
      </c>
      <c r="Y268" s="1" t="str">
        <f t="shared" si="11"/>
        <v>1 Year</v>
      </c>
      <c r="Z268" s="4">
        <v>37149</v>
      </c>
      <c r="AA268" s="1" t="s">
        <v>166</v>
      </c>
    </row>
    <row r="269" spans="1:27" ht="15.75" customHeight="1" x14ac:dyDescent="0.35">
      <c r="A269" s="1" t="s">
        <v>151</v>
      </c>
      <c r="B269" s="1" t="str">
        <f t="shared" si="16"/>
        <v>Lenovo</v>
      </c>
      <c r="C269" s="1" t="s">
        <v>1532</v>
      </c>
      <c r="D269" s="1" t="str">
        <f t="shared" si="1"/>
        <v>LOQ 15IRH8</v>
      </c>
      <c r="E269" s="1" t="str">
        <f t="array" aca="1" ref="E269" ca="1">IFERROR(
INDEX(Family_Map!$B$2:$B$35,
_xludf.AGGREGATE(14,6,(ROW(Family_Map!$A$2:$A$35)-ROW(Family_Map!$A$2)+1)/(ISNUMBER(SEARCH(Family_Map!$A$2:$A$35,D269))),1)
),
"Other")</f>
        <v>Other</v>
      </c>
      <c r="F269" s="1" t="s">
        <v>68</v>
      </c>
      <c r="G269" s="1" t="e">
        <f t="shared" ca="1" si="2"/>
        <v>#NAME?</v>
      </c>
      <c r="H269" s="1" t="str">
        <f t="shared" ca="1" si="12"/>
        <v>Other</v>
      </c>
      <c r="I269" s="1" t="s">
        <v>70</v>
      </c>
      <c r="J269" s="1" t="str">
        <f t="shared" si="3"/>
        <v>6GB</v>
      </c>
      <c r="K269" s="1" t="s">
        <v>491</v>
      </c>
      <c r="L269" s="1">
        <f t="shared" si="22"/>
        <v>16</v>
      </c>
      <c r="M269" s="1" t="s">
        <v>222</v>
      </c>
      <c r="N269" s="1" t="str">
        <f t="shared" si="5"/>
        <v>1TB</v>
      </c>
      <c r="O269" s="1" t="str">
        <f t="shared" si="6"/>
        <v>1024GB</v>
      </c>
      <c r="P269" s="1" t="s">
        <v>616</v>
      </c>
      <c r="Q269" s="1" t="str">
        <f t="shared" si="7"/>
        <v>1920x1080</v>
      </c>
      <c r="R269" s="1" t="s">
        <v>75</v>
      </c>
      <c r="S269" s="1" t="str">
        <f t="shared" si="8"/>
        <v>144Hz</v>
      </c>
      <c r="T269" s="1" t="s">
        <v>90</v>
      </c>
      <c r="U269" s="1" t="str">
        <f t="shared" si="9"/>
        <v>Windows 11 Home</v>
      </c>
      <c r="V269" s="1" t="s">
        <v>63</v>
      </c>
      <c r="W269" s="1" t="str">
        <f t="shared" si="10"/>
        <v>2.4 kg</v>
      </c>
      <c r="X269" s="1" t="s">
        <v>78</v>
      </c>
      <c r="Y269" s="1" t="str">
        <f t="shared" si="11"/>
        <v>1 Year</v>
      </c>
      <c r="Z269" s="4">
        <v>39800</v>
      </c>
      <c r="AA269" s="1" t="s">
        <v>79</v>
      </c>
    </row>
    <row r="270" spans="1:27" ht="15.75" customHeight="1" x14ac:dyDescent="0.35">
      <c r="A270" s="1" t="s">
        <v>234</v>
      </c>
      <c r="B270" s="1" t="str">
        <f t="shared" si="16"/>
        <v>ASUS</v>
      </c>
      <c r="C270" s="1" t="s">
        <v>1541</v>
      </c>
      <c r="D270" s="1" t="str">
        <f t="shared" si="1"/>
        <v>ROG Strix G16 G614JIR-N3009W</v>
      </c>
      <c r="E270" s="1" t="str">
        <f t="array" aca="1" ref="E270" ca="1">IFERROR(
INDEX(Family_Map!$B$2:$B$35,
_xludf.AGGREGATE(14,6,(ROW(Family_Map!$A$2:$A$35)-ROW(Family_Map!$A$2)+1)/(ISNUMBER(SEARCH(Family_Map!$A$2:$A$35,D270))),1)
),
"Other")</f>
        <v>Other</v>
      </c>
      <c r="F270" s="1" t="s">
        <v>50</v>
      </c>
      <c r="G270" s="1" t="e">
        <f t="shared" ca="1" si="2"/>
        <v>#NAME?</v>
      </c>
      <c r="H270" s="1" t="str">
        <f t="shared" ca="1" si="12"/>
        <v>Other</v>
      </c>
      <c r="I270" s="1" t="s">
        <v>410</v>
      </c>
      <c r="J270" s="1" t="str">
        <f t="shared" si="3"/>
        <v>8GB</v>
      </c>
      <c r="K270" s="1" t="s">
        <v>1542</v>
      </c>
      <c r="L270" s="1">
        <f t="shared" si="22"/>
        <v>16</v>
      </c>
      <c r="M270" s="1" t="s">
        <v>239</v>
      </c>
      <c r="N270" s="1" t="str">
        <f t="shared" si="5"/>
        <v>1TB</v>
      </c>
      <c r="O270" s="1" t="str">
        <f t="shared" si="6"/>
        <v>1024GB</v>
      </c>
      <c r="P270" s="1" t="s">
        <v>275</v>
      </c>
      <c r="Q270" s="1" t="str">
        <f t="shared" si="7"/>
        <v>1920x1200</v>
      </c>
      <c r="R270" s="1" t="s">
        <v>57</v>
      </c>
      <c r="S270" s="1" t="str">
        <f t="shared" si="8"/>
        <v>165Hz</v>
      </c>
      <c r="T270" s="1" t="s">
        <v>90</v>
      </c>
      <c r="U270" s="1" t="str">
        <f t="shared" si="9"/>
        <v>Windows 11 Home</v>
      </c>
      <c r="V270" s="1" t="s">
        <v>280</v>
      </c>
      <c r="W270" s="1" t="str">
        <f t="shared" si="10"/>
        <v>2.5 kg</v>
      </c>
      <c r="X270" s="1" t="s">
        <v>165</v>
      </c>
      <c r="Y270" s="1" t="str">
        <f t="shared" si="11"/>
        <v>2 Years</v>
      </c>
      <c r="Z270" s="4">
        <v>94499</v>
      </c>
      <c r="AA270" s="1" t="s">
        <v>65</v>
      </c>
    </row>
    <row r="271" spans="1:27" ht="15.75" customHeight="1" x14ac:dyDescent="0.35">
      <c r="A271" s="1" t="s">
        <v>234</v>
      </c>
      <c r="B271" s="1" t="str">
        <f t="shared" si="16"/>
        <v>ASUS</v>
      </c>
      <c r="C271" s="1" t="s">
        <v>1547</v>
      </c>
      <c r="D271" s="1" t="str">
        <f t="shared" si="1"/>
        <v>ROG Strix SCAR 18 G834JYR-R6041W</v>
      </c>
      <c r="E271" s="1" t="str">
        <f t="array" aca="1" ref="E271" ca="1">IFERROR(
INDEX(Family_Map!$B$2:$B$35,
_xludf.AGGREGATE(14,6,(ROW(Family_Map!$A$2:$A$35)-ROW(Family_Map!$A$2)+1)/(ISNUMBER(SEARCH(Family_Map!$A$2:$A$35,D271))),1)
),
"Other")</f>
        <v>Other</v>
      </c>
      <c r="F271" s="1" t="s">
        <v>490</v>
      </c>
      <c r="G271" s="1" t="e">
        <f t="shared" ca="1" si="2"/>
        <v>#NAME?</v>
      </c>
      <c r="H271" s="1" t="str">
        <f t="shared" ca="1" si="12"/>
        <v>Other</v>
      </c>
      <c r="I271" s="1" t="s">
        <v>552</v>
      </c>
      <c r="J271" s="1" t="str">
        <f t="shared" si="3"/>
        <v>16GB</v>
      </c>
      <c r="K271" s="1" t="s">
        <v>1548</v>
      </c>
      <c r="L271" s="1">
        <f t="shared" si="22"/>
        <v>32</v>
      </c>
      <c r="M271" s="1" t="s">
        <v>576</v>
      </c>
      <c r="N271" s="1" t="str">
        <f t="shared" si="5"/>
        <v>2TB</v>
      </c>
      <c r="O271" s="1" t="str">
        <f t="shared" si="6"/>
        <v>2048GB</v>
      </c>
      <c r="P271" s="1" t="s">
        <v>89</v>
      </c>
      <c r="Q271" s="1" t="str">
        <f t="shared" si="7"/>
        <v>2560x1600</v>
      </c>
      <c r="R271" s="1" t="s">
        <v>256</v>
      </c>
      <c r="S271" s="1" t="str">
        <f t="shared" si="8"/>
        <v>240Hz</v>
      </c>
      <c r="T271" s="1" t="s">
        <v>90</v>
      </c>
      <c r="U271" s="1" t="str">
        <f t="shared" si="9"/>
        <v>Windows 11 Home</v>
      </c>
      <c r="V271" s="1" t="s">
        <v>1552</v>
      </c>
      <c r="W271" s="1" t="str">
        <f t="shared" si="10"/>
        <v>3.1 kg</v>
      </c>
      <c r="X271" s="1" t="s">
        <v>165</v>
      </c>
      <c r="Y271" s="1" t="str">
        <f t="shared" si="11"/>
        <v>2 Years</v>
      </c>
      <c r="Z271" s="4">
        <v>178199</v>
      </c>
      <c r="AA271" s="1" t="s">
        <v>65</v>
      </c>
    </row>
    <row r="272" spans="1:27" ht="15.75" customHeight="1" x14ac:dyDescent="0.35">
      <c r="A272" s="1" t="s">
        <v>234</v>
      </c>
      <c r="B272" s="1" t="str">
        <f t="shared" si="16"/>
        <v>ASUS</v>
      </c>
      <c r="C272" s="1" t="s">
        <v>1554</v>
      </c>
      <c r="D272" s="1" t="str">
        <f t="shared" si="1"/>
        <v>ROG Strix SCAR 18 G834JZR-N6027W</v>
      </c>
      <c r="E272" s="1" t="str">
        <f t="array" aca="1" ref="E272" ca="1">IFERROR(
INDEX(Family_Map!$B$2:$B$35,
_xludf.AGGREGATE(14,6,(ROW(Family_Map!$A$2:$A$35)-ROW(Family_Map!$A$2)+1)/(ISNUMBER(SEARCH(Family_Map!$A$2:$A$35,D272))),1)
),
"Other")</f>
        <v>Other</v>
      </c>
      <c r="F272" s="1" t="s">
        <v>490</v>
      </c>
      <c r="G272" s="1" t="e">
        <f t="shared" ca="1" si="2"/>
        <v>#NAME?</v>
      </c>
      <c r="H272" s="1" t="str">
        <f t="shared" ca="1" si="12"/>
        <v>Other</v>
      </c>
      <c r="I272" s="1" t="s">
        <v>1556</v>
      </c>
      <c r="J272" s="1" t="str">
        <f t="shared" si="3"/>
        <v>12GB</v>
      </c>
      <c r="K272" s="1" t="s">
        <v>1548</v>
      </c>
      <c r="L272" s="1">
        <f t="shared" si="22"/>
        <v>32</v>
      </c>
      <c r="M272" s="1" t="s">
        <v>472</v>
      </c>
      <c r="N272" s="1" t="str">
        <f t="shared" si="5"/>
        <v>1TB</v>
      </c>
      <c r="O272" s="1" t="str">
        <f t="shared" si="6"/>
        <v>1024GB</v>
      </c>
      <c r="P272" s="1" t="s">
        <v>89</v>
      </c>
      <c r="Q272" s="1" t="str">
        <f t="shared" si="7"/>
        <v>2560x1600</v>
      </c>
      <c r="R272" s="1" t="s">
        <v>256</v>
      </c>
      <c r="S272" s="1" t="str">
        <f t="shared" si="8"/>
        <v>240Hz</v>
      </c>
      <c r="T272" s="1" t="s">
        <v>90</v>
      </c>
      <c r="U272" s="1" t="str">
        <f t="shared" si="9"/>
        <v>Windows 11 Home</v>
      </c>
      <c r="V272" s="1" t="s">
        <v>1552</v>
      </c>
      <c r="W272" s="1" t="str">
        <f t="shared" si="10"/>
        <v>3.1 kg</v>
      </c>
      <c r="X272" s="1" t="s">
        <v>165</v>
      </c>
      <c r="Y272" s="1" t="str">
        <f t="shared" si="11"/>
        <v>2 Years</v>
      </c>
      <c r="Z272" s="4">
        <v>139000</v>
      </c>
      <c r="AA272" s="1" t="s">
        <v>65</v>
      </c>
    </row>
    <row r="273" spans="1:27" ht="15.75" customHeight="1" x14ac:dyDescent="0.35">
      <c r="A273" s="1" t="s">
        <v>30</v>
      </c>
      <c r="B273" s="1" t="str">
        <f t="shared" si="16"/>
        <v>MSI</v>
      </c>
      <c r="C273" s="1" t="s">
        <v>1559</v>
      </c>
      <c r="D273" s="1" t="str">
        <f t="shared" si="1"/>
        <v>Katana 17 B13VGK</v>
      </c>
      <c r="E273" s="1" t="str">
        <f t="array" aca="1" ref="E273" ca="1">IFERROR(
INDEX(Family_Map!$B$2:$B$35,
_xludf.AGGREGATE(14,6,(ROW(Family_Map!$A$2:$A$35)-ROW(Family_Map!$A$2)+1)/(ISNUMBER(SEARCH(Family_Map!$A$2:$A$35,D273))),1)
),
"Other")</f>
        <v>Other</v>
      </c>
      <c r="F273" s="1" t="s">
        <v>1200</v>
      </c>
      <c r="G273" s="1" t="e">
        <f t="shared" ca="1" si="2"/>
        <v>#NAME?</v>
      </c>
      <c r="H273" s="1" t="str">
        <f t="shared" ca="1" si="12"/>
        <v>Other</v>
      </c>
      <c r="I273" s="1" t="s">
        <v>410</v>
      </c>
      <c r="J273" s="1" t="str">
        <f t="shared" si="3"/>
        <v>8GB</v>
      </c>
      <c r="K273" s="1" t="s">
        <v>53</v>
      </c>
      <c r="L273" s="1">
        <f t="shared" si="22"/>
        <v>16</v>
      </c>
      <c r="M273" s="1" t="s">
        <v>644</v>
      </c>
      <c r="N273" s="1" t="str">
        <f t="shared" si="5"/>
        <v>512GB</v>
      </c>
      <c r="O273" s="1" t="str">
        <f t="shared" si="6"/>
        <v>512GB</v>
      </c>
      <c r="P273" s="1" t="s">
        <v>616</v>
      </c>
      <c r="Q273" s="1" t="str">
        <f t="shared" si="7"/>
        <v>1920x1080</v>
      </c>
      <c r="R273" s="1" t="s">
        <v>75</v>
      </c>
      <c r="S273" s="1" t="str">
        <f t="shared" si="8"/>
        <v>144Hz</v>
      </c>
      <c r="T273" s="1" t="s">
        <v>90</v>
      </c>
      <c r="U273" s="1" t="str">
        <f t="shared" si="9"/>
        <v>Windows 11 Home</v>
      </c>
      <c r="V273" s="1" t="s">
        <v>1196</v>
      </c>
      <c r="W273" s="1" t="str">
        <f t="shared" si="10"/>
        <v>2.6 kg</v>
      </c>
      <c r="X273" s="1" t="s">
        <v>339</v>
      </c>
      <c r="Y273" s="1" t="str">
        <f t="shared" si="11"/>
        <v>2 Years</v>
      </c>
      <c r="Z273" s="4">
        <v>77930</v>
      </c>
      <c r="AA273" s="1" t="s">
        <v>79</v>
      </c>
    </row>
    <row r="274" spans="1:27" ht="15.75" customHeight="1" x14ac:dyDescent="0.35">
      <c r="A274" s="1" t="s">
        <v>30</v>
      </c>
      <c r="B274" s="1" t="str">
        <f t="shared" si="16"/>
        <v>MSI</v>
      </c>
      <c r="C274" s="1" t="s">
        <v>1564</v>
      </c>
      <c r="D274" s="1" t="str">
        <f t="shared" si="1"/>
        <v>Vector 17 HX A14VHG</v>
      </c>
      <c r="E274" s="1" t="str">
        <f t="array" aca="1" ref="E274" ca="1">IFERROR(
INDEX(Family_Map!$B$2:$B$35,
_xludf.AGGREGATE(14,6,(ROW(Family_Map!$A$2:$A$35)-ROW(Family_Map!$A$2)+1)/(ISNUMBER(SEARCH(Family_Map!$A$2:$A$35,D274))),1)
),
"Other")</f>
        <v>Other</v>
      </c>
      <c r="F274" s="1" t="s">
        <v>490</v>
      </c>
      <c r="G274" s="1" t="e">
        <f t="shared" ca="1" si="2"/>
        <v>#NAME?</v>
      </c>
      <c r="H274" s="1" t="str">
        <f t="shared" ca="1" si="12"/>
        <v>Other</v>
      </c>
      <c r="I274" s="1" t="s">
        <v>1556</v>
      </c>
      <c r="J274" s="1" t="str">
        <f t="shared" si="3"/>
        <v>12GB</v>
      </c>
      <c r="K274" s="1" t="s">
        <v>1565</v>
      </c>
      <c r="L274" s="1">
        <f t="shared" si="22"/>
        <v>32</v>
      </c>
      <c r="M274" s="1" t="s">
        <v>54</v>
      </c>
      <c r="N274" s="1" t="str">
        <f t="shared" si="5"/>
        <v>1TB</v>
      </c>
      <c r="O274" s="1" t="str">
        <f t="shared" si="6"/>
        <v>1024GB</v>
      </c>
      <c r="P274" s="1" t="s">
        <v>224</v>
      </c>
      <c r="Q274" s="1" t="str">
        <f t="shared" si="7"/>
        <v>2560x1600</v>
      </c>
      <c r="R274" s="1" t="s">
        <v>256</v>
      </c>
      <c r="S274" s="1" t="str">
        <f t="shared" si="8"/>
        <v>240Hz</v>
      </c>
      <c r="T274" s="1" t="s">
        <v>201</v>
      </c>
      <c r="U274" s="1" t="str">
        <f t="shared" si="9"/>
        <v>Windows 11 Home</v>
      </c>
      <c r="V274" s="1" t="s">
        <v>337</v>
      </c>
      <c r="W274" s="1" t="str">
        <f t="shared" si="10"/>
        <v>3 kg</v>
      </c>
      <c r="X274" s="1" t="s">
        <v>165</v>
      </c>
      <c r="Y274" s="1" t="str">
        <f t="shared" si="11"/>
        <v>2 Years</v>
      </c>
      <c r="Z274" s="4">
        <v>131845</v>
      </c>
      <c r="AA274" s="1" t="s">
        <v>5735</v>
      </c>
    </row>
    <row r="275" spans="1:27" ht="15.75" customHeight="1" x14ac:dyDescent="0.35">
      <c r="A275" s="1" t="s">
        <v>30</v>
      </c>
      <c r="B275" s="1" t="str">
        <f t="shared" si="16"/>
        <v>MSI</v>
      </c>
      <c r="C275" s="1" t="s">
        <v>1569</v>
      </c>
      <c r="D275" s="1" t="str">
        <f t="shared" si="1"/>
        <v>Raider GE78 HX 14VIG</v>
      </c>
      <c r="E275" s="1" t="str">
        <f t="array" aca="1" ref="E275" ca="1">IFERROR(
INDEX(Family_Map!$B$2:$B$35,
_xludf.AGGREGATE(14,6,(ROW(Family_Map!$A$2:$A$35)-ROW(Family_Map!$A$2)+1)/(ISNUMBER(SEARCH(Family_Map!$A$2:$A$35,D275))),1)
),
"Other")</f>
        <v>Other</v>
      </c>
      <c r="F275" s="1" t="s">
        <v>490</v>
      </c>
      <c r="G275" s="1" t="e">
        <f t="shared" ca="1" si="2"/>
        <v>#NAME?</v>
      </c>
      <c r="H275" s="1" t="str">
        <f t="shared" ca="1" si="12"/>
        <v>Other</v>
      </c>
      <c r="I275" s="1" t="s">
        <v>552</v>
      </c>
      <c r="J275" s="1" t="str">
        <f t="shared" si="3"/>
        <v>16GB</v>
      </c>
      <c r="K275" s="1" t="s">
        <v>1565</v>
      </c>
      <c r="L275" s="1">
        <f t="shared" si="22"/>
        <v>32</v>
      </c>
      <c r="M275" s="1" t="s">
        <v>1231</v>
      </c>
      <c r="N275" s="1" t="str">
        <f t="shared" si="5"/>
        <v>2TB</v>
      </c>
      <c r="O275" s="1" t="str">
        <f t="shared" si="6"/>
        <v>2048GB</v>
      </c>
      <c r="P275" s="1" t="s">
        <v>224</v>
      </c>
      <c r="Q275" s="1" t="str">
        <f t="shared" si="7"/>
        <v>2560x1600</v>
      </c>
      <c r="R275" s="1" t="s">
        <v>256</v>
      </c>
      <c r="S275" s="1" t="str">
        <f t="shared" si="8"/>
        <v>240Hz</v>
      </c>
      <c r="T275" s="1" t="s">
        <v>201</v>
      </c>
      <c r="U275" s="1" t="str">
        <f t="shared" si="9"/>
        <v>Windows 11 Home</v>
      </c>
      <c r="V275" s="1" t="s">
        <v>329</v>
      </c>
      <c r="W275" s="1" t="str">
        <f t="shared" si="10"/>
        <v>3.1 kg</v>
      </c>
      <c r="X275" s="1" t="s">
        <v>165</v>
      </c>
      <c r="Y275" s="1" t="str">
        <f t="shared" si="11"/>
        <v>2 Years</v>
      </c>
      <c r="Z275" s="4">
        <v>180449</v>
      </c>
      <c r="AA275" s="1" t="s">
        <v>5735</v>
      </c>
    </row>
    <row r="276" spans="1:27" ht="15.75" customHeight="1" x14ac:dyDescent="0.35">
      <c r="A276" s="1" t="s">
        <v>30</v>
      </c>
      <c r="B276" s="1" t="str">
        <f t="shared" si="16"/>
        <v>MSI</v>
      </c>
      <c r="C276" s="1" t="s">
        <v>1573</v>
      </c>
      <c r="D276" s="1" t="str">
        <f t="shared" si="1"/>
        <v>Titan 18 HX A14VIG</v>
      </c>
      <c r="E276" s="1" t="str">
        <f t="array" aca="1" ref="E276" ca="1">IFERROR(
INDEX(Family_Map!$B$2:$B$35,
_xludf.AGGREGATE(14,6,(ROW(Family_Map!$A$2:$A$35)-ROW(Family_Map!$A$2)+1)/(ISNUMBER(SEARCH(Family_Map!$A$2:$A$35,D276))),1)
),
"Other")</f>
        <v>Other</v>
      </c>
      <c r="F276" s="1" t="s">
        <v>384</v>
      </c>
      <c r="G276" s="1" t="e">
        <f t="shared" ca="1" si="2"/>
        <v>#NAME?</v>
      </c>
      <c r="H276" s="1" t="str">
        <f t="shared" ca="1" si="12"/>
        <v>Other</v>
      </c>
      <c r="I276" s="1" t="s">
        <v>552</v>
      </c>
      <c r="J276" s="1" t="str">
        <f t="shared" si="3"/>
        <v>16GB</v>
      </c>
      <c r="K276" s="1" t="s">
        <v>1574</v>
      </c>
      <c r="L276" s="1">
        <f t="shared" si="22"/>
        <v>64</v>
      </c>
      <c r="M276" s="1" t="s">
        <v>1575</v>
      </c>
      <c r="N276" s="1" t="str">
        <f t="shared" si="5"/>
        <v>2TB</v>
      </c>
      <c r="O276" s="1" t="str">
        <f t="shared" si="6"/>
        <v>2048GB</v>
      </c>
      <c r="P276" s="1" t="s">
        <v>38</v>
      </c>
      <c r="Q276" s="1" t="str">
        <f t="shared" si="7"/>
        <v>3840x2400</v>
      </c>
      <c r="R276" s="1" t="s">
        <v>39</v>
      </c>
      <c r="S276" s="1" t="str">
        <f t="shared" si="8"/>
        <v>120Hz</v>
      </c>
      <c r="T276" s="1" t="s">
        <v>201</v>
      </c>
      <c r="U276" s="1" t="str">
        <f t="shared" si="9"/>
        <v>Windows 11 Home</v>
      </c>
      <c r="V276" s="1" t="s">
        <v>46</v>
      </c>
      <c r="W276" s="1" t="str">
        <f t="shared" si="10"/>
        <v>3.6 kg</v>
      </c>
      <c r="X276" s="1" t="s">
        <v>165</v>
      </c>
      <c r="Y276" s="1" t="str">
        <f t="shared" si="11"/>
        <v>2 Years</v>
      </c>
      <c r="Z276" s="4">
        <v>229999</v>
      </c>
      <c r="AA276" s="1" t="s">
        <v>5735</v>
      </c>
    </row>
    <row r="277" spans="1:27" ht="15.75" customHeight="1" x14ac:dyDescent="0.35">
      <c r="A277" s="1" t="s">
        <v>30</v>
      </c>
      <c r="B277" s="1" t="str">
        <f t="shared" si="16"/>
        <v>MSI</v>
      </c>
      <c r="C277" s="1" t="s">
        <v>1578</v>
      </c>
      <c r="D277" s="1" t="str">
        <f t="shared" si="1"/>
        <v>Cyborg 15 AI A1VF</v>
      </c>
      <c r="E277" s="1" t="str">
        <f t="array" aca="1" ref="E277" ca="1">IFERROR(
INDEX(Family_Map!$B$2:$B$35,
_xludf.AGGREGATE(14,6,(ROW(Family_Map!$A$2:$A$35)-ROW(Family_Map!$A$2)+1)/(ISNUMBER(SEARCH(Family_Map!$A$2:$A$35,D277))),1)
),
"Other")</f>
        <v>Other</v>
      </c>
      <c r="F277" s="1" t="s">
        <v>1095</v>
      </c>
      <c r="G277" s="1" t="e">
        <f t="shared" ca="1" si="2"/>
        <v>#NAME?</v>
      </c>
      <c r="H277" s="1" t="str">
        <f t="shared" ca="1" si="12"/>
        <v>Other</v>
      </c>
      <c r="I277" s="1" t="s">
        <v>410</v>
      </c>
      <c r="J277" s="1" t="str">
        <f t="shared" si="3"/>
        <v>8GB</v>
      </c>
      <c r="K277" s="1" t="s">
        <v>53</v>
      </c>
      <c r="L277" s="1">
        <f t="shared" si="22"/>
        <v>16</v>
      </c>
      <c r="M277" s="1" t="s">
        <v>644</v>
      </c>
      <c r="N277" s="1" t="str">
        <f t="shared" si="5"/>
        <v>512GB</v>
      </c>
      <c r="O277" s="1" t="str">
        <f t="shared" si="6"/>
        <v>512GB</v>
      </c>
      <c r="P277" s="1" t="s">
        <v>616</v>
      </c>
      <c r="Q277" s="1" t="str">
        <f t="shared" si="7"/>
        <v>1920x1080</v>
      </c>
      <c r="R277" s="1" t="s">
        <v>75</v>
      </c>
      <c r="S277" s="1" t="str">
        <f t="shared" si="8"/>
        <v>144Hz</v>
      </c>
      <c r="T277" s="1" t="s">
        <v>90</v>
      </c>
      <c r="U277" s="1" t="str">
        <f t="shared" si="9"/>
        <v>Windows 11 Home</v>
      </c>
      <c r="V277" s="1" t="s">
        <v>781</v>
      </c>
      <c r="W277" s="1" t="str">
        <f t="shared" si="10"/>
        <v>1.98 kg</v>
      </c>
      <c r="X277" s="1" t="s">
        <v>165</v>
      </c>
      <c r="Y277" s="1" t="str">
        <f t="shared" si="11"/>
        <v>2 Years</v>
      </c>
      <c r="Z277" s="4">
        <v>60999</v>
      </c>
      <c r="AA277" s="1" t="s">
        <v>5735</v>
      </c>
    </row>
    <row r="278" spans="1:27" ht="15.75" customHeight="1" x14ac:dyDescent="0.35">
      <c r="A278" s="1" t="s">
        <v>234</v>
      </c>
      <c r="B278" s="1" t="str">
        <f t="shared" si="16"/>
        <v>ASUS</v>
      </c>
      <c r="C278" s="1" t="s">
        <v>1582</v>
      </c>
      <c r="D278" s="1" t="str">
        <f t="shared" si="1"/>
        <v>FA507NU-LP125W</v>
      </c>
      <c r="E278" s="1" t="str">
        <f t="array" aca="1" ref="E278" ca="1">IFERROR(
INDEX(Family_Map!$B$2:$B$35,
_xludf.AGGREGATE(14,6,(ROW(Family_Map!$A$2:$A$35)-ROW(Family_Map!$A$2)+1)/(ISNUMBER(SEARCH(Family_Map!$A$2:$A$35,D278))),1)
),
"Other")</f>
        <v>Other</v>
      </c>
      <c r="F278" s="1" t="s">
        <v>1238</v>
      </c>
      <c r="G278" s="1" t="e">
        <f t="shared" ca="1" si="2"/>
        <v>#NAME?</v>
      </c>
      <c r="H278" s="1" t="str">
        <f t="shared" ca="1" si="12"/>
        <v>Other</v>
      </c>
      <c r="I278" s="1" t="s">
        <v>1584</v>
      </c>
      <c r="J278" s="1" t="str">
        <f t="shared" si="3"/>
        <v>6GB</v>
      </c>
      <c r="K278" s="1" t="s">
        <v>1585</v>
      </c>
      <c r="L278" s="1">
        <f t="shared" si="22"/>
        <v>8</v>
      </c>
      <c r="M278" s="1" t="s">
        <v>1120</v>
      </c>
      <c r="N278" s="1" t="str">
        <f t="shared" si="5"/>
        <v>512GB</v>
      </c>
      <c r="O278" s="1" t="str">
        <f t="shared" si="6"/>
        <v>512GB</v>
      </c>
      <c r="P278" s="1" t="s">
        <v>120</v>
      </c>
      <c r="Q278" s="1" t="str">
        <f t="shared" si="7"/>
        <v>1920x1080</v>
      </c>
      <c r="R278" s="1" t="s">
        <v>75</v>
      </c>
      <c r="S278" s="1" t="str">
        <f t="shared" si="8"/>
        <v>144Hz</v>
      </c>
      <c r="T278" s="1" t="s">
        <v>90</v>
      </c>
      <c r="U278" s="1" t="str">
        <f t="shared" si="9"/>
        <v>Windows 11 Home</v>
      </c>
      <c r="V278" s="1" t="s">
        <v>300</v>
      </c>
      <c r="W278" s="1" t="str">
        <f t="shared" si="10"/>
        <v>2.2 kg</v>
      </c>
      <c r="X278" s="1" t="s">
        <v>78</v>
      </c>
      <c r="Y278" s="1" t="str">
        <f t="shared" si="11"/>
        <v>1 Year</v>
      </c>
      <c r="Z278" s="4">
        <v>39666</v>
      </c>
      <c r="AA278" s="1" t="s">
        <v>5735</v>
      </c>
    </row>
    <row r="279" spans="1:27" ht="15.75" customHeight="1" x14ac:dyDescent="0.35">
      <c r="A279" s="1" t="s">
        <v>234</v>
      </c>
      <c r="B279" s="1" t="str">
        <f t="shared" si="16"/>
        <v>ASUS</v>
      </c>
      <c r="C279" s="1" t="s">
        <v>1592</v>
      </c>
      <c r="D279" s="1" t="str">
        <f t="shared" si="1"/>
        <v>GU605MY-QR061W</v>
      </c>
      <c r="E279" s="1" t="str">
        <f t="array" aca="1" ref="E279" ca="1">IFERROR(
INDEX(Family_Map!$B$2:$B$35,
_xludf.AGGREGATE(14,6,(ROW(Family_Map!$A$2:$A$35)-ROW(Family_Map!$A$2)+1)/(ISNUMBER(SEARCH(Family_Map!$A$2:$A$35,D279))),1)
),
"Other")</f>
        <v>Other</v>
      </c>
      <c r="F279" s="1" t="s">
        <v>1593</v>
      </c>
      <c r="G279" s="1" t="e">
        <f t="shared" ca="1" si="2"/>
        <v>#NAME?</v>
      </c>
      <c r="H279" s="1" t="str">
        <f t="shared" ca="1" si="12"/>
        <v>Other</v>
      </c>
      <c r="I279" s="1" t="s">
        <v>656</v>
      </c>
      <c r="J279" s="1" t="str">
        <f t="shared" si="3"/>
        <v>16GB</v>
      </c>
      <c r="K279" s="1" t="s">
        <v>1594</v>
      </c>
      <c r="L279" s="1">
        <f t="shared" si="22"/>
        <v>32</v>
      </c>
      <c r="M279" s="1" t="s">
        <v>1595</v>
      </c>
      <c r="N279" s="1" t="str">
        <f t="shared" si="5"/>
        <v>2TB</v>
      </c>
      <c r="O279" s="1" t="str">
        <f t="shared" si="6"/>
        <v>2048GB</v>
      </c>
      <c r="P279" s="1" t="s">
        <v>89</v>
      </c>
      <c r="Q279" s="1" t="str">
        <f t="shared" si="7"/>
        <v>2560x1600</v>
      </c>
      <c r="R279" s="1" t="s">
        <v>256</v>
      </c>
      <c r="S279" s="1" t="str">
        <f t="shared" si="8"/>
        <v>240Hz</v>
      </c>
      <c r="T279" s="1" t="s">
        <v>201</v>
      </c>
      <c r="U279" s="1" t="str">
        <f t="shared" si="9"/>
        <v>Windows 11 Home</v>
      </c>
      <c r="V279" s="1" t="s">
        <v>518</v>
      </c>
      <c r="W279" s="1" t="str">
        <f t="shared" si="10"/>
        <v>1.95 kg</v>
      </c>
      <c r="X279" s="1" t="s">
        <v>165</v>
      </c>
      <c r="Y279" s="1" t="str">
        <f t="shared" si="11"/>
        <v>2 Years</v>
      </c>
      <c r="Z279" s="4">
        <v>169888</v>
      </c>
      <c r="AA279" s="1" t="s">
        <v>5735</v>
      </c>
    </row>
    <row r="280" spans="1:27" ht="15.75" customHeight="1" x14ac:dyDescent="0.35">
      <c r="A280" s="1" t="s">
        <v>234</v>
      </c>
      <c r="B280" s="1" t="str">
        <f t="shared" si="16"/>
        <v>ASUS</v>
      </c>
      <c r="C280" s="1" t="s">
        <v>1600</v>
      </c>
      <c r="D280" s="1" t="str">
        <f t="shared" si="1"/>
        <v>Vivobook Pro 15 D3500QC-OLED007W</v>
      </c>
      <c r="E280" s="1" t="str">
        <f t="array" aca="1" ref="E280" ca="1">IFERROR(
INDEX(Family_Map!$B$2:$B$35,
_xludf.AGGREGATE(14,6,(ROW(Family_Map!$A$2:$A$35)-ROW(Family_Map!$A$2)+1)/(ISNUMBER(SEARCH(Family_Map!$A$2:$A$35,D280))),1)
),
"Other")</f>
        <v>Other</v>
      </c>
      <c r="F280" s="1" t="s">
        <v>1601</v>
      </c>
      <c r="G280" s="1" t="e">
        <f t="shared" ca="1" si="2"/>
        <v>#NAME?</v>
      </c>
      <c r="H280" s="1" t="str">
        <f t="shared" ca="1" si="12"/>
        <v>Other</v>
      </c>
      <c r="I280" s="1" t="s">
        <v>507</v>
      </c>
      <c r="J280" s="1" t="str">
        <f t="shared" si="3"/>
        <v>4GB</v>
      </c>
      <c r="K280" s="1" t="s">
        <v>1603</v>
      </c>
      <c r="L280" s="1">
        <f t="shared" si="22"/>
        <v>16</v>
      </c>
      <c r="M280" s="1" t="s">
        <v>1604</v>
      </c>
      <c r="N280" s="1" t="str">
        <f t="shared" si="5"/>
        <v>512GB</v>
      </c>
      <c r="O280" s="1" t="str">
        <f t="shared" si="6"/>
        <v>512GB</v>
      </c>
      <c r="P280" s="1" t="s">
        <v>616</v>
      </c>
      <c r="Q280" s="1" t="str">
        <f t="shared" si="7"/>
        <v>1920x1080</v>
      </c>
      <c r="R280" s="1" t="s">
        <v>971</v>
      </c>
      <c r="S280" s="1" t="str">
        <f t="shared" si="8"/>
        <v>60Hz</v>
      </c>
      <c r="T280" s="1" t="s">
        <v>90</v>
      </c>
      <c r="U280" s="1" t="str">
        <f t="shared" si="9"/>
        <v>Windows 11 Home</v>
      </c>
      <c r="V280" s="1" t="s">
        <v>1609</v>
      </c>
      <c r="W280" s="1" t="str">
        <f t="shared" si="10"/>
        <v>1.65 kg</v>
      </c>
      <c r="X280" s="1" t="s">
        <v>165</v>
      </c>
      <c r="Y280" s="1" t="str">
        <f t="shared" si="11"/>
        <v>2 Years</v>
      </c>
      <c r="Z280" s="4">
        <v>48999</v>
      </c>
      <c r="AA280" s="1" t="s">
        <v>5735</v>
      </c>
    </row>
    <row r="281" spans="1:27" ht="15.75" customHeight="1" x14ac:dyDescent="0.35">
      <c r="A281" s="1" t="s">
        <v>30</v>
      </c>
      <c r="B281" s="1" t="str">
        <f t="shared" si="16"/>
        <v>MSI</v>
      </c>
      <c r="C281" s="1" t="s">
        <v>1612</v>
      </c>
      <c r="D281" s="1" t="str">
        <f t="shared" si="1"/>
        <v>GF63 Thin 11SC</v>
      </c>
      <c r="E281" s="1" t="str">
        <f t="array" aca="1" ref="E281" ca="1">IFERROR(
INDEX(Family_Map!$B$2:$B$35,
_xludf.AGGREGATE(14,6,(ROW(Family_Map!$A$2:$A$35)-ROW(Family_Map!$A$2)+1)/(ISNUMBER(SEARCH(Family_Map!$A$2:$A$35,D281))),1)
),
"Other")</f>
        <v>Other</v>
      </c>
      <c r="F281" s="1" t="s">
        <v>1613</v>
      </c>
      <c r="G281" s="1" t="e">
        <f t="shared" ca="1" si="2"/>
        <v>#NAME?</v>
      </c>
      <c r="H281" s="1" t="str">
        <f t="shared" ca="1" si="12"/>
        <v>Other</v>
      </c>
      <c r="I281" s="1" t="s">
        <v>507</v>
      </c>
      <c r="J281" s="1" t="str">
        <f t="shared" si="3"/>
        <v>4GB</v>
      </c>
      <c r="K281" s="1" t="s">
        <v>1615</v>
      </c>
      <c r="L281" s="1">
        <f t="shared" si="22"/>
        <v>8</v>
      </c>
      <c r="M281" s="1" t="s">
        <v>1120</v>
      </c>
      <c r="N281" s="1" t="str">
        <f t="shared" si="5"/>
        <v>512GB</v>
      </c>
      <c r="O281" s="1" t="str">
        <f t="shared" si="6"/>
        <v>512GB</v>
      </c>
      <c r="P281" s="1" t="s">
        <v>616</v>
      </c>
      <c r="Q281" s="1" t="str">
        <f t="shared" si="7"/>
        <v>1920x1080</v>
      </c>
      <c r="R281" s="1" t="s">
        <v>75</v>
      </c>
      <c r="S281" s="1" t="str">
        <f t="shared" si="8"/>
        <v>144Hz</v>
      </c>
      <c r="T281" s="1" t="s">
        <v>101</v>
      </c>
      <c r="U281" s="1" t="str">
        <f t="shared" si="9"/>
        <v>DOS</v>
      </c>
      <c r="V281" s="1" t="s">
        <v>376</v>
      </c>
      <c r="W281" s="1" t="str">
        <f t="shared" si="10"/>
        <v>1.86 kg</v>
      </c>
      <c r="X281" s="1" t="s">
        <v>78</v>
      </c>
      <c r="Y281" s="1" t="str">
        <f t="shared" si="11"/>
        <v>1 Year</v>
      </c>
      <c r="Z281" s="4">
        <v>28888</v>
      </c>
      <c r="AA281" s="1" t="s">
        <v>5735</v>
      </c>
    </row>
    <row r="282" spans="1:27" ht="15.75" customHeight="1" x14ac:dyDescent="0.35">
      <c r="A282" s="1" t="s">
        <v>112</v>
      </c>
      <c r="B282" s="1" t="str">
        <f t="shared" si="16"/>
        <v>HP</v>
      </c>
      <c r="C282" s="1" t="s">
        <v>1618</v>
      </c>
      <c r="D282" s="1" t="str">
        <f t="shared" si="1"/>
        <v>Victus 15-FB0034NE</v>
      </c>
      <c r="E282" s="1" t="str">
        <f t="array" aca="1" ref="E282" ca="1">IFERROR(
INDEX(Family_Map!$B$2:$B$35,
_xludf.AGGREGATE(14,6,(ROW(Family_Map!$A$2:$A$35)-ROW(Family_Map!$A$2)+1)/(ISNUMBER(SEARCH(Family_Map!$A$2:$A$35,D282))),1)
),
"Other")</f>
        <v>Other</v>
      </c>
      <c r="F282" s="1" t="s">
        <v>1601</v>
      </c>
      <c r="G282" s="1" t="e">
        <f t="shared" ca="1" si="2"/>
        <v>#NAME?</v>
      </c>
      <c r="H282" s="1" t="str">
        <f t="shared" ca="1" si="12"/>
        <v>Other</v>
      </c>
      <c r="I282" s="1" t="s">
        <v>507</v>
      </c>
      <c r="J282" s="1" t="str">
        <f t="shared" si="3"/>
        <v>4GB</v>
      </c>
      <c r="K282" s="1" t="s">
        <v>1462</v>
      </c>
      <c r="L282" s="1">
        <f t="shared" si="22"/>
        <v>16</v>
      </c>
      <c r="M282" s="1" t="s">
        <v>136</v>
      </c>
      <c r="N282" s="1" t="str">
        <f t="shared" si="5"/>
        <v>512 GB</v>
      </c>
      <c r="O282" s="1" t="str">
        <f t="shared" si="6"/>
        <v>512 GB</v>
      </c>
      <c r="P282" s="1" t="s">
        <v>616</v>
      </c>
      <c r="Q282" s="1" t="str">
        <f t="shared" si="7"/>
        <v>1920x1080</v>
      </c>
      <c r="R282" s="1" t="s">
        <v>75</v>
      </c>
      <c r="S282" s="1" t="str">
        <f t="shared" si="8"/>
        <v>144Hz</v>
      </c>
      <c r="T282" s="1" t="s">
        <v>90</v>
      </c>
      <c r="U282" s="1" t="str">
        <f t="shared" si="9"/>
        <v>Windows 11 Home</v>
      </c>
      <c r="V282" s="1" t="s">
        <v>127</v>
      </c>
      <c r="W282" s="1" t="str">
        <f t="shared" si="10"/>
        <v>2.29 kg</v>
      </c>
      <c r="X282" s="1" t="s">
        <v>78</v>
      </c>
      <c r="Y282" s="1" t="str">
        <f t="shared" si="11"/>
        <v>1 Year</v>
      </c>
      <c r="Z282" s="4">
        <v>31999</v>
      </c>
      <c r="AA282" s="1" t="s">
        <v>5735</v>
      </c>
    </row>
    <row r="283" spans="1:27" ht="15.75" customHeight="1" x14ac:dyDescent="0.35">
      <c r="A283" s="1" t="s">
        <v>112</v>
      </c>
      <c r="B283" s="1" t="str">
        <f t="shared" si="16"/>
        <v>HP</v>
      </c>
      <c r="C283" s="1" t="s">
        <v>1622</v>
      </c>
      <c r="D283" s="1" t="str">
        <f t="shared" si="1"/>
        <v>Victus 15-FB0032NE</v>
      </c>
      <c r="E283" s="1" t="str">
        <f t="array" aca="1" ref="E283" ca="1">IFERROR(
INDEX(Family_Map!$B$2:$B$35,
_xludf.AGGREGATE(14,6,(ROW(Family_Map!$A$2:$A$35)-ROW(Family_Map!$A$2)+1)/(ISNUMBER(SEARCH(Family_Map!$A$2:$A$35,D283))),1)
),
"Other")</f>
        <v>Other</v>
      </c>
      <c r="F283" s="1" t="s">
        <v>1601</v>
      </c>
      <c r="G283" s="1" t="e">
        <f t="shared" ca="1" si="2"/>
        <v>#NAME?</v>
      </c>
      <c r="H283" s="1" t="str">
        <f t="shared" ca="1" si="12"/>
        <v>Other</v>
      </c>
      <c r="I283" s="1" t="s">
        <v>507</v>
      </c>
      <c r="J283" s="1" t="str">
        <f t="shared" si="3"/>
        <v>4GB</v>
      </c>
      <c r="K283" s="1" t="s">
        <v>1623</v>
      </c>
      <c r="L283" s="1">
        <f t="shared" si="22"/>
        <v>16</v>
      </c>
      <c r="M283" s="1" t="s">
        <v>1624</v>
      </c>
      <c r="N283" s="1" t="str">
        <f t="shared" si="5"/>
        <v>1 TB</v>
      </c>
      <c r="O283" s="1" t="str">
        <f t="shared" si="6"/>
        <v>1024GB</v>
      </c>
      <c r="P283" s="1" t="s">
        <v>616</v>
      </c>
      <c r="Q283" s="1" t="str">
        <f t="shared" si="7"/>
        <v>1920x1080</v>
      </c>
      <c r="R283" s="1" t="s">
        <v>75</v>
      </c>
      <c r="S283" s="1" t="str">
        <f t="shared" si="8"/>
        <v>144Hz</v>
      </c>
      <c r="T283" s="1" t="s">
        <v>90</v>
      </c>
      <c r="U283" s="1" t="str">
        <f t="shared" si="9"/>
        <v>Windows 11 Home</v>
      </c>
      <c r="V283" s="1" t="s">
        <v>127</v>
      </c>
      <c r="W283" s="1" t="str">
        <f t="shared" si="10"/>
        <v>2.29 kg</v>
      </c>
      <c r="X283" s="1" t="s">
        <v>78</v>
      </c>
      <c r="Y283" s="1" t="str">
        <f t="shared" si="11"/>
        <v>1 Year</v>
      </c>
      <c r="Z283" s="4">
        <v>49199</v>
      </c>
      <c r="AA283" s="1" t="s">
        <v>5735</v>
      </c>
    </row>
    <row r="284" spans="1:27" ht="15.75" customHeight="1" x14ac:dyDescent="0.35">
      <c r="A284" s="1" t="s">
        <v>112</v>
      </c>
      <c r="B284" s="1" t="str">
        <f t="shared" si="16"/>
        <v>HP</v>
      </c>
      <c r="C284" s="1" t="s">
        <v>1626</v>
      </c>
      <c r="D284" s="1" t="str">
        <f t="shared" si="1"/>
        <v>Victus 15-FA0087NE</v>
      </c>
      <c r="E284" s="1" t="str">
        <f t="array" aca="1" ref="E284" ca="1">IFERROR(
INDEX(Family_Map!$B$2:$B$35,
_xludf.AGGREGATE(14,6,(ROW(Family_Map!$A$2:$A$35)-ROW(Family_Map!$A$2)+1)/(ISNUMBER(SEARCH(Family_Map!$A$2:$A$35,D284))),1)
),
"Other")</f>
        <v>Other</v>
      </c>
      <c r="F284" s="1" t="s">
        <v>1627</v>
      </c>
      <c r="G284" s="1" t="e">
        <f t="shared" ca="1" si="2"/>
        <v>#NAME?</v>
      </c>
      <c r="H284" s="1" t="str">
        <f t="shared" ca="1" si="12"/>
        <v>Other</v>
      </c>
      <c r="I284" s="1" t="s">
        <v>439</v>
      </c>
      <c r="J284" s="1" t="str">
        <f t="shared" si="3"/>
        <v>4 GB</v>
      </c>
      <c r="K284" s="1" t="s">
        <v>1429</v>
      </c>
      <c r="L284" s="1">
        <f t="shared" si="22"/>
        <v>8</v>
      </c>
      <c r="M284" s="1" t="s">
        <v>735</v>
      </c>
      <c r="N284" s="1" t="str">
        <f t="shared" si="5"/>
        <v>1 TB</v>
      </c>
      <c r="O284" s="1" t="str">
        <f t="shared" si="6"/>
        <v>1024GB</v>
      </c>
      <c r="P284" s="1" t="s">
        <v>616</v>
      </c>
      <c r="Q284" s="1" t="str">
        <f t="shared" si="7"/>
        <v>1920x1080</v>
      </c>
      <c r="R284" s="1" t="s">
        <v>75</v>
      </c>
      <c r="S284" s="1" t="str">
        <f t="shared" si="8"/>
        <v>144Hz</v>
      </c>
      <c r="T284" s="1" t="s">
        <v>90</v>
      </c>
      <c r="U284" s="1" t="str">
        <f t="shared" si="9"/>
        <v>Windows 11 Home</v>
      </c>
      <c r="V284" s="1" t="s">
        <v>127</v>
      </c>
      <c r="W284" s="1" t="str">
        <f t="shared" si="10"/>
        <v>2.29 kg</v>
      </c>
      <c r="X284" s="1" t="s">
        <v>78</v>
      </c>
      <c r="Y284" s="1" t="str">
        <f t="shared" si="11"/>
        <v>1 Year</v>
      </c>
      <c r="Z284" s="4">
        <v>45999</v>
      </c>
      <c r="AA284" s="1" t="s">
        <v>166</v>
      </c>
    </row>
    <row r="285" spans="1:27" ht="15.75" customHeight="1" x14ac:dyDescent="0.35">
      <c r="A285" s="1" t="s">
        <v>112</v>
      </c>
      <c r="B285" s="1" t="str">
        <f t="shared" si="16"/>
        <v>HP</v>
      </c>
      <c r="C285" s="1" t="s">
        <v>1630</v>
      </c>
      <c r="D285" s="1" t="str">
        <f t="shared" si="1"/>
        <v>Victus 15-FA1052NE</v>
      </c>
      <c r="E285" s="1" t="str">
        <f t="array" aca="1" ref="E285" ca="1">IFERROR(
INDEX(Family_Map!$B$2:$B$35,
_xludf.AGGREGATE(14,6,(ROW(Family_Map!$A$2:$A$35)-ROW(Family_Map!$A$2)+1)/(ISNUMBER(SEARCH(Family_Map!$A$2:$A$35,D285))),1)
),
"Other")</f>
        <v>Other</v>
      </c>
      <c r="F285" s="1" t="s">
        <v>68</v>
      </c>
      <c r="G285" s="1" t="e">
        <f t="shared" ca="1" si="2"/>
        <v>#NAME?</v>
      </c>
      <c r="H285" s="1" t="str">
        <f t="shared" ca="1" si="12"/>
        <v>Other</v>
      </c>
      <c r="I285" s="1" t="s">
        <v>507</v>
      </c>
      <c r="J285" s="1" t="str">
        <f t="shared" si="3"/>
        <v>4GB</v>
      </c>
      <c r="K285" s="1" t="s">
        <v>1525</v>
      </c>
      <c r="L285" s="1">
        <f t="shared" si="22"/>
        <v>8</v>
      </c>
      <c r="M285" s="1" t="s">
        <v>136</v>
      </c>
      <c r="N285" s="1" t="str">
        <f t="shared" si="5"/>
        <v>512 GB</v>
      </c>
      <c r="O285" s="1" t="str">
        <f t="shared" si="6"/>
        <v>512 GB</v>
      </c>
      <c r="P285" s="1" t="s">
        <v>616</v>
      </c>
      <c r="Q285" s="1" t="str">
        <f t="shared" si="7"/>
        <v>1920x1080</v>
      </c>
      <c r="R285" s="1" t="s">
        <v>75</v>
      </c>
      <c r="S285" s="1" t="str">
        <f t="shared" si="8"/>
        <v>144Hz</v>
      </c>
      <c r="T285" s="1" t="s">
        <v>101</v>
      </c>
      <c r="U285" s="1" t="str">
        <f t="shared" si="9"/>
        <v>DOS</v>
      </c>
      <c r="V285" s="1" t="s">
        <v>127</v>
      </c>
      <c r="W285" s="1" t="str">
        <f t="shared" si="10"/>
        <v>2.29 kg</v>
      </c>
      <c r="X285" s="1" t="s">
        <v>78</v>
      </c>
      <c r="Y285" s="1" t="str">
        <f t="shared" si="11"/>
        <v>1 Year</v>
      </c>
      <c r="Z285" s="4">
        <v>31666</v>
      </c>
      <c r="AA285" s="1" t="s">
        <v>79</v>
      </c>
    </row>
    <row r="286" spans="1:27" ht="15.75" customHeight="1" x14ac:dyDescent="0.35">
      <c r="A286" s="1" t="s">
        <v>112</v>
      </c>
      <c r="B286" s="1" t="str">
        <f t="shared" si="16"/>
        <v>HP</v>
      </c>
      <c r="C286" s="1" t="s">
        <v>1633</v>
      </c>
      <c r="D286" s="1" t="str">
        <f t="shared" si="1"/>
        <v>Victus 15-FA0088NE</v>
      </c>
      <c r="E286" s="1" t="str">
        <f t="array" aca="1" ref="E286" ca="1">IFERROR(
INDEX(Family_Map!$B$2:$B$35,
_xludf.AGGREGATE(14,6,(ROW(Family_Map!$A$2:$A$35)-ROW(Family_Map!$A$2)+1)/(ISNUMBER(SEARCH(Family_Map!$A$2:$A$35,D286))),1)
),
"Other")</f>
        <v>Other</v>
      </c>
      <c r="F286" s="1" t="s">
        <v>627</v>
      </c>
      <c r="G286" s="1" t="e">
        <f t="shared" ca="1" si="2"/>
        <v>#NAME?</v>
      </c>
      <c r="H286" s="1" t="str">
        <f t="shared" ca="1" si="12"/>
        <v>Other</v>
      </c>
      <c r="I286" s="1" t="s">
        <v>507</v>
      </c>
      <c r="J286" s="1" t="str">
        <f t="shared" si="3"/>
        <v>4GB</v>
      </c>
      <c r="K286" s="1" t="s">
        <v>1429</v>
      </c>
      <c r="L286" s="1">
        <f t="shared" si="22"/>
        <v>8</v>
      </c>
      <c r="M286" s="1" t="s">
        <v>735</v>
      </c>
      <c r="N286" s="1" t="str">
        <f t="shared" si="5"/>
        <v>1 TB</v>
      </c>
      <c r="O286" s="1" t="str">
        <f t="shared" si="6"/>
        <v>1024GB</v>
      </c>
      <c r="P286" s="1" t="s">
        <v>120</v>
      </c>
      <c r="Q286" s="1" t="str">
        <f t="shared" si="7"/>
        <v>1920x1080</v>
      </c>
      <c r="R286" s="1" t="s">
        <v>75</v>
      </c>
      <c r="S286" s="1" t="str">
        <f t="shared" si="8"/>
        <v>144Hz</v>
      </c>
      <c r="T286" s="1" t="s">
        <v>90</v>
      </c>
      <c r="U286" s="1" t="str">
        <f t="shared" si="9"/>
        <v>Windows 11 Home</v>
      </c>
      <c r="V286" s="1" t="s">
        <v>127</v>
      </c>
      <c r="W286" s="1" t="str">
        <f t="shared" si="10"/>
        <v>2.29 kg</v>
      </c>
      <c r="X286" s="1" t="s">
        <v>129</v>
      </c>
      <c r="Y286" s="1" t="str">
        <f t="shared" si="11"/>
        <v>1 Year</v>
      </c>
      <c r="Z286" s="4">
        <v>36999</v>
      </c>
      <c r="AA286" s="1" t="s">
        <v>166</v>
      </c>
    </row>
    <row r="287" spans="1:27" ht="15.75" customHeight="1" x14ac:dyDescent="0.35">
      <c r="A287" s="1" t="s">
        <v>112</v>
      </c>
      <c r="B287" s="1" t="str">
        <f t="shared" si="16"/>
        <v>HP</v>
      </c>
      <c r="C287" s="1" t="s">
        <v>1635</v>
      </c>
      <c r="D287" s="1" t="str">
        <f t="shared" si="1"/>
        <v>Victus 16-R0073Cl</v>
      </c>
      <c r="E287" s="1" t="str">
        <f t="array" aca="1" ref="E287" ca="1">IFERROR(
INDEX(Family_Map!$B$2:$B$35,
_xludf.AGGREGATE(14,6,(ROW(Family_Map!$A$2:$A$35)-ROW(Family_Map!$A$2)+1)/(ISNUMBER(SEARCH(Family_Map!$A$2:$A$35,D287))),1)
),
"Other")</f>
        <v>Other</v>
      </c>
      <c r="F287" s="1" t="s">
        <v>1636</v>
      </c>
      <c r="G287" s="1" t="e">
        <f t="shared" ca="1" si="2"/>
        <v>#NAME?</v>
      </c>
      <c r="H287" s="1" t="str">
        <f t="shared" ca="1" si="12"/>
        <v>Other</v>
      </c>
      <c r="I287" s="1" t="s">
        <v>410</v>
      </c>
      <c r="J287" s="1" t="str">
        <f t="shared" si="3"/>
        <v>8GB</v>
      </c>
      <c r="K287" s="1" t="s">
        <v>1638</v>
      </c>
      <c r="L287" s="1">
        <f t="shared" si="22"/>
        <v>32</v>
      </c>
      <c r="M287" s="1" t="s">
        <v>735</v>
      </c>
      <c r="N287" s="1" t="str">
        <f t="shared" si="5"/>
        <v>1 TB</v>
      </c>
      <c r="O287" s="1" t="str">
        <f t="shared" si="6"/>
        <v>1024GB</v>
      </c>
      <c r="P287" s="1" t="s">
        <v>120</v>
      </c>
      <c r="Q287" s="1" t="str">
        <f t="shared" si="7"/>
        <v>1920x1080</v>
      </c>
      <c r="R287" s="1" t="s">
        <v>75</v>
      </c>
      <c r="S287" s="1" t="str">
        <f t="shared" si="8"/>
        <v>144Hz</v>
      </c>
      <c r="T287" s="1" t="s">
        <v>90</v>
      </c>
      <c r="U287" s="1" t="str">
        <f t="shared" si="9"/>
        <v>Windows 11 Home</v>
      </c>
      <c r="V287" s="1" t="s">
        <v>142</v>
      </c>
      <c r="W287" s="1" t="str">
        <f t="shared" si="10"/>
        <v>2.31 kg</v>
      </c>
      <c r="X287" s="1" t="s">
        <v>129</v>
      </c>
      <c r="Y287" s="1" t="str">
        <f t="shared" si="11"/>
        <v>1 Year</v>
      </c>
      <c r="Z287" s="4">
        <v>70499</v>
      </c>
      <c r="AA287" s="1" t="s">
        <v>79</v>
      </c>
    </row>
    <row r="288" spans="1:27" ht="15.75" customHeight="1" x14ac:dyDescent="0.35">
      <c r="A288" s="1" t="s">
        <v>112</v>
      </c>
      <c r="B288" s="1" t="str">
        <f t="shared" si="16"/>
        <v>HP</v>
      </c>
      <c r="C288" s="1" t="s">
        <v>1643</v>
      </c>
      <c r="D288" s="1" t="str">
        <f t="shared" si="1"/>
        <v>Victus 16-R0059WM</v>
      </c>
      <c r="E288" s="1" t="str">
        <f t="array" aca="1" ref="E288" ca="1">IFERROR(
INDEX(Family_Map!$B$2:$B$35,
_xludf.AGGREGATE(14,6,(ROW(Family_Map!$A$2:$A$35)-ROW(Family_Map!$A$2)+1)/(ISNUMBER(SEARCH(Family_Map!$A$2:$A$35,D288))),1)
),
"Other")</f>
        <v>Other</v>
      </c>
      <c r="F288" s="1" t="s">
        <v>818</v>
      </c>
      <c r="G288" s="1" t="e">
        <f t="shared" ca="1" si="2"/>
        <v>#NAME?</v>
      </c>
      <c r="H288" s="1" t="str">
        <f t="shared" ca="1" si="12"/>
        <v>Other</v>
      </c>
      <c r="I288" s="1" t="s">
        <v>410</v>
      </c>
      <c r="J288" s="1" t="str">
        <f t="shared" si="3"/>
        <v>8GB</v>
      </c>
      <c r="K288" s="1" t="s">
        <v>819</v>
      </c>
      <c r="L288" s="1">
        <f t="shared" si="22"/>
        <v>16</v>
      </c>
      <c r="M288" s="1" t="s">
        <v>735</v>
      </c>
      <c r="N288" s="1" t="str">
        <f t="shared" si="5"/>
        <v>1 TB</v>
      </c>
      <c r="O288" s="1" t="str">
        <f t="shared" si="6"/>
        <v>1024GB</v>
      </c>
      <c r="P288" s="1" t="s">
        <v>616</v>
      </c>
      <c r="Q288" s="1" t="str">
        <f t="shared" si="7"/>
        <v>1920x1080</v>
      </c>
      <c r="R288" s="1" t="s">
        <v>75</v>
      </c>
      <c r="S288" s="1" t="str">
        <f t="shared" si="8"/>
        <v>144Hz</v>
      </c>
      <c r="T288" s="1" t="s">
        <v>90</v>
      </c>
      <c r="U288" s="1" t="str">
        <f t="shared" si="9"/>
        <v>Windows 11 Home</v>
      </c>
      <c r="V288" s="1" t="s">
        <v>267</v>
      </c>
      <c r="W288" s="1" t="str">
        <f t="shared" si="10"/>
        <v>2.33 kg</v>
      </c>
      <c r="X288" s="1" t="s">
        <v>78</v>
      </c>
      <c r="Y288" s="1" t="str">
        <f t="shared" si="11"/>
        <v>1 Year</v>
      </c>
      <c r="Z288" s="4">
        <v>59499</v>
      </c>
      <c r="AA288" s="1" t="s">
        <v>79</v>
      </c>
    </row>
    <row r="289" spans="1:27" ht="15.75" customHeight="1" x14ac:dyDescent="0.35">
      <c r="A289" s="1" t="s">
        <v>112</v>
      </c>
      <c r="B289" s="1" t="str">
        <f t="shared" si="16"/>
        <v>HP</v>
      </c>
      <c r="C289" s="1" t="s">
        <v>1645</v>
      </c>
      <c r="D289" s="1" t="str">
        <f t="shared" si="1"/>
        <v>Victus 16-R0048NIA</v>
      </c>
      <c r="E289" s="1" t="str">
        <f t="array" aca="1" ref="E289" ca="1">IFERROR(
INDEX(Family_Map!$B$2:$B$35,
_xludf.AGGREGATE(14,6,(ROW(Family_Map!$A$2:$A$35)-ROW(Family_Map!$A$2)+1)/(ISNUMBER(SEARCH(Family_Map!$A$2:$A$35,D289))),1)
),
"Other")</f>
        <v>Other</v>
      </c>
      <c r="F289" s="1" t="s">
        <v>818</v>
      </c>
      <c r="G289" s="1" t="e">
        <f t="shared" ca="1" si="2"/>
        <v>#NAME?</v>
      </c>
      <c r="H289" s="1" t="str">
        <f t="shared" ca="1" si="12"/>
        <v>Other</v>
      </c>
      <c r="I289" s="1" t="s">
        <v>362</v>
      </c>
      <c r="J289" s="1" t="str">
        <f t="shared" si="3"/>
        <v>6GB</v>
      </c>
      <c r="K289" s="1" t="s">
        <v>819</v>
      </c>
      <c r="L289" s="1">
        <f t="shared" si="22"/>
        <v>16</v>
      </c>
      <c r="M289" s="1" t="s">
        <v>735</v>
      </c>
      <c r="N289" s="1" t="str">
        <f t="shared" si="5"/>
        <v>1 TB</v>
      </c>
      <c r="O289" s="1" t="str">
        <f t="shared" si="6"/>
        <v>1024GB</v>
      </c>
      <c r="P289" s="1" t="s">
        <v>616</v>
      </c>
      <c r="Q289" s="1" t="str">
        <f t="shared" si="7"/>
        <v>1920x1080</v>
      </c>
      <c r="R289" s="1" t="s">
        <v>75</v>
      </c>
      <c r="S289" s="1" t="str">
        <f t="shared" si="8"/>
        <v>144Hz</v>
      </c>
      <c r="T289" s="1" t="s">
        <v>101</v>
      </c>
      <c r="U289" s="1" t="str">
        <f t="shared" si="9"/>
        <v>DOS</v>
      </c>
      <c r="V289" s="1" t="s">
        <v>267</v>
      </c>
      <c r="W289" s="1" t="str">
        <f t="shared" si="10"/>
        <v>2.33 kg</v>
      </c>
      <c r="X289" s="1" t="s">
        <v>78</v>
      </c>
      <c r="Y289" s="1" t="str">
        <f t="shared" si="11"/>
        <v>1 Year</v>
      </c>
      <c r="Z289" s="4">
        <v>74999</v>
      </c>
      <c r="AA289" s="1" t="s">
        <v>79</v>
      </c>
    </row>
    <row r="290" spans="1:27" ht="15.75" customHeight="1" x14ac:dyDescent="0.35">
      <c r="A290" s="1" t="s">
        <v>112</v>
      </c>
      <c r="B290" s="1" t="str">
        <f t="shared" si="16"/>
        <v>HP</v>
      </c>
      <c r="C290" s="1" t="s">
        <v>1648</v>
      </c>
      <c r="D290" s="1" t="str">
        <f t="shared" si="1"/>
        <v>Victus 15-FB0070NIA</v>
      </c>
      <c r="E290" s="1" t="str">
        <f t="array" aca="1" ref="E290" ca="1">IFERROR(
INDEX(Family_Map!$B$2:$B$35,
_xludf.AGGREGATE(14,6,(ROW(Family_Map!$A$2:$A$35)-ROW(Family_Map!$A$2)+1)/(ISNUMBER(SEARCH(Family_Map!$A$2:$A$35,D290))),1)
),
"Other")</f>
        <v>Other</v>
      </c>
      <c r="F290" s="1" t="s">
        <v>1649</v>
      </c>
      <c r="G290" s="1" t="e">
        <f t="shared" ca="1" si="2"/>
        <v>#NAME?</v>
      </c>
      <c r="H290" s="1" t="str">
        <f t="shared" ca="1" si="12"/>
        <v>Other</v>
      </c>
      <c r="I290" s="1" t="s">
        <v>507</v>
      </c>
      <c r="J290" s="1" t="str">
        <f t="shared" si="3"/>
        <v>4GB</v>
      </c>
      <c r="K290" s="1" t="s">
        <v>1525</v>
      </c>
      <c r="L290" s="1">
        <f t="shared" si="22"/>
        <v>8</v>
      </c>
      <c r="M290" s="1" t="s">
        <v>136</v>
      </c>
      <c r="N290" s="1" t="str">
        <f t="shared" si="5"/>
        <v>512 GB</v>
      </c>
      <c r="O290" s="1" t="str">
        <f t="shared" si="6"/>
        <v>512 GB</v>
      </c>
      <c r="P290" s="1" t="s">
        <v>616</v>
      </c>
      <c r="Q290" s="1" t="str">
        <f t="shared" si="7"/>
        <v>1920x1080</v>
      </c>
      <c r="R290" s="1" t="s">
        <v>75</v>
      </c>
      <c r="S290" s="1" t="str">
        <f t="shared" si="8"/>
        <v>144Hz</v>
      </c>
      <c r="T290" s="1" t="s">
        <v>101</v>
      </c>
      <c r="U290" s="1" t="str">
        <f t="shared" si="9"/>
        <v>DOS</v>
      </c>
      <c r="V290" s="1" t="s">
        <v>127</v>
      </c>
      <c r="W290" s="1" t="str">
        <f t="shared" si="10"/>
        <v>2.29 kg</v>
      </c>
      <c r="X290" s="1" t="s">
        <v>78</v>
      </c>
      <c r="Y290" s="1" t="str">
        <f t="shared" si="11"/>
        <v>1 Year</v>
      </c>
      <c r="Z290" s="4">
        <v>27999</v>
      </c>
      <c r="AA290" s="1" t="s">
        <v>5735</v>
      </c>
    </row>
    <row r="291" spans="1:27" ht="15.75" customHeight="1" x14ac:dyDescent="0.35">
      <c r="A291" s="1" t="s">
        <v>151</v>
      </c>
      <c r="B291" s="1" t="str">
        <f t="shared" si="16"/>
        <v>Lenovo</v>
      </c>
      <c r="C291" s="1" t="s">
        <v>794</v>
      </c>
      <c r="D291" s="1" t="str">
        <f t="shared" si="1"/>
        <v>Legion Slim 5 16IRH8</v>
      </c>
      <c r="E291" s="1" t="str">
        <f t="array" aca="1" ref="E291" ca="1">IFERROR(
INDEX(Family_Map!$B$2:$B$35,
_xludf.AGGREGATE(14,6,(ROW(Family_Map!$A$2:$A$35)-ROW(Family_Map!$A$2)+1)/(ISNUMBER(SEARCH(Family_Map!$A$2:$A$35,D291))),1)
),
"Other")</f>
        <v>Other</v>
      </c>
      <c r="F291" s="1" t="s">
        <v>402</v>
      </c>
      <c r="G291" s="1" t="e">
        <f t="shared" ca="1" si="2"/>
        <v>#NAME?</v>
      </c>
      <c r="H291" s="1" t="str">
        <f t="shared" ca="1" si="12"/>
        <v>Other</v>
      </c>
      <c r="I291" s="1" t="s">
        <v>70</v>
      </c>
      <c r="J291" s="1" t="str">
        <f t="shared" si="3"/>
        <v>6GB</v>
      </c>
      <c r="K291" s="1" t="s">
        <v>1653</v>
      </c>
      <c r="L291" s="1">
        <f t="shared" si="22"/>
        <v>16</v>
      </c>
      <c r="M291" s="1" t="s">
        <v>1087</v>
      </c>
      <c r="N291" s="1" t="str">
        <f t="shared" si="5"/>
        <v>512GB</v>
      </c>
      <c r="O291" s="1" t="str">
        <f t="shared" si="6"/>
        <v>512GB</v>
      </c>
      <c r="P291" s="1" t="s">
        <v>224</v>
      </c>
      <c r="Q291" s="1" t="str">
        <f t="shared" si="7"/>
        <v>2560x1600</v>
      </c>
      <c r="R291" s="1" t="s">
        <v>57</v>
      </c>
      <c r="S291" s="1" t="str">
        <f t="shared" si="8"/>
        <v>165Hz</v>
      </c>
      <c r="T291" s="1" t="s">
        <v>101</v>
      </c>
      <c r="U291" s="1" t="str">
        <f t="shared" si="9"/>
        <v>DOS</v>
      </c>
      <c r="V291" s="1" t="s">
        <v>63</v>
      </c>
      <c r="W291" s="1" t="str">
        <f t="shared" si="10"/>
        <v>2.4 kg</v>
      </c>
      <c r="X291" s="1" t="s">
        <v>78</v>
      </c>
      <c r="Y291" s="1" t="str">
        <f t="shared" si="11"/>
        <v>1 Year</v>
      </c>
      <c r="Z291" s="4">
        <v>66000</v>
      </c>
      <c r="AA291" s="1" t="s">
        <v>79</v>
      </c>
    </row>
    <row r="292" spans="1:27" ht="15.75" customHeight="1" x14ac:dyDescent="0.35">
      <c r="A292" s="1" t="s">
        <v>81</v>
      </c>
      <c r="B292" s="1" t="str">
        <f t="shared" si="16"/>
        <v>Dell</v>
      </c>
      <c r="C292" s="1" t="s">
        <v>1656</v>
      </c>
      <c r="D292" s="1" t="str">
        <f t="shared" si="1"/>
        <v>G15 5520</v>
      </c>
      <c r="E292" s="1" t="str">
        <f t="array" aca="1" ref="E292" ca="1">IFERROR(
INDEX(Family_Map!$B$2:$B$35,
_xludf.AGGREGATE(14,6,(ROW(Family_Map!$A$2:$A$35)-ROW(Family_Map!$A$2)+1)/(ISNUMBER(SEARCH(Family_Map!$A$2:$A$35,D292))),1)
),
"Other")</f>
        <v>Other</v>
      </c>
      <c r="F292" s="1" t="s">
        <v>1118</v>
      </c>
      <c r="G292" s="1" t="e">
        <f t="shared" ca="1" si="2"/>
        <v>#NAME?</v>
      </c>
      <c r="H292" s="1" t="str">
        <f t="shared" ca="1" si="12"/>
        <v>Other</v>
      </c>
      <c r="I292" s="1" t="s">
        <v>1584</v>
      </c>
      <c r="J292" s="1" t="str">
        <f t="shared" si="3"/>
        <v>6GB</v>
      </c>
      <c r="K292" s="1" t="s">
        <v>1657</v>
      </c>
      <c r="L292" s="1">
        <f t="shared" si="22"/>
        <v>16</v>
      </c>
      <c r="M292" s="1" t="s">
        <v>322</v>
      </c>
      <c r="N292" s="1" t="str">
        <f t="shared" si="5"/>
        <v>1TB</v>
      </c>
      <c r="O292" s="1" t="str">
        <f t="shared" si="6"/>
        <v>1024GB</v>
      </c>
      <c r="P292" s="1" t="s">
        <v>616</v>
      </c>
      <c r="Q292" s="1" t="str">
        <f t="shared" si="7"/>
        <v>1920x1080</v>
      </c>
      <c r="R292" s="1" t="s">
        <v>57</v>
      </c>
      <c r="S292" s="1" t="str">
        <f t="shared" si="8"/>
        <v>165Hz</v>
      </c>
      <c r="T292" s="1" t="s">
        <v>90</v>
      </c>
      <c r="U292" s="1" t="str">
        <f t="shared" si="9"/>
        <v>Windows 11 Home</v>
      </c>
      <c r="V292" s="1" t="s">
        <v>1662</v>
      </c>
      <c r="W292" s="1" t="str">
        <f t="shared" si="10"/>
        <v>2.67 kg</v>
      </c>
      <c r="X292" s="1" t="s">
        <v>129</v>
      </c>
      <c r="Y292" s="1" t="str">
        <f t="shared" si="11"/>
        <v>1 Year</v>
      </c>
      <c r="Z292" s="4">
        <v>54499</v>
      </c>
      <c r="AA292" s="1" t="s">
        <v>166</v>
      </c>
    </row>
    <row r="293" spans="1:27" ht="15.75" customHeight="1" x14ac:dyDescent="0.35">
      <c r="A293" s="1" t="s">
        <v>151</v>
      </c>
      <c r="B293" s="1" t="str">
        <f t="shared" si="16"/>
        <v>Lenovo</v>
      </c>
      <c r="C293" s="1" t="s">
        <v>1664</v>
      </c>
      <c r="D293" s="1" t="str">
        <f t="shared" si="1"/>
        <v>Legion Slim 7 16IRH8</v>
      </c>
      <c r="E293" s="1" t="str">
        <f t="array" aca="1" ref="E293" ca="1">IFERROR(
INDEX(Family_Map!$B$2:$B$35,
_xludf.AGGREGATE(14,6,(ROW(Family_Map!$A$2:$A$35)-ROW(Family_Map!$A$2)+1)/(ISNUMBER(SEARCH(Family_Map!$A$2:$A$35,D293))),1)
),
"Other")</f>
        <v>Other</v>
      </c>
      <c r="F293" s="1" t="s">
        <v>402</v>
      </c>
      <c r="G293" s="1" t="e">
        <f t="shared" ca="1" si="2"/>
        <v>#NAME?</v>
      </c>
      <c r="H293" s="1" t="str">
        <f t="shared" ca="1" si="12"/>
        <v>Other</v>
      </c>
      <c r="I293" s="1" t="s">
        <v>410</v>
      </c>
      <c r="J293" s="1" t="str">
        <f t="shared" si="3"/>
        <v>8GB</v>
      </c>
      <c r="K293" s="1" t="s">
        <v>1665</v>
      </c>
      <c r="L293" s="1">
        <f t="shared" si="22"/>
        <v>16</v>
      </c>
      <c r="M293" s="1" t="s">
        <v>796</v>
      </c>
      <c r="N293" s="1" t="str">
        <f t="shared" si="5"/>
        <v>1TB</v>
      </c>
      <c r="O293" s="1" t="str">
        <f t="shared" si="6"/>
        <v>1024GB</v>
      </c>
      <c r="P293" s="1" t="s">
        <v>1667</v>
      </c>
      <c r="Q293" s="1" t="str">
        <f t="shared" si="7"/>
        <v>3200x2000</v>
      </c>
      <c r="R293" s="1" t="s">
        <v>57</v>
      </c>
      <c r="S293" s="1" t="str">
        <f t="shared" si="8"/>
        <v>165Hz</v>
      </c>
      <c r="T293" s="1" t="s">
        <v>101</v>
      </c>
      <c r="U293" s="1" t="str">
        <f t="shared" si="9"/>
        <v>DOS</v>
      </c>
      <c r="V293" s="1" t="s">
        <v>1670</v>
      </c>
      <c r="W293" s="1" t="str">
        <f t="shared" si="10"/>
        <v>2 kg</v>
      </c>
      <c r="X293" s="1" t="s">
        <v>78</v>
      </c>
      <c r="Y293" s="1" t="str">
        <f t="shared" si="11"/>
        <v>1 Year</v>
      </c>
      <c r="Z293" s="4">
        <v>79199</v>
      </c>
      <c r="AA293" s="1" t="s">
        <v>79</v>
      </c>
    </row>
    <row r="294" spans="1:27" ht="15.75" customHeight="1" x14ac:dyDescent="0.35">
      <c r="A294" s="1" t="s">
        <v>151</v>
      </c>
      <c r="B294" s="1" t="str">
        <f t="shared" si="16"/>
        <v>Lenovo</v>
      </c>
      <c r="C294" s="1" t="s">
        <v>1672</v>
      </c>
      <c r="D294" s="1" t="str">
        <f t="shared" si="1"/>
        <v>IdeaPad Gaming 3 15IAH7</v>
      </c>
      <c r="E294" s="1" t="str">
        <f t="array" aca="1" ref="E294" ca="1">IFERROR(
INDEX(Family_Map!$B$2:$B$35,
_xludf.AGGREGATE(14,6,(ROW(Family_Map!$A$2:$A$35)-ROW(Family_Map!$A$2)+1)/(ISNUMBER(SEARCH(Family_Map!$A$2:$A$35,D294))),1)
),
"Other")</f>
        <v>Other</v>
      </c>
      <c r="F294" s="1" t="s">
        <v>1673</v>
      </c>
      <c r="G294" s="1" t="e">
        <f t="shared" ca="1" si="2"/>
        <v>#NAME?</v>
      </c>
      <c r="H294" s="1" t="str">
        <f t="shared" ca="1" si="12"/>
        <v>Other</v>
      </c>
      <c r="I294" s="1" t="s">
        <v>70</v>
      </c>
      <c r="J294" s="1" t="str">
        <f t="shared" si="3"/>
        <v>6GB</v>
      </c>
      <c r="K294" s="1" t="s">
        <v>1674</v>
      </c>
      <c r="L294" s="1">
        <f t="shared" si="22"/>
        <v>32</v>
      </c>
      <c r="M294" s="1" t="s">
        <v>1506</v>
      </c>
      <c r="N294" s="1" t="str">
        <f t="shared" si="5"/>
        <v>512GB</v>
      </c>
      <c r="O294" s="1" t="str">
        <f t="shared" si="6"/>
        <v>512GB</v>
      </c>
      <c r="P294" s="1" t="s">
        <v>74</v>
      </c>
      <c r="Q294" s="1" t="str">
        <f t="shared" si="7"/>
        <v>1920x1080</v>
      </c>
      <c r="R294" s="1" t="s">
        <v>57</v>
      </c>
      <c r="S294" s="1" t="str">
        <f t="shared" si="8"/>
        <v>165Hz</v>
      </c>
      <c r="T294" s="1" t="s">
        <v>101</v>
      </c>
      <c r="U294" s="1" t="str">
        <f t="shared" si="9"/>
        <v>DOS</v>
      </c>
      <c r="V294" s="1" t="s">
        <v>1678</v>
      </c>
      <c r="W294" s="1" t="str">
        <f t="shared" si="10"/>
        <v>2.32 kg</v>
      </c>
      <c r="X294" s="1" t="s">
        <v>78</v>
      </c>
      <c r="Y294" s="1" t="str">
        <f t="shared" si="11"/>
        <v>1 Year</v>
      </c>
      <c r="Z294" s="4">
        <v>61200</v>
      </c>
      <c r="AA294" s="1" t="s">
        <v>166</v>
      </c>
    </row>
    <row r="295" spans="1:27" ht="15.75" customHeight="1" x14ac:dyDescent="0.35">
      <c r="A295" s="1" t="s">
        <v>151</v>
      </c>
      <c r="B295" s="1" t="str">
        <f t="shared" si="16"/>
        <v>Lenovo</v>
      </c>
      <c r="C295" s="1" t="s">
        <v>568</v>
      </c>
      <c r="D295" s="1" t="str">
        <f t="shared" si="1"/>
        <v>LOQ 15IRX9</v>
      </c>
      <c r="E295" s="1" t="str">
        <f t="array" aca="1" ref="E295" ca="1">IFERROR(
INDEX(Family_Map!$B$2:$B$35,
_xludf.AGGREGATE(14,6,(ROW(Family_Map!$A$2:$A$35)-ROW(Family_Map!$A$2)+1)/(ISNUMBER(SEARCH(Family_Map!$A$2:$A$35,D295))),1)
),
"Other")</f>
        <v>Other</v>
      </c>
      <c r="F295" s="1" t="s">
        <v>711</v>
      </c>
      <c r="G295" s="1" t="e">
        <f t="shared" ca="1" si="2"/>
        <v>#NAME?</v>
      </c>
      <c r="H295" s="1" t="str">
        <f t="shared" ca="1" si="12"/>
        <v>Other</v>
      </c>
      <c r="I295" s="1" t="s">
        <v>410</v>
      </c>
      <c r="J295" s="1" t="str">
        <f t="shared" si="3"/>
        <v>8GB</v>
      </c>
      <c r="K295" s="1" t="s">
        <v>155</v>
      </c>
      <c r="L295" s="1">
        <f t="shared" si="22"/>
        <v>16</v>
      </c>
      <c r="M295" s="1" t="s">
        <v>222</v>
      </c>
      <c r="N295" s="1" t="str">
        <f t="shared" si="5"/>
        <v>1TB</v>
      </c>
      <c r="O295" s="1" t="str">
        <f t="shared" si="6"/>
        <v>1024GB</v>
      </c>
      <c r="P295" s="1" t="s">
        <v>74</v>
      </c>
      <c r="Q295" s="1" t="str">
        <f t="shared" si="7"/>
        <v>1920x1080</v>
      </c>
      <c r="R295" s="1" t="s">
        <v>75</v>
      </c>
      <c r="S295" s="1" t="str">
        <f t="shared" si="8"/>
        <v>144Hz</v>
      </c>
      <c r="T295" s="1" t="s">
        <v>101</v>
      </c>
      <c r="U295" s="1" t="str">
        <f t="shared" si="9"/>
        <v>DOS</v>
      </c>
      <c r="V295" s="1" t="s">
        <v>398</v>
      </c>
      <c r="W295" s="1" t="str">
        <f t="shared" si="10"/>
        <v>2.38 kg</v>
      </c>
      <c r="X295" s="1" t="s">
        <v>78</v>
      </c>
      <c r="Y295" s="1" t="str">
        <f t="shared" si="11"/>
        <v>1 Year</v>
      </c>
      <c r="Z295" s="4">
        <v>73700</v>
      </c>
      <c r="AA295" s="1" t="s">
        <v>79</v>
      </c>
    </row>
    <row r="296" spans="1:27" ht="15.75" customHeight="1" x14ac:dyDescent="0.35">
      <c r="A296" s="1" t="s">
        <v>151</v>
      </c>
      <c r="B296" s="1" t="str">
        <f t="shared" si="16"/>
        <v>Lenovo</v>
      </c>
      <c r="C296" s="1" t="s">
        <v>1532</v>
      </c>
      <c r="D296" s="1" t="str">
        <f t="shared" si="1"/>
        <v>LOQ 15IRH8</v>
      </c>
      <c r="E296" s="1" t="str">
        <f t="array" aca="1" ref="E296" ca="1">IFERROR(
INDEX(Family_Map!$B$2:$B$35,
_xludf.AGGREGATE(14,6,(ROW(Family_Map!$A$2:$A$35)-ROW(Family_Map!$A$2)+1)/(ISNUMBER(SEARCH(Family_Map!$A$2:$A$35,D296))),1)
),
"Other")</f>
        <v>Other</v>
      </c>
      <c r="F296" s="1" t="s">
        <v>1533</v>
      </c>
      <c r="G296" s="1" t="e">
        <f t="shared" ca="1" si="2"/>
        <v>#NAME?</v>
      </c>
      <c r="H296" s="1" t="str">
        <f t="shared" ca="1" si="12"/>
        <v>Other</v>
      </c>
      <c r="I296" s="1" t="s">
        <v>507</v>
      </c>
      <c r="J296" s="1" t="str">
        <f t="shared" si="3"/>
        <v>4GB</v>
      </c>
      <c r="K296" s="1" t="s">
        <v>1179</v>
      </c>
      <c r="L296" s="1">
        <v>16</v>
      </c>
      <c r="M296" s="1" t="s">
        <v>156</v>
      </c>
      <c r="N296" s="1" t="str">
        <f t="shared" si="5"/>
        <v>512GB</v>
      </c>
      <c r="O296" s="1" t="str">
        <f t="shared" si="6"/>
        <v>512GB</v>
      </c>
      <c r="P296" s="1" t="s">
        <v>74</v>
      </c>
      <c r="Q296" s="1" t="str">
        <f t="shared" si="7"/>
        <v>1920x1080</v>
      </c>
      <c r="R296" s="1" t="s">
        <v>75</v>
      </c>
      <c r="S296" s="1" t="str">
        <f t="shared" si="8"/>
        <v>144Hz</v>
      </c>
      <c r="T296" s="1" t="s">
        <v>101</v>
      </c>
      <c r="U296" s="1" t="str">
        <f t="shared" si="9"/>
        <v>DOS</v>
      </c>
      <c r="V296" s="1" t="s">
        <v>63</v>
      </c>
      <c r="W296" s="1" t="str">
        <f t="shared" si="10"/>
        <v>2.4 kg</v>
      </c>
      <c r="X296" s="1" t="s">
        <v>78</v>
      </c>
      <c r="Y296" s="1" t="str">
        <f t="shared" si="11"/>
        <v>1 Year</v>
      </c>
      <c r="Z296" s="4">
        <v>31799</v>
      </c>
      <c r="AA296" s="1" t="s">
        <v>166</v>
      </c>
    </row>
    <row r="297" spans="1:27" ht="15.75" customHeight="1" x14ac:dyDescent="0.35">
      <c r="A297" s="1" t="s">
        <v>151</v>
      </c>
      <c r="B297" s="1" t="str">
        <f t="shared" si="16"/>
        <v>Lenovo</v>
      </c>
      <c r="C297" s="1" t="s">
        <v>1532</v>
      </c>
      <c r="D297" s="1" t="str">
        <f t="shared" si="1"/>
        <v>LOQ 15IRH8</v>
      </c>
      <c r="E297" s="1" t="str">
        <f t="array" aca="1" ref="E297" ca="1">IFERROR(
INDEX(Family_Map!$B$2:$B$35,
_xludf.AGGREGATE(14,6,(ROW(Family_Map!$A$2:$A$35)-ROW(Family_Map!$A$2)+1)/(ISNUMBER(SEARCH(Family_Map!$A$2:$A$35,D297))),1)
),
"Other")</f>
        <v>Other</v>
      </c>
      <c r="F297" s="1" t="s">
        <v>1533</v>
      </c>
      <c r="G297" s="1" t="e">
        <f t="shared" ca="1" si="2"/>
        <v>#NAME?</v>
      </c>
      <c r="H297" s="1" t="str">
        <f t="shared" ca="1" si="12"/>
        <v>Other</v>
      </c>
      <c r="I297" s="1" t="s">
        <v>507</v>
      </c>
      <c r="J297" s="1" t="str">
        <f t="shared" si="3"/>
        <v>4GB</v>
      </c>
      <c r="K297" s="1" t="s">
        <v>1433</v>
      </c>
      <c r="L297" s="1">
        <v>8</v>
      </c>
      <c r="M297" s="1" t="s">
        <v>156</v>
      </c>
      <c r="N297" s="1" t="str">
        <f t="shared" si="5"/>
        <v>512GB</v>
      </c>
      <c r="O297" s="1" t="str">
        <f t="shared" si="6"/>
        <v>512GB</v>
      </c>
      <c r="P297" s="1" t="s">
        <v>74</v>
      </c>
      <c r="Q297" s="1" t="str">
        <f t="shared" si="7"/>
        <v>1920x1080</v>
      </c>
      <c r="R297" s="1" t="s">
        <v>75</v>
      </c>
      <c r="S297" s="1" t="str">
        <f t="shared" si="8"/>
        <v>144Hz</v>
      </c>
      <c r="T297" s="1" t="s">
        <v>101</v>
      </c>
      <c r="U297" s="1" t="str">
        <f t="shared" si="9"/>
        <v>DOS</v>
      </c>
      <c r="V297" s="1" t="s">
        <v>63</v>
      </c>
      <c r="W297" s="1" t="str">
        <f t="shared" si="10"/>
        <v>2.4 kg</v>
      </c>
      <c r="X297" s="1" t="s">
        <v>78</v>
      </c>
      <c r="Y297" s="1" t="str">
        <f t="shared" si="11"/>
        <v>1 Year</v>
      </c>
      <c r="Z297" s="4">
        <v>31777</v>
      </c>
      <c r="AA297" s="1" t="s">
        <v>166</v>
      </c>
    </row>
    <row r="298" spans="1:27" ht="15.75" customHeight="1" x14ac:dyDescent="0.35">
      <c r="A298" s="1" t="s">
        <v>81</v>
      </c>
      <c r="B298" s="1" t="str">
        <f t="shared" si="16"/>
        <v>Dell</v>
      </c>
      <c r="C298" s="1" t="s">
        <v>414</v>
      </c>
      <c r="D298" s="1" t="str">
        <f t="shared" si="1"/>
        <v>G15 5530</v>
      </c>
      <c r="E298" s="1" t="str">
        <f t="array" aca="1" ref="E298" ca="1">IFERROR(
INDEX(Family_Map!$B$2:$B$35,
_xludf.AGGREGATE(14,6,(ROW(Family_Map!$A$2:$A$35)-ROW(Family_Map!$A$2)+1)/(ISNUMBER(SEARCH(Family_Map!$A$2:$A$35,D298))),1)
),
"Other")</f>
        <v>Other</v>
      </c>
      <c r="F298" s="1" t="s">
        <v>711</v>
      </c>
      <c r="G298" s="1" t="e">
        <f t="shared" ca="1" si="2"/>
        <v>#NAME?</v>
      </c>
      <c r="H298" s="1" t="str">
        <f t="shared" ca="1" si="12"/>
        <v>Other</v>
      </c>
      <c r="I298" s="1" t="s">
        <v>70</v>
      </c>
      <c r="J298" s="1" t="str">
        <f t="shared" si="3"/>
        <v>6GB</v>
      </c>
      <c r="K298" s="1" t="s">
        <v>1686</v>
      </c>
      <c r="L298" s="1">
        <f t="shared" ref="L298:L305" si="23">IFERROR(
VALUE(SUBSTITUTE(SUBSTITUTE(LEFT(UPPER(TRIM(K298)),FIND("GB",UPPER(K298)&amp;"GB")+1),"GB","")," ","")),
IFERROR(
VALUE(SUBSTITUTE(SUBSTITUTE(MID(UPPER(K298),FIND("GB",UPPER(K298)&amp;"GB")-3,3),"GB","")," ",""))
*
IF(
OR(
ISNUMBER(SEARCH("2X",UPPER(K298))),
ISNUMBER(SEARCH("X 2",UPPER(K298))),
ISNUMBER(SEARCH("*2",UPPER(K298))),
ISNUMBER(SEARCH("2*",UPPER(K298))),
ISNUMBER(SEARCH("(2 X",UPPER(K298)))
),
2,1),
"")
)</f>
        <v>8</v>
      </c>
      <c r="M298" s="1" t="s">
        <v>322</v>
      </c>
      <c r="N298" s="1" t="str">
        <f t="shared" si="5"/>
        <v>1TB</v>
      </c>
      <c r="O298" s="1" t="str">
        <f t="shared" si="6"/>
        <v>1024GB</v>
      </c>
      <c r="P298" s="1" t="s">
        <v>616</v>
      </c>
      <c r="Q298" s="1" t="str">
        <f t="shared" si="7"/>
        <v>1920x1080</v>
      </c>
      <c r="R298" s="1" t="s">
        <v>39</v>
      </c>
      <c r="S298" s="1" t="str">
        <f t="shared" si="8"/>
        <v>120Hz</v>
      </c>
      <c r="T298" s="1" t="s">
        <v>90</v>
      </c>
      <c r="U298" s="1" t="str">
        <f t="shared" si="9"/>
        <v>Windows 11 Home</v>
      </c>
      <c r="V298" s="1" t="s">
        <v>423</v>
      </c>
      <c r="W298" s="1" t="str">
        <f t="shared" si="10"/>
        <v>2.81 kg</v>
      </c>
      <c r="X298" s="1" t="s">
        <v>129</v>
      </c>
      <c r="Y298" s="1" t="str">
        <f t="shared" si="11"/>
        <v>1 Year</v>
      </c>
      <c r="Z298" s="4">
        <v>58000</v>
      </c>
      <c r="AA298" s="1" t="s">
        <v>79</v>
      </c>
    </row>
    <row r="299" spans="1:27" ht="15.75" customHeight="1" x14ac:dyDescent="0.35">
      <c r="A299" s="1" t="s">
        <v>30</v>
      </c>
      <c r="B299" s="1" t="str">
        <f t="shared" si="16"/>
        <v>MSI</v>
      </c>
      <c r="C299" s="1" t="s">
        <v>1690</v>
      </c>
      <c r="D299" s="1" t="str">
        <f t="shared" si="1"/>
        <v>GF63 Thin 11UC</v>
      </c>
      <c r="E299" s="1" t="str">
        <f t="array" aca="1" ref="E299" ca="1">IFERROR(
INDEX(Family_Map!$B$2:$B$35,
_xludf.AGGREGATE(14,6,(ROW(Family_Map!$A$2:$A$35)-ROW(Family_Map!$A$2)+1)/(ISNUMBER(SEARCH(Family_Map!$A$2:$A$35,D299))),1)
),
"Other")</f>
        <v>Other</v>
      </c>
      <c r="F299" s="1" t="s">
        <v>1613</v>
      </c>
      <c r="G299" s="1" t="e">
        <f t="shared" ca="1" si="2"/>
        <v>#NAME?</v>
      </c>
      <c r="H299" s="1" t="str">
        <f t="shared" ca="1" si="12"/>
        <v>Other</v>
      </c>
      <c r="I299" s="1" t="s">
        <v>507</v>
      </c>
      <c r="J299" s="1" t="str">
        <f t="shared" si="3"/>
        <v>4GB</v>
      </c>
      <c r="K299" s="1" t="s">
        <v>1691</v>
      </c>
      <c r="L299" s="1">
        <f t="shared" si="23"/>
        <v>16</v>
      </c>
      <c r="M299" s="1" t="s">
        <v>723</v>
      </c>
      <c r="N299" s="1" t="str">
        <f t="shared" si="5"/>
        <v>512GB</v>
      </c>
      <c r="O299" s="1" t="str">
        <f t="shared" si="6"/>
        <v>512GB</v>
      </c>
      <c r="P299" s="1" t="s">
        <v>616</v>
      </c>
      <c r="Q299" s="1" t="str">
        <f t="shared" si="7"/>
        <v>1920x1080</v>
      </c>
      <c r="R299" s="1" t="s">
        <v>75</v>
      </c>
      <c r="S299" s="1" t="str">
        <f t="shared" si="8"/>
        <v>144Hz</v>
      </c>
      <c r="T299" s="1" t="s">
        <v>90</v>
      </c>
      <c r="U299" s="1" t="str">
        <f t="shared" si="9"/>
        <v>Windows 11 Home</v>
      </c>
      <c r="V299" s="1" t="s">
        <v>376</v>
      </c>
      <c r="W299" s="1" t="str">
        <f t="shared" si="10"/>
        <v>1.86 kg</v>
      </c>
      <c r="X299" s="1" t="s">
        <v>78</v>
      </c>
      <c r="Y299" s="1" t="str">
        <f t="shared" si="11"/>
        <v>1 Year</v>
      </c>
      <c r="Z299" s="4">
        <v>45000</v>
      </c>
      <c r="AA299" s="1" t="s">
        <v>1082</v>
      </c>
    </row>
    <row r="300" spans="1:27" ht="15.75" customHeight="1" x14ac:dyDescent="0.35">
      <c r="A300" s="1" t="s">
        <v>234</v>
      </c>
      <c r="B300" s="1" t="str">
        <f t="shared" si="16"/>
        <v>ASUS</v>
      </c>
      <c r="C300" s="1" t="s">
        <v>1696</v>
      </c>
      <c r="D300" s="1" t="str">
        <f t="shared" si="1"/>
        <v>TUF Gaming F15 FX506HE-HN393W</v>
      </c>
      <c r="E300" s="1" t="str">
        <f t="array" aca="1" ref="E300" ca="1">IFERROR(
INDEX(Family_Map!$B$2:$B$35,
_xludf.AGGREGATE(14,6,(ROW(Family_Map!$A$2:$A$35)-ROW(Family_Map!$A$2)+1)/(ISNUMBER(SEARCH(Family_Map!$A$2:$A$35,D300))),1)
),
"Other")</f>
        <v>Other</v>
      </c>
      <c r="F300" s="1" t="s">
        <v>1075</v>
      </c>
      <c r="G300" s="1" t="e">
        <f t="shared" ca="1" si="2"/>
        <v>#NAME?</v>
      </c>
      <c r="H300" s="1" t="str">
        <f t="shared" ca="1" si="12"/>
        <v>Other</v>
      </c>
      <c r="I300" s="1" t="s">
        <v>507</v>
      </c>
      <c r="J300" s="1" t="str">
        <f t="shared" si="3"/>
        <v>4GB</v>
      </c>
      <c r="K300" s="1" t="s">
        <v>1698</v>
      </c>
      <c r="L300" s="1">
        <f t="shared" si="23"/>
        <v>16</v>
      </c>
      <c r="M300" s="1" t="s">
        <v>1699</v>
      </c>
      <c r="N300" s="1" t="str">
        <f t="shared" si="5"/>
        <v>512GB</v>
      </c>
      <c r="O300" s="1" t="str">
        <f t="shared" si="6"/>
        <v>512GB</v>
      </c>
      <c r="P300" s="1" t="s">
        <v>616</v>
      </c>
      <c r="Q300" s="1" t="str">
        <f t="shared" si="7"/>
        <v>1920x1080</v>
      </c>
      <c r="R300" s="1" t="s">
        <v>75</v>
      </c>
      <c r="S300" s="1" t="str">
        <f t="shared" si="8"/>
        <v>144Hz</v>
      </c>
      <c r="T300" s="1" t="s">
        <v>90</v>
      </c>
      <c r="U300" s="1" t="str">
        <f t="shared" si="9"/>
        <v>Windows 11 Home</v>
      </c>
      <c r="V300" s="1" t="s">
        <v>1400</v>
      </c>
      <c r="W300" s="1" t="str">
        <f t="shared" si="10"/>
        <v>2.3 kg</v>
      </c>
      <c r="X300" s="1" t="s">
        <v>165</v>
      </c>
      <c r="Y300" s="1" t="str">
        <f t="shared" si="11"/>
        <v>2 Years</v>
      </c>
      <c r="Z300" s="4">
        <v>42800</v>
      </c>
      <c r="AA300" s="1" t="s">
        <v>1082</v>
      </c>
    </row>
    <row r="301" spans="1:27" ht="15.75" customHeight="1" x14ac:dyDescent="0.35">
      <c r="A301" s="1" t="s">
        <v>112</v>
      </c>
      <c r="B301" s="1" t="str">
        <f t="shared" si="16"/>
        <v>HP</v>
      </c>
      <c r="C301" s="1" t="s">
        <v>1705</v>
      </c>
      <c r="D301" s="1" t="str">
        <f t="shared" si="1"/>
        <v>Victus 15-FB0036NE</v>
      </c>
      <c r="E301" s="1" t="str">
        <f t="array" aca="1" ref="E301" ca="1">IFERROR(
INDEX(Family_Map!$B$2:$B$35,
_xludf.AGGREGATE(14,6,(ROW(Family_Map!$A$2:$A$35)-ROW(Family_Map!$A$2)+1)/(ISNUMBER(SEARCH(Family_Map!$A$2:$A$35,D301))),1)
),
"Other")</f>
        <v>Other</v>
      </c>
      <c r="F301" s="1" t="s">
        <v>1649</v>
      </c>
      <c r="G301" s="1" t="e">
        <f t="shared" ca="1" si="2"/>
        <v>#NAME?</v>
      </c>
      <c r="H301" s="1" t="str">
        <f t="shared" ca="1" si="12"/>
        <v>Other</v>
      </c>
      <c r="I301" s="1" t="s">
        <v>507</v>
      </c>
      <c r="J301" s="1" t="str">
        <f t="shared" si="3"/>
        <v>4GB</v>
      </c>
      <c r="K301" s="1" t="s">
        <v>1707</v>
      </c>
      <c r="L301" s="1">
        <f t="shared" si="23"/>
        <v>8</v>
      </c>
      <c r="M301" s="1" t="s">
        <v>1624</v>
      </c>
      <c r="N301" s="1" t="str">
        <f t="shared" si="5"/>
        <v>1 TB</v>
      </c>
      <c r="O301" s="1" t="str">
        <f t="shared" si="6"/>
        <v>1024GB</v>
      </c>
      <c r="P301" s="1" t="s">
        <v>616</v>
      </c>
      <c r="Q301" s="1" t="str">
        <f t="shared" si="7"/>
        <v>1920x1080</v>
      </c>
      <c r="R301" s="1" t="s">
        <v>75</v>
      </c>
      <c r="S301" s="1" t="str">
        <f t="shared" si="8"/>
        <v>144Hz</v>
      </c>
      <c r="T301" s="1" t="s">
        <v>90</v>
      </c>
      <c r="U301" s="1" t="str">
        <f t="shared" si="9"/>
        <v>Windows 11 Home</v>
      </c>
      <c r="V301" s="1" t="s">
        <v>127</v>
      </c>
      <c r="W301" s="1" t="str">
        <f t="shared" si="10"/>
        <v>2.29 kg</v>
      </c>
      <c r="X301" s="1" t="s">
        <v>78</v>
      </c>
      <c r="Y301" s="1" t="str">
        <f t="shared" si="11"/>
        <v>1 Year</v>
      </c>
      <c r="Z301" s="4">
        <v>39049</v>
      </c>
      <c r="AA301" s="1" t="s">
        <v>5735</v>
      </c>
    </row>
    <row r="302" spans="1:27" ht="15.75" customHeight="1" x14ac:dyDescent="0.35">
      <c r="A302" s="1" t="s">
        <v>112</v>
      </c>
      <c r="B302" s="1" t="str">
        <f t="shared" si="16"/>
        <v>HP</v>
      </c>
      <c r="C302" s="1" t="s">
        <v>1710</v>
      </c>
      <c r="D302" s="1" t="str">
        <f t="shared" si="1"/>
        <v>Victus Gaming Laptop 15-fb0035ne</v>
      </c>
      <c r="E302" s="1" t="str">
        <f t="array" aca="1" ref="E302" ca="1">IFERROR(
INDEX(Family_Map!$B$2:$B$35,
_xludf.AGGREGATE(14,6,(ROW(Family_Map!$A$2:$A$35)-ROW(Family_Map!$A$2)+1)/(ISNUMBER(SEARCH(Family_Map!$A$2:$A$35,D302))),1)
),
"Other")</f>
        <v>Other</v>
      </c>
      <c r="F302" s="1" t="s">
        <v>1711</v>
      </c>
      <c r="G302" s="1" t="e">
        <f t="shared" ca="1" si="2"/>
        <v>#NAME?</v>
      </c>
      <c r="H302" s="1" t="str">
        <f t="shared" ca="1" si="12"/>
        <v>Other</v>
      </c>
      <c r="I302" s="1" t="s">
        <v>439</v>
      </c>
      <c r="J302" s="1" t="str">
        <f t="shared" si="3"/>
        <v>4 GB</v>
      </c>
      <c r="K302" s="1" t="s">
        <v>1462</v>
      </c>
      <c r="L302" s="1">
        <f t="shared" si="23"/>
        <v>16</v>
      </c>
      <c r="M302" s="1" t="s">
        <v>1624</v>
      </c>
      <c r="N302" s="1" t="str">
        <f t="shared" si="5"/>
        <v>1 TB</v>
      </c>
      <c r="O302" s="1" t="str">
        <f t="shared" si="6"/>
        <v>1024GB</v>
      </c>
      <c r="P302" s="1" t="s">
        <v>120</v>
      </c>
      <c r="Q302" s="1" t="str">
        <f t="shared" si="7"/>
        <v>1920x1080</v>
      </c>
      <c r="R302" s="1" t="s">
        <v>75</v>
      </c>
      <c r="S302" s="1" t="str">
        <f t="shared" si="8"/>
        <v>144Hz</v>
      </c>
      <c r="T302" s="1" t="s">
        <v>90</v>
      </c>
      <c r="U302" s="1" t="str">
        <f t="shared" si="9"/>
        <v>Windows 11 Home</v>
      </c>
      <c r="V302" s="1" t="s">
        <v>127</v>
      </c>
      <c r="W302" s="1" t="str">
        <f t="shared" si="10"/>
        <v>2.29 kg</v>
      </c>
      <c r="X302" s="1" t="s">
        <v>78</v>
      </c>
      <c r="Y302" s="1" t="str">
        <f t="shared" si="11"/>
        <v>1 Year</v>
      </c>
      <c r="Z302" s="4">
        <v>33499</v>
      </c>
      <c r="AA302" s="1" t="s">
        <v>5735</v>
      </c>
    </row>
    <row r="303" spans="1:27" ht="15.75" customHeight="1" x14ac:dyDescent="0.35">
      <c r="A303" s="1" t="s">
        <v>151</v>
      </c>
      <c r="B303" s="1" t="str">
        <f t="shared" si="16"/>
        <v>Lenovo</v>
      </c>
      <c r="C303" s="1" t="s">
        <v>1714</v>
      </c>
      <c r="D303" s="1" t="str">
        <f t="shared" si="1"/>
        <v>Legion 5 15IAH7</v>
      </c>
      <c r="E303" s="1" t="str">
        <f t="array" aca="1" ref="E303" ca="1">IFERROR(
INDEX(Family_Map!$B$2:$B$35,
_xludf.AGGREGATE(14,6,(ROW(Family_Map!$A$2:$A$35)-ROW(Family_Map!$A$2)+1)/(ISNUMBER(SEARCH(Family_Map!$A$2:$A$35,D303))),1)
),
"Other")</f>
        <v>Other</v>
      </c>
      <c r="F303" s="1" t="s">
        <v>1118</v>
      </c>
      <c r="G303" s="1" t="e">
        <f t="shared" ca="1" si="2"/>
        <v>#NAME?</v>
      </c>
      <c r="H303" s="1" t="str">
        <f t="shared" ca="1" si="12"/>
        <v>Other</v>
      </c>
      <c r="I303" s="1" t="s">
        <v>507</v>
      </c>
      <c r="J303" s="1" t="str">
        <f t="shared" si="3"/>
        <v>4GB</v>
      </c>
      <c r="K303" s="1" t="s">
        <v>1188</v>
      </c>
      <c r="L303" s="1">
        <f t="shared" si="23"/>
        <v>16</v>
      </c>
      <c r="M303" s="1" t="s">
        <v>796</v>
      </c>
      <c r="N303" s="1" t="str">
        <f t="shared" si="5"/>
        <v>1TB</v>
      </c>
      <c r="O303" s="1" t="str">
        <f t="shared" si="6"/>
        <v>1024GB</v>
      </c>
      <c r="P303" s="1" t="s">
        <v>1493</v>
      </c>
      <c r="Q303" s="1" t="str">
        <f t="shared" si="7"/>
        <v>2560x1440</v>
      </c>
      <c r="R303" s="1" t="s">
        <v>57</v>
      </c>
      <c r="S303" s="1" t="str">
        <f t="shared" si="8"/>
        <v>165Hz</v>
      </c>
      <c r="T303" s="1" t="s">
        <v>101</v>
      </c>
      <c r="U303" s="1" t="str">
        <f t="shared" si="9"/>
        <v>DOS</v>
      </c>
      <c r="V303" s="1" t="s">
        <v>789</v>
      </c>
      <c r="W303" s="1" t="str">
        <f t="shared" si="10"/>
        <v>2.35 kg</v>
      </c>
      <c r="X303" s="1" t="s">
        <v>78</v>
      </c>
      <c r="Y303" s="1" t="str">
        <f t="shared" si="11"/>
        <v>1 Year</v>
      </c>
      <c r="Z303" s="4">
        <v>49000</v>
      </c>
      <c r="AA303" s="1" t="s">
        <v>166</v>
      </c>
    </row>
    <row r="304" spans="1:27" ht="15.75" customHeight="1" x14ac:dyDescent="0.35">
      <c r="A304" s="1" t="s">
        <v>81</v>
      </c>
      <c r="B304" s="1" t="str">
        <f t="shared" si="16"/>
        <v>Dell</v>
      </c>
      <c r="C304" s="1" t="s">
        <v>414</v>
      </c>
      <c r="D304" s="1" t="str">
        <f t="shared" si="1"/>
        <v>G15 5530</v>
      </c>
      <c r="E304" s="1" t="str">
        <f t="array" aca="1" ref="E304" ca="1">IFERROR(
INDEX(Family_Map!$B$2:$B$35,
_xludf.AGGREGATE(14,6,(ROW(Family_Map!$A$2:$A$35)-ROW(Family_Map!$A$2)+1)/(ISNUMBER(SEARCH(Family_Map!$A$2:$A$35,D304))),1)
),
"Other")</f>
        <v>Other</v>
      </c>
      <c r="F304" s="1" t="s">
        <v>711</v>
      </c>
      <c r="G304" s="1" t="e">
        <f t="shared" ca="1" si="2"/>
        <v>#NAME?</v>
      </c>
      <c r="H304" s="1" t="str">
        <f t="shared" ca="1" si="12"/>
        <v>Other</v>
      </c>
      <c r="I304" s="1" t="s">
        <v>70</v>
      </c>
      <c r="J304" s="1" t="str">
        <f t="shared" si="3"/>
        <v>6GB</v>
      </c>
      <c r="K304" s="1" t="s">
        <v>491</v>
      </c>
      <c r="L304" s="1">
        <f t="shared" si="23"/>
        <v>16</v>
      </c>
      <c r="M304" s="1" t="s">
        <v>1721</v>
      </c>
      <c r="N304" s="1" t="str">
        <f t="shared" si="5"/>
        <v>1 TB</v>
      </c>
      <c r="O304" s="1" t="str">
        <f t="shared" si="6"/>
        <v>1024GB</v>
      </c>
      <c r="P304" s="1" t="s">
        <v>616</v>
      </c>
      <c r="Q304" s="1" t="str">
        <f t="shared" si="7"/>
        <v>1920x1080</v>
      </c>
      <c r="R304" s="1" t="s">
        <v>39</v>
      </c>
      <c r="S304" s="1" t="str">
        <f t="shared" si="8"/>
        <v>120Hz</v>
      </c>
      <c r="T304" s="1" t="s">
        <v>90</v>
      </c>
      <c r="U304" s="1" t="str">
        <f t="shared" si="9"/>
        <v>Windows 11 Home</v>
      </c>
      <c r="V304" s="1" t="s">
        <v>423</v>
      </c>
      <c r="W304" s="1" t="str">
        <f t="shared" si="10"/>
        <v>2.81 kg</v>
      </c>
      <c r="X304" s="1" t="s">
        <v>129</v>
      </c>
      <c r="Y304" s="1" t="str">
        <f t="shared" si="11"/>
        <v>1 Year</v>
      </c>
      <c r="Z304" s="4">
        <v>59000</v>
      </c>
      <c r="AA304" s="1" t="s">
        <v>79</v>
      </c>
    </row>
    <row r="305" spans="1:27" ht="15.75" customHeight="1" x14ac:dyDescent="0.35">
      <c r="A305" s="1" t="s">
        <v>81</v>
      </c>
      <c r="B305" s="1" t="str">
        <f t="shared" si="16"/>
        <v>Dell</v>
      </c>
      <c r="C305" s="1" t="s">
        <v>1656</v>
      </c>
      <c r="D305" s="1" t="str">
        <f t="shared" si="1"/>
        <v>G15 5520</v>
      </c>
      <c r="E305" s="1" t="str">
        <f t="array" aca="1" ref="E305" ca="1">IFERROR(
INDEX(Family_Map!$B$2:$B$35,
_xludf.AGGREGATE(14,6,(ROW(Family_Map!$A$2:$A$35)-ROW(Family_Map!$A$2)+1)/(ISNUMBER(SEARCH(Family_Map!$A$2:$A$35,D305))),1)
),
"Other")</f>
        <v>Other</v>
      </c>
      <c r="F305" s="1" t="s">
        <v>1118</v>
      </c>
      <c r="G305" s="1" t="e">
        <f t="shared" ca="1" si="2"/>
        <v>#NAME?</v>
      </c>
      <c r="H305" s="1" t="str">
        <f t="shared" ca="1" si="12"/>
        <v>Other</v>
      </c>
      <c r="I305" s="1" t="s">
        <v>1584</v>
      </c>
      <c r="J305" s="1" t="str">
        <f t="shared" si="3"/>
        <v>6GB</v>
      </c>
      <c r="K305" s="1" t="s">
        <v>1657</v>
      </c>
      <c r="L305" s="1">
        <f t="shared" si="23"/>
        <v>16</v>
      </c>
      <c r="M305" s="1" t="s">
        <v>322</v>
      </c>
      <c r="N305" s="1" t="str">
        <f t="shared" si="5"/>
        <v>1TB</v>
      </c>
      <c r="O305" s="1" t="str">
        <f t="shared" si="6"/>
        <v>1024GB</v>
      </c>
      <c r="P305" s="1" t="s">
        <v>616</v>
      </c>
      <c r="Q305" s="1" t="str">
        <f t="shared" si="7"/>
        <v>1920x1080</v>
      </c>
      <c r="R305" s="1" t="s">
        <v>57</v>
      </c>
      <c r="S305" s="1" t="str">
        <f t="shared" si="8"/>
        <v>165Hz</v>
      </c>
      <c r="T305" s="1" t="s">
        <v>1722</v>
      </c>
      <c r="U305" s="1" t="str">
        <f t="shared" si="9"/>
        <v>Windows 10 Home</v>
      </c>
      <c r="V305" s="1" t="s">
        <v>1662</v>
      </c>
      <c r="W305" s="1" t="str">
        <f t="shared" si="10"/>
        <v>2.67 kg</v>
      </c>
      <c r="X305" s="1" t="s">
        <v>129</v>
      </c>
      <c r="Y305" s="1" t="str">
        <f t="shared" si="11"/>
        <v>1 Year</v>
      </c>
      <c r="Z305" s="4">
        <v>52777</v>
      </c>
      <c r="AA305" s="1" t="s">
        <v>166</v>
      </c>
    </row>
    <row r="306" spans="1:27" ht="15.75" customHeight="1" x14ac:dyDescent="0.35">
      <c r="A306" s="1" t="s">
        <v>151</v>
      </c>
      <c r="B306" s="1" t="str">
        <f t="shared" si="16"/>
        <v>Lenovo</v>
      </c>
      <c r="C306" s="1" t="s">
        <v>1532</v>
      </c>
      <c r="D306" s="1" t="str">
        <f t="shared" si="1"/>
        <v>LOQ 15IRH8</v>
      </c>
      <c r="E306" s="1" t="str">
        <f t="array" aca="1" ref="E306" ca="1">IFERROR(
INDEX(Family_Map!$B$2:$B$35,
_xludf.AGGREGATE(14,6,(ROW(Family_Map!$A$2:$A$35)-ROW(Family_Map!$A$2)+1)/(ISNUMBER(SEARCH(Family_Map!$A$2:$A$35,D306))),1)
),
"Other")</f>
        <v>Other</v>
      </c>
      <c r="F306" s="1" t="s">
        <v>68</v>
      </c>
      <c r="G306" s="1" t="e">
        <f t="shared" ca="1" si="2"/>
        <v>#NAME?</v>
      </c>
      <c r="H306" s="1" t="str">
        <f t="shared" ca="1" si="12"/>
        <v>Other</v>
      </c>
      <c r="I306" s="1" t="s">
        <v>70</v>
      </c>
      <c r="J306" s="1" t="str">
        <f t="shared" si="3"/>
        <v>6GB</v>
      </c>
      <c r="K306" s="1" t="s">
        <v>1723</v>
      </c>
      <c r="L306" s="1">
        <v>8</v>
      </c>
      <c r="M306" s="1" t="s">
        <v>222</v>
      </c>
      <c r="N306" s="1" t="str">
        <f t="shared" si="5"/>
        <v>1TB</v>
      </c>
      <c r="O306" s="1" t="str">
        <f t="shared" si="6"/>
        <v>1024GB</v>
      </c>
      <c r="P306" s="1" t="s">
        <v>616</v>
      </c>
      <c r="Q306" s="1" t="str">
        <f t="shared" si="7"/>
        <v>1920x1080</v>
      </c>
      <c r="R306" s="1" t="s">
        <v>75</v>
      </c>
      <c r="S306" s="1" t="str">
        <f t="shared" si="8"/>
        <v>144Hz</v>
      </c>
      <c r="T306" s="1" t="s">
        <v>40</v>
      </c>
      <c r="U306" s="1" t="str">
        <f t="shared" si="9"/>
        <v>Windows 11 Home</v>
      </c>
      <c r="V306" s="1" t="s">
        <v>63</v>
      </c>
      <c r="W306" s="1" t="str">
        <f t="shared" si="10"/>
        <v>2.4 kg</v>
      </c>
      <c r="X306" s="1" t="s">
        <v>78</v>
      </c>
      <c r="Y306" s="1" t="str">
        <f t="shared" si="11"/>
        <v>1 Year</v>
      </c>
      <c r="Z306" s="4">
        <v>37999</v>
      </c>
      <c r="AA306" s="1" t="s">
        <v>79</v>
      </c>
    </row>
    <row r="307" spans="1:27" ht="15.75" customHeight="1" x14ac:dyDescent="0.35">
      <c r="A307" s="1" t="s">
        <v>151</v>
      </c>
      <c r="B307" s="1" t="str">
        <f t="shared" si="16"/>
        <v>Lenovo</v>
      </c>
      <c r="C307" s="1" t="s">
        <v>1509</v>
      </c>
      <c r="D307" s="1" t="str">
        <f t="shared" si="1"/>
        <v>LOQ 15APH8</v>
      </c>
      <c r="E307" s="1" t="str">
        <f t="array" aca="1" ref="E307" ca="1">IFERROR(
INDEX(Family_Map!$B$2:$B$35,
_xludf.AGGREGATE(14,6,(ROW(Family_Map!$A$2:$A$35)-ROW(Family_Map!$A$2)+1)/(ISNUMBER(SEARCH(Family_Map!$A$2:$A$35,D307))),1)
),
"Other")</f>
        <v>Other</v>
      </c>
      <c r="F307" s="1" t="s">
        <v>1510</v>
      </c>
      <c r="G307" s="1" t="e">
        <f t="shared" ca="1" si="2"/>
        <v>#NAME?</v>
      </c>
      <c r="H307" s="1" t="str">
        <f t="shared" ca="1" si="12"/>
        <v>Other</v>
      </c>
      <c r="I307" s="1" t="s">
        <v>70</v>
      </c>
      <c r="J307" s="1" t="str">
        <f t="shared" si="3"/>
        <v>6GB</v>
      </c>
      <c r="K307" s="1" t="s">
        <v>1725</v>
      </c>
      <c r="L307" s="1">
        <f t="shared" ref="L307:L313" si="24">IFERROR(
VALUE(SUBSTITUTE(SUBSTITUTE(LEFT(UPPER(TRIM(K307)),FIND("GB",UPPER(K307)&amp;"GB")+1),"GB","")," ","")),
IFERROR(
VALUE(SUBSTITUTE(SUBSTITUTE(MID(UPPER(K307),FIND("GB",UPPER(K307)&amp;"GB")-3,3),"GB","")," ",""))
*
IF(
OR(
ISNUMBER(SEARCH("2X",UPPER(K307))),
ISNUMBER(SEARCH("X 2",UPPER(K307))),
ISNUMBER(SEARCH("*2",UPPER(K307))),
ISNUMBER(SEARCH("2*",UPPER(K307))),
ISNUMBER(SEARCH("(2 X",UPPER(K307)))
),
2,1),
"")
)</f>
        <v>16</v>
      </c>
      <c r="M307" s="1" t="s">
        <v>156</v>
      </c>
      <c r="N307" s="1" t="str">
        <f t="shared" si="5"/>
        <v>512GB</v>
      </c>
      <c r="O307" s="1" t="str">
        <f t="shared" si="6"/>
        <v>512GB</v>
      </c>
      <c r="P307" s="1" t="s">
        <v>120</v>
      </c>
      <c r="Q307" s="1" t="str">
        <f t="shared" si="7"/>
        <v>1920x1080</v>
      </c>
      <c r="R307" s="1" t="s">
        <v>75</v>
      </c>
      <c r="S307" s="1" t="str">
        <f t="shared" si="8"/>
        <v>144Hz</v>
      </c>
      <c r="T307" s="1" t="s">
        <v>201</v>
      </c>
      <c r="U307" s="1" t="str">
        <f t="shared" si="9"/>
        <v>Windows 11 Home</v>
      </c>
      <c r="V307" s="1" t="s">
        <v>63</v>
      </c>
      <c r="W307" s="1" t="str">
        <f t="shared" si="10"/>
        <v>2.4 kg</v>
      </c>
      <c r="X307" s="1" t="s">
        <v>78</v>
      </c>
      <c r="Y307" s="1" t="str">
        <f t="shared" si="11"/>
        <v>1 Year</v>
      </c>
      <c r="Z307" s="4">
        <v>49999</v>
      </c>
      <c r="AA307" s="1" t="s">
        <v>5735</v>
      </c>
    </row>
    <row r="308" spans="1:27" ht="15.75" customHeight="1" x14ac:dyDescent="0.35">
      <c r="A308" s="1" t="s">
        <v>151</v>
      </c>
      <c r="B308" s="1" t="str">
        <f t="shared" si="16"/>
        <v>Lenovo</v>
      </c>
      <c r="C308" s="1" t="s">
        <v>1730</v>
      </c>
      <c r="D308" s="1" t="str">
        <f t="shared" si="1"/>
        <v>Legion 7 16ITHg6</v>
      </c>
      <c r="E308" s="1" t="str">
        <f t="array" aca="1" ref="E308" ca="1">IFERROR(
INDEX(Family_Map!$B$2:$B$35,
_xludf.AGGREGATE(14,6,(ROW(Family_Map!$A$2:$A$35)-ROW(Family_Map!$A$2)+1)/(ISNUMBER(SEARCH(Family_Map!$A$2:$A$35,D308))),1)
),
"Other")</f>
        <v>Other</v>
      </c>
      <c r="F308" s="1" t="s">
        <v>1731</v>
      </c>
      <c r="G308" s="1" t="e">
        <f t="shared" ca="1" si="2"/>
        <v>#NAME?</v>
      </c>
      <c r="H308" s="1" t="str">
        <f t="shared" ca="1" si="12"/>
        <v>Other</v>
      </c>
      <c r="I308" s="1" t="s">
        <v>552</v>
      </c>
      <c r="J308" s="1" t="str">
        <f t="shared" si="3"/>
        <v>16GB</v>
      </c>
      <c r="K308" s="1" t="s">
        <v>1733</v>
      </c>
      <c r="L308" s="1">
        <f t="shared" si="24"/>
        <v>32</v>
      </c>
      <c r="M308" s="1" t="s">
        <v>254</v>
      </c>
      <c r="N308" s="1" t="str">
        <f t="shared" si="5"/>
        <v>2x 1TB</v>
      </c>
      <c r="O308" s="1" t="str">
        <f t="shared" si="6"/>
        <v/>
      </c>
      <c r="P308" s="1" t="s">
        <v>89</v>
      </c>
      <c r="Q308" s="1" t="str">
        <f t="shared" si="7"/>
        <v>2560x1600</v>
      </c>
      <c r="R308" s="1" t="s">
        <v>57</v>
      </c>
      <c r="S308" s="1" t="str">
        <f t="shared" si="8"/>
        <v>165Hz</v>
      </c>
      <c r="T308" s="1" t="s">
        <v>1735</v>
      </c>
      <c r="U308" s="1" t="str">
        <f t="shared" si="9"/>
        <v>Windows 11 Home</v>
      </c>
      <c r="V308" s="1" t="s">
        <v>944</v>
      </c>
      <c r="W308" s="1" t="str">
        <f t="shared" si="10"/>
        <v>2.5 kg</v>
      </c>
      <c r="X308" s="1" t="s">
        <v>78</v>
      </c>
      <c r="Y308" s="1" t="str">
        <f t="shared" si="11"/>
        <v>1 Year</v>
      </c>
      <c r="Z308" s="4">
        <v>106000</v>
      </c>
      <c r="AA308" s="1" t="s">
        <v>1082</v>
      </c>
    </row>
    <row r="309" spans="1:27" ht="15.75" customHeight="1" x14ac:dyDescent="0.35">
      <c r="A309" s="1" t="s">
        <v>112</v>
      </c>
      <c r="B309" s="1" t="str">
        <f t="shared" si="16"/>
        <v>HP</v>
      </c>
      <c r="C309" s="1" t="s">
        <v>1741</v>
      </c>
      <c r="D309" s="1" t="str">
        <f t="shared" si="1"/>
        <v>Victus 15-FB0037NE</v>
      </c>
      <c r="E309" s="1" t="str">
        <f t="array" aca="1" ref="E309" ca="1">IFERROR(
INDEX(Family_Map!$B$2:$B$35,
_xludf.AGGREGATE(14,6,(ROW(Family_Map!$A$2:$A$35)-ROW(Family_Map!$A$2)+1)/(ISNUMBER(SEARCH(Family_Map!$A$2:$A$35,D309))),1)
),
"Other")</f>
        <v>Other</v>
      </c>
      <c r="F309" s="1" t="s">
        <v>1711</v>
      </c>
      <c r="G309" s="1" t="e">
        <f t="shared" ca="1" si="2"/>
        <v>#NAME?</v>
      </c>
      <c r="H309" s="1" t="str">
        <f t="shared" ca="1" si="12"/>
        <v>Other</v>
      </c>
      <c r="I309" s="1" t="s">
        <v>439</v>
      </c>
      <c r="J309" s="1" t="str">
        <f t="shared" si="3"/>
        <v>4 GB</v>
      </c>
      <c r="K309" s="1" t="s">
        <v>1462</v>
      </c>
      <c r="L309" s="1">
        <f t="shared" si="24"/>
        <v>16</v>
      </c>
      <c r="M309" s="1" t="s">
        <v>136</v>
      </c>
      <c r="N309" s="1" t="str">
        <f t="shared" si="5"/>
        <v>512 GB</v>
      </c>
      <c r="O309" s="1" t="str">
        <f t="shared" si="6"/>
        <v>512 GB</v>
      </c>
      <c r="P309" s="1" t="s">
        <v>120</v>
      </c>
      <c r="Q309" s="1" t="str">
        <f t="shared" si="7"/>
        <v>1920x1080</v>
      </c>
      <c r="R309" s="1" t="s">
        <v>75</v>
      </c>
      <c r="S309" s="1" t="str">
        <f t="shared" si="8"/>
        <v>144Hz</v>
      </c>
      <c r="T309" s="1" t="s">
        <v>201</v>
      </c>
      <c r="U309" s="1" t="str">
        <f t="shared" si="9"/>
        <v>Windows 11 Home</v>
      </c>
      <c r="V309" s="1" t="s">
        <v>127</v>
      </c>
      <c r="W309" s="1" t="str">
        <f t="shared" si="10"/>
        <v>2.29 kg</v>
      </c>
      <c r="X309" s="1" t="s">
        <v>78</v>
      </c>
      <c r="Y309" s="1" t="str">
        <f t="shared" si="11"/>
        <v>1 Year</v>
      </c>
      <c r="Z309" s="4">
        <v>34999</v>
      </c>
      <c r="AA309" s="1" t="s">
        <v>5735</v>
      </c>
    </row>
    <row r="310" spans="1:27" ht="15.75" customHeight="1" x14ac:dyDescent="0.35">
      <c r="A310" s="1" t="s">
        <v>81</v>
      </c>
      <c r="B310" s="1" t="str">
        <f t="shared" si="16"/>
        <v>Dell</v>
      </c>
      <c r="C310" s="1" t="s">
        <v>1745</v>
      </c>
      <c r="D310" s="1" t="str">
        <f t="shared" si="1"/>
        <v>Alienware M16</v>
      </c>
      <c r="E310" s="1" t="str">
        <f t="array" aca="1" ref="E310" ca="1">IFERROR(
INDEX(Family_Map!$B$2:$B$35,
_xludf.AGGREGATE(14,6,(ROW(Family_Map!$A$2:$A$35)-ROW(Family_Map!$A$2)+1)/(ISNUMBER(SEARCH(Family_Map!$A$2:$A$35,D310))),1)
),
"Other")</f>
        <v>Other</v>
      </c>
      <c r="F310" s="1" t="s">
        <v>1636</v>
      </c>
      <c r="G310" s="1" t="e">
        <f t="shared" ca="1" si="2"/>
        <v>#NAME?</v>
      </c>
      <c r="H310" s="1" t="str">
        <f t="shared" ca="1" si="12"/>
        <v>Other</v>
      </c>
      <c r="I310" s="1" t="s">
        <v>410</v>
      </c>
      <c r="J310" s="1" t="str">
        <f t="shared" si="3"/>
        <v>8GB</v>
      </c>
      <c r="K310" s="1" t="s">
        <v>1746</v>
      </c>
      <c r="L310" s="1">
        <f t="shared" si="24"/>
        <v>16</v>
      </c>
      <c r="M310" s="1" t="s">
        <v>871</v>
      </c>
      <c r="N310" s="1" t="str">
        <f t="shared" si="5"/>
        <v>1 TB</v>
      </c>
      <c r="O310" s="1" t="str">
        <f t="shared" si="6"/>
        <v>1024GB</v>
      </c>
      <c r="P310" s="1" t="s">
        <v>89</v>
      </c>
      <c r="Q310" s="1" t="str">
        <f t="shared" si="7"/>
        <v>2560x1600</v>
      </c>
      <c r="R310" s="1" t="s">
        <v>57</v>
      </c>
      <c r="S310" s="1" t="str">
        <f t="shared" si="8"/>
        <v>165Hz</v>
      </c>
      <c r="T310" s="1" t="s">
        <v>725</v>
      </c>
      <c r="U310" s="1" t="str">
        <f t="shared" si="9"/>
        <v>Windows 11 Pro</v>
      </c>
      <c r="V310" s="1" t="s">
        <v>1752</v>
      </c>
      <c r="W310" s="1" t="str">
        <f t="shared" si="10"/>
        <v>3.25 kg</v>
      </c>
      <c r="X310" s="1" t="s">
        <v>78</v>
      </c>
      <c r="Y310" s="1" t="str">
        <f t="shared" si="11"/>
        <v>1 Year</v>
      </c>
      <c r="Z310" s="4">
        <v>147450</v>
      </c>
      <c r="AA310" s="1" t="s">
        <v>79</v>
      </c>
    </row>
    <row r="311" spans="1:27" ht="15.75" customHeight="1" x14ac:dyDescent="0.35">
      <c r="A311" s="1" t="s">
        <v>112</v>
      </c>
      <c r="B311" s="1" t="str">
        <f t="shared" si="16"/>
        <v>HP</v>
      </c>
      <c r="C311" s="1" t="s">
        <v>1755</v>
      </c>
      <c r="D311" s="1" t="str">
        <f t="shared" si="1"/>
        <v>Omen 16-K0033DX</v>
      </c>
      <c r="E311" s="1" t="str">
        <f t="array" aca="1" ref="E311" ca="1">IFERROR(
INDEX(Family_Map!$B$2:$B$35,
_xludf.AGGREGATE(14,6,(ROW(Family_Map!$A$2:$A$35)-ROW(Family_Map!$A$2)+1)/(ISNUMBER(SEARCH(Family_Map!$A$2:$A$35,D311))),1)
),
"Other")</f>
        <v>Other</v>
      </c>
      <c r="F311" s="1" t="s">
        <v>1756</v>
      </c>
      <c r="G311" s="1" t="e">
        <f t="shared" ca="1" si="2"/>
        <v>#NAME?</v>
      </c>
      <c r="H311" s="1" t="str">
        <f t="shared" ca="1" si="12"/>
        <v>Other</v>
      </c>
      <c r="I311" s="1" t="s">
        <v>70</v>
      </c>
      <c r="J311" s="1" t="str">
        <f t="shared" si="3"/>
        <v>6GB</v>
      </c>
      <c r="K311" s="1" t="s">
        <v>1491</v>
      </c>
      <c r="L311" s="1">
        <f t="shared" si="24"/>
        <v>16</v>
      </c>
      <c r="M311" s="1" t="s">
        <v>735</v>
      </c>
      <c r="N311" s="1" t="str">
        <f t="shared" si="5"/>
        <v>1 TB</v>
      </c>
      <c r="O311" s="1" t="str">
        <f t="shared" si="6"/>
        <v>1024GB</v>
      </c>
      <c r="P311" s="1" t="s">
        <v>1493</v>
      </c>
      <c r="Q311" s="1" t="str">
        <f t="shared" si="7"/>
        <v>2560x1440</v>
      </c>
      <c r="R311" s="1" t="s">
        <v>57</v>
      </c>
      <c r="S311" s="1" t="str">
        <f t="shared" si="8"/>
        <v>165Hz</v>
      </c>
      <c r="T311" s="1" t="s">
        <v>90</v>
      </c>
      <c r="U311" s="1" t="str">
        <f t="shared" si="9"/>
        <v>Windows 11 Home</v>
      </c>
      <c r="V311" s="1" t="s">
        <v>789</v>
      </c>
      <c r="W311" s="1" t="str">
        <f t="shared" si="10"/>
        <v>2.35 kg</v>
      </c>
      <c r="X311" s="1" t="s">
        <v>78</v>
      </c>
      <c r="Y311" s="1" t="str">
        <f t="shared" si="11"/>
        <v>1 Year</v>
      </c>
      <c r="Z311" s="4">
        <v>79777</v>
      </c>
      <c r="AA311" s="1" t="s">
        <v>166</v>
      </c>
    </row>
    <row r="312" spans="1:27" ht="15.75" customHeight="1" x14ac:dyDescent="0.35">
      <c r="A312" s="1" t="s">
        <v>151</v>
      </c>
      <c r="B312" s="1" t="str">
        <f t="shared" si="16"/>
        <v>Lenovo</v>
      </c>
      <c r="C312" s="1" t="s">
        <v>1085</v>
      </c>
      <c r="D312" s="1" t="str">
        <f t="shared" si="1"/>
        <v>Legion Pro 5 16IRX8</v>
      </c>
      <c r="E312" s="1" t="str">
        <f t="array" aca="1" ref="E312" ca="1">IFERROR(
INDEX(Family_Map!$B$2:$B$35,
_xludf.AGGREGATE(14,6,(ROW(Family_Map!$A$2:$A$35)-ROW(Family_Map!$A$2)+1)/(ISNUMBER(SEARCH(Family_Map!$A$2:$A$35,D312))),1)
),
"Other")</f>
        <v>Other</v>
      </c>
      <c r="F312" s="1" t="s">
        <v>1053</v>
      </c>
      <c r="G312" s="1" t="e">
        <f t="shared" ca="1" si="2"/>
        <v>#NAME?</v>
      </c>
      <c r="H312" s="1" t="str">
        <f t="shared" ca="1" si="12"/>
        <v>Other</v>
      </c>
      <c r="I312" s="1" t="s">
        <v>410</v>
      </c>
      <c r="J312" s="1" t="str">
        <f t="shared" si="3"/>
        <v>8GB</v>
      </c>
      <c r="K312" s="1" t="s">
        <v>1188</v>
      </c>
      <c r="L312" s="1">
        <f t="shared" si="24"/>
        <v>16</v>
      </c>
      <c r="M312" s="1" t="s">
        <v>796</v>
      </c>
      <c r="N312" s="1" t="str">
        <f t="shared" si="5"/>
        <v>1TB</v>
      </c>
      <c r="O312" s="1" t="str">
        <f t="shared" si="6"/>
        <v>1024GB</v>
      </c>
      <c r="P312" s="1" t="s">
        <v>89</v>
      </c>
      <c r="Q312" s="1" t="str">
        <f t="shared" si="7"/>
        <v>2560x1600</v>
      </c>
      <c r="R312" s="1" t="s">
        <v>256</v>
      </c>
      <c r="S312" s="1" t="str">
        <f t="shared" si="8"/>
        <v>240Hz</v>
      </c>
      <c r="T312" s="1" t="s">
        <v>101</v>
      </c>
      <c r="U312" s="1" t="str">
        <f t="shared" si="9"/>
        <v>DOS</v>
      </c>
      <c r="V312" s="1" t="s">
        <v>1091</v>
      </c>
      <c r="W312" s="1" t="str">
        <f t="shared" si="10"/>
        <v>2.55 kg</v>
      </c>
      <c r="X312" s="1" t="s">
        <v>78</v>
      </c>
      <c r="Y312" s="1" t="str">
        <f t="shared" si="11"/>
        <v>1 Year</v>
      </c>
      <c r="Z312" s="4">
        <v>70999</v>
      </c>
      <c r="AA312" s="1" t="s">
        <v>79</v>
      </c>
    </row>
    <row r="313" spans="1:27" ht="15.75" customHeight="1" x14ac:dyDescent="0.35">
      <c r="A313" s="1" t="s">
        <v>151</v>
      </c>
      <c r="B313" s="1" t="str">
        <f t="shared" si="16"/>
        <v>Lenovo</v>
      </c>
      <c r="C313" s="1" t="s">
        <v>1532</v>
      </c>
      <c r="D313" s="1" t="str">
        <f t="shared" si="1"/>
        <v>LOQ 15IRH8</v>
      </c>
      <c r="E313" s="1" t="str">
        <f t="array" aca="1" ref="E313" ca="1">IFERROR(
INDEX(Family_Map!$B$2:$B$35,
_xludf.AGGREGATE(14,6,(ROW(Family_Map!$A$2:$A$35)-ROW(Family_Map!$A$2)+1)/(ISNUMBER(SEARCH(Family_Map!$A$2:$A$35,D313))),1)
),
"Other")</f>
        <v>Other</v>
      </c>
      <c r="F313" s="1" t="s">
        <v>1765</v>
      </c>
      <c r="G313" s="1" t="e">
        <f t="shared" ca="1" si="2"/>
        <v>#NAME?</v>
      </c>
      <c r="H313" s="1" t="str">
        <f t="shared" ca="1" si="12"/>
        <v>Other</v>
      </c>
      <c r="I313" s="1" t="s">
        <v>410</v>
      </c>
      <c r="J313" s="1" t="str">
        <f t="shared" si="3"/>
        <v>8GB</v>
      </c>
      <c r="K313" s="1" t="s">
        <v>1766</v>
      </c>
      <c r="L313" s="1">
        <f t="shared" si="24"/>
        <v>16</v>
      </c>
      <c r="M313" s="1" t="s">
        <v>222</v>
      </c>
      <c r="N313" s="1" t="str">
        <f t="shared" si="5"/>
        <v>1TB</v>
      </c>
      <c r="O313" s="1" t="str">
        <f t="shared" si="6"/>
        <v>1024GB</v>
      </c>
      <c r="P313" s="1" t="s">
        <v>120</v>
      </c>
      <c r="Q313" s="1" t="str">
        <f t="shared" si="7"/>
        <v>1920x1080</v>
      </c>
      <c r="R313" s="1" t="s">
        <v>75</v>
      </c>
      <c r="S313" s="1" t="str">
        <f t="shared" si="8"/>
        <v>144Hz</v>
      </c>
      <c r="T313" s="1" t="s">
        <v>40</v>
      </c>
      <c r="U313" s="1" t="str">
        <f t="shared" si="9"/>
        <v>Windows 11 Home</v>
      </c>
      <c r="V313" s="1" t="s">
        <v>63</v>
      </c>
      <c r="W313" s="1" t="str">
        <f t="shared" si="10"/>
        <v>2.4 kg</v>
      </c>
      <c r="X313" s="1" t="s">
        <v>78</v>
      </c>
      <c r="Y313" s="1" t="str">
        <f t="shared" si="11"/>
        <v>1 Year</v>
      </c>
      <c r="Z313" s="4">
        <v>57799</v>
      </c>
      <c r="AA313" s="1" t="s">
        <v>79</v>
      </c>
    </row>
    <row r="314" spans="1:27" ht="15.75" customHeight="1" x14ac:dyDescent="0.35">
      <c r="A314" s="1" t="s">
        <v>151</v>
      </c>
      <c r="B314" s="1" t="str">
        <f t="shared" si="16"/>
        <v>Lenovo</v>
      </c>
      <c r="C314" s="1" t="s">
        <v>826</v>
      </c>
      <c r="D314" s="1" t="str">
        <f t="shared" si="1"/>
        <v>IdeaPad Gaming 3 15ACH6</v>
      </c>
      <c r="E314" s="1" t="str">
        <f t="array" aca="1" ref="E314" ca="1">IFERROR(
INDEX(Family_Map!$B$2:$B$35,
_xludf.AGGREGATE(14,6,(ROW(Family_Map!$A$2:$A$35)-ROW(Family_Map!$A$2)+1)/(ISNUMBER(SEARCH(Family_Map!$A$2:$A$35,D314))),1)
),
"Other")</f>
        <v>Other</v>
      </c>
      <c r="F314" s="1" t="s">
        <v>827</v>
      </c>
      <c r="G314" s="1" t="e">
        <f t="shared" ca="1" si="2"/>
        <v>#NAME?</v>
      </c>
      <c r="H314" s="1" t="str">
        <f t="shared" ca="1" si="12"/>
        <v>Other</v>
      </c>
      <c r="I314" s="1" t="s">
        <v>70</v>
      </c>
      <c r="J314" s="1" t="str">
        <f t="shared" si="3"/>
        <v>6GB</v>
      </c>
      <c r="K314" s="1" t="s">
        <v>1448</v>
      </c>
      <c r="L314" s="1">
        <v>8</v>
      </c>
      <c r="M314" s="1" t="s">
        <v>1520</v>
      </c>
      <c r="N314" s="1" t="str">
        <f t="shared" si="5"/>
        <v>512GB</v>
      </c>
      <c r="O314" s="1" t="str">
        <f t="shared" si="6"/>
        <v>512GB</v>
      </c>
      <c r="P314" s="1" t="s">
        <v>74</v>
      </c>
      <c r="Q314" s="1" t="str">
        <f t="shared" si="7"/>
        <v>1920x1080</v>
      </c>
      <c r="R314" s="1" t="s">
        <v>39</v>
      </c>
      <c r="S314" s="1" t="str">
        <f t="shared" si="8"/>
        <v>120Hz</v>
      </c>
      <c r="T314" s="1" t="s">
        <v>40</v>
      </c>
      <c r="U314" s="1" t="str">
        <f t="shared" si="9"/>
        <v>Windows 11 Home</v>
      </c>
      <c r="V314" s="1" t="s">
        <v>652</v>
      </c>
      <c r="W314" s="1" t="str">
        <f t="shared" si="10"/>
        <v>2.25 kg</v>
      </c>
      <c r="X314" s="1" t="s">
        <v>78</v>
      </c>
      <c r="Y314" s="1" t="str">
        <f t="shared" si="11"/>
        <v>1 Year</v>
      </c>
      <c r="Z314" s="4">
        <v>43999</v>
      </c>
      <c r="AA314" s="1" t="s">
        <v>5735</v>
      </c>
    </row>
    <row r="315" spans="1:27" ht="15.75" customHeight="1" x14ac:dyDescent="0.35">
      <c r="A315" s="1" t="s">
        <v>151</v>
      </c>
      <c r="B315" s="1" t="str">
        <f t="shared" si="16"/>
        <v>Lenovo</v>
      </c>
      <c r="C315" s="1" t="s">
        <v>1769</v>
      </c>
      <c r="D315" s="1" t="str">
        <f t="shared" si="1"/>
        <v>Legion 5 Pro 16ITH6</v>
      </c>
      <c r="E315" s="1" t="str">
        <f t="array" aca="1" ref="E315" ca="1">IFERROR(
INDEX(Family_Map!$B$2:$B$35,
_xludf.AGGREGATE(14,6,(ROW(Family_Map!$A$2:$A$35)-ROW(Family_Map!$A$2)+1)/(ISNUMBER(SEARCH(Family_Map!$A$2:$A$35,D315))),1)
),
"Other")</f>
        <v>Other</v>
      </c>
      <c r="F315" s="1" t="s">
        <v>1731</v>
      </c>
      <c r="G315" s="1" t="e">
        <f t="shared" ca="1" si="2"/>
        <v>#NAME?</v>
      </c>
      <c r="H315" s="1" t="str">
        <f t="shared" ca="1" si="12"/>
        <v>Other</v>
      </c>
      <c r="I315" s="1" t="s">
        <v>507</v>
      </c>
      <c r="J315" s="1" t="str">
        <f t="shared" si="3"/>
        <v>4GB</v>
      </c>
      <c r="K315" s="1" t="s">
        <v>1077</v>
      </c>
      <c r="L315" s="1">
        <f t="shared" ref="L315:L325" si="25">IFERROR(
VALUE(SUBSTITUTE(SUBSTITUTE(LEFT(UPPER(TRIM(K315)),FIND("GB",UPPER(K315)&amp;"GB")+1),"GB","")," ","")),
IFERROR(
VALUE(SUBSTITUTE(SUBSTITUTE(MID(UPPER(K315),FIND("GB",UPPER(K315)&amp;"GB")-3,3),"GB","")," ",""))
*
IF(
OR(
ISNUMBER(SEARCH("2X",UPPER(K315))),
ISNUMBER(SEARCH("X 2",UPPER(K315))),
ISNUMBER(SEARCH("*2",UPPER(K315))),
ISNUMBER(SEARCH("2*",UPPER(K315))),
ISNUMBER(SEARCH("(2 X",UPPER(K315)))
),
2,1),
"")
)</f>
        <v>16</v>
      </c>
      <c r="M315" s="1" t="s">
        <v>1770</v>
      </c>
      <c r="N315" s="1" t="str">
        <f t="shared" si="5"/>
        <v>1TB</v>
      </c>
      <c r="O315" s="1" t="str">
        <f t="shared" si="6"/>
        <v>1024GB</v>
      </c>
      <c r="P315" s="1" t="s">
        <v>89</v>
      </c>
      <c r="Q315" s="1" t="str">
        <f t="shared" si="7"/>
        <v>2560x1600</v>
      </c>
      <c r="R315" s="1" t="s">
        <v>57</v>
      </c>
      <c r="S315" s="1" t="str">
        <f t="shared" si="8"/>
        <v>165Hz</v>
      </c>
      <c r="T315" s="1" t="s">
        <v>101</v>
      </c>
      <c r="U315" s="1" t="str">
        <f t="shared" si="9"/>
        <v>DOS</v>
      </c>
      <c r="V315" s="1" t="s">
        <v>503</v>
      </c>
      <c r="W315" s="1" t="str">
        <f t="shared" si="10"/>
        <v>2.3 kg</v>
      </c>
      <c r="X315" s="1" t="s">
        <v>78</v>
      </c>
      <c r="Y315" s="1" t="str">
        <f t="shared" si="11"/>
        <v>1 Year</v>
      </c>
      <c r="Z315" s="4">
        <v>58999</v>
      </c>
      <c r="AA315" s="1" t="s">
        <v>1082</v>
      </c>
    </row>
    <row r="316" spans="1:27" ht="15.75" customHeight="1" x14ac:dyDescent="0.35">
      <c r="A316" s="1" t="s">
        <v>151</v>
      </c>
      <c r="B316" s="1" t="str">
        <f t="shared" si="16"/>
        <v>Lenovo</v>
      </c>
      <c r="C316" s="1" t="s">
        <v>1085</v>
      </c>
      <c r="D316" s="1" t="str">
        <f t="shared" si="1"/>
        <v>Legion Pro 5 16IRX8</v>
      </c>
      <c r="E316" s="1" t="str">
        <f t="array" aca="1" ref="E316" ca="1">IFERROR(
INDEX(Family_Map!$B$2:$B$35,
_xludf.AGGREGATE(14,6,(ROW(Family_Map!$A$2:$A$35)-ROW(Family_Map!$A$2)+1)/(ISNUMBER(SEARCH(Family_Map!$A$2:$A$35,D316))),1)
),
"Other")</f>
        <v>Other</v>
      </c>
      <c r="F316" s="1" t="s">
        <v>1058</v>
      </c>
      <c r="G316" s="1" t="e">
        <f t="shared" ca="1" si="2"/>
        <v>#NAME?</v>
      </c>
      <c r="H316" s="1" t="str">
        <f t="shared" ca="1" si="12"/>
        <v>Other</v>
      </c>
      <c r="I316" s="1" t="s">
        <v>410</v>
      </c>
      <c r="J316" s="1" t="str">
        <f t="shared" si="3"/>
        <v>8GB</v>
      </c>
      <c r="K316" s="1" t="s">
        <v>614</v>
      </c>
      <c r="L316" s="1">
        <f t="shared" si="25"/>
        <v>16</v>
      </c>
      <c r="M316" s="1" t="s">
        <v>796</v>
      </c>
      <c r="N316" s="1" t="str">
        <f t="shared" si="5"/>
        <v>1TB</v>
      </c>
      <c r="O316" s="1" t="str">
        <f t="shared" si="6"/>
        <v>1024GB</v>
      </c>
      <c r="P316" s="1" t="s">
        <v>224</v>
      </c>
      <c r="Q316" s="1" t="str">
        <f t="shared" si="7"/>
        <v>2560x1600</v>
      </c>
      <c r="R316" s="1" t="s">
        <v>256</v>
      </c>
      <c r="S316" s="1" t="str">
        <f t="shared" si="8"/>
        <v>240Hz</v>
      </c>
      <c r="T316" s="1" t="s">
        <v>40</v>
      </c>
      <c r="U316" s="1" t="str">
        <f t="shared" si="9"/>
        <v>Windows 11 Home</v>
      </c>
      <c r="V316" s="1" t="s">
        <v>1091</v>
      </c>
      <c r="W316" s="1" t="str">
        <f t="shared" si="10"/>
        <v>2.55 kg</v>
      </c>
      <c r="X316" s="1" t="s">
        <v>129</v>
      </c>
      <c r="Y316" s="1" t="str">
        <f t="shared" si="11"/>
        <v>1 Year</v>
      </c>
      <c r="Z316" s="4">
        <v>124999</v>
      </c>
      <c r="AA316" s="1" t="s">
        <v>79</v>
      </c>
    </row>
    <row r="317" spans="1:27" ht="15.75" customHeight="1" x14ac:dyDescent="0.35">
      <c r="A317" s="1" t="s">
        <v>66</v>
      </c>
      <c r="B317" s="1" t="str">
        <f t="shared" si="16"/>
        <v>Acer</v>
      </c>
      <c r="C317" s="1" t="s">
        <v>1777</v>
      </c>
      <c r="D317" s="1" t="str">
        <f t="shared" si="1"/>
        <v>Predator Helios 300-PH315-54-760S</v>
      </c>
      <c r="E317" s="1" t="str">
        <f t="array" aca="1" ref="E317" ca="1">IFERROR(
INDEX(Family_Map!$B$2:$B$35,
_xludf.AGGREGATE(14,6,(ROW(Family_Map!$A$2:$A$35)-ROW(Family_Map!$A$2)+1)/(ISNUMBER(SEARCH(Family_Map!$A$2:$A$35,D317))),1)
),
"Other")</f>
        <v>Other</v>
      </c>
      <c r="F317" s="1" t="s">
        <v>1075</v>
      </c>
      <c r="G317" s="1" t="e">
        <f t="shared" ca="1" si="2"/>
        <v>#NAME?</v>
      </c>
      <c r="H317" s="1" t="str">
        <f t="shared" ca="1" si="12"/>
        <v>Other</v>
      </c>
      <c r="I317" s="1" t="s">
        <v>70</v>
      </c>
      <c r="J317" s="1" t="str">
        <f t="shared" si="3"/>
        <v>6GB</v>
      </c>
      <c r="K317" s="1" t="s">
        <v>1778</v>
      </c>
      <c r="L317" s="1">
        <f t="shared" si="25"/>
        <v>16</v>
      </c>
      <c r="M317" s="1" t="s">
        <v>72</v>
      </c>
      <c r="N317" s="1" t="str">
        <f t="shared" si="5"/>
        <v>512 GB</v>
      </c>
      <c r="O317" s="1" t="str">
        <f t="shared" si="6"/>
        <v>512 GB</v>
      </c>
      <c r="P317" s="1" t="s">
        <v>120</v>
      </c>
      <c r="Q317" s="1" t="str">
        <f t="shared" si="7"/>
        <v>1920x1080</v>
      </c>
      <c r="R317" s="1" t="s">
        <v>75</v>
      </c>
      <c r="S317" s="1" t="str">
        <f t="shared" si="8"/>
        <v>144Hz</v>
      </c>
      <c r="T317" s="1" t="s">
        <v>1722</v>
      </c>
      <c r="U317" s="1" t="str">
        <f t="shared" si="9"/>
        <v>Windows 10 Home</v>
      </c>
      <c r="V317" s="1" t="s">
        <v>94</v>
      </c>
      <c r="W317" s="1" t="str">
        <f t="shared" si="10"/>
        <v>2.49 kg</v>
      </c>
      <c r="X317" s="1" t="s">
        <v>129</v>
      </c>
      <c r="Y317" s="1" t="str">
        <f t="shared" si="11"/>
        <v>1 Year</v>
      </c>
      <c r="Z317" s="4">
        <v>54999</v>
      </c>
      <c r="AA317" s="1" t="s">
        <v>1082</v>
      </c>
    </row>
    <row r="318" spans="1:27" ht="15.75" customHeight="1" x14ac:dyDescent="0.35">
      <c r="A318" s="1" t="s">
        <v>234</v>
      </c>
      <c r="B318" s="1" t="str">
        <f t="shared" si="16"/>
        <v>ASUS</v>
      </c>
      <c r="C318" s="1" t="s">
        <v>1787</v>
      </c>
      <c r="D318" s="1" t="str">
        <f t="shared" si="1"/>
        <v>ROG Flow X16 GV601RM-BLK17W</v>
      </c>
      <c r="E318" s="1" t="str">
        <f t="array" aca="1" ref="E318" ca="1">IFERROR(
INDEX(Family_Map!$B$2:$B$35,
_xludf.AGGREGATE(14,6,(ROW(Family_Map!$A$2:$A$35)-ROW(Family_Map!$A$2)+1)/(ISNUMBER(SEARCH(Family_Map!$A$2:$A$35,D318))),1)
),
"Other")</f>
        <v>Other</v>
      </c>
      <c r="F318" s="1" t="s">
        <v>1788</v>
      </c>
      <c r="G318" s="1" t="e">
        <f t="shared" ca="1" si="2"/>
        <v>#NAME?</v>
      </c>
      <c r="H318" s="1" t="str">
        <f t="shared" ca="1" si="12"/>
        <v>Other</v>
      </c>
      <c r="I318" s="1" t="s">
        <v>1789</v>
      </c>
      <c r="J318" s="1" t="str">
        <f t="shared" si="3"/>
        <v>6GB</v>
      </c>
      <c r="K318" s="1" t="s">
        <v>1790</v>
      </c>
      <c r="L318" s="1">
        <f t="shared" si="25"/>
        <v>16</v>
      </c>
      <c r="M318" s="1" t="s">
        <v>1791</v>
      </c>
      <c r="N318" s="1" t="str">
        <f t="shared" si="5"/>
        <v>1TB</v>
      </c>
      <c r="O318" s="1" t="str">
        <f t="shared" si="6"/>
        <v>1024GB</v>
      </c>
      <c r="P318" s="1" t="s">
        <v>89</v>
      </c>
      <c r="Q318" s="1" t="str">
        <f t="shared" si="7"/>
        <v>2560x1600</v>
      </c>
      <c r="R318" s="1" t="s">
        <v>57</v>
      </c>
      <c r="S318" s="1" t="str">
        <f t="shared" si="8"/>
        <v>165Hz</v>
      </c>
      <c r="T318" s="1" t="s">
        <v>90</v>
      </c>
      <c r="U318" s="1" t="str">
        <f t="shared" si="9"/>
        <v>Windows 11 Home</v>
      </c>
      <c r="V318" s="1" t="s">
        <v>814</v>
      </c>
      <c r="W318" s="1" t="str">
        <f t="shared" si="10"/>
        <v>2 kg</v>
      </c>
      <c r="X318" s="1" t="s">
        <v>78</v>
      </c>
      <c r="Y318" s="1" t="str">
        <f t="shared" si="11"/>
        <v>1 Year</v>
      </c>
      <c r="Z318" s="4">
        <v>82999</v>
      </c>
      <c r="AA318" s="1" t="s">
        <v>5735</v>
      </c>
    </row>
    <row r="319" spans="1:27" ht="15.75" customHeight="1" x14ac:dyDescent="0.35">
      <c r="A319" s="1" t="s">
        <v>81</v>
      </c>
      <c r="B319" s="1" t="str">
        <f t="shared" si="16"/>
        <v>Dell</v>
      </c>
      <c r="C319" s="1" t="s">
        <v>1797</v>
      </c>
      <c r="D319" s="1" t="str">
        <f t="shared" si="1"/>
        <v>G15 5525</v>
      </c>
      <c r="E319" s="1" t="str">
        <f t="array" aca="1" ref="E319" ca="1">IFERROR(
INDEX(Family_Map!$B$2:$B$35,
_xludf.AGGREGATE(14,6,(ROW(Family_Map!$A$2:$A$35)-ROW(Family_Map!$A$2)+1)/(ISNUMBER(SEARCH(Family_Map!$A$2:$A$35,D319))),1)
),
"Other")</f>
        <v>Other</v>
      </c>
      <c r="F319" s="1" t="s">
        <v>1798</v>
      </c>
      <c r="G319" s="1" t="e">
        <f t="shared" ca="1" si="2"/>
        <v>#NAME?</v>
      </c>
      <c r="H319" s="1" t="str">
        <f t="shared" ca="1" si="12"/>
        <v>Other</v>
      </c>
      <c r="I319" s="1" t="s">
        <v>507</v>
      </c>
      <c r="J319" s="1" t="str">
        <f t="shared" si="3"/>
        <v>4GB</v>
      </c>
      <c r="K319" s="1" t="s">
        <v>792</v>
      </c>
      <c r="L319" s="1">
        <f t="shared" si="25"/>
        <v>16</v>
      </c>
      <c r="M319" s="1" t="s">
        <v>1799</v>
      </c>
      <c r="N319" s="1" t="str">
        <f t="shared" si="5"/>
        <v>512GB</v>
      </c>
      <c r="O319" s="1" t="str">
        <f t="shared" si="6"/>
        <v>512GB</v>
      </c>
      <c r="P319" s="1" t="s">
        <v>616</v>
      </c>
      <c r="Q319" s="1" t="str">
        <f t="shared" si="7"/>
        <v>1920x1080</v>
      </c>
      <c r="R319" s="1" t="s">
        <v>39</v>
      </c>
      <c r="S319" s="1" t="str">
        <f t="shared" si="8"/>
        <v>120Hz</v>
      </c>
      <c r="T319" s="1" t="s">
        <v>90</v>
      </c>
      <c r="U319" s="1" t="str">
        <f t="shared" si="9"/>
        <v>Windows 11 Home</v>
      </c>
      <c r="V319" s="1" t="s">
        <v>1804</v>
      </c>
      <c r="W319" s="1" t="str">
        <f t="shared" si="10"/>
        <v>2.52 kg</v>
      </c>
      <c r="X319" s="1" t="s">
        <v>78</v>
      </c>
      <c r="Y319" s="1" t="str">
        <f t="shared" si="11"/>
        <v>1 Year</v>
      </c>
      <c r="Z319" s="4">
        <v>39999</v>
      </c>
      <c r="AA319" s="1" t="s">
        <v>5735</v>
      </c>
    </row>
    <row r="320" spans="1:27" ht="15.75" customHeight="1" x14ac:dyDescent="0.35">
      <c r="A320" s="1" t="s">
        <v>112</v>
      </c>
      <c r="B320" s="1" t="str">
        <f t="shared" si="16"/>
        <v>HP</v>
      </c>
      <c r="C320" s="1" t="s">
        <v>1807</v>
      </c>
      <c r="D320" s="1" t="str">
        <f t="shared" si="1"/>
        <v>Victus 15-FA1105NE</v>
      </c>
      <c r="E320" s="1" t="str">
        <f t="array" aca="1" ref="E320" ca="1">IFERROR(
INDEX(Family_Map!$B$2:$B$35,
_xludf.AGGREGATE(14,6,(ROW(Family_Map!$A$2:$A$35)-ROW(Family_Map!$A$2)+1)/(ISNUMBER(SEARCH(Family_Map!$A$2:$A$35,D320))),1)
),
"Other")</f>
        <v>Other</v>
      </c>
      <c r="F320" s="1" t="s">
        <v>402</v>
      </c>
      <c r="G320" s="1" t="e">
        <f t="shared" ca="1" si="2"/>
        <v>#NAME?</v>
      </c>
      <c r="H320" s="1" t="str">
        <f t="shared" ca="1" si="12"/>
        <v>Other</v>
      </c>
      <c r="I320" s="1" t="s">
        <v>1808</v>
      </c>
      <c r="J320" s="1" t="str">
        <f t="shared" si="3"/>
        <v>6GB</v>
      </c>
      <c r="K320" s="1" t="s">
        <v>1462</v>
      </c>
      <c r="L320" s="1">
        <f t="shared" si="25"/>
        <v>16</v>
      </c>
      <c r="M320" s="1" t="s">
        <v>136</v>
      </c>
      <c r="N320" s="1" t="str">
        <f t="shared" si="5"/>
        <v>512 GB</v>
      </c>
      <c r="O320" s="1" t="str">
        <f t="shared" si="6"/>
        <v>512 GB</v>
      </c>
      <c r="P320" s="1" t="s">
        <v>616</v>
      </c>
      <c r="Q320" s="1" t="str">
        <f t="shared" si="7"/>
        <v>1920x1080</v>
      </c>
      <c r="R320" s="1" t="s">
        <v>75</v>
      </c>
      <c r="S320" s="1" t="str">
        <f t="shared" si="8"/>
        <v>144Hz</v>
      </c>
      <c r="T320" s="1" t="s">
        <v>101</v>
      </c>
      <c r="U320" s="1" t="str">
        <f t="shared" si="9"/>
        <v>DOS</v>
      </c>
      <c r="V320" s="1" t="s">
        <v>127</v>
      </c>
      <c r="W320" s="1" t="str">
        <f t="shared" si="10"/>
        <v>2.29 kg</v>
      </c>
      <c r="X320" s="1" t="s">
        <v>78</v>
      </c>
      <c r="Y320" s="1" t="str">
        <f t="shared" si="11"/>
        <v>1 Year</v>
      </c>
      <c r="Z320" s="4">
        <v>53599</v>
      </c>
      <c r="AA320" s="1" t="s">
        <v>79</v>
      </c>
    </row>
    <row r="321" spans="1:27" ht="15.75" customHeight="1" x14ac:dyDescent="0.35">
      <c r="A321" s="1" t="s">
        <v>112</v>
      </c>
      <c r="B321" s="1" t="str">
        <f t="shared" si="16"/>
        <v>HP</v>
      </c>
      <c r="C321" s="1" t="s">
        <v>1811</v>
      </c>
      <c r="D321" s="1" t="str">
        <f t="shared" si="1"/>
        <v>Victus 16-E1013NE</v>
      </c>
      <c r="E321" s="1" t="str">
        <f t="array" aca="1" ref="E321" ca="1">IFERROR(
INDEX(Family_Map!$B$2:$B$35,
_xludf.AGGREGATE(14,6,(ROW(Family_Map!$A$2:$A$35)-ROW(Family_Map!$A$2)+1)/(ISNUMBER(SEARCH(Family_Map!$A$2:$A$35,D321))),1)
),
"Other")</f>
        <v>Other</v>
      </c>
      <c r="F321" s="1" t="s">
        <v>1798</v>
      </c>
      <c r="G321" s="1" t="e">
        <f t="shared" ca="1" si="2"/>
        <v>#NAME?</v>
      </c>
      <c r="H321" s="1" t="str">
        <f t="shared" ca="1" si="12"/>
        <v>Other</v>
      </c>
      <c r="I321" s="1" t="s">
        <v>439</v>
      </c>
      <c r="J321" s="1" t="str">
        <f t="shared" si="3"/>
        <v>4 GB</v>
      </c>
      <c r="K321" s="1" t="s">
        <v>1491</v>
      </c>
      <c r="L321" s="1">
        <f t="shared" si="25"/>
        <v>16</v>
      </c>
      <c r="M321" s="1" t="s">
        <v>1813</v>
      </c>
      <c r="N321" s="1" t="str">
        <f t="shared" si="5"/>
        <v>512 GB</v>
      </c>
      <c r="O321" s="1" t="str">
        <f t="shared" si="6"/>
        <v>512 GB</v>
      </c>
      <c r="P321" s="1" t="s">
        <v>616</v>
      </c>
      <c r="Q321" s="1" t="str">
        <f t="shared" si="7"/>
        <v>1920x1080</v>
      </c>
      <c r="R321" s="1" t="s">
        <v>75</v>
      </c>
      <c r="S321" s="1" t="str">
        <f t="shared" si="8"/>
        <v>144Hz</v>
      </c>
      <c r="T321" s="1" t="s">
        <v>101</v>
      </c>
      <c r="U321" s="1" t="str">
        <f t="shared" si="9"/>
        <v>DOS</v>
      </c>
      <c r="V321" s="1" t="s">
        <v>1814</v>
      </c>
      <c r="W321" s="1" t="str">
        <f t="shared" si="10"/>
        <v>2.4 kg</v>
      </c>
      <c r="X321" s="1" t="s">
        <v>78</v>
      </c>
      <c r="Y321" s="1" t="str">
        <f t="shared" si="11"/>
        <v>1 Year</v>
      </c>
      <c r="Z321" s="4">
        <v>46149</v>
      </c>
      <c r="AA321" s="1" t="s">
        <v>5735</v>
      </c>
    </row>
    <row r="322" spans="1:27" ht="15.75" customHeight="1" x14ac:dyDescent="0.35">
      <c r="A322" s="1" t="s">
        <v>112</v>
      </c>
      <c r="B322" s="1" t="str">
        <f t="shared" si="16"/>
        <v>HP</v>
      </c>
      <c r="C322" s="1" t="s">
        <v>1817</v>
      </c>
      <c r="D322" s="1" t="str">
        <f t="shared" si="1"/>
        <v>Victus 16-E1002NE</v>
      </c>
      <c r="E322" s="1" t="str">
        <f t="array" aca="1" ref="E322" ca="1">IFERROR(
INDEX(Family_Map!$B$2:$B$35,
_xludf.AGGREGATE(14,6,(ROW(Family_Map!$A$2:$A$35)-ROW(Family_Map!$A$2)+1)/(ISNUMBER(SEARCH(Family_Map!$A$2:$A$35,D322))),1)
),
"Other")</f>
        <v>Other</v>
      </c>
      <c r="F322" s="1" t="s">
        <v>5746</v>
      </c>
      <c r="G322" s="1" t="e">
        <f t="shared" ca="1" si="2"/>
        <v>#NAME?</v>
      </c>
      <c r="H322" s="1" t="str">
        <f t="shared" ca="1" si="12"/>
        <v>Other</v>
      </c>
      <c r="I322" s="1" t="s">
        <v>439</v>
      </c>
      <c r="J322" s="1" t="str">
        <f t="shared" si="3"/>
        <v>4 GB</v>
      </c>
      <c r="K322" s="1" t="s">
        <v>1491</v>
      </c>
      <c r="L322" s="1">
        <f t="shared" si="25"/>
        <v>16</v>
      </c>
      <c r="M322" s="1" t="s">
        <v>1813</v>
      </c>
      <c r="N322" s="1" t="str">
        <f t="shared" si="5"/>
        <v>512 GB</v>
      </c>
      <c r="O322" s="1" t="str">
        <f t="shared" si="6"/>
        <v>512 GB</v>
      </c>
      <c r="P322" s="1" t="s">
        <v>616</v>
      </c>
      <c r="Q322" s="1" t="str">
        <f t="shared" si="7"/>
        <v>1920x1080</v>
      </c>
      <c r="R322" s="1" t="s">
        <v>75</v>
      </c>
      <c r="S322" s="1" t="str">
        <f t="shared" si="8"/>
        <v>144Hz</v>
      </c>
      <c r="T322" s="1" t="s">
        <v>101</v>
      </c>
      <c r="U322" s="1" t="str">
        <f t="shared" si="9"/>
        <v>DOS</v>
      </c>
      <c r="V322" s="1" t="s">
        <v>63</v>
      </c>
      <c r="W322" s="1" t="str">
        <f t="shared" si="10"/>
        <v>2.4 kg</v>
      </c>
      <c r="X322" s="1" t="s">
        <v>78</v>
      </c>
      <c r="Y322" s="1" t="str">
        <f t="shared" si="11"/>
        <v>1 Year</v>
      </c>
      <c r="Z322" s="4">
        <v>42000</v>
      </c>
      <c r="AA322" s="1" t="s">
        <v>5735</v>
      </c>
    </row>
    <row r="323" spans="1:27" ht="15.75" customHeight="1" x14ac:dyDescent="0.35">
      <c r="A323" s="1" t="s">
        <v>151</v>
      </c>
      <c r="B323" s="1" t="str">
        <f t="shared" si="16"/>
        <v>Lenovo</v>
      </c>
      <c r="C323" s="1" t="s">
        <v>1499</v>
      </c>
      <c r="D323" s="1" t="str">
        <f t="shared" si="1"/>
        <v>Legion 5 15ACH6H</v>
      </c>
      <c r="E323" s="1" t="str">
        <f t="array" aca="1" ref="E323" ca="1">IFERROR(
INDEX(Family_Map!$B$2:$B$35,
_xludf.AGGREGATE(14,6,(ROW(Family_Map!$A$2:$A$35)-ROW(Family_Map!$A$2)+1)/(ISNUMBER(SEARCH(Family_Map!$A$2:$A$35,D323))),1)
),
"Other")</f>
        <v>Other</v>
      </c>
      <c r="F323" s="1" t="s">
        <v>1821</v>
      </c>
      <c r="G323" s="1" t="e">
        <f t="shared" ca="1" si="2"/>
        <v>#NAME?</v>
      </c>
      <c r="H323" s="1" t="str">
        <f t="shared" ca="1" si="12"/>
        <v>Other</v>
      </c>
      <c r="I323" s="1" t="s">
        <v>410</v>
      </c>
      <c r="J323" s="1" t="str">
        <f t="shared" si="3"/>
        <v>8GB</v>
      </c>
      <c r="K323" s="1" t="s">
        <v>1077</v>
      </c>
      <c r="L323" s="1">
        <f t="shared" si="25"/>
        <v>16</v>
      </c>
      <c r="M323" s="1" t="s">
        <v>1506</v>
      </c>
      <c r="N323" s="1" t="str">
        <f t="shared" si="5"/>
        <v>512GB</v>
      </c>
      <c r="O323" s="1" t="str">
        <f t="shared" si="6"/>
        <v>512GB</v>
      </c>
      <c r="P323" s="1" t="s">
        <v>616</v>
      </c>
      <c r="Q323" s="1" t="str">
        <f t="shared" si="7"/>
        <v>1920x1080</v>
      </c>
      <c r="R323" s="1" t="s">
        <v>57</v>
      </c>
      <c r="S323" s="1" t="str">
        <f t="shared" si="8"/>
        <v>165Hz</v>
      </c>
      <c r="T323" s="1" t="s">
        <v>101</v>
      </c>
      <c r="U323" s="1" t="str">
        <f t="shared" si="9"/>
        <v>DOS</v>
      </c>
      <c r="V323" s="1" t="s">
        <v>63</v>
      </c>
      <c r="W323" s="1" t="str">
        <f t="shared" si="10"/>
        <v>2.4 kg</v>
      </c>
      <c r="X323" s="1" t="s">
        <v>78</v>
      </c>
      <c r="Y323" s="1" t="str">
        <f t="shared" si="11"/>
        <v>1 Year</v>
      </c>
      <c r="Z323" s="4">
        <v>50777</v>
      </c>
      <c r="AA323" s="1" t="s">
        <v>5735</v>
      </c>
    </row>
    <row r="324" spans="1:27" ht="15.75" customHeight="1" x14ac:dyDescent="0.35">
      <c r="A324" s="1" t="s">
        <v>151</v>
      </c>
      <c r="B324" s="1" t="str">
        <f t="shared" si="16"/>
        <v>Lenovo</v>
      </c>
      <c r="C324" s="1" t="s">
        <v>1714</v>
      </c>
      <c r="D324" s="1" t="str">
        <f t="shared" si="1"/>
        <v>Legion 5 15IAH7</v>
      </c>
      <c r="E324" s="1" t="str">
        <f t="array" aca="1" ref="E324" ca="1">IFERROR(
INDEX(Family_Map!$B$2:$B$35,
_xludf.AGGREGATE(14,6,(ROW(Family_Map!$A$2:$A$35)-ROW(Family_Map!$A$2)+1)/(ISNUMBER(SEARCH(Family_Map!$A$2:$A$35,D324))),1)
),
"Other")</f>
        <v>Other</v>
      </c>
      <c r="F324" s="1" t="s">
        <v>1826</v>
      </c>
      <c r="G324" s="1" t="e">
        <f t="shared" ca="1" si="2"/>
        <v>#NAME?</v>
      </c>
      <c r="H324" s="1" t="str">
        <f t="shared" ca="1" si="12"/>
        <v>Other</v>
      </c>
      <c r="I324" s="1" t="s">
        <v>507</v>
      </c>
      <c r="J324" s="1" t="str">
        <f t="shared" si="3"/>
        <v>4GB</v>
      </c>
      <c r="K324" s="1" t="s">
        <v>1827</v>
      </c>
      <c r="L324" s="1">
        <f t="shared" si="25"/>
        <v>16</v>
      </c>
      <c r="M324" s="1" t="s">
        <v>156</v>
      </c>
      <c r="N324" s="1" t="str">
        <f t="shared" si="5"/>
        <v>512GB</v>
      </c>
      <c r="O324" s="1" t="str">
        <f t="shared" si="6"/>
        <v>512GB</v>
      </c>
      <c r="P324" s="1" t="s">
        <v>1493</v>
      </c>
      <c r="Q324" s="1" t="str">
        <f t="shared" si="7"/>
        <v>2560x1440</v>
      </c>
      <c r="R324" s="1" t="s">
        <v>57</v>
      </c>
      <c r="S324" s="1" t="str">
        <f t="shared" si="8"/>
        <v>165Hz</v>
      </c>
      <c r="T324" s="1" t="s">
        <v>101</v>
      </c>
      <c r="U324" s="1" t="str">
        <f t="shared" si="9"/>
        <v>DOS</v>
      </c>
      <c r="V324" s="1" t="s">
        <v>789</v>
      </c>
      <c r="W324" s="1" t="str">
        <f t="shared" si="10"/>
        <v>2.35 kg</v>
      </c>
      <c r="X324" s="1" t="s">
        <v>78</v>
      </c>
      <c r="Y324" s="1" t="str">
        <f t="shared" si="11"/>
        <v>1 Year</v>
      </c>
      <c r="Z324" s="4">
        <v>43499</v>
      </c>
      <c r="AA324" s="1" t="s">
        <v>166</v>
      </c>
    </row>
    <row r="325" spans="1:27" ht="15.75" customHeight="1" x14ac:dyDescent="0.35">
      <c r="A325" s="1" t="s">
        <v>151</v>
      </c>
      <c r="B325" s="1" t="str">
        <f t="shared" si="16"/>
        <v>Lenovo</v>
      </c>
      <c r="C325" s="1" t="s">
        <v>826</v>
      </c>
      <c r="D325" s="1" t="str">
        <f t="shared" si="1"/>
        <v>IdeaPad Gaming 3 15ACH6</v>
      </c>
      <c r="E325" s="1" t="str">
        <f t="array" aca="1" ref="E325" ca="1">IFERROR(
INDEX(Family_Map!$B$2:$B$35,
_xludf.AGGREGATE(14,6,(ROW(Family_Map!$A$2:$A$35)-ROW(Family_Map!$A$2)+1)/(ISNUMBER(SEARCH(Family_Map!$A$2:$A$35,D325))),1)
),
"Other")</f>
        <v>Other</v>
      </c>
      <c r="F325" s="1" t="s">
        <v>1601</v>
      </c>
      <c r="G325" s="1" t="e">
        <f t="shared" ca="1" si="2"/>
        <v>#NAME?</v>
      </c>
      <c r="H325" s="1" t="str">
        <f t="shared" ca="1" si="12"/>
        <v>Other</v>
      </c>
      <c r="I325" s="1" t="s">
        <v>70</v>
      </c>
      <c r="J325" s="1" t="str">
        <f t="shared" si="3"/>
        <v>6GB</v>
      </c>
      <c r="K325" s="1" t="s">
        <v>1830</v>
      </c>
      <c r="L325" s="1">
        <f t="shared" si="25"/>
        <v>16</v>
      </c>
      <c r="M325" s="1" t="s">
        <v>1520</v>
      </c>
      <c r="N325" s="1" t="str">
        <f t="shared" si="5"/>
        <v>512GB</v>
      </c>
      <c r="O325" s="1" t="str">
        <f t="shared" si="6"/>
        <v>512GB</v>
      </c>
      <c r="P325" s="1" t="s">
        <v>616</v>
      </c>
      <c r="Q325" s="1" t="str">
        <f t="shared" si="7"/>
        <v>1920x1080</v>
      </c>
      <c r="R325" s="1" t="s">
        <v>57</v>
      </c>
      <c r="S325" s="1" t="str">
        <f t="shared" si="8"/>
        <v>165Hz</v>
      </c>
      <c r="T325" s="1" t="s">
        <v>101</v>
      </c>
      <c r="U325" s="1" t="str">
        <f t="shared" si="9"/>
        <v>DOS</v>
      </c>
      <c r="V325" s="1" t="s">
        <v>652</v>
      </c>
      <c r="W325" s="1" t="str">
        <f t="shared" si="10"/>
        <v>2.25 kg</v>
      </c>
      <c r="X325" s="1" t="s">
        <v>78</v>
      </c>
      <c r="Y325" s="1" t="str">
        <f t="shared" si="11"/>
        <v>1 Year</v>
      </c>
      <c r="Z325" s="4">
        <v>43800</v>
      </c>
      <c r="AA325" s="1" t="s">
        <v>5735</v>
      </c>
    </row>
    <row r="326" spans="1:27" ht="15.75" customHeight="1" x14ac:dyDescent="0.35">
      <c r="A326" s="1" t="s">
        <v>151</v>
      </c>
      <c r="B326" s="1" t="str">
        <f t="shared" si="16"/>
        <v>Lenovo</v>
      </c>
      <c r="C326" s="1" t="s">
        <v>826</v>
      </c>
      <c r="D326" s="1" t="str">
        <f t="shared" si="1"/>
        <v>IdeaPad Gaming 3 15ACH6</v>
      </c>
      <c r="E326" s="1" t="str">
        <f t="array" aca="1" ref="E326" ca="1">IFERROR(
INDEX(Family_Map!$B$2:$B$35,
_xludf.AGGREGATE(14,6,(ROW(Family_Map!$A$2:$A$35)-ROW(Family_Map!$A$2)+1)/(ISNUMBER(SEARCH(Family_Map!$A$2:$A$35,D326))),1)
),
"Other")</f>
        <v>Other</v>
      </c>
      <c r="F326" s="1" t="s">
        <v>1832</v>
      </c>
      <c r="G326" s="1" t="e">
        <f t="shared" ca="1" si="2"/>
        <v>#NAME?</v>
      </c>
      <c r="H326" s="1" t="str">
        <f t="shared" ca="1" si="12"/>
        <v>Other</v>
      </c>
      <c r="I326" s="1" t="s">
        <v>70</v>
      </c>
      <c r="J326" s="1" t="str">
        <f t="shared" si="3"/>
        <v>6GB</v>
      </c>
      <c r="K326" s="1" t="s">
        <v>1448</v>
      </c>
      <c r="L326" s="1">
        <v>8</v>
      </c>
      <c r="M326" s="1" t="s">
        <v>1506</v>
      </c>
      <c r="N326" s="1" t="str">
        <f t="shared" si="5"/>
        <v>512GB</v>
      </c>
      <c r="O326" s="1" t="str">
        <f t="shared" si="6"/>
        <v>512GB</v>
      </c>
      <c r="P326" s="1" t="s">
        <v>616</v>
      </c>
      <c r="Q326" s="1" t="str">
        <f t="shared" si="7"/>
        <v>1920x1080</v>
      </c>
      <c r="R326" s="1" t="s">
        <v>39</v>
      </c>
      <c r="S326" s="1" t="str">
        <f t="shared" si="8"/>
        <v>120Hz</v>
      </c>
      <c r="T326" s="1" t="s">
        <v>101</v>
      </c>
      <c r="U326" s="1" t="str">
        <f t="shared" si="9"/>
        <v>DOS</v>
      </c>
      <c r="V326" s="1" t="s">
        <v>652</v>
      </c>
      <c r="W326" s="1" t="str">
        <f t="shared" si="10"/>
        <v>2.25 kg</v>
      </c>
      <c r="X326" s="1" t="s">
        <v>78</v>
      </c>
      <c r="Y326" s="1" t="str">
        <f t="shared" si="11"/>
        <v>1 Year</v>
      </c>
      <c r="Z326" s="4">
        <v>43000</v>
      </c>
      <c r="AA326" s="1" t="s">
        <v>5735</v>
      </c>
    </row>
    <row r="327" spans="1:27" ht="15.75" customHeight="1" x14ac:dyDescent="0.35">
      <c r="A327" s="1" t="s">
        <v>112</v>
      </c>
      <c r="B327" s="1" t="str">
        <f t="shared" si="16"/>
        <v>HP</v>
      </c>
      <c r="C327" s="1" t="s">
        <v>1835</v>
      </c>
      <c r="D327" s="1" t="str">
        <f t="shared" si="1"/>
        <v>Victus 16-E1027NE</v>
      </c>
      <c r="E327" s="1" t="str">
        <f t="array" aca="1" ref="E327" ca="1">IFERROR(
INDEX(Family_Map!$B$2:$B$35,
_xludf.AGGREGATE(14,6,(ROW(Family_Map!$A$2:$A$35)-ROW(Family_Map!$A$2)+1)/(ISNUMBER(SEARCH(Family_Map!$A$2:$A$35,D327))),1)
),
"Other")</f>
        <v>Other</v>
      </c>
      <c r="F327" s="1" t="s">
        <v>5746</v>
      </c>
      <c r="G327" s="1" t="e">
        <f t="shared" ca="1" si="2"/>
        <v>#NAME?</v>
      </c>
      <c r="H327" s="1" t="str">
        <f t="shared" ca="1" si="12"/>
        <v>Other</v>
      </c>
      <c r="I327" s="1" t="s">
        <v>1836</v>
      </c>
      <c r="J327" s="1" t="str">
        <f t="shared" si="3"/>
        <v>4 GB</v>
      </c>
      <c r="K327" s="1" t="s">
        <v>1491</v>
      </c>
      <c r="L327" s="1">
        <f t="shared" ref="L327:L347" si="26">IFERROR(
VALUE(SUBSTITUTE(SUBSTITUTE(LEFT(UPPER(TRIM(K327)),FIND("GB",UPPER(K327)&amp;"GB")+1),"GB","")," ","")),
IFERROR(
VALUE(SUBSTITUTE(SUBSTITUTE(MID(UPPER(K327),FIND("GB",UPPER(K327)&amp;"GB")-3,3),"GB","")," ",""))
*
IF(
OR(
ISNUMBER(SEARCH("2X",UPPER(K327))),
ISNUMBER(SEARCH("X 2",UPPER(K327))),
ISNUMBER(SEARCH("*2",UPPER(K327))),
ISNUMBER(SEARCH("2*",UPPER(K327))),
ISNUMBER(SEARCH("(2 X",UPPER(K327)))
),
2,1),
"")
)</f>
        <v>16</v>
      </c>
      <c r="M327" s="1" t="s">
        <v>1813</v>
      </c>
      <c r="N327" s="1" t="str">
        <f t="shared" si="5"/>
        <v>512 GB</v>
      </c>
      <c r="O327" s="1" t="str">
        <f t="shared" si="6"/>
        <v>512 GB</v>
      </c>
      <c r="P327" s="1" t="s">
        <v>616</v>
      </c>
      <c r="Q327" s="1" t="str">
        <f t="shared" si="7"/>
        <v>1920x1080</v>
      </c>
      <c r="R327" s="1" t="s">
        <v>75</v>
      </c>
      <c r="S327" s="1" t="str">
        <f t="shared" si="8"/>
        <v>144Hz</v>
      </c>
      <c r="T327" s="1" t="s">
        <v>101</v>
      </c>
      <c r="U327" s="1" t="str">
        <f t="shared" si="9"/>
        <v>DOS</v>
      </c>
      <c r="V327" s="1" t="s">
        <v>1814</v>
      </c>
      <c r="W327" s="1" t="str">
        <f t="shared" si="10"/>
        <v>2.4 kg</v>
      </c>
      <c r="X327" s="1" t="s">
        <v>78</v>
      </c>
      <c r="Y327" s="1" t="str">
        <f t="shared" si="11"/>
        <v>1 Year</v>
      </c>
      <c r="Z327" s="4">
        <v>58888</v>
      </c>
      <c r="AA327" s="1" t="s">
        <v>5735</v>
      </c>
    </row>
    <row r="328" spans="1:27" ht="15.75" customHeight="1" x14ac:dyDescent="0.35">
      <c r="A328" s="1" t="s">
        <v>112</v>
      </c>
      <c r="B328" s="1" t="str">
        <f t="shared" si="16"/>
        <v>HP</v>
      </c>
      <c r="C328" s="1" t="s">
        <v>1838</v>
      </c>
      <c r="D328" s="1" t="str">
        <f t="shared" si="1"/>
        <v>Victus 16-E1011NE</v>
      </c>
      <c r="E328" s="1" t="str">
        <f t="array" aca="1" ref="E328" ca="1">IFERROR(
INDEX(Family_Map!$B$2:$B$35,
_xludf.AGGREGATE(14,6,(ROW(Family_Map!$A$2:$A$35)-ROW(Family_Map!$A$2)+1)/(ISNUMBER(SEARCH(Family_Map!$A$2:$A$35,D328))),1)
),
"Other")</f>
        <v>Other</v>
      </c>
      <c r="F328" s="1" t="s">
        <v>1798</v>
      </c>
      <c r="G328" s="1" t="e">
        <f t="shared" ca="1" si="2"/>
        <v>#NAME?</v>
      </c>
      <c r="H328" s="1" t="str">
        <f t="shared" ca="1" si="12"/>
        <v>Other</v>
      </c>
      <c r="I328" s="1" t="s">
        <v>1836</v>
      </c>
      <c r="J328" s="1" t="str">
        <f t="shared" si="3"/>
        <v>4 GB</v>
      </c>
      <c r="K328" s="1" t="s">
        <v>1454</v>
      </c>
      <c r="L328" s="1">
        <f t="shared" si="26"/>
        <v>16</v>
      </c>
      <c r="M328" s="1" t="s">
        <v>1813</v>
      </c>
      <c r="N328" s="1" t="str">
        <f t="shared" si="5"/>
        <v>512 GB</v>
      </c>
      <c r="O328" s="1" t="str">
        <f t="shared" si="6"/>
        <v>512 GB</v>
      </c>
      <c r="P328" s="1" t="s">
        <v>616</v>
      </c>
      <c r="Q328" s="1" t="str">
        <f t="shared" si="7"/>
        <v>1920x1080</v>
      </c>
      <c r="R328" s="1" t="s">
        <v>75</v>
      </c>
      <c r="S328" s="1" t="str">
        <f t="shared" si="8"/>
        <v>144Hz</v>
      </c>
      <c r="T328" s="1" t="s">
        <v>101</v>
      </c>
      <c r="U328" s="1" t="str">
        <f t="shared" si="9"/>
        <v>DOS</v>
      </c>
      <c r="V328" s="1" t="s">
        <v>1814</v>
      </c>
      <c r="W328" s="1" t="str">
        <f t="shared" si="10"/>
        <v>2.4 kg</v>
      </c>
      <c r="X328" s="1" t="s">
        <v>78</v>
      </c>
      <c r="Y328" s="1" t="str">
        <f t="shared" si="11"/>
        <v>1 Year</v>
      </c>
      <c r="Z328" s="4">
        <v>46149</v>
      </c>
      <c r="AA328" s="1" t="s">
        <v>5735</v>
      </c>
    </row>
    <row r="329" spans="1:27" ht="15.75" customHeight="1" x14ac:dyDescent="0.35">
      <c r="A329" s="1" t="s">
        <v>112</v>
      </c>
      <c r="B329" s="1" t="str">
        <f t="shared" si="16"/>
        <v>HP</v>
      </c>
      <c r="C329" s="1" t="s">
        <v>1840</v>
      </c>
      <c r="D329" s="1" t="str">
        <f t="shared" si="1"/>
        <v>Victus 16-E1012NE</v>
      </c>
      <c r="E329" s="1" t="str">
        <f t="array" aca="1" ref="E329" ca="1">IFERROR(
INDEX(Family_Map!$B$2:$B$35,
_xludf.AGGREGATE(14,6,(ROW(Family_Map!$A$2:$A$35)-ROW(Family_Map!$A$2)+1)/(ISNUMBER(SEARCH(Family_Map!$A$2:$A$35,D329))),1)
),
"Other")</f>
        <v>Other</v>
      </c>
      <c r="F329" s="1" t="s">
        <v>1798</v>
      </c>
      <c r="G329" s="1" t="e">
        <f t="shared" ca="1" si="2"/>
        <v>#NAME?</v>
      </c>
      <c r="H329" s="1" t="str">
        <f t="shared" ca="1" si="12"/>
        <v>Other</v>
      </c>
      <c r="I329" s="1" t="s">
        <v>1836</v>
      </c>
      <c r="J329" s="1" t="str">
        <f t="shared" si="3"/>
        <v>4 GB</v>
      </c>
      <c r="K329" s="1" t="s">
        <v>1491</v>
      </c>
      <c r="L329" s="1">
        <f t="shared" si="26"/>
        <v>16</v>
      </c>
      <c r="M329" s="1" t="s">
        <v>1813</v>
      </c>
      <c r="N329" s="1" t="str">
        <f t="shared" si="5"/>
        <v>512 GB</v>
      </c>
      <c r="O329" s="1" t="str">
        <f t="shared" si="6"/>
        <v>512 GB</v>
      </c>
      <c r="P329" s="1" t="s">
        <v>120</v>
      </c>
      <c r="Q329" s="1" t="str">
        <f t="shared" si="7"/>
        <v>1920x1080</v>
      </c>
      <c r="R329" s="1" t="s">
        <v>75</v>
      </c>
      <c r="S329" s="1" t="str">
        <f t="shared" si="8"/>
        <v>144Hz</v>
      </c>
      <c r="T329" s="1" t="s">
        <v>101</v>
      </c>
      <c r="U329" s="1" t="str">
        <f t="shared" si="9"/>
        <v>DOS</v>
      </c>
      <c r="V329" s="1" t="s">
        <v>1814</v>
      </c>
      <c r="W329" s="1" t="str">
        <f t="shared" si="10"/>
        <v>2.4 kg</v>
      </c>
      <c r="X329" s="1" t="s">
        <v>78</v>
      </c>
      <c r="Y329" s="1" t="str">
        <f t="shared" si="11"/>
        <v>1 Year</v>
      </c>
      <c r="Z329" s="4">
        <v>46149</v>
      </c>
      <c r="AA329" s="1" t="s">
        <v>5735</v>
      </c>
    </row>
    <row r="330" spans="1:27" ht="15.75" customHeight="1" x14ac:dyDescent="0.35">
      <c r="A330" s="1" t="s">
        <v>112</v>
      </c>
      <c r="B330" s="1" t="str">
        <f t="shared" si="16"/>
        <v>HP</v>
      </c>
      <c r="C330" s="1" t="s">
        <v>1843</v>
      </c>
      <c r="D330" s="1" t="str">
        <f t="shared" si="1"/>
        <v>Victus 16-R0044NE</v>
      </c>
      <c r="E330" s="1" t="str">
        <f t="array" aca="1" ref="E330" ca="1">IFERROR(
INDEX(Family_Map!$B$2:$B$35,
_xludf.AGGREGATE(14,6,(ROW(Family_Map!$A$2:$A$35)-ROW(Family_Map!$A$2)+1)/(ISNUMBER(SEARCH(Family_Map!$A$2:$A$35,D330))),1)
),
"Other")</f>
        <v>Other</v>
      </c>
      <c r="F330" s="1" t="s">
        <v>402</v>
      </c>
      <c r="G330" s="1" t="e">
        <f t="shared" ca="1" si="2"/>
        <v>#NAME?</v>
      </c>
      <c r="H330" s="1" t="str">
        <f t="shared" ca="1" si="12"/>
        <v>Other</v>
      </c>
      <c r="I330" s="1" t="s">
        <v>772</v>
      </c>
      <c r="J330" s="1" t="str">
        <f t="shared" si="3"/>
        <v>6 GB</v>
      </c>
      <c r="K330" s="1" t="s">
        <v>819</v>
      </c>
      <c r="L330" s="1">
        <f t="shared" si="26"/>
        <v>16</v>
      </c>
      <c r="M330" s="1" t="s">
        <v>735</v>
      </c>
      <c r="N330" s="1" t="str">
        <f t="shared" si="5"/>
        <v>1 TB</v>
      </c>
      <c r="O330" s="1" t="str">
        <f t="shared" si="6"/>
        <v>1024GB</v>
      </c>
      <c r="P330" s="1" t="s">
        <v>616</v>
      </c>
      <c r="Q330" s="1" t="str">
        <f t="shared" si="7"/>
        <v>1920x1080</v>
      </c>
      <c r="R330" s="1" t="s">
        <v>75</v>
      </c>
      <c r="S330" s="1" t="str">
        <f t="shared" si="8"/>
        <v>144Hz</v>
      </c>
      <c r="T330" s="1" t="s">
        <v>101</v>
      </c>
      <c r="U330" s="1" t="str">
        <f t="shared" si="9"/>
        <v>DOS</v>
      </c>
      <c r="V330" s="1" t="s">
        <v>267</v>
      </c>
      <c r="W330" s="1" t="str">
        <f t="shared" si="10"/>
        <v>2.33 kg</v>
      </c>
      <c r="X330" s="1" t="s">
        <v>78</v>
      </c>
      <c r="Y330" s="1" t="str">
        <f t="shared" si="11"/>
        <v>1 Year</v>
      </c>
      <c r="Z330" s="4">
        <v>55999</v>
      </c>
      <c r="AA330" s="1" t="s">
        <v>79</v>
      </c>
    </row>
    <row r="331" spans="1:27" ht="15.75" customHeight="1" x14ac:dyDescent="0.35">
      <c r="A331" s="1" t="s">
        <v>112</v>
      </c>
      <c r="B331" s="1" t="str">
        <f t="shared" si="16"/>
        <v>HP</v>
      </c>
      <c r="C331" s="1" t="s">
        <v>1846</v>
      </c>
      <c r="D331" s="1" t="str">
        <f t="shared" si="1"/>
        <v>Victus 16-E1026NE</v>
      </c>
      <c r="E331" s="1" t="str">
        <f t="array" aca="1" ref="E331" ca="1">IFERROR(
INDEX(Family_Map!$B$2:$B$35,
_xludf.AGGREGATE(14,6,(ROW(Family_Map!$A$2:$A$35)-ROW(Family_Map!$A$2)+1)/(ISNUMBER(SEARCH(Family_Map!$A$2:$A$35,D331))),1)
),
"Other")</f>
        <v>Other</v>
      </c>
      <c r="F331" s="1" t="s">
        <v>5746</v>
      </c>
      <c r="G331" s="1" t="e">
        <f t="shared" ca="1" si="2"/>
        <v>#NAME?</v>
      </c>
      <c r="H331" s="1" t="str">
        <f t="shared" ca="1" si="12"/>
        <v>Other</v>
      </c>
      <c r="I331" s="1" t="s">
        <v>1836</v>
      </c>
      <c r="J331" s="1" t="str">
        <f t="shared" si="3"/>
        <v>4 GB</v>
      </c>
      <c r="K331" s="1" t="s">
        <v>1491</v>
      </c>
      <c r="L331" s="1">
        <f t="shared" si="26"/>
        <v>16</v>
      </c>
      <c r="M331" s="1" t="s">
        <v>1813</v>
      </c>
      <c r="N331" s="1" t="str">
        <f t="shared" si="5"/>
        <v>512 GB</v>
      </c>
      <c r="O331" s="1" t="str">
        <f t="shared" si="6"/>
        <v>512 GB</v>
      </c>
      <c r="P331" s="1" t="s">
        <v>120</v>
      </c>
      <c r="Q331" s="1" t="str">
        <f t="shared" si="7"/>
        <v>1920x1080</v>
      </c>
      <c r="R331" s="1" t="s">
        <v>75</v>
      </c>
      <c r="S331" s="1" t="str">
        <f t="shared" si="8"/>
        <v>144Hz</v>
      </c>
      <c r="T331" s="1" t="s">
        <v>101</v>
      </c>
      <c r="U331" s="1" t="str">
        <f t="shared" si="9"/>
        <v>DOS</v>
      </c>
      <c r="V331" s="1" t="s">
        <v>1814</v>
      </c>
      <c r="W331" s="1" t="str">
        <f t="shared" si="10"/>
        <v>2.4 kg</v>
      </c>
      <c r="X331" s="1" t="s">
        <v>78</v>
      </c>
      <c r="Y331" s="1" t="str">
        <f t="shared" si="11"/>
        <v>1 Year</v>
      </c>
      <c r="Z331" s="4">
        <v>36999</v>
      </c>
      <c r="AA331" s="1" t="s">
        <v>5735</v>
      </c>
    </row>
    <row r="332" spans="1:27" ht="15.75" customHeight="1" x14ac:dyDescent="0.35">
      <c r="A332" s="1" t="s">
        <v>112</v>
      </c>
      <c r="B332" s="1" t="str">
        <f t="shared" si="16"/>
        <v>HP</v>
      </c>
      <c r="C332" s="1" t="s">
        <v>1848</v>
      </c>
      <c r="D332" s="1" t="str">
        <f t="shared" si="1"/>
        <v>Victus 15-FA1106NE</v>
      </c>
      <c r="E332" s="1" t="str">
        <f t="array" aca="1" ref="E332" ca="1">IFERROR(
INDEX(Family_Map!$B$2:$B$35,
_xludf.AGGREGATE(14,6,(ROW(Family_Map!$A$2:$A$35)-ROW(Family_Map!$A$2)+1)/(ISNUMBER(SEARCH(Family_Map!$A$2:$A$35,D332))),1)
),
"Other")</f>
        <v>Other</v>
      </c>
      <c r="F332" s="1" t="s">
        <v>818</v>
      </c>
      <c r="G332" s="1" t="e">
        <f t="shared" ca="1" si="2"/>
        <v>#NAME?</v>
      </c>
      <c r="H332" s="1" t="str">
        <f t="shared" ca="1" si="12"/>
        <v>Other</v>
      </c>
      <c r="I332" s="1" t="s">
        <v>70</v>
      </c>
      <c r="J332" s="1" t="str">
        <f t="shared" si="3"/>
        <v>6GB</v>
      </c>
      <c r="K332" s="1" t="s">
        <v>1462</v>
      </c>
      <c r="L332" s="1">
        <f t="shared" si="26"/>
        <v>16</v>
      </c>
      <c r="M332" s="1" t="s">
        <v>136</v>
      </c>
      <c r="N332" s="1" t="str">
        <f t="shared" si="5"/>
        <v>512 GB</v>
      </c>
      <c r="O332" s="1" t="str">
        <f t="shared" si="6"/>
        <v>512 GB</v>
      </c>
      <c r="P332" s="1" t="s">
        <v>616</v>
      </c>
      <c r="Q332" s="1" t="str">
        <f t="shared" si="7"/>
        <v>1920x1080</v>
      </c>
      <c r="R332" s="1" t="s">
        <v>75</v>
      </c>
      <c r="S332" s="1" t="str">
        <f t="shared" si="8"/>
        <v>144Hz</v>
      </c>
      <c r="T332" s="1" t="s">
        <v>101</v>
      </c>
      <c r="U332" s="1" t="str">
        <f t="shared" si="9"/>
        <v>DOS</v>
      </c>
      <c r="V332" s="1" t="s">
        <v>127</v>
      </c>
      <c r="W332" s="1" t="str">
        <f t="shared" si="10"/>
        <v>2.29 kg</v>
      </c>
      <c r="X332" s="1" t="s">
        <v>78</v>
      </c>
      <c r="Y332" s="1" t="str">
        <f t="shared" si="11"/>
        <v>1 Year</v>
      </c>
      <c r="Z332" s="4">
        <v>50499</v>
      </c>
      <c r="AA332" s="1" t="s">
        <v>79</v>
      </c>
    </row>
    <row r="333" spans="1:27" ht="15.75" customHeight="1" x14ac:dyDescent="0.35">
      <c r="A333" s="1" t="s">
        <v>112</v>
      </c>
      <c r="B333" s="1" t="str">
        <f t="shared" si="16"/>
        <v>HP</v>
      </c>
      <c r="C333" s="1" t="s">
        <v>1850</v>
      </c>
      <c r="D333" s="1" t="str">
        <f t="shared" si="1"/>
        <v>Victus 15-FA1104NE</v>
      </c>
      <c r="E333" s="1" t="str">
        <f t="array" aca="1" ref="E333" ca="1">IFERROR(
INDEX(Family_Map!$B$2:$B$35,
_xludf.AGGREGATE(14,6,(ROW(Family_Map!$A$2:$A$35)-ROW(Family_Map!$A$2)+1)/(ISNUMBER(SEARCH(Family_Map!$A$2:$A$35,D333))),1)
),
"Other")</f>
        <v>Other</v>
      </c>
      <c r="F333" s="1" t="s">
        <v>818</v>
      </c>
      <c r="G333" s="1" t="e">
        <f t="shared" ca="1" si="2"/>
        <v>#NAME?</v>
      </c>
      <c r="H333" s="1" t="str">
        <f t="shared" ca="1" si="12"/>
        <v>Other</v>
      </c>
      <c r="I333" s="1" t="s">
        <v>70</v>
      </c>
      <c r="J333" s="1" t="str">
        <f t="shared" si="3"/>
        <v>6GB</v>
      </c>
      <c r="K333" s="1" t="s">
        <v>1851</v>
      </c>
      <c r="L333" s="1">
        <f t="shared" si="26"/>
        <v>16</v>
      </c>
      <c r="M333" s="1" t="s">
        <v>1463</v>
      </c>
      <c r="N333" s="1" t="str">
        <f t="shared" si="5"/>
        <v>512GB</v>
      </c>
      <c r="O333" s="1" t="str">
        <f t="shared" si="6"/>
        <v>512GB</v>
      </c>
      <c r="P333" s="1" t="s">
        <v>616</v>
      </c>
      <c r="Q333" s="1" t="str">
        <f t="shared" si="7"/>
        <v>1920x1080</v>
      </c>
      <c r="R333" s="1" t="s">
        <v>75</v>
      </c>
      <c r="S333" s="1" t="str">
        <f t="shared" si="8"/>
        <v>144Hz</v>
      </c>
      <c r="T333" s="1" t="s">
        <v>101</v>
      </c>
      <c r="U333" s="1" t="str">
        <f t="shared" si="9"/>
        <v>DOS</v>
      </c>
      <c r="V333" s="1" t="s">
        <v>127</v>
      </c>
      <c r="W333" s="1" t="str">
        <f t="shared" si="10"/>
        <v>2.29 kg</v>
      </c>
      <c r="X333" s="1" t="s">
        <v>78</v>
      </c>
      <c r="Y333" s="1" t="str">
        <f t="shared" si="11"/>
        <v>1 Year</v>
      </c>
      <c r="Z333" s="4">
        <v>50999</v>
      </c>
      <c r="AA333" s="1" t="s">
        <v>79</v>
      </c>
    </row>
    <row r="334" spans="1:27" ht="15.75" customHeight="1" x14ac:dyDescent="0.35">
      <c r="A334" s="1" t="s">
        <v>112</v>
      </c>
      <c r="B334" s="1" t="str">
        <f t="shared" si="16"/>
        <v>HP</v>
      </c>
      <c r="C334" s="1" t="s">
        <v>1858</v>
      </c>
      <c r="D334" s="1" t="str">
        <f t="shared" si="1"/>
        <v>Victus 15-FB0072NIA</v>
      </c>
      <c r="E334" s="1" t="str">
        <f t="array" aca="1" ref="E334" ca="1">IFERROR(
INDEX(Family_Map!$B$2:$B$35,
_xludf.AGGREGATE(14,6,(ROW(Family_Map!$A$2:$A$35)-ROW(Family_Map!$A$2)+1)/(ISNUMBER(SEARCH(Family_Map!$A$2:$A$35,D334))),1)
),
"Other")</f>
        <v>Other</v>
      </c>
      <c r="F334" s="1" t="s">
        <v>1711</v>
      </c>
      <c r="G334" s="1" t="e">
        <f t="shared" ca="1" si="2"/>
        <v>#NAME?</v>
      </c>
      <c r="H334" s="1" t="str">
        <f t="shared" ca="1" si="12"/>
        <v>Other</v>
      </c>
      <c r="I334" s="1" t="s">
        <v>507</v>
      </c>
      <c r="J334" s="1" t="str">
        <f t="shared" si="3"/>
        <v>4GB</v>
      </c>
      <c r="K334" s="1" t="s">
        <v>1525</v>
      </c>
      <c r="L334" s="1">
        <f t="shared" si="26"/>
        <v>8</v>
      </c>
      <c r="M334" s="1" t="s">
        <v>136</v>
      </c>
      <c r="N334" s="1" t="str">
        <f t="shared" si="5"/>
        <v>512 GB</v>
      </c>
      <c r="O334" s="1" t="str">
        <f t="shared" si="6"/>
        <v>512 GB</v>
      </c>
      <c r="P334" s="1" t="s">
        <v>616</v>
      </c>
      <c r="Q334" s="1" t="str">
        <f t="shared" si="7"/>
        <v>1920x1080</v>
      </c>
      <c r="R334" s="1" t="s">
        <v>75</v>
      </c>
      <c r="S334" s="1" t="str">
        <f t="shared" si="8"/>
        <v>144Hz</v>
      </c>
      <c r="T334" s="1" t="s">
        <v>101</v>
      </c>
      <c r="U334" s="1" t="str">
        <f t="shared" si="9"/>
        <v>DOS</v>
      </c>
      <c r="V334" s="1" t="s">
        <v>127</v>
      </c>
      <c r="W334" s="1" t="str">
        <f t="shared" si="10"/>
        <v>2.29 kg</v>
      </c>
      <c r="X334" s="1" t="s">
        <v>78</v>
      </c>
      <c r="Y334" s="1" t="str">
        <f t="shared" si="11"/>
        <v>1 Year</v>
      </c>
      <c r="Z334" s="4">
        <v>30999</v>
      </c>
      <c r="AA334" s="1" t="s">
        <v>5735</v>
      </c>
    </row>
    <row r="335" spans="1:27" ht="15.75" customHeight="1" x14ac:dyDescent="0.35">
      <c r="A335" s="1" t="s">
        <v>112</v>
      </c>
      <c r="B335" s="1" t="str">
        <f t="shared" si="16"/>
        <v>HP</v>
      </c>
      <c r="C335" s="1" t="s">
        <v>1860</v>
      </c>
      <c r="D335" s="1" t="str">
        <f t="shared" si="1"/>
        <v>Victus 15-FB0071NIA</v>
      </c>
      <c r="E335" s="1" t="str">
        <f t="array" aca="1" ref="E335" ca="1">IFERROR(
INDEX(Family_Map!$B$2:$B$35,
_xludf.AGGREGATE(14,6,(ROW(Family_Map!$A$2:$A$35)-ROW(Family_Map!$A$2)+1)/(ISNUMBER(SEARCH(Family_Map!$A$2:$A$35,D335))),1)
),
"Other")</f>
        <v>Other</v>
      </c>
      <c r="F335" s="1" t="s">
        <v>1649</v>
      </c>
      <c r="G335" s="1" t="e">
        <f t="shared" ca="1" si="2"/>
        <v>#NAME?</v>
      </c>
      <c r="H335" s="1" t="str">
        <f t="shared" ca="1" si="12"/>
        <v>Other</v>
      </c>
      <c r="I335" s="1" t="s">
        <v>507</v>
      </c>
      <c r="J335" s="1" t="str">
        <f t="shared" si="3"/>
        <v>4GB</v>
      </c>
      <c r="K335" s="1" t="s">
        <v>1525</v>
      </c>
      <c r="L335" s="1">
        <f t="shared" si="26"/>
        <v>8</v>
      </c>
      <c r="M335" s="1" t="s">
        <v>136</v>
      </c>
      <c r="N335" s="1" t="str">
        <f t="shared" si="5"/>
        <v>512 GB</v>
      </c>
      <c r="O335" s="1" t="str">
        <f t="shared" si="6"/>
        <v>512 GB</v>
      </c>
      <c r="P335" s="1" t="s">
        <v>120</v>
      </c>
      <c r="Q335" s="1" t="str">
        <f t="shared" si="7"/>
        <v>1920x1080</v>
      </c>
      <c r="R335" s="1" t="s">
        <v>75</v>
      </c>
      <c r="S335" s="1" t="str">
        <f t="shared" si="8"/>
        <v>144Hz</v>
      </c>
      <c r="T335" s="1" t="s">
        <v>101</v>
      </c>
      <c r="U335" s="1" t="str">
        <f t="shared" si="9"/>
        <v>DOS</v>
      </c>
      <c r="V335" s="1" t="s">
        <v>127</v>
      </c>
      <c r="W335" s="1" t="str">
        <f t="shared" si="10"/>
        <v>2.29 kg</v>
      </c>
      <c r="X335" s="1" t="s">
        <v>78</v>
      </c>
      <c r="Y335" s="1" t="str">
        <f t="shared" si="11"/>
        <v>1 Year</v>
      </c>
      <c r="Z335" s="4">
        <v>28999</v>
      </c>
      <c r="AA335" s="1" t="s">
        <v>5735</v>
      </c>
    </row>
    <row r="336" spans="1:27" ht="15.75" customHeight="1" x14ac:dyDescent="0.35">
      <c r="A336" s="1" t="s">
        <v>234</v>
      </c>
      <c r="B336" s="1" t="str">
        <f t="shared" si="16"/>
        <v>ASUS</v>
      </c>
      <c r="C336" s="1" t="s">
        <v>1861</v>
      </c>
      <c r="D336" s="1" t="str">
        <f t="shared" si="1"/>
        <v>ROG Strix Scar 17 G733ZW-KH096W</v>
      </c>
      <c r="E336" s="1" t="str">
        <f t="array" aca="1" ref="E336" ca="1">IFERROR(
INDEX(Family_Map!$B$2:$B$35,
_xludf.AGGREGATE(14,6,(ROW(Family_Map!$A$2:$A$35)-ROW(Family_Map!$A$2)+1)/(ISNUMBER(SEARCH(Family_Map!$A$2:$A$35,D336))),1)
),
"Other")</f>
        <v>Other</v>
      </c>
      <c r="F336" s="1" t="s">
        <v>1756</v>
      </c>
      <c r="G336" s="1" t="e">
        <f t="shared" ca="1" si="2"/>
        <v>#NAME?</v>
      </c>
      <c r="H336" s="1" t="str">
        <f t="shared" ca="1" si="12"/>
        <v>Other</v>
      </c>
      <c r="I336" s="1" t="s">
        <v>410</v>
      </c>
      <c r="J336" s="1" t="str">
        <f t="shared" si="3"/>
        <v>8GB</v>
      </c>
      <c r="K336" s="1" t="s">
        <v>1863</v>
      </c>
      <c r="L336" s="1">
        <f t="shared" si="26"/>
        <v>32</v>
      </c>
      <c r="M336" s="1" t="s">
        <v>472</v>
      </c>
      <c r="N336" s="1" t="str">
        <f t="shared" si="5"/>
        <v>1TB</v>
      </c>
      <c r="O336" s="1" t="str">
        <f t="shared" si="6"/>
        <v>1024GB</v>
      </c>
      <c r="P336" s="1" t="s">
        <v>616</v>
      </c>
      <c r="Q336" s="1" t="str">
        <f t="shared" si="7"/>
        <v>1920x1080</v>
      </c>
      <c r="R336" s="1" t="s">
        <v>1518</v>
      </c>
      <c r="S336" s="1" t="str">
        <f t="shared" si="8"/>
        <v>360Hz</v>
      </c>
      <c r="T336" s="1" t="s">
        <v>90</v>
      </c>
      <c r="U336" s="1" t="str">
        <f t="shared" si="9"/>
        <v>Windows 11 Home</v>
      </c>
      <c r="V336" s="1" t="s">
        <v>1869</v>
      </c>
      <c r="W336" s="1" t="str">
        <f t="shared" si="10"/>
        <v>2.9 kg</v>
      </c>
      <c r="X336" s="1" t="s">
        <v>165</v>
      </c>
      <c r="Y336" s="1" t="str">
        <f t="shared" si="11"/>
        <v>2 Years</v>
      </c>
      <c r="Z336" s="4">
        <v>103999</v>
      </c>
      <c r="AA336" s="1" t="s">
        <v>166</v>
      </c>
    </row>
    <row r="337" spans="1:27" ht="15.75" customHeight="1" x14ac:dyDescent="0.35">
      <c r="A337" s="1" t="s">
        <v>234</v>
      </c>
      <c r="B337" s="1" t="str">
        <f t="shared" si="16"/>
        <v>ASUS</v>
      </c>
      <c r="C337" s="1" t="s">
        <v>1871</v>
      </c>
      <c r="D337" s="1" t="str">
        <f t="shared" si="1"/>
        <v>Rog Zephyrus G14 GA402RJ-GRY07W</v>
      </c>
      <c r="E337" s="1" t="str">
        <f t="array" aca="1" ref="E337" ca="1">IFERROR(
INDEX(Family_Map!$B$2:$B$35,
_xludf.AGGREGATE(14,6,(ROW(Family_Map!$A$2:$A$35)-ROW(Family_Map!$A$2)+1)/(ISNUMBER(SEARCH(Family_Map!$A$2:$A$35,D337))),1)
),
"Other")</f>
        <v>Other</v>
      </c>
      <c r="F337" s="1" t="s">
        <v>1788</v>
      </c>
      <c r="G337" s="1" t="e">
        <f t="shared" ca="1" si="2"/>
        <v>#NAME?</v>
      </c>
      <c r="H337" s="1" t="str">
        <f t="shared" ca="1" si="12"/>
        <v>Other</v>
      </c>
      <c r="I337" s="1" t="s">
        <v>410</v>
      </c>
      <c r="J337" s="1" t="str">
        <f t="shared" si="3"/>
        <v>8GB</v>
      </c>
      <c r="K337" s="1" t="s">
        <v>1874</v>
      </c>
      <c r="L337" s="1">
        <f t="shared" si="26"/>
        <v>16</v>
      </c>
      <c r="M337" s="1" t="s">
        <v>1325</v>
      </c>
      <c r="N337" s="1" t="str">
        <f t="shared" si="5"/>
        <v>1TB</v>
      </c>
      <c r="O337" s="1" t="str">
        <f t="shared" si="6"/>
        <v>1024GB</v>
      </c>
      <c r="P337" s="1" t="s">
        <v>89</v>
      </c>
      <c r="Q337" s="1" t="str">
        <f t="shared" si="7"/>
        <v>2560x1600</v>
      </c>
      <c r="R337" s="1" t="s">
        <v>39</v>
      </c>
      <c r="S337" s="1" t="str">
        <f t="shared" si="8"/>
        <v>120Hz</v>
      </c>
      <c r="T337" s="1" t="s">
        <v>90</v>
      </c>
      <c r="U337" s="1" t="str">
        <f t="shared" si="9"/>
        <v>Windows 11 Home</v>
      </c>
      <c r="V337" s="1" t="s">
        <v>1879</v>
      </c>
      <c r="W337" s="1" t="str">
        <f t="shared" si="10"/>
        <v>1.65 kg</v>
      </c>
      <c r="X337" s="1" t="s">
        <v>165</v>
      </c>
      <c r="Y337" s="1" t="str">
        <f t="shared" si="11"/>
        <v>2 Years</v>
      </c>
      <c r="Z337" s="4">
        <v>53499</v>
      </c>
      <c r="AA337" s="1" t="s">
        <v>5735</v>
      </c>
    </row>
    <row r="338" spans="1:27" ht="15.75" customHeight="1" x14ac:dyDescent="0.35">
      <c r="A338" s="1" t="s">
        <v>234</v>
      </c>
      <c r="B338" s="1" t="str">
        <f t="shared" si="16"/>
        <v>ASUS</v>
      </c>
      <c r="C338" s="1" t="s">
        <v>1881</v>
      </c>
      <c r="D338" s="1" t="str">
        <f t="shared" si="1"/>
        <v>Rog Zephyrus G14 GA402RJ-WHT07W</v>
      </c>
      <c r="E338" s="1" t="str">
        <f t="array" aca="1" ref="E338" ca="1">IFERROR(
INDEX(Family_Map!$B$2:$B$35,
_xludf.AGGREGATE(14,6,(ROW(Family_Map!$A$2:$A$35)-ROW(Family_Map!$A$2)+1)/(ISNUMBER(SEARCH(Family_Map!$A$2:$A$35,D338))),1)
),
"Other")</f>
        <v>Other</v>
      </c>
      <c r="F338" s="1" t="s">
        <v>1788</v>
      </c>
      <c r="G338" s="1" t="e">
        <f t="shared" ca="1" si="2"/>
        <v>#NAME?</v>
      </c>
      <c r="H338" s="1" t="str">
        <f t="shared" ca="1" si="12"/>
        <v>Other</v>
      </c>
      <c r="I338" s="1" t="s">
        <v>410</v>
      </c>
      <c r="J338" s="1" t="str">
        <f t="shared" si="3"/>
        <v>8GB</v>
      </c>
      <c r="K338" s="1" t="s">
        <v>1882</v>
      </c>
      <c r="L338" s="1">
        <f t="shared" si="26"/>
        <v>16</v>
      </c>
      <c r="M338" s="1" t="s">
        <v>239</v>
      </c>
      <c r="N338" s="1" t="str">
        <f t="shared" si="5"/>
        <v>1TB</v>
      </c>
      <c r="O338" s="1" t="str">
        <f t="shared" si="6"/>
        <v>1024GB</v>
      </c>
      <c r="P338" s="1" t="s">
        <v>89</v>
      </c>
      <c r="Q338" s="1" t="str">
        <f t="shared" si="7"/>
        <v>2560x1600</v>
      </c>
      <c r="R338" s="1" t="s">
        <v>39</v>
      </c>
      <c r="S338" s="1" t="str">
        <f t="shared" si="8"/>
        <v>120Hz</v>
      </c>
      <c r="T338" s="1" t="s">
        <v>90</v>
      </c>
      <c r="U338" s="1" t="str">
        <f t="shared" si="9"/>
        <v>Windows 11 Home</v>
      </c>
      <c r="V338" s="1" t="s">
        <v>1879</v>
      </c>
      <c r="W338" s="1" t="str">
        <f t="shared" si="10"/>
        <v>1.65 kg</v>
      </c>
      <c r="X338" s="1" t="s">
        <v>165</v>
      </c>
      <c r="Y338" s="1" t="str">
        <f t="shared" si="11"/>
        <v>2 Years</v>
      </c>
      <c r="Z338" s="4">
        <v>53499</v>
      </c>
      <c r="AA338" s="1" t="s">
        <v>5735</v>
      </c>
    </row>
    <row r="339" spans="1:27" ht="15.75" customHeight="1" x14ac:dyDescent="0.35">
      <c r="A339" s="1" t="s">
        <v>234</v>
      </c>
      <c r="B339" s="1" t="str">
        <f t="shared" si="16"/>
        <v>ASUS</v>
      </c>
      <c r="C339" s="1" t="s">
        <v>1885</v>
      </c>
      <c r="D339" s="1" t="str">
        <f t="shared" si="1"/>
        <v>ROG Zephyrus S17 GX703HS-KF035T</v>
      </c>
      <c r="E339" s="1" t="str">
        <f t="array" aca="1" ref="E339" ca="1">IFERROR(
INDEX(Family_Map!$B$2:$B$35,
_xludf.AGGREGATE(14,6,(ROW(Family_Map!$A$2:$A$35)-ROW(Family_Map!$A$2)+1)/(ISNUMBER(SEARCH(Family_Map!$A$2:$A$35,D339))),1)
),
"Other")</f>
        <v>Other</v>
      </c>
      <c r="F339" s="1" t="s">
        <v>1886</v>
      </c>
      <c r="G339" s="1" t="e">
        <f t="shared" ca="1" si="2"/>
        <v>#NAME?</v>
      </c>
      <c r="H339" s="1" t="str">
        <f t="shared" ca="1" si="12"/>
        <v>Other</v>
      </c>
      <c r="I339" s="1" t="s">
        <v>552</v>
      </c>
      <c r="J339" s="1" t="str">
        <f t="shared" si="3"/>
        <v>16GB</v>
      </c>
      <c r="K339" s="1" t="s">
        <v>1887</v>
      </c>
      <c r="L339" s="1">
        <f t="shared" si="26"/>
        <v>32</v>
      </c>
      <c r="M339" s="1" t="s">
        <v>1888</v>
      </c>
      <c r="N339" s="1" t="str">
        <f t="shared" si="5"/>
        <v>1TB</v>
      </c>
      <c r="O339" s="1" t="str">
        <f t="shared" si="6"/>
        <v>1024GB</v>
      </c>
      <c r="P339" s="1" t="s">
        <v>1890</v>
      </c>
      <c r="Q339" s="1" t="str">
        <f t="shared" si="7"/>
        <v>3840x2160</v>
      </c>
      <c r="R339" s="1" t="s">
        <v>39</v>
      </c>
      <c r="S339" s="1" t="str">
        <f t="shared" si="8"/>
        <v>120Hz</v>
      </c>
      <c r="T339" s="1" t="s">
        <v>90</v>
      </c>
      <c r="U339" s="1" t="str">
        <f t="shared" si="9"/>
        <v>Windows 11 Home</v>
      </c>
      <c r="V339" s="1" t="s">
        <v>1894</v>
      </c>
      <c r="W339" s="1" t="str">
        <f t="shared" si="10"/>
        <v>2.6 kg</v>
      </c>
      <c r="X339" s="1" t="s">
        <v>165</v>
      </c>
      <c r="Y339" s="1" t="str">
        <f t="shared" si="11"/>
        <v>2 Years</v>
      </c>
      <c r="Z339" s="4">
        <v>117699</v>
      </c>
      <c r="AA339" s="1" t="s">
        <v>1082</v>
      </c>
    </row>
    <row r="340" spans="1:27" ht="15.75" customHeight="1" x14ac:dyDescent="0.35">
      <c r="A340" s="1" t="s">
        <v>112</v>
      </c>
      <c r="B340" s="1" t="str">
        <f t="shared" si="16"/>
        <v>HP</v>
      </c>
      <c r="C340" s="1" t="s">
        <v>1897</v>
      </c>
      <c r="D340" s="1" t="str">
        <f t="shared" si="1"/>
        <v>Victus 16-E1015NE</v>
      </c>
      <c r="E340" s="1" t="str">
        <f t="array" aca="1" ref="E340" ca="1">IFERROR(
INDEX(Family_Map!$B$2:$B$35,
_xludf.AGGREGATE(14,6,(ROW(Family_Map!$A$2:$A$35)-ROW(Family_Map!$A$2)+1)/(ISNUMBER(SEARCH(Family_Map!$A$2:$A$35,D340))),1)
),
"Other")</f>
        <v>Other</v>
      </c>
      <c r="F340" s="1" t="s">
        <v>1798</v>
      </c>
      <c r="G340" s="1" t="e">
        <f t="shared" ca="1" si="2"/>
        <v>#NAME?</v>
      </c>
      <c r="H340" s="1" t="str">
        <f t="shared" ca="1" si="12"/>
        <v>Other</v>
      </c>
      <c r="I340" s="1" t="s">
        <v>507</v>
      </c>
      <c r="J340" s="1" t="str">
        <f t="shared" si="3"/>
        <v>4GB</v>
      </c>
      <c r="K340" s="1" t="s">
        <v>1491</v>
      </c>
      <c r="L340" s="1">
        <f t="shared" si="26"/>
        <v>16</v>
      </c>
      <c r="M340" s="1" t="s">
        <v>1898</v>
      </c>
      <c r="N340" s="1" t="str">
        <f t="shared" si="5"/>
        <v>512GB</v>
      </c>
      <c r="O340" s="1" t="str">
        <f t="shared" si="6"/>
        <v>512GB</v>
      </c>
      <c r="P340" s="1" t="s">
        <v>616</v>
      </c>
      <c r="Q340" s="1" t="str">
        <f t="shared" si="7"/>
        <v>1920x1080</v>
      </c>
      <c r="R340" s="1" t="s">
        <v>75</v>
      </c>
      <c r="S340" s="1" t="str">
        <f t="shared" si="8"/>
        <v>144Hz</v>
      </c>
      <c r="T340" s="1" t="s">
        <v>101</v>
      </c>
      <c r="U340" s="1" t="str">
        <f t="shared" si="9"/>
        <v>DOS</v>
      </c>
      <c r="V340" s="1" t="s">
        <v>1899</v>
      </c>
      <c r="W340" s="1" t="str">
        <f t="shared" si="10"/>
        <v>2.46 kg</v>
      </c>
      <c r="X340" s="1" t="s">
        <v>78</v>
      </c>
      <c r="Y340" s="1" t="str">
        <f t="shared" si="11"/>
        <v>1 Year</v>
      </c>
      <c r="Z340" s="4">
        <v>35500</v>
      </c>
      <c r="AA340" s="1" t="s">
        <v>5735</v>
      </c>
    </row>
    <row r="341" spans="1:27" ht="15.75" customHeight="1" x14ac:dyDescent="0.35">
      <c r="A341" s="1" t="s">
        <v>112</v>
      </c>
      <c r="B341" s="1" t="str">
        <f t="shared" si="16"/>
        <v>HP</v>
      </c>
      <c r="C341" s="1" t="s">
        <v>1901</v>
      </c>
      <c r="D341" s="1" t="str">
        <f t="shared" si="1"/>
        <v>Victus 16-E1014NE</v>
      </c>
      <c r="E341" s="1" t="str">
        <f t="array" aca="1" ref="E341" ca="1">IFERROR(
INDEX(Family_Map!$B$2:$B$35,
_xludf.AGGREGATE(14,6,(ROW(Family_Map!$A$2:$A$35)-ROW(Family_Map!$A$2)+1)/(ISNUMBER(SEARCH(Family_Map!$A$2:$A$35,D341))),1)
),
"Other")</f>
        <v>Other</v>
      </c>
      <c r="F341" s="1" t="s">
        <v>1798</v>
      </c>
      <c r="G341" s="1" t="e">
        <f t="shared" ca="1" si="2"/>
        <v>#NAME?</v>
      </c>
      <c r="H341" s="1" t="str">
        <f t="shared" ca="1" si="12"/>
        <v>Other</v>
      </c>
      <c r="I341" s="1" t="s">
        <v>507</v>
      </c>
      <c r="J341" s="1" t="str">
        <f t="shared" si="3"/>
        <v>4GB</v>
      </c>
      <c r="K341" s="1" t="s">
        <v>1491</v>
      </c>
      <c r="L341" s="1">
        <f t="shared" si="26"/>
        <v>16</v>
      </c>
      <c r="M341" s="1" t="s">
        <v>1813</v>
      </c>
      <c r="N341" s="1" t="str">
        <f t="shared" si="5"/>
        <v>512 GB</v>
      </c>
      <c r="O341" s="1" t="str">
        <f t="shared" si="6"/>
        <v>512 GB</v>
      </c>
      <c r="P341" s="1" t="s">
        <v>616</v>
      </c>
      <c r="Q341" s="1" t="str">
        <f t="shared" si="7"/>
        <v>1920x1080</v>
      </c>
      <c r="R341" s="1" t="s">
        <v>75</v>
      </c>
      <c r="S341" s="1" t="str">
        <f t="shared" si="8"/>
        <v>144Hz</v>
      </c>
      <c r="T341" s="1" t="s">
        <v>101</v>
      </c>
      <c r="U341" s="1" t="str">
        <f t="shared" si="9"/>
        <v>DOS</v>
      </c>
      <c r="V341" s="1" t="s">
        <v>1899</v>
      </c>
      <c r="W341" s="1" t="str">
        <f t="shared" si="10"/>
        <v>2.46 kg</v>
      </c>
      <c r="X341" s="1" t="s">
        <v>78</v>
      </c>
      <c r="Y341" s="1" t="str">
        <f t="shared" si="11"/>
        <v>1 Year</v>
      </c>
      <c r="Z341" s="4">
        <v>35500</v>
      </c>
      <c r="AA341" s="1" t="s">
        <v>5735</v>
      </c>
    </row>
    <row r="342" spans="1:27" ht="15.75" customHeight="1" x14ac:dyDescent="0.35">
      <c r="A342" s="1" t="s">
        <v>112</v>
      </c>
      <c r="B342" s="1" t="str">
        <f t="shared" si="16"/>
        <v>HP</v>
      </c>
      <c r="C342" s="1" t="s">
        <v>1903</v>
      </c>
      <c r="D342" s="1" t="str">
        <f t="shared" si="1"/>
        <v>Victus 16-D1016NE</v>
      </c>
      <c r="E342" s="1" t="str">
        <f t="array" aca="1" ref="E342" ca="1">IFERROR(
INDEX(Family_Map!$B$2:$B$35,
_xludf.AGGREGATE(14,6,(ROW(Family_Map!$A$2:$A$35)-ROW(Family_Map!$A$2)+1)/(ISNUMBER(SEARCH(Family_Map!$A$2:$A$35,D342))),1)
),
"Other")</f>
        <v>Other</v>
      </c>
      <c r="F342" s="1" t="s">
        <v>1118</v>
      </c>
      <c r="G342" s="1" t="e">
        <f t="shared" ca="1" si="2"/>
        <v>#NAME?</v>
      </c>
      <c r="H342" s="1" t="str">
        <f t="shared" ca="1" si="12"/>
        <v>Other</v>
      </c>
      <c r="I342" s="1" t="s">
        <v>507</v>
      </c>
      <c r="J342" s="1" t="str">
        <f t="shared" si="3"/>
        <v>4GB</v>
      </c>
      <c r="K342" s="1" t="s">
        <v>1491</v>
      </c>
      <c r="L342" s="1">
        <f t="shared" si="26"/>
        <v>16</v>
      </c>
      <c r="M342" s="1" t="s">
        <v>1624</v>
      </c>
      <c r="N342" s="1" t="str">
        <f t="shared" si="5"/>
        <v>1 TB</v>
      </c>
      <c r="O342" s="1" t="str">
        <f t="shared" si="6"/>
        <v>1024GB</v>
      </c>
      <c r="P342" s="1" t="s">
        <v>616</v>
      </c>
      <c r="Q342" s="1" t="str">
        <f t="shared" si="7"/>
        <v>1920x1080</v>
      </c>
      <c r="R342" s="1" t="s">
        <v>75</v>
      </c>
      <c r="S342" s="1" t="str">
        <f t="shared" si="8"/>
        <v>144Hz</v>
      </c>
      <c r="T342" s="1" t="s">
        <v>101</v>
      </c>
      <c r="U342" s="1" t="str">
        <f t="shared" si="9"/>
        <v>DOS</v>
      </c>
      <c r="V342" s="1" t="s">
        <v>1899</v>
      </c>
      <c r="W342" s="1" t="str">
        <f t="shared" si="10"/>
        <v>2.46 kg</v>
      </c>
      <c r="X342" s="1" t="s">
        <v>78</v>
      </c>
      <c r="Y342" s="1" t="str">
        <f t="shared" si="11"/>
        <v>1 Year</v>
      </c>
      <c r="Z342" s="4">
        <v>54699</v>
      </c>
      <c r="AA342" s="1" t="s">
        <v>166</v>
      </c>
    </row>
    <row r="343" spans="1:27" ht="15.75" customHeight="1" x14ac:dyDescent="0.35">
      <c r="A343" s="1" t="s">
        <v>66</v>
      </c>
      <c r="B343" s="1" t="str">
        <f t="shared" si="16"/>
        <v>Acer</v>
      </c>
      <c r="C343" s="1" t="s">
        <v>1905</v>
      </c>
      <c r="D343" s="1" t="str">
        <f t="shared" si="1"/>
        <v>Nitro 5 AN515-58-526E</v>
      </c>
      <c r="E343" s="1" t="str">
        <f t="array" aca="1" ref="E343" ca="1">IFERROR(
INDEX(Family_Map!$B$2:$B$35,
_xludf.AGGREGATE(14,6,(ROW(Family_Map!$A$2:$A$35)-ROW(Family_Map!$A$2)+1)/(ISNUMBER(SEARCH(Family_Map!$A$2:$A$35,D343))),1)
),
"Other")</f>
        <v>Other</v>
      </c>
      <c r="F343" s="1" t="s">
        <v>627</v>
      </c>
      <c r="G343" s="1" t="e">
        <f t="shared" ca="1" si="2"/>
        <v>#NAME?</v>
      </c>
      <c r="H343" s="1" t="str">
        <f t="shared" ca="1" si="12"/>
        <v>Other</v>
      </c>
      <c r="I343" s="1" t="s">
        <v>507</v>
      </c>
      <c r="J343" s="1" t="str">
        <f t="shared" si="3"/>
        <v>4GB</v>
      </c>
      <c r="K343" s="1" t="s">
        <v>1906</v>
      </c>
      <c r="L343" s="1">
        <f t="shared" si="26"/>
        <v>8</v>
      </c>
      <c r="M343" s="1" t="s">
        <v>1120</v>
      </c>
      <c r="N343" s="1" t="str">
        <f t="shared" si="5"/>
        <v>512GB</v>
      </c>
      <c r="O343" s="1" t="str">
        <f t="shared" si="6"/>
        <v>512GB</v>
      </c>
      <c r="P343" s="1" t="s">
        <v>616</v>
      </c>
      <c r="Q343" s="1" t="str">
        <f t="shared" si="7"/>
        <v>1920x1080</v>
      </c>
      <c r="R343" s="1" t="s">
        <v>75</v>
      </c>
      <c r="S343" s="1" t="str">
        <f t="shared" si="8"/>
        <v>144Hz</v>
      </c>
      <c r="T343" s="1" t="s">
        <v>101</v>
      </c>
      <c r="U343" s="1" t="str">
        <f t="shared" si="9"/>
        <v>DOS</v>
      </c>
      <c r="V343" s="1" t="s">
        <v>1911</v>
      </c>
      <c r="W343" s="1" t="str">
        <f t="shared" si="10"/>
        <v>2.5 kg</v>
      </c>
      <c r="X343" s="1" t="s">
        <v>78</v>
      </c>
      <c r="Y343" s="1" t="str">
        <f t="shared" si="11"/>
        <v>1 Year</v>
      </c>
      <c r="Z343" s="4">
        <v>29999</v>
      </c>
      <c r="AA343" s="1" t="s">
        <v>166</v>
      </c>
    </row>
    <row r="344" spans="1:27" ht="15.75" customHeight="1" x14ac:dyDescent="0.35">
      <c r="A344" s="1" t="s">
        <v>151</v>
      </c>
      <c r="B344" s="1" t="str">
        <f t="shared" si="16"/>
        <v>Lenovo</v>
      </c>
      <c r="C344" s="1" t="s">
        <v>1672</v>
      </c>
      <c r="D344" s="1" t="str">
        <f t="shared" si="1"/>
        <v>IdeaPad Gaming 3 15IAH7</v>
      </c>
      <c r="E344" s="1" t="str">
        <f t="array" aca="1" ref="E344" ca="1">IFERROR(
INDEX(Family_Map!$B$2:$B$35,
_xludf.AGGREGATE(14,6,(ROW(Family_Map!$A$2:$A$35)-ROW(Family_Map!$A$2)+1)/(ISNUMBER(SEARCH(Family_Map!$A$2:$A$35,D344))),1)
),
"Other")</f>
        <v>Other</v>
      </c>
      <c r="F344" s="1" t="s">
        <v>627</v>
      </c>
      <c r="G344" s="1" t="e">
        <f t="shared" ca="1" si="2"/>
        <v>#NAME?</v>
      </c>
      <c r="H344" s="1" t="str">
        <f t="shared" ca="1" si="12"/>
        <v>Other</v>
      </c>
      <c r="I344" s="1" t="s">
        <v>507</v>
      </c>
      <c r="J344" s="1" t="str">
        <f t="shared" si="3"/>
        <v>4GB</v>
      </c>
      <c r="K344" s="1" t="s">
        <v>1913</v>
      </c>
      <c r="L344" s="1">
        <f t="shared" si="26"/>
        <v>8</v>
      </c>
      <c r="M344" s="1" t="s">
        <v>1506</v>
      </c>
      <c r="N344" s="1" t="str">
        <f t="shared" si="5"/>
        <v>512GB</v>
      </c>
      <c r="O344" s="1" t="str">
        <f t="shared" si="6"/>
        <v>512GB</v>
      </c>
      <c r="P344" s="1" t="s">
        <v>616</v>
      </c>
      <c r="Q344" s="1" t="str">
        <f t="shared" si="7"/>
        <v>1920x1080</v>
      </c>
      <c r="R344" s="1" t="s">
        <v>39</v>
      </c>
      <c r="S344" s="1" t="str">
        <f t="shared" si="8"/>
        <v>120Hz</v>
      </c>
      <c r="T344" s="1" t="s">
        <v>90</v>
      </c>
      <c r="U344" s="1" t="str">
        <f t="shared" si="9"/>
        <v>Windows 11 Home</v>
      </c>
      <c r="V344" s="1" t="s">
        <v>1678</v>
      </c>
      <c r="W344" s="1" t="str">
        <f t="shared" si="10"/>
        <v>2.32 kg</v>
      </c>
      <c r="X344" s="1" t="s">
        <v>78</v>
      </c>
      <c r="Y344" s="1" t="str">
        <f t="shared" si="11"/>
        <v>1 Year</v>
      </c>
      <c r="Z344" s="4">
        <v>46800</v>
      </c>
      <c r="AA344" s="1" t="s">
        <v>166</v>
      </c>
    </row>
    <row r="345" spans="1:27" ht="15.75" customHeight="1" x14ac:dyDescent="0.35">
      <c r="A345" s="1" t="s">
        <v>234</v>
      </c>
      <c r="B345" s="1" t="str">
        <f t="shared" si="16"/>
        <v>ASUS</v>
      </c>
      <c r="C345" s="1" t="s">
        <v>1917</v>
      </c>
      <c r="D345" s="1" t="str">
        <f t="shared" si="1"/>
        <v>ROG Zephyrus G15 GA503RM-HQ007W</v>
      </c>
      <c r="E345" s="1" t="str">
        <f t="array" aca="1" ref="E345" ca="1">IFERROR(
INDEX(Family_Map!$B$2:$B$35,
_xludf.AGGREGATE(14,6,(ROW(Family_Map!$A$2:$A$35)-ROW(Family_Map!$A$2)+1)/(ISNUMBER(SEARCH(Family_Map!$A$2:$A$35,D345))),1)
),
"Other")</f>
        <v>Other</v>
      </c>
      <c r="F345" s="1" t="s">
        <v>1788</v>
      </c>
      <c r="G345" s="1" t="e">
        <f t="shared" ca="1" si="2"/>
        <v>#NAME?</v>
      </c>
      <c r="H345" s="1" t="str">
        <f t="shared" ca="1" si="12"/>
        <v>Other</v>
      </c>
      <c r="I345" s="1" t="s">
        <v>70</v>
      </c>
      <c r="J345" s="1" t="str">
        <f t="shared" si="3"/>
        <v>6GB</v>
      </c>
      <c r="K345" s="1" t="s">
        <v>491</v>
      </c>
      <c r="L345" s="1">
        <f t="shared" si="26"/>
        <v>16</v>
      </c>
      <c r="M345" s="1" t="s">
        <v>1919</v>
      </c>
      <c r="N345" s="1" t="str">
        <f t="shared" si="5"/>
        <v>1TB</v>
      </c>
      <c r="O345" s="1" t="str">
        <f t="shared" si="6"/>
        <v>1024GB</v>
      </c>
      <c r="P345" s="1" t="s">
        <v>1493</v>
      </c>
      <c r="Q345" s="1" t="str">
        <f t="shared" si="7"/>
        <v>2560x1440</v>
      </c>
      <c r="R345" s="1" t="s">
        <v>57</v>
      </c>
      <c r="S345" s="1" t="str">
        <f t="shared" si="8"/>
        <v>165Hz</v>
      </c>
      <c r="T345" s="1" t="s">
        <v>90</v>
      </c>
      <c r="U345" s="1" t="str">
        <f t="shared" si="9"/>
        <v>Windows 11 Home</v>
      </c>
      <c r="V345" s="1" t="s">
        <v>1923</v>
      </c>
      <c r="W345" s="1" t="str">
        <f t="shared" si="10"/>
        <v>1.9 kg</v>
      </c>
      <c r="X345" s="1" t="s">
        <v>165</v>
      </c>
      <c r="Y345" s="1" t="str">
        <f t="shared" si="11"/>
        <v>2 Years</v>
      </c>
      <c r="Z345" s="4">
        <v>44999</v>
      </c>
      <c r="AA345" s="1" t="s">
        <v>5735</v>
      </c>
    </row>
    <row r="346" spans="1:27" ht="15.75" customHeight="1" x14ac:dyDescent="0.35">
      <c r="A346" s="1" t="s">
        <v>234</v>
      </c>
      <c r="B346" s="1" t="str">
        <f t="shared" si="16"/>
        <v>ASUS</v>
      </c>
      <c r="C346" s="1" t="s">
        <v>1925</v>
      </c>
      <c r="D346" s="1" t="str">
        <f t="shared" si="1"/>
        <v>Rog Zephyrus G14 GA401QC-K2069T</v>
      </c>
      <c r="E346" s="1" t="str">
        <f t="array" aca="1" ref="E346" ca="1">IFERROR(
INDEX(Family_Map!$B$2:$B$35,
_xludf.AGGREGATE(14,6,(ROW(Family_Map!$A$2:$A$35)-ROW(Family_Map!$A$2)+1)/(ISNUMBER(SEARCH(Family_Map!$A$2:$A$35,D346))),1)
),
"Other")</f>
        <v>Other</v>
      </c>
      <c r="F346" s="1" t="s">
        <v>1926</v>
      </c>
      <c r="G346" s="1" t="e">
        <f t="shared" ca="1" si="2"/>
        <v>#NAME?</v>
      </c>
      <c r="H346" s="1" t="str">
        <f t="shared" ca="1" si="12"/>
        <v>Other</v>
      </c>
      <c r="I346" s="1" t="s">
        <v>507</v>
      </c>
      <c r="J346" s="1" t="str">
        <f t="shared" si="3"/>
        <v>4GB</v>
      </c>
      <c r="K346" s="1" t="s">
        <v>1603</v>
      </c>
      <c r="L346" s="1">
        <f t="shared" si="26"/>
        <v>16</v>
      </c>
      <c r="M346" s="1" t="s">
        <v>1927</v>
      </c>
      <c r="N346" s="1" t="str">
        <f t="shared" si="5"/>
        <v>512 GB</v>
      </c>
      <c r="O346" s="1" t="str">
        <f t="shared" si="6"/>
        <v>512 GB</v>
      </c>
      <c r="P346" s="1" t="s">
        <v>1493</v>
      </c>
      <c r="Q346" s="1" t="str">
        <f t="shared" si="7"/>
        <v>2560x1440</v>
      </c>
      <c r="R346" s="1" t="s">
        <v>39</v>
      </c>
      <c r="S346" s="1" t="str">
        <f t="shared" si="8"/>
        <v>120Hz</v>
      </c>
      <c r="T346" s="1" t="s">
        <v>90</v>
      </c>
      <c r="U346" s="1" t="str">
        <f t="shared" si="9"/>
        <v>Windows 11 Home</v>
      </c>
      <c r="V346" s="1" t="s">
        <v>1932</v>
      </c>
      <c r="W346" s="1" t="str">
        <f t="shared" si="10"/>
        <v>1.6 kg</v>
      </c>
      <c r="X346" s="1" t="s">
        <v>165</v>
      </c>
      <c r="Y346" s="1" t="str">
        <f t="shared" si="11"/>
        <v>2 Years</v>
      </c>
      <c r="Z346" s="4">
        <v>45999</v>
      </c>
      <c r="AA346" s="1" t="s">
        <v>5735</v>
      </c>
    </row>
    <row r="347" spans="1:27" ht="15.75" customHeight="1" x14ac:dyDescent="0.35">
      <c r="A347" s="1" t="s">
        <v>234</v>
      </c>
      <c r="B347" s="1" t="str">
        <f t="shared" si="16"/>
        <v>ASUS</v>
      </c>
      <c r="C347" s="1" t="s">
        <v>1935</v>
      </c>
      <c r="D347" s="1" t="str">
        <f t="shared" si="1"/>
        <v>TUF Gaming F17 FX706HM-HX090T</v>
      </c>
      <c r="E347" s="1" t="str">
        <f t="array" aca="1" ref="E347" ca="1">IFERROR(
INDEX(Family_Map!$B$2:$B$35,
_xludf.AGGREGATE(14,6,(ROW(Family_Map!$A$2:$A$35)-ROW(Family_Map!$A$2)+1)/(ISNUMBER(SEARCH(Family_Map!$A$2:$A$35,D347))),1)
),
"Other")</f>
        <v>Other</v>
      </c>
      <c r="F347" s="1" t="s">
        <v>1075</v>
      </c>
      <c r="G347" s="1" t="e">
        <f t="shared" ca="1" si="2"/>
        <v>#NAME?</v>
      </c>
      <c r="H347" s="1" t="str">
        <f t="shared" ca="1" si="12"/>
        <v>Other</v>
      </c>
      <c r="I347" s="1" t="s">
        <v>70</v>
      </c>
      <c r="J347" s="1" t="str">
        <f t="shared" si="3"/>
        <v>6GB</v>
      </c>
      <c r="K347" s="1" t="s">
        <v>1119</v>
      </c>
      <c r="L347" s="1">
        <f t="shared" si="26"/>
        <v>16</v>
      </c>
      <c r="M347" s="1" t="s">
        <v>1936</v>
      </c>
      <c r="N347" s="1" t="str">
        <f t="shared" si="5"/>
        <v>1TB</v>
      </c>
      <c r="O347" s="1" t="str">
        <f t="shared" si="6"/>
        <v>1024GB</v>
      </c>
      <c r="P347" s="1" t="s">
        <v>120</v>
      </c>
      <c r="Q347" s="1" t="str">
        <f t="shared" si="7"/>
        <v>1920x1080</v>
      </c>
      <c r="R347" s="1" t="s">
        <v>75</v>
      </c>
      <c r="S347" s="1" t="str">
        <f t="shared" si="8"/>
        <v>144Hz</v>
      </c>
      <c r="T347" s="1" t="s">
        <v>1722</v>
      </c>
      <c r="U347" s="1" t="str">
        <f t="shared" si="9"/>
        <v>Windows 10 Home</v>
      </c>
      <c r="V347" s="1" t="s">
        <v>1894</v>
      </c>
      <c r="W347" s="1" t="str">
        <f t="shared" si="10"/>
        <v>2.6 kg</v>
      </c>
      <c r="X347" s="1" t="s">
        <v>165</v>
      </c>
      <c r="Y347" s="1" t="str">
        <f t="shared" si="11"/>
        <v>2 Years</v>
      </c>
      <c r="Z347" s="4">
        <v>47049</v>
      </c>
      <c r="AA347" s="1" t="s">
        <v>1082</v>
      </c>
    </row>
    <row r="348" spans="1:27" ht="15.75" customHeight="1" x14ac:dyDescent="0.35">
      <c r="A348" s="1" t="s">
        <v>234</v>
      </c>
      <c r="B348" s="1" t="str">
        <f t="shared" si="16"/>
        <v>ASUS</v>
      </c>
      <c r="C348" s="1" t="s">
        <v>1942</v>
      </c>
      <c r="D348" s="1" t="str">
        <f t="shared" si="1"/>
        <v>ROG Strix G15 G513QM-HQ415T</v>
      </c>
      <c r="E348" s="1" t="str">
        <f t="array" aca="1" ref="E348" ca="1">IFERROR(
INDEX(Family_Map!$B$2:$B$35,
_xludf.AGGREGATE(14,6,(ROW(Family_Map!$A$2:$A$35)-ROW(Family_Map!$A$2)+1)/(ISNUMBER(SEARCH(Family_Map!$A$2:$A$35,D348))),1)
),
"Other")</f>
        <v>Other</v>
      </c>
      <c r="F348" s="1" t="s">
        <v>1601</v>
      </c>
      <c r="G348" s="1" t="e">
        <f t="shared" ca="1" si="2"/>
        <v>#NAME?</v>
      </c>
      <c r="H348" s="1" t="str">
        <f t="shared" ca="1" si="12"/>
        <v>Other</v>
      </c>
      <c r="I348" s="1" t="s">
        <v>1789</v>
      </c>
      <c r="J348" s="1" t="str">
        <f t="shared" si="3"/>
        <v>6GB</v>
      </c>
      <c r="K348" s="1" t="s">
        <v>1943</v>
      </c>
      <c r="L348" s="1">
        <v>16</v>
      </c>
      <c r="M348" s="1" t="s">
        <v>1944</v>
      </c>
      <c r="N348" s="1" t="str">
        <f t="shared" si="5"/>
        <v>1TB</v>
      </c>
      <c r="O348" s="1" t="str">
        <f t="shared" si="6"/>
        <v>1024GB</v>
      </c>
      <c r="P348" s="1" t="s">
        <v>1493</v>
      </c>
      <c r="Q348" s="1" t="str">
        <f t="shared" si="7"/>
        <v>2560x1440</v>
      </c>
      <c r="R348" s="1" t="s">
        <v>57</v>
      </c>
      <c r="S348" s="1" t="str">
        <f t="shared" si="8"/>
        <v>165Hz</v>
      </c>
      <c r="T348" s="1" t="s">
        <v>1722</v>
      </c>
      <c r="U348" s="1" t="str">
        <f t="shared" si="9"/>
        <v>Windows 10 Home</v>
      </c>
      <c r="V348" s="1" t="s">
        <v>1400</v>
      </c>
      <c r="W348" s="1" t="str">
        <f t="shared" si="10"/>
        <v>2.3 kg</v>
      </c>
      <c r="X348" s="1" t="s">
        <v>165</v>
      </c>
      <c r="Y348" s="1" t="str">
        <f t="shared" si="11"/>
        <v>2 Years</v>
      </c>
      <c r="Z348" s="4">
        <v>41999</v>
      </c>
      <c r="AA348" s="1" t="s">
        <v>5735</v>
      </c>
    </row>
    <row r="349" spans="1:27" ht="15.75" customHeight="1" x14ac:dyDescent="0.35">
      <c r="A349" s="1" t="s">
        <v>234</v>
      </c>
      <c r="B349" s="1" t="str">
        <f t="shared" si="16"/>
        <v>ASUS</v>
      </c>
      <c r="C349" s="1" t="s">
        <v>1950</v>
      </c>
      <c r="D349" s="1" t="str">
        <f t="shared" si="1"/>
        <v>ROG Zephyrus G14 GA401QM-K2012T</v>
      </c>
      <c r="E349" s="1" t="str">
        <f t="array" aca="1" ref="E349" ca="1">IFERROR(
INDEX(Family_Map!$B$2:$B$35,
_xludf.AGGREGATE(14,6,(ROW(Family_Map!$A$2:$A$35)-ROW(Family_Map!$A$2)+1)/(ISNUMBER(SEARCH(Family_Map!$A$2:$A$35,D349))),1)
),
"Other")</f>
        <v>Other</v>
      </c>
      <c r="F349" s="1" t="s">
        <v>1926</v>
      </c>
      <c r="G349" s="1" t="e">
        <f t="shared" ca="1" si="2"/>
        <v>#NAME?</v>
      </c>
      <c r="H349" s="1" t="str">
        <f t="shared" ca="1" si="12"/>
        <v>Other</v>
      </c>
      <c r="I349" s="1" t="s">
        <v>1789</v>
      </c>
      <c r="J349" s="1" t="str">
        <f t="shared" si="3"/>
        <v>6GB</v>
      </c>
      <c r="K349" s="1" t="s">
        <v>965</v>
      </c>
      <c r="L349" s="1">
        <f t="shared" ref="L349:L387" si="27">IFERROR(
VALUE(SUBSTITUTE(SUBSTITUTE(LEFT(UPPER(TRIM(K349)),FIND("GB",UPPER(K349)&amp;"GB")+1),"GB","")," ","")),
IFERROR(
VALUE(SUBSTITUTE(SUBSTITUTE(MID(UPPER(K349),FIND("GB",UPPER(K349)&amp;"GB")-3,3),"GB","")," ",""))
*
IF(
OR(
ISNUMBER(SEARCH("2X",UPPER(K349))),
ISNUMBER(SEARCH("X 2",UPPER(K349))),
ISNUMBER(SEARCH("*2",UPPER(K349))),
ISNUMBER(SEARCH("2*",UPPER(K349))),
ISNUMBER(SEARCH("(2 X",UPPER(K349)))
),
2,1),
"")
)</f>
        <v>16</v>
      </c>
      <c r="M349" s="1" t="s">
        <v>1944</v>
      </c>
      <c r="N349" s="1" t="str">
        <f t="shared" si="5"/>
        <v>1TB</v>
      </c>
      <c r="O349" s="1" t="str">
        <f t="shared" si="6"/>
        <v>1024GB</v>
      </c>
      <c r="P349" s="1" t="s">
        <v>1493</v>
      </c>
      <c r="Q349" s="1" t="str">
        <f t="shared" si="7"/>
        <v>2560x1440</v>
      </c>
      <c r="R349" s="1" t="s">
        <v>39</v>
      </c>
      <c r="S349" s="1" t="str">
        <f t="shared" si="8"/>
        <v>120Hz</v>
      </c>
      <c r="T349" s="1" t="s">
        <v>90</v>
      </c>
      <c r="U349" s="1" t="str">
        <f t="shared" si="9"/>
        <v>Windows 11 Home</v>
      </c>
      <c r="V349" s="1" t="s">
        <v>1953</v>
      </c>
      <c r="W349" s="1" t="str">
        <f t="shared" si="10"/>
        <v>1.7 kg</v>
      </c>
      <c r="X349" s="1" t="s">
        <v>165</v>
      </c>
      <c r="Y349" s="1" t="str">
        <f t="shared" si="11"/>
        <v>2 Years</v>
      </c>
      <c r="Z349" s="4">
        <v>50999</v>
      </c>
      <c r="AA349" s="1" t="s">
        <v>5735</v>
      </c>
    </row>
    <row r="350" spans="1:27" ht="15.75" customHeight="1" x14ac:dyDescent="0.35">
      <c r="A350" s="1" t="s">
        <v>234</v>
      </c>
      <c r="B350" s="1" t="str">
        <f t="shared" si="16"/>
        <v>ASUS</v>
      </c>
      <c r="C350" s="1" t="s">
        <v>1956</v>
      </c>
      <c r="D350" s="1" t="str">
        <f t="shared" si="1"/>
        <v>ROG Flow X13 GV301RC-LJ062W</v>
      </c>
      <c r="E350" s="1" t="str">
        <f t="array" aca="1" ref="E350" ca="1">IFERROR(
INDEX(Family_Map!$B$2:$B$35,
_xludf.AGGREGATE(14,6,(ROW(Family_Map!$A$2:$A$35)-ROW(Family_Map!$A$2)+1)/(ISNUMBER(SEARCH(Family_Map!$A$2:$A$35,D350))),1)
),
"Other")</f>
        <v>Other</v>
      </c>
      <c r="F350" s="1" t="s">
        <v>1788</v>
      </c>
      <c r="G350" s="1" t="e">
        <f t="shared" ca="1" si="2"/>
        <v>#NAME?</v>
      </c>
      <c r="H350" s="1" t="str">
        <f t="shared" ca="1" si="12"/>
        <v>Other</v>
      </c>
      <c r="I350" s="1" t="s">
        <v>507</v>
      </c>
      <c r="J350" s="1" t="str">
        <f t="shared" si="3"/>
        <v>4GB</v>
      </c>
      <c r="K350" s="1" t="s">
        <v>1957</v>
      </c>
      <c r="L350" s="1">
        <f t="shared" si="27"/>
        <v>16</v>
      </c>
      <c r="M350" s="1" t="s">
        <v>1958</v>
      </c>
      <c r="N350" s="1" t="str">
        <f t="shared" si="5"/>
        <v>512GB</v>
      </c>
      <c r="O350" s="1" t="str">
        <f t="shared" si="6"/>
        <v>512GB</v>
      </c>
      <c r="P350" s="1" t="s">
        <v>275</v>
      </c>
      <c r="Q350" s="1" t="str">
        <f t="shared" si="7"/>
        <v>1920x1200</v>
      </c>
      <c r="R350" s="1" t="s">
        <v>39</v>
      </c>
      <c r="S350" s="1" t="str">
        <f t="shared" si="8"/>
        <v>120Hz</v>
      </c>
      <c r="T350" s="1" t="s">
        <v>90</v>
      </c>
      <c r="U350" s="1" t="str">
        <f t="shared" si="9"/>
        <v>Windows 11 Home</v>
      </c>
      <c r="V350" s="1" t="s">
        <v>1963</v>
      </c>
      <c r="W350" s="1" t="str">
        <f t="shared" si="10"/>
        <v>1.3 kg</v>
      </c>
      <c r="X350" s="1" t="s">
        <v>165</v>
      </c>
      <c r="Y350" s="1" t="str">
        <f t="shared" si="11"/>
        <v>2 Years</v>
      </c>
      <c r="Z350" s="4">
        <v>52999</v>
      </c>
      <c r="AA350" s="1" t="s">
        <v>5735</v>
      </c>
    </row>
    <row r="351" spans="1:27" ht="15.75" customHeight="1" x14ac:dyDescent="0.35">
      <c r="A351" s="1" t="s">
        <v>234</v>
      </c>
      <c r="B351" s="1" t="str">
        <f t="shared" si="16"/>
        <v>ASUS</v>
      </c>
      <c r="C351" s="1" t="s">
        <v>1965</v>
      </c>
      <c r="D351" s="1" t="str">
        <f t="shared" si="1"/>
        <v>ROG Flow X13 GV301RE-LJ118W</v>
      </c>
      <c r="E351" s="1" t="str">
        <f t="array" aca="1" ref="E351" ca="1">IFERROR(
INDEX(Family_Map!$B$2:$B$35,
_xludf.AGGREGATE(14,6,(ROW(Family_Map!$A$2:$A$35)-ROW(Family_Map!$A$2)+1)/(ISNUMBER(SEARCH(Family_Map!$A$2:$A$35,D351))),1)
),
"Other")</f>
        <v>Other</v>
      </c>
      <c r="F351" s="1" t="s">
        <v>1788</v>
      </c>
      <c r="G351" s="1" t="e">
        <f t="shared" ca="1" si="2"/>
        <v>#NAME?</v>
      </c>
      <c r="H351" s="1" t="str">
        <f t="shared" ca="1" si="12"/>
        <v>Other</v>
      </c>
      <c r="I351" s="1" t="s">
        <v>507</v>
      </c>
      <c r="J351" s="1" t="str">
        <f t="shared" si="3"/>
        <v>4GB</v>
      </c>
      <c r="K351" s="1" t="s">
        <v>1957</v>
      </c>
      <c r="L351" s="1">
        <f t="shared" si="27"/>
        <v>16</v>
      </c>
      <c r="M351" s="1" t="s">
        <v>1958</v>
      </c>
      <c r="N351" s="1" t="str">
        <f t="shared" si="5"/>
        <v>512GB</v>
      </c>
      <c r="O351" s="1" t="str">
        <f t="shared" si="6"/>
        <v>512GB</v>
      </c>
      <c r="P351" s="1" t="s">
        <v>275</v>
      </c>
      <c r="Q351" s="1" t="str">
        <f t="shared" si="7"/>
        <v>1920x1200</v>
      </c>
      <c r="R351" s="1" t="s">
        <v>39</v>
      </c>
      <c r="S351" s="1" t="str">
        <f t="shared" si="8"/>
        <v>120Hz</v>
      </c>
      <c r="T351" s="1" t="s">
        <v>90</v>
      </c>
      <c r="U351" s="1" t="str">
        <f t="shared" si="9"/>
        <v>Windows 11 Home</v>
      </c>
      <c r="V351" s="1" t="s">
        <v>1963</v>
      </c>
      <c r="W351" s="1" t="str">
        <f t="shared" si="10"/>
        <v>1.3 kg</v>
      </c>
      <c r="X351" s="1" t="s">
        <v>165</v>
      </c>
      <c r="Y351" s="1" t="str">
        <f t="shared" si="11"/>
        <v>2 Years</v>
      </c>
      <c r="Z351" s="4">
        <v>62400</v>
      </c>
      <c r="AA351" s="1" t="s">
        <v>5735</v>
      </c>
    </row>
    <row r="352" spans="1:27" ht="15.75" customHeight="1" x14ac:dyDescent="0.35">
      <c r="A352" s="1" t="s">
        <v>234</v>
      </c>
      <c r="B352" s="1" t="str">
        <f t="shared" si="16"/>
        <v>ASUS</v>
      </c>
      <c r="C352" s="1" t="s">
        <v>1967</v>
      </c>
      <c r="D352" s="1" t="str">
        <f t="shared" si="1"/>
        <v>ROG Flow Z13 GZ301ZC-LD110W</v>
      </c>
      <c r="E352" s="1" t="str">
        <f t="array" aca="1" ref="E352" ca="1">IFERROR(
INDEX(Family_Map!$B$2:$B$35,
_xludf.AGGREGATE(14,6,(ROW(Family_Map!$A$2:$A$35)-ROW(Family_Map!$A$2)+1)/(ISNUMBER(SEARCH(Family_Map!$A$2:$A$35,D352))),1)
),
"Other")</f>
        <v>Other</v>
      </c>
      <c r="F352" s="1" t="s">
        <v>1118</v>
      </c>
      <c r="G352" s="1" t="e">
        <f t="shared" ca="1" si="2"/>
        <v>#NAME?</v>
      </c>
      <c r="H352" s="1" t="str">
        <f t="shared" ca="1" si="12"/>
        <v>Other</v>
      </c>
      <c r="I352" s="1" t="s">
        <v>507</v>
      </c>
      <c r="J352" s="1" t="str">
        <f t="shared" si="3"/>
        <v>4GB</v>
      </c>
      <c r="K352" s="1" t="s">
        <v>1968</v>
      </c>
      <c r="L352" s="1">
        <f t="shared" si="27"/>
        <v>16</v>
      </c>
      <c r="M352" s="1" t="s">
        <v>1969</v>
      </c>
      <c r="N352" s="1" t="str">
        <f t="shared" si="5"/>
        <v>512GB</v>
      </c>
      <c r="O352" s="1" t="str">
        <f t="shared" si="6"/>
        <v>512GB</v>
      </c>
      <c r="P352" s="1" t="s">
        <v>275</v>
      </c>
      <c r="Q352" s="1" t="str">
        <f t="shared" si="7"/>
        <v>1920x1200</v>
      </c>
      <c r="R352" s="1" t="s">
        <v>39</v>
      </c>
      <c r="S352" s="1" t="str">
        <f t="shared" si="8"/>
        <v>120Hz</v>
      </c>
      <c r="T352" s="1" t="s">
        <v>90</v>
      </c>
      <c r="U352" s="1" t="str">
        <f t="shared" si="9"/>
        <v>Windows 11 Home</v>
      </c>
      <c r="V352" s="1" t="s">
        <v>1975</v>
      </c>
      <c r="W352" s="1" t="str">
        <f t="shared" si="10"/>
        <v>1.18 kg</v>
      </c>
      <c r="X352" s="1" t="s">
        <v>165</v>
      </c>
      <c r="Y352" s="1" t="str">
        <f t="shared" si="11"/>
        <v>2 Years</v>
      </c>
      <c r="Z352" s="4">
        <v>53499</v>
      </c>
      <c r="AA352" s="1" t="s">
        <v>166</v>
      </c>
    </row>
    <row r="353" spans="1:27" ht="15.75" customHeight="1" x14ac:dyDescent="0.35">
      <c r="A353" s="1" t="s">
        <v>234</v>
      </c>
      <c r="B353" s="1" t="str">
        <f t="shared" si="16"/>
        <v>ASUS</v>
      </c>
      <c r="C353" s="1" t="s">
        <v>1978</v>
      </c>
      <c r="D353" s="1" t="str">
        <f t="shared" si="1"/>
        <v>ROG Flow Z13 GZ301ZE-LC180W</v>
      </c>
      <c r="E353" s="1" t="str">
        <f t="array" aca="1" ref="E353" ca="1">IFERROR(
INDEX(Family_Map!$B$2:$B$35,
_xludf.AGGREGATE(14,6,(ROW(Family_Map!$A$2:$A$35)-ROW(Family_Map!$A$2)+1)/(ISNUMBER(SEARCH(Family_Map!$A$2:$A$35,D353))),1)
),
"Other")</f>
        <v>Other</v>
      </c>
      <c r="F353" s="1" t="s">
        <v>1756</v>
      </c>
      <c r="G353" s="1" t="e">
        <f t="shared" ca="1" si="2"/>
        <v>#NAME?</v>
      </c>
      <c r="H353" s="1" t="str">
        <f t="shared" ca="1" si="12"/>
        <v>Other</v>
      </c>
      <c r="I353" s="1" t="s">
        <v>507</v>
      </c>
      <c r="J353" s="1" t="str">
        <f t="shared" si="3"/>
        <v>4GB</v>
      </c>
      <c r="K353" s="1" t="s">
        <v>1957</v>
      </c>
      <c r="L353" s="1">
        <f t="shared" si="27"/>
        <v>16</v>
      </c>
      <c r="M353" s="1" t="s">
        <v>1979</v>
      </c>
      <c r="N353" s="1" t="str">
        <f t="shared" si="5"/>
        <v>1TB</v>
      </c>
      <c r="O353" s="1" t="str">
        <f t="shared" si="6"/>
        <v>1024GB</v>
      </c>
      <c r="P353" s="1" t="s">
        <v>345</v>
      </c>
      <c r="Q353" s="1" t="str">
        <f t="shared" si="7"/>
        <v>3840x2400</v>
      </c>
      <c r="S353" s="1" t="str">
        <f t="shared" si="8"/>
        <v/>
      </c>
      <c r="T353" s="1" t="s">
        <v>90</v>
      </c>
      <c r="U353" s="1" t="str">
        <f t="shared" si="9"/>
        <v>Windows 11 Home</v>
      </c>
      <c r="V353" s="1" t="s">
        <v>1975</v>
      </c>
      <c r="W353" s="1" t="str">
        <f t="shared" si="10"/>
        <v>1.18 kg</v>
      </c>
      <c r="X353" s="1" t="s">
        <v>165</v>
      </c>
      <c r="Y353" s="1" t="str">
        <f t="shared" si="11"/>
        <v>2 Years</v>
      </c>
      <c r="Z353" s="4">
        <v>69099</v>
      </c>
      <c r="AA353" s="1" t="s">
        <v>166</v>
      </c>
    </row>
    <row r="354" spans="1:27" ht="15.75" customHeight="1" x14ac:dyDescent="0.35">
      <c r="A354" s="1" t="s">
        <v>234</v>
      </c>
      <c r="B354" s="1" t="str">
        <f t="shared" si="16"/>
        <v>ASUS</v>
      </c>
      <c r="C354" s="1" t="s">
        <v>1982</v>
      </c>
      <c r="D354" s="1" t="str">
        <f t="shared" si="1"/>
        <v>Rog Strix Scar 15 G533ZW-LN086W</v>
      </c>
      <c r="E354" s="1" t="str">
        <f t="array" aca="1" ref="E354" ca="1">IFERROR(
INDEX(Family_Map!$B$2:$B$35,
_xludf.AGGREGATE(14,6,(ROW(Family_Map!$A$2:$A$35)-ROW(Family_Map!$A$2)+1)/(ISNUMBER(SEARCH(Family_Map!$A$2:$A$35,D354))),1)
),
"Other")</f>
        <v>Other</v>
      </c>
      <c r="F354" s="1" t="s">
        <v>1756</v>
      </c>
      <c r="G354" s="1" t="e">
        <f t="shared" ca="1" si="2"/>
        <v>#NAME?</v>
      </c>
      <c r="H354" s="1" t="str">
        <f t="shared" ca="1" si="12"/>
        <v>Other</v>
      </c>
      <c r="I354" s="1" t="s">
        <v>410</v>
      </c>
      <c r="J354" s="1" t="str">
        <f t="shared" si="3"/>
        <v>8GB</v>
      </c>
      <c r="K354" s="1" t="s">
        <v>1863</v>
      </c>
      <c r="L354" s="1">
        <f t="shared" si="27"/>
        <v>32</v>
      </c>
      <c r="M354" s="1" t="s">
        <v>472</v>
      </c>
      <c r="N354" s="1" t="str">
        <f t="shared" si="5"/>
        <v>1TB</v>
      </c>
      <c r="O354" s="1" t="str">
        <f t="shared" si="6"/>
        <v>1024GB</v>
      </c>
      <c r="P354" s="1" t="s">
        <v>1493</v>
      </c>
      <c r="Q354" s="1" t="str">
        <f t="shared" si="7"/>
        <v>2560x1440</v>
      </c>
      <c r="R354" s="1" t="s">
        <v>256</v>
      </c>
      <c r="S354" s="1" t="str">
        <f t="shared" si="8"/>
        <v>240Hz</v>
      </c>
      <c r="T354" s="1" t="s">
        <v>90</v>
      </c>
      <c r="U354" s="1" t="str">
        <f t="shared" si="9"/>
        <v>Windows 11 Home</v>
      </c>
      <c r="V354" s="1" t="s">
        <v>1400</v>
      </c>
      <c r="W354" s="1" t="str">
        <f t="shared" si="10"/>
        <v>2.3 kg</v>
      </c>
      <c r="X354" s="1" t="s">
        <v>165</v>
      </c>
      <c r="Y354" s="1" t="str">
        <f t="shared" si="11"/>
        <v>2 Years</v>
      </c>
      <c r="Z354" s="4">
        <v>108900</v>
      </c>
      <c r="AA354" s="1" t="s">
        <v>166</v>
      </c>
    </row>
    <row r="355" spans="1:27" ht="15.75" customHeight="1" x14ac:dyDescent="0.35">
      <c r="A355" s="1" t="s">
        <v>234</v>
      </c>
      <c r="B355" s="1" t="str">
        <f t="shared" si="16"/>
        <v>ASUS</v>
      </c>
      <c r="C355" s="1" t="s">
        <v>1989</v>
      </c>
      <c r="D355" s="1" t="str">
        <f t="shared" si="1"/>
        <v>ROG Strix Scar 17 G733ZW-KH162W</v>
      </c>
      <c r="E355" s="1" t="str">
        <f t="array" aca="1" ref="E355" ca="1">IFERROR(
INDEX(Family_Map!$B$2:$B$35,
_xludf.AGGREGATE(14,6,(ROW(Family_Map!$A$2:$A$35)-ROW(Family_Map!$A$2)+1)/(ISNUMBER(SEARCH(Family_Map!$A$2:$A$35,D355))),1)
),
"Other")</f>
        <v>Other</v>
      </c>
      <c r="F355" s="1" t="s">
        <v>1756</v>
      </c>
      <c r="G355" s="1" t="e">
        <f t="shared" ca="1" si="2"/>
        <v>#NAME?</v>
      </c>
      <c r="H355" s="1" t="str">
        <f t="shared" ca="1" si="12"/>
        <v>Other</v>
      </c>
      <c r="I355" s="1" t="s">
        <v>410</v>
      </c>
      <c r="J355" s="1" t="str">
        <f t="shared" si="3"/>
        <v>8GB</v>
      </c>
      <c r="K355" s="1" t="s">
        <v>1863</v>
      </c>
      <c r="L355" s="1">
        <f t="shared" si="27"/>
        <v>32</v>
      </c>
      <c r="M355" s="1" t="s">
        <v>576</v>
      </c>
      <c r="N355" s="1" t="str">
        <f t="shared" si="5"/>
        <v>2TB</v>
      </c>
      <c r="O355" s="1" t="str">
        <f t="shared" si="6"/>
        <v>2048GB</v>
      </c>
      <c r="P355" s="1" t="s">
        <v>120</v>
      </c>
      <c r="Q355" s="1" t="str">
        <f t="shared" si="7"/>
        <v>1920x1080</v>
      </c>
      <c r="R355" s="1" t="s">
        <v>1518</v>
      </c>
      <c r="S355" s="1" t="str">
        <f t="shared" si="8"/>
        <v>360Hz</v>
      </c>
      <c r="T355" s="1" t="s">
        <v>90</v>
      </c>
      <c r="U355" s="1" t="str">
        <f t="shared" si="9"/>
        <v>Windows 11 Home</v>
      </c>
      <c r="V355" s="1" t="s">
        <v>1869</v>
      </c>
      <c r="W355" s="1" t="str">
        <f t="shared" si="10"/>
        <v>2.9 kg</v>
      </c>
      <c r="X355" s="1" t="s">
        <v>165</v>
      </c>
      <c r="Y355" s="1" t="str">
        <f t="shared" si="11"/>
        <v>2 Years</v>
      </c>
      <c r="Z355" s="4">
        <v>107000</v>
      </c>
      <c r="AA355" s="1" t="s">
        <v>166</v>
      </c>
    </row>
    <row r="356" spans="1:27" ht="15.75" customHeight="1" x14ac:dyDescent="0.35">
      <c r="A356" s="1" t="s">
        <v>234</v>
      </c>
      <c r="B356" s="1" t="str">
        <f t="shared" si="16"/>
        <v>ASUS</v>
      </c>
      <c r="C356" s="1" t="s">
        <v>1993</v>
      </c>
      <c r="D356" s="1" t="str">
        <f t="shared" si="1"/>
        <v>ROG Strix Scar 17 G733ZX-KH059W</v>
      </c>
      <c r="E356" s="1" t="str">
        <f t="array" aca="1" ref="E356" ca="1">IFERROR(
INDEX(Family_Map!$B$2:$B$35,
_xludf.AGGREGATE(14,6,(ROW(Family_Map!$A$2:$A$35)-ROW(Family_Map!$A$2)+1)/(ISNUMBER(SEARCH(Family_Map!$A$2:$A$35,D356))),1)
),
"Other")</f>
        <v>Other</v>
      </c>
      <c r="F356" s="1" t="s">
        <v>1756</v>
      </c>
      <c r="G356" s="1" t="e">
        <f t="shared" ca="1" si="2"/>
        <v>#NAME?</v>
      </c>
      <c r="H356" s="1" t="str">
        <f t="shared" ca="1" si="12"/>
        <v>Other</v>
      </c>
      <c r="I356" s="1" t="s">
        <v>552</v>
      </c>
      <c r="J356" s="1" t="str">
        <f t="shared" si="3"/>
        <v>16GB</v>
      </c>
      <c r="K356" s="1" t="s">
        <v>1863</v>
      </c>
      <c r="L356" s="1">
        <f t="shared" si="27"/>
        <v>32</v>
      </c>
      <c r="M356" s="1" t="s">
        <v>472</v>
      </c>
      <c r="N356" s="1" t="str">
        <f t="shared" si="5"/>
        <v>1TB</v>
      </c>
      <c r="O356" s="1" t="str">
        <f t="shared" si="6"/>
        <v>1024GB</v>
      </c>
      <c r="P356" s="1" t="s">
        <v>120</v>
      </c>
      <c r="Q356" s="1" t="str">
        <f t="shared" si="7"/>
        <v>1920x1080</v>
      </c>
      <c r="R356" s="1" t="s">
        <v>1518</v>
      </c>
      <c r="S356" s="1" t="str">
        <f t="shared" si="8"/>
        <v>360Hz</v>
      </c>
      <c r="T356" s="1" t="s">
        <v>90</v>
      </c>
      <c r="U356" s="1" t="str">
        <f t="shared" si="9"/>
        <v>Windows 11 Home</v>
      </c>
      <c r="V356" s="1" t="s">
        <v>1869</v>
      </c>
      <c r="W356" s="1" t="str">
        <f t="shared" si="10"/>
        <v>2.9 kg</v>
      </c>
      <c r="X356" s="1" t="s">
        <v>165</v>
      </c>
      <c r="Y356" s="1" t="str">
        <f t="shared" si="11"/>
        <v>2 Years</v>
      </c>
      <c r="Z356" s="4">
        <v>119999</v>
      </c>
      <c r="AA356" s="1" t="s">
        <v>166</v>
      </c>
    </row>
    <row r="357" spans="1:27" ht="15.75" customHeight="1" x14ac:dyDescent="0.35">
      <c r="A357" s="1" t="s">
        <v>234</v>
      </c>
      <c r="B357" s="1" t="str">
        <f t="shared" si="16"/>
        <v>ASUS</v>
      </c>
      <c r="C357" s="1" t="s">
        <v>1997</v>
      </c>
      <c r="D357" s="1" t="str">
        <f t="shared" si="1"/>
        <v>TUF Gaming A15 FA507NU-LP045W</v>
      </c>
      <c r="E357" s="1" t="str">
        <f t="array" aca="1" ref="E357" ca="1">IFERROR(
INDEX(Family_Map!$B$2:$B$35,
_xludf.AGGREGATE(14,6,(ROW(Family_Map!$A$2:$A$35)-ROW(Family_Map!$A$2)+1)/(ISNUMBER(SEARCH(Family_Map!$A$2:$A$35,D357))),1)
),
"Other")</f>
        <v>Other</v>
      </c>
      <c r="F357" s="1" t="s">
        <v>1998</v>
      </c>
      <c r="G357" s="1" t="e">
        <f t="shared" ca="1" si="2"/>
        <v>#NAME?</v>
      </c>
      <c r="H357" s="1" t="str">
        <f t="shared" ca="1" si="12"/>
        <v>Other</v>
      </c>
      <c r="I357" s="1" t="s">
        <v>70</v>
      </c>
      <c r="J357" s="1" t="str">
        <f t="shared" si="3"/>
        <v>6GB</v>
      </c>
      <c r="K357" s="1" t="s">
        <v>1999</v>
      </c>
      <c r="L357" s="1">
        <f t="shared" si="27"/>
        <v>16</v>
      </c>
      <c r="M357" s="1" t="s">
        <v>295</v>
      </c>
      <c r="N357" s="1" t="str">
        <f t="shared" si="5"/>
        <v>512GB</v>
      </c>
      <c r="O357" s="1" t="str">
        <f t="shared" si="6"/>
        <v>512GB</v>
      </c>
      <c r="P357" s="1" t="s">
        <v>616</v>
      </c>
      <c r="Q357" s="1" t="str">
        <f t="shared" si="7"/>
        <v>1920x1080</v>
      </c>
      <c r="R357" s="1" t="s">
        <v>75</v>
      </c>
      <c r="S357" s="1" t="str">
        <f t="shared" si="8"/>
        <v>144Hz</v>
      </c>
      <c r="T357" s="1" t="s">
        <v>90</v>
      </c>
      <c r="U357" s="1" t="str">
        <f t="shared" si="9"/>
        <v>Windows 11 Home</v>
      </c>
      <c r="V357" s="1" t="s">
        <v>300</v>
      </c>
      <c r="W357" s="1" t="str">
        <f t="shared" si="10"/>
        <v>2.2 kg</v>
      </c>
      <c r="X357" s="1" t="s">
        <v>339</v>
      </c>
      <c r="Y357" s="1" t="str">
        <f t="shared" si="11"/>
        <v>2 Years</v>
      </c>
      <c r="Z357" s="4">
        <v>44000</v>
      </c>
      <c r="AA357" s="1" t="s">
        <v>5735</v>
      </c>
    </row>
    <row r="358" spans="1:27" ht="15.75" customHeight="1" x14ac:dyDescent="0.35">
      <c r="A358" s="1" t="s">
        <v>112</v>
      </c>
      <c r="B358" s="1" t="str">
        <f t="shared" si="16"/>
        <v>HP</v>
      </c>
      <c r="C358" s="1" t="s">
        <v>2004</v>
      </c>
      <c r="D358" s="1" t="str">
        <f t="shared" si="1"/>
        <v>Victus 15-FB0028NR</v>
      </c>
      <c r="E358" s="1" t="str">
        <f t="array" aca="1" ref="E358" ca="1">IFERROR(
INDEX(Family_Map!$B$2:$B$35,
_xludf.AGGREGATE(14,6,(ROW(Family_Map!$A$2:$A$35)-ROW(Family_Map!$A$2)+1)/(ISNUMBER(SEARCH(Family_Map!$A$2:$A$35,D358))),1)
),
"Other")</f>
        <v>Other</v>
      </c>
      <c r="F358" s="1" t="s">
        <v>1601</v>
      </c>
      <c r="G358" s="1" t="e">
        <f t="shared" ca="1" si="2"/>
        <v>#NAME?</v>
      </c>
      <c r="H358" s="1" t="str">
        <f t="shared" ca="1" si="12"/>
        <v>Other</v>
      </c>
      <c r="I358" s="1" t="s">
        <v>507</v>
      </c>
      <c r="J358" s="1" t="str">
        <f t="shared" si="3"/>
        <v>4GB</v>
      </c>
      <c r="K358" s="1" t="s">
        <v>2005</v>
      </c>
      <c r="L358" s="1">
        <f t="shared" si="27"/>
        <v>16</v>
      </c>
      <c r="M358" s="1" t="s">
        <v>136</v>
      </c>
      <c r="N358" s="1" t="str">
        <f t="shared" si="5"/>
        <v>512 GB</v>
      </c>
      <c r="O358" s="1" t="str">
        <f t="shared" si="6"/>
        <v>512 GB</v>
      </c>
      <c r="P358" s="1" t="s">
        <v>616</v>
      </c>
      <c r="Q358" s="1" t="str">
        <f t="shared" si="7"/>
        <v>1920x1080</v>
      </c>
      <c r="R358" s="1" t="s">
        <v>75</v>
      </c>
      <c r="S358" s="1" t="str">
        <f t="shared" si="8"/>
        <v>144Hz</v>
      </c>
      <c r="T358" s="1" t="s">
        <v>90</v>
      </c>
      <c r="U358" s="1" t="str">
        <f t="shared" si="9"/>
        <v>Windows 11 Home</v>
      </c>
      <c r="V358" s="1" t="s">
        <v>127</v>
      </c>
      <c r="W358" s="1" t="str">
        <f t="shared" si="10"/>
        <v>2.29 kg</v>
      </c>
      <c r="X358" s="1" t="s">
        <v>78</v>
      </c>
      <c r="Y358" s="1" t="str">
        <f t="shared" si="11"/>
        <v>1 Year</v>
      </c>
      <c r="Z358" s="4">
        <v>43899</v>
      </c>
      <c r="AA358" s="1" t="s">
        <v>5735</v>
      </c>
    </row>
    <row r="359" spans="1:27" ht="15.75" customHeight="1" x14ac:dyDescent="0.35">
      <c r="A359" s="1" t="s">
        <v>112</v>
      </c>
      <c r="B359" s="1" t="str">
        <f t="shared" si="16"/>
        <v>HP</v>
      </c>
      <c r="C359" s="1" t="s">
        <v>2008</v>
      </c>
      <c r="D359" s="1" t="str">
        <f t="shared" si="1"/>
        <v>Victus 16-D1002NE</v>
      </c>
      <c r="E359" s="1" t="str">
        <f t="array" aca="1" ref="E359" ca="1">IFERROR(
INDEX(Family_Map!$B$2:$B$35,
_xludf.AGGREGATE(14,6,(ROW(Family_Map!$A$2:$A$35)-ROW(Family_Map!$A$2)+1)/(ISNUMBER(SEARCH(Family_Map!$A$2:$A$35,D359))),1)
),
"Other")</f>
        <v>Other</v>
      </c>
      <c r="F359" s="1" t="s">
        <v>1118</v>
      </c>
      <c r="G359" s="1" t="e">
        <f t="shared" ca="1" si="2"/>
        <v>#NAME?</v>
      </c>
      <c r="H359" s="1" t="str">
        <f t="shared" ca="1" si="12"/>
        <v>Other</v>
      </c>
      <c r="I359" s="1" t="s">
        <v>507</v>
      </c>
      <c r="J359" s="1" t="str">
        <f t="shared" si="3"/>
        <v>4GB</v>
      </c>
      <c r="K359" s="1" t="s">
        <v>1491</v>
      </c>
      <c r="L359" s="1">
        <f t="shared" si="27"/>
        <v>16</v>
      </c>
      <c r="M359" s="1" t="s">
        <v>1624</v>
      </c>
      <c r="N359" s="1" t="str">
        <f t="shared" si="5"/>
        <v>1 TB</v>
      </c>
      <c r="O359" s="1" t="str">
        <f t="shared" si="6"/>
        <v>1024GB</v>
      </c>
      <c r="P359" s="1" t="s">
        <v>616</v>
      </c>
      <c r="Q359" s="1" t="str">
        <f t="shared" si="7"/>
        <v>1920x1080</v>
      </c>
      <c r="R359" s="1" t="s">
        <v>75</v>
      </c>
      <c r="S359" s="1" t="str">
        <f t="shared" si="8"/>
        <v>144Hz</v>
      </c>
      <c r="T359" s="1" t="s">
        <v>101</v>
      </c>
      <c r="U359" s="1" t="str">
        <f t="shared" si="9"/>
        <v>DOS</v>
      </c>
      <c r="V359" s="1" t="s">
        <v>2011</v>
      </c>
      <c r="W359" s="1" t="str">
        <f t="shared" si="10"/>
        <v>2.46 kg</v>
      </c>
      <c r="X359" s="1" t="s">
        <v>78</v>
      </c>
      <c r="Y359" s="1" t="str">
        <f t="shared" si="11"/>
        <v>1 Year</v>
      </c>
      <c r="Z359" s="4">
        <v>39499</v>
      </c>
      <c r="AA359" s="1" t="s">
        <v>166</v>
      </c>
    </row>
    <row r="360" spans="1:27" ht="15.75" customHeight="1" x14ac:dyDescent="0.35">
      <c r="A360" s="1" t="s">
        <v>112</v>
      </c>
      <c r="B360" s="1" t="str">
        <f t="shared" si="16"/>
        <v>HP</v>
      </c>
      <c r="C360" s="1" t="s">
        <v>2013</v>
      </c>
      <c r="D360" s="1" t="str">
        <f t="shared" si="1"/>
        <v>Victus 15-FA0031NE</v>
      </c>
      <c r="E360" s="1" t="str">
        <f t="array" aca="1" ref="E360" ca="1">IFERROR(
INDEX(Family_Map!$B$2:$B$35,
_xludf.AGGREGATE(14,6,(ROW(Family_Map!$A$2:$A$35)-ROW(Family_Map!$A$2)+1)/(ISNUMBER(SEARCH(Family_Map!$A$2:$A$35,D360))),1)
),
"Other")</f>
        <v>Other</v>
      </c>
      <c r="F360" s="1" t="s">
        <v>1118</v>
      </c>
      <c r="G360" s="1" t="e">
        <f t="shared" ca="1" si="2"/>
        <v>#NAME?</v>
      </c>
      <c r="H360" s="1" t="str">
        <f t="shared" ca="1" si="12"/>
        <v>Other</v>
      </c>
      <c r="I360" s="1" t="s">
        <v>507</v>
      </c>
      <c r="J360" s="1" t="str">
        <f t="shared" si="3"/>
        <v>4GB</v>
      </c>
      <c r="K360" s="1" t="s">
        <v>2014</v>
      </c>
      <c r="L360" s="1">
        <f t="shared" si="27"/>
        <v>8</v>
      </c>
      <c r="M360" s="1" t="s">
        <v>1813</v>
      </c>
      <c r="N360" s="1" t="str">
        <f t="shared" si="5"/>
        <v>512 GB</v>
      </c>
      <c r="O360" s="1" t="str">
        <f t="shared" si="6"/>
        <v>512 GB</v>
      </c>
      <c r="P360" s="1" t="s">
        <v>120</v>
      </c>
      <c r="Q360" s="1" t="str">
        <f t="shared" si="7"/>
        <v>1920x1080</v>
      </c>
      <c r="R360" s="1" t="s">
        <v>75</v>
      </c>
      <c r="S360" s="1" t="str">
        <f t="shared" si="8"/>
        <v>144Hz</v>
      </c>
      <c r="T360" s="1" t="s">
        <v>101</v>
      </c>
      <c r="U360" s="1" t="str">
        <f t="shared" si="9"/>
        <v>DOS</v>
      </c>
      <c r="V360" s="1" t="s">
        <v>127</v>
      </c>
      <c r="W360" s="1" t="str">
        <f t="shared" si="10"/>
        <v>2.29 kg</v>
      </c>
      <c r="X360" s="1" t="s">
        <v>78</v>
      </c>
      <c r="Y360" s="1" t="str">
        <f t="shared" si="11"/>
        <v>1 Year</v>
      </c>
      <c r="Z360" s="4">
        <v>36999</v>
      </c>
      <c r="AA360" s="1" t="s">
        <v>166</v>
      </c>
    </row>
    <row r="361" spans="1:27" ht="15.75" customHeight="1" x14ac:dyDescent="0.35">
      <c r="A361" s="1" t="s">
        <v>151</v>
      </c>
      <c r="B361" s="1" t="str">
        <f t="shared" si="16"/>
        <v>Lenovo</v>
      </c>
      <c r="C361" s="1" t="s">
        <v>826</v>
      </c>
      <c r="D361" s="1" t="str">
        <f t="shared" si="1"/>
        <v>IdeaPad Gaming 3 15ACH6</v>
      </c>
      <c r="E361" s="1" t="str">
        <f t="array" aca="1" ref="E361" ca="1">IFERROR(
INDEX(Family_Map!$B$2:$B$35,
_xludf.AGGREGATE(14,6,(ROW(Family_Map!$A$2:$A$35)-ROW(Family_Map!$A$2)+1)/(ISNUMBER(SEARCH(Family_Map!$A$2:$A$35,D361))),1)
),
"Other")</f>
        <v>Other</v>
      </c>
      <c r="F361" s="1" t="s">
        <v>1601</v>
      </c>
      <c r="G361" s="1" t="e">
        <f t="shared" ca="1" si="2"/>
        <v>#NAME?</v>
      </c>
      <c r="H361" s="1" t="str">
        <f t="shared" ca="1" si="12"/>
        <v>Other</v>
      </c>
      <c r="I361" s="1" t="s">
        <v>507</v>
      </c>
      <c r="J361" s="1" t="str">
        <f t="shared" si="3"/>
        <v>4GB</v>
      </c>
      <c r="K361" s="1" t="s">
        <v>1674</v>
      </c>
      <c r="L361" s="1">
        <f t="shared" si="27"/>
        <v>32</v>
      </c>
      <c r="M361" s="1" t="s">
        <v>2016</v>
      </c>
      <c r="N361" s="1" t="str">
        <f t="shared" si="5"/>
        <v>512GB</v>
      </c>
      <c r="O361" s="1" t="str">
        <f t="shared" si="6"/>
        <v>512GB</v>
      </c>
      <c r="P361" s="1" t="s">
        <v>616</v>
      </c>
      <c r="Q361" s="1" t="str">
        <f t="shared" si="7"/>
        <v>1920x1080</v>
      </c>
      <c r="R361" s="1" t="s">
        <v>39</v>
      </c>
      <c r="S361" s="1" t="str">
        <f t="shared" si="8"/>
        <v>120Hz</v>
      </c>
      <c r="T361" s="1" t="s">
        <v>101</v>
      </c>
      <c r="U361" s="1" t="str">
        <f t="shared" si="9"/>
        <v>DOS</v>
      </c>
      <c r="V361" s="1" t="s">
        <v>652</v>
      </c>
      <c r="W361" s="1" t="str">
        <f t="shared" si="10"/>
        <v>2.25 kg</v>
      </c>
      <c r="X361" s="1" t="s">
        <v>78</v>
      </c>
      <c r="Y361" s="1" t="str">
        <f t="shared" si="11"/>
        <v>1 Year</v>
      </c>
      <c r="Z361" s="4">
        <v>27499</v>
      </c>
      <c r="AA361" s="1" t="s">
        <v>5735</v>
      </c>
    </row>
    <row r="362" spans="1:27" ht="15.75" customHeight="1" x14ac:dyDescent="0.35">
      <c r="A362" s="1" t="s">
        <v>112</v>
      </c>
      <c r="B362" s="1" t="str">
        <f t="shared" si="16"/>
        <v>HP</v>
      </c>
      <c r="C362" s="1" t="s">
        <v>2018</v>
      </c>
      <c r="D362" s="1" t="str">
        <f t="shared" si="1"/>
        <v>Victus 16-E0004NE</v>
      </c>
      <c r="E362" s="1" t="str">
        <f t="array" aca="1" ref="E362" ca="1">IFERROR(
INDEX(Family_Map!$B$2:$B$35,
_xludf.AGGREGATE(14,6,(ROW(Family_Map!$A$2:$A$35)-ROW(Family_Map!$A$2)+1)/(ISNUMBER(SEARCH(Family_Map!$A$2:$A$35,D362))),1)
),
"Other")</f>
        <v>Other</v>
      </c>
      <c r="F362" s="1" t="s">
        <v>1711</v>
      </c>
      <c r="G362" s="1" t="e">
        <f t="shared" ca="1" si="2"/>
        <v>#NAME?</v>
      </c>
      <c r="H362" s="1" t="str">
        <f t="shared" ca="1" si="12"/>
        <v>Other</v>
      </c>
      <c r="I362" s="1" t="s">
        <v>507</v>
      </c>
      <c r="J362" s="1" t="str">
        <f t="shared" si="3"/>
        <v>4GB</v>
      </c>
      <c r="K362" s="1" t="s">
        <v>2019</v>
      </c>
      <c r="L362" s="1">
        <f t="shared" si="27"/>
        <v>8</v>
      </c>
      <c r="M362" s="1" t="s">
        <v>1813</v>
      </c>
      <c r="N362" s="1" t="str">
        <f t="shared" si="5"/>
        <v>512 GB</v>
      </c>
      <c r="O362" s="1" t="str">
        <f t="shared" si="6"/>
        <v>512 GB</v>
      </c>
      <c r="P362" s="1" t="s">
        <v>120</v>
      </c>
      <c r="Q362" s="1" t="str">
        <f t="shared" si="7"/>
        <v>1920x1080</v>
      </c>
      <c r="S362" s="1" t="str">
        <f t="shared" si="8"/>
        <v/>
      </c>
      <c r="T362" s="1" t="s">
        <v>90</v>
      </c>
      <c r="U362" s="1" t="str">
        <f t="shared" si="9"/>
        <v>Windows 11 Home</v>
      </c>
      <c r="V362" s="1" t="s">
        <v>2011</v>
      </c>
      <c r="W362" s="1" t="str">
        <f t="shared" si="10"/>
        <v>2.46 kg</v>
      </c>
      <c r="X362" s="1" t="s">
        <v>78</v>
      </c>
      <c r="Y362" s="1" t="str">
        <f t="shared" si="11"/>
        <v>1 Year</v>
      </c>
      <c r="Z362" s="4">
        <v>24750</v>
      </c>
      <c r="AA362" s="1" t="s">
        <v>5735</v>
      </c>
    </row>
    <row r="363" spans="1:27" ht="15.75" customHeight="1" x14ac:dyDescent="0.35">
      <c r="A363" s="1" t="s">
        <v>30</v>
      </c>
      <c r="B363" s="1" t="str">
        <f t="shared" si="16"/>
        <v>MSI</v>
      </c>
      <c r="C363" s="1" t="s">
        <v>2024</v>
      </c>
      <c r="D363" s="1" t="str">
        <f t="shared" si="1"/>
        <v>GE76 Raider 12UHS</v>
      </c>
      <c r="E363" s="1" t="str">
        <f t="array" aca="1" ref="E363" ca="1">IFERROR(
INDEX(Family_Map!$B$2:$B$35,
_xludf.AGGREGATE(14,6,(ROW(Family_Map!$A$2:$A$35)-ROW(Family_Map!$A$2)+1)/(ISNUMBER(SEARCH(Family_Map!$A$2:$A$35,D363))),1)
),
"Other")</f>
        <v>Other</v>
      </c>
      <c r="F363" s="1" t="s">
        <v>2025</v>
      </c>
      <c r="G363" s="1" t="e">
        <f t="shared" ca="1" si="2"/>
        <v>#NAME?</v>
      </c>
      <c r="H363" s="1" t="str">
        <f t="shared" ca="1" si="12"/>
        <v>Other</v>
      </c>
      <c r="I363" s="1" t="s">
        <v>552</v>
      </c>
      <c r="J363" s="1" t="str">
        <f t="shared" si="3"/>
        <v>16GB</v>
      </c>
      <c r="K363" s="1" t="s">
        <v>2027</v>
      </c>
      <c r="L363" s="1">
        <f t="shared" si="27"/>
        <v>64</v>
      </c>
      <c r="M363" s="1" t="s">
        <v>2028</v>
      </c>
      <c r="N363" s="1" t="str">
        <f t="shared" si="5"/>
        <v>2TB</v>
      </c>
      <c r="O363" s="1" t="str">
        <f t="shared" si="6"/>
        <v>2048GB</v>
      </c>
      <c r="P363" s="1" t="s">
        <v>616</v>
      </c>
      <c r="Q363" s="1" t="str">
        <f t="shared" si="7"/>
        <v>1920x1080</v>
      </c>
      <c r="R363" s="1" t="s">
        <v>1518</v>
      </c>
      <c r="S363" s="1" t="str">
        <f t="shared" si="8"/>
        <v>360Hz</v>
      </c>
      <c r="T363" s="1" t="s">
        <v>90</v>
      </c>
      <c r="U363" s="1" t="str">
        <f t="shared" si="9"/>
        <v>Windows 11 Home</v>
      </c>
      <c r="V363" s="1" t="s">
        <v>2035</v>
      </c>
      <c r="W363" s="1" t="str">
        <f t="shared" si="10"/>
        <v>2.89 kg</v>
      </c>
      <c r="X363" s="1" t="s">
        <v>165</v>
      </c>
      <c r="Y363" s="1" t="str">
        <f t="shared" si="11"/>
        <v>2 Years</v>
      </c>
      <c r="Z363" s="4">
        <v>129999</v>
      </c>
      <c r="AA363" s="1" t="s">
        <v>166</v>
      </c>
    </row>
    <row r="364" spans="1:27" ht="15.75" customHeight="1" x14ac:dyDescent="0.35">
      <c r="A364" s="1" t="s">
        <v>30</v>
      </c>
      <c r="B364" s="1" t="str">
        <f t="shared" si="16"/>
        <v>MSI</v>
      </c>
      <c r="C364" s="1" t="s">
        <v>2038</v>
      </c>
      <c r="D364" s="1" t="str">
        <f t="shared" si="1"/>
        <v>Msi GS66 Stealth 11UG</v>
      </c>
      <c r="E364" s="1" t="str">
        <f t="array" aca="1" ref="E364" ca="1">IFERROR(
INDEX(Family_Map!$B$2:$B$35,
_xludf.AGGREGATE(14,6,(ROW(Family_Map!$A$2:$A$35)-ROW(Family_Map!$A$2)+1)/(ISNUMBER(SEARCH(Family_Map!$A$2:$A$35,D364))),1)
),
"Other")</f>
        <v>Other</v>
      </c>
      <c r="F364" s="1" t="s">
        <v>1075</v>
      </c>
      <c r="G364" s="1" t="e">
        <f t="shared" ca="1" si="2"/>
        <v>#NAME?</v>
      </c>
      <c r="H364" s="1" t="str">
        <f t="shared" ca="1" si="12"/>
        <v>Other</v>
      </c>
      <c r="I364" s="1" t="s">
        <v>410</v>
      </c>
      <c r="J364" s="1" t="str">
        <f t="shared" si="3"/>
        <v>8GB</v>
      </c>
      <c r="K364" s="1" t="s">
        <v>491</v>
      </c>
      <c r="L364" s="1">
        <f t="shared" si="27"/>
        <v>16</v>
      </c>
      <c r="M364" s="1" t="s">
        <v>2039</v>
      </c>
      <c r="N364" s="1" t="str">
        <f t="shared" si="5"/>
        <v>1TB</v>
      </c>
      <c r="O364" s="1" t="str">
        <f t="shared" si="6"/>
        <v>1024GB</v>
      </c>
      <c r="P364" s="1" t="s">
        <v>1371</v>
      </c>
      <c r="Q364" s="1" t="str">
        <f t="shared" si="7"/>
        <v>2560x1440</v>
      </c>
      <c r="R364" s="1" t="s">
        <v>256</v>
      </c>
      <c r="S364" s="1" t="str">
        <f t="shared" si="8"/>
        <v>240Hz</v>
      </c>
      <c r="T364" s="1" t="s">
        <v>90</v>
      </c>
      <c r="U364" s="1" t="str">
        <f t="shared" si="9"/>
        <v>Windows 11 Home</v>
      </c>
      <c r="V364" s="1" t="s">
        <v>2045</v>
      </c>
      <c r="W364" s="1" t="str">
        <f t="shared" si="10"/>
        <v>2.1 kg</v>
      </c>
      <c r="X364" s="1" t="s">
        <v>165</v>
      </c>
      <c r="Y364" s="1" t="str">
        <f t="shared" si="11"/>
        <v>2 Years</v>
      </c>
      <c r="Z364" s="4">
        <v>57999</v>
      </c>
      <c r="AA364" s="1" t="s">
        <v>1082</v>
      </c>
    </row>
    <row r="365" spans="1:27" ht="15.75" customHeight="1" x14ac:dyDescent="0.35">
      <c r="A365" s="1" t="s">
        <v>30</v>
      </c>
      <c r="B365" s="1" t="str">
        <f t="shared" si="16"/>
        <v>MSI</v>
      </c>
      <c r="C365" s="1" t="s">
        <v>2047</v>
      </c>
      <c r="D365" s="1" t="str">
        <f t="shared" si="1"/>
        <v>Katana GF66 12UG</v>
      </c>
      <c r="E365" s="1" t="str">
        <f t="array" aca="1" ref="E365" ca="1">IFERROR(
INDEX(Family_Map!$B$2:$B$35,
_xludf.AGGREGATE(14,6,(ROW(Family_Map!$A$2:$A$35)-ROW(Family_Map!$A$2)+1)/(ISNUMBER(SEARCH(Family_Map!$A$2:$A$35,D365))),1)
),
"Other")</f>
        <v>Other</v>
      </c>
      <c r="F365" s="1" t="s">
        <v>1118</v>
      </c>
      <c r="G365" s="1" t="e">
        <f t="shared" ca="1" si="2"/>
        <v>#NAME?</v>
      </c>
      <c r="H365" s="1" t="str">
        <f t="shared" ca="1" si="12"/>
        <v>Other</v>
      </c>
      <c r="I365" s="1" t="s">
        <v>410</v>
      </c>
      <c r="J365" s="1" t="str">
        <f t="shared" si="3"/>
        <v>8GB</v>
      </c>
      <c r="K365" s="1" t="s">
        <v>2049</v>
      </c>
      <c r="L365" s="1">
        <f t="shared" si="27"/>
        <v>16</v>
      </c>
      <c r="M365" s="1" t="s">
        <v>2050</v>
      </c>
      <c r="N365" s="1" t="str">
        <f t="shared" si="5"/>
        <v>1TB</v>
      </c>
      <c r="O365" s="1" t="str">
        <f t="shared" si="6"/>
        <v>1024GB</v>
      </c>
      <c r="P365" s="1" t="s">
        <v>616</v>
      </c>
      <c r="Q365" s="1" t="str">
        <f t="shared" si="7"/>
        <v>1920x1080</v>
      </c>
      <c r="R365" s="1" t="s">
        <v>75</v>
      </c>
      <c r="S365" s="1" t="str">
        <f t="shared" si="8"/>
        <v>144Hz</v>
      </c>
      <c r="T365" s="1" t="s">
        <v>90</v>
      </c>
      <c r="U365" s="1" t="str">
        <f t="shared" si="9"/>
        <v>Windows 11 Home</v>
      </c>
      <c r="V365" s="1" t="s">
        <v>652</v>
      </c>
      <c r="W365" s="1" t="str">
        <f t="shared" si="10"/>
        <v>2.25 kg</v>
      </c>
      <c r="X365" s="1" t="s">
        <v>165</v>
      </c>
      <c r="Y365" s="1" t="str">
        <f t="shared" si="11"/>
        <v>2 Years</v>
      </c>
      <c r="Z365" s="4">
        <v>62049</v>
      </c>
      <c r="AA365" s="1" t="s">
        <v>166</v>
      </c>
    </row>
    <row r="366" spans="1:27" ht="15.75" customHeight="1" x14ac:dyDescent="0.35">
      <c r="A366" s="1" t="s">
        <v>30</v>
      </c>
      <c r="B366" s="1" t="str">
        <f t="shared" si="16"/>
        <v>MSI</v>
      </c>
      <c r="C366" s="1" t="s">
        <v>2052</v>
      </c>
      <c r="D366" s="1" t="str">
        <f t="shared" si="1"/>
        <v>GF63 Thin 11UD</v>
      </c>
      <c r="E366" s="1" t="str">
        <f t="array" aca="1" ref="E366" ca="1">IFERROR(
INDEX(Family_Map!$B$2:$B$35,
_xludf.AGGREGATE(14,6,(ROW(Family_Map!$A$2:$A$35)-ROW(Family_Map!$A$2)+1)/(ISNUMBER(SEARCH(Family_Map!$A$2:$A$35,D366))),1)
),
"Other")</f>
        <v>Other</v>
      </c>
      <c r="F366" s="1" t="s">
        <v>1075</v>
      </c>
      <c r="G366" s="1" t="e">
        <f t="shared" ca="1" si="2"/>
        <v>#NAME?</v>
      </c>
      <c r="H366" s="1" t="str">
        <f t="shared" ca="1" si="12"/>
        <v>Other</v>
      </c>
      <c r="I366" s="1" t="s">
        <v>507</v>
      </c>
      <c r="J366" s="1" t="str">
        <f t="shared" si="3"/>
        <v>4GB</v>
      </c>
      <c r="K366" s="1" t="s">
        <v>2053</v>
      </c>
      <c r="L366" s="1">
        <f t="shared" si="27"/>
        <v>8</v>
      </c>
      <c r="M366" s="1" t="s">
        <v>2054</v>
      </c>
      <c r="N366" s="1" t="str">
        <f t="shared" si="5"/>
        <v>256GB</v>
      </c>
      <c r="O366" s="1" t="str">
        <f t="shared" si="6"/>
        <v>256GB</v>
      </c>
      <c r="P366" s="1" t="s">
        <v>616</v>
      </c>
      <c r="Q366" s="1" t="str">
        <f t="shared" si="7"/>
        <v>1920x1080</v>
      </c>
      <c r="R366" s="1" t="s">
        <v>75</v>
      </c>
      <c r="S366" s="1" t="str">
        <f t="shared" si="8"/>
        <v>144Hz</v>
      </c>
      <c r="T366" s="1" t="s">
        <v>90</v>
      </c>
      <c r="U366" s="1" t="str">
        <f t="shared" si="9"/>
        <v>Windows 11 Home</v>
      </c>
      <c r="V366" s="1" t="s">
        <v>376</v>
      </c>
      <c r="W366" s="1" t="str">
        <f t="shared" si="10"/>
        <v>1.86 kg</v>
      </c>
      <c r="X366" s="1" t="s">
        <v>165</v>
      </c>
      <c r="Y366" s="1" t="str">
        <f t="shared" si="11"/>
        <v>2 Years</v>
      </c>
      <c r="Z366" s="4">
        <v>36144</v>
      </c>
      <c r="AA366" s="1" t="s">
        <v>1082</v>
      </c>
    </row>
    <row r="367" spans="1:27" ht="15.75" customHeight="1" x14ac:dyDescent="0.35">
      <c r="A367" s="1" t="s">
        <v>30</v>
      </c>
      <c r="B367" s="1" t="str">
        <f t="shared" si="16"/>
        <v>MSI</v>
      </c>
      <c r="C367" s="1" t="s">
        <v>1612</v>
      </c>
      <c r="D367" s="1" t="str">
        <f t="shared" si="1"/>
        <v>GF63 Thin 11SC</v>
      </c>
      <c r="E367" s="1" t="str">
        <f t="array" aca="1" ref="E367" ca="1">IFERROR(
INDEX(Family_Map!$B$2:$B$35,
_xludf.AGGREGATE(14,6,(ROW(Family_Map!$A$2:$A$35)-ROW(Family_Map!$A$2)+1)/(ISNUMBER(SEARCH(Family_Map!$A$2:$A$35,D367))),1)
),
"Other")</f>
        <v>Other</v>
      </c>
      <c r="F367" s="1" t="s">
        <v>1075</v>
      </c>
      <c r="G367" s="1" t="e">
        <f t="shared" ca="1" si="2"/>
        <v>#NAME?</v>
      </c>
      <c r="H367" s="1" t="str">
        <f t="shared" ca="1" si="12"/>
        <v>Other</v>
      </c>
      <c r="I367" s="1" t="s">
        <v>507</v>
      </c>
      <c r="J367" s="1" t="str">
        <f t="shared" si="3"/>
        <v>4GB</v>
      </c>
      <c r="K367" s="1" t="s">
        <v>1134</v>
      </c>
      <c r="L367" s="1">
        <f t="shared" si="27"/>
        <v>8</v>
      </c>
      <c r="M367" s="1" t="s">
        <v>2054</v>
      </c>
      <c r="N367" s="1" t="str">
        <f t="shared" si="5"/>
        <v>256GB</v>
      </c>
      <c r="O367" s="1" t="str">
        <f t="shared" si="6"/>
        <v>256GB</v>
      </c>
      <c r="P367" s="1" t="s">
        <v>616</v>
      </c>
      <c r="Q367" s="1" t="str">
        <f t="shared" si="7"/>
        <v>1920x1080</v>
      </c>
      <c r="R367" s="1" t="s">
        <v>971</v>
      </c>
      <c r="S367" s="1" t="str">
        <f t="shared" si="8"/>
        <v>60Hz</v>
      </c>
      <c r="T367" s="1" t="s">
        <v>101</v>
      </c>
      <c r="U367" s="1" t="str">
        <f t="shared" si="9"/>
        <v>DOS</v>
      </c>
      <c r="V367" s="1" t="s">
        <v>376</v>
      </c>
      <c r="W367" s="1" t="str">
        <f t="shared" si="10"/>
        <v>1.86 kg</v>
      </c>
      <c r="X367" s="1" t="s">
        <v>78</v>
      </c>
      <c r="Y367" s="1" t="str">
        <f t="shared" si="11"/>
        <v>1 Year</v>
      </c>
      <c r="Z367" s="4">
        <v>32100</v>
      </c>
      <c r="AA367" s="1" t="s">
        <v>1082</v>
      </c>
    </row>
    <row r="368" spans="1:27" ht="15.75" customHeight="1" x14ac:dyDescent="0.35">
      <c r="A368" s="1" t="s">
        <v>30</v>
      </c>
      <c r="B368" s="1" t="str">
        <f t="shared" si="16"/>
        <v>MSI</v>
      </c>
      <c r="C368" s="1" t="s">
        <v>2058</v>
      </c>
      <c r="D368" s="1" t="str">
        <f t="shared" si="1"/>
        <v>Vector GP76 12UGS</v>
      </c>
      <c r="E368" s="1" t="str">
        <f t="array" aca="1" ref="E368" ca="1">IFERROR(
INDEX(Family_Map!$B$2:$B$35,
_xludf.AGGREGATE(14,6,(ROW(Family_Map!$A$2:$A$35)-ROW(Family_Map!$A$2)+1)/(ISNUMBER(SEARCH(Family_Map!$A$2:$A$35,D368))),1)
),
"Other")</f>
        <v>Other</v>
      </c>
      <c r="F368" s="1" t="s">
        <v>1118</v>
      </c>
      <c r="G368" s="1" t="e">
        <f t="shared" ca="1" si="2"/>
        <v>#NAME?</v>
      </c>
      <c r="H368" s="1" t="str">
        <f t="shared" ca="1" si="12"/>
        <v>Other</v>
      </c>
      <c r="I368" s="1" t="s">
        <v>410</v>
      </c>
      <c r="J368" s="1" t="str">
        <f t="shared" si="3"/>
        <v>8GB</v>
      </c>
      <c r="K368" s="1" t="s">
        <v>2060</v>
      </c>
      <c r="L368" s="1">
        <f t="shared" si="27"/>
        <v>32</v>
      </c>
      <c r="M368" s="1" t="s">
        <v>2050</v>
      </c>
      <c r="N368" s="1" t="str">
        <f t="shared" si="5"/>
        <v>1TB</v>
      </c>
      <c r="O368" s="1" t="str">
        <f t="shared" si="6"/>
        <v>1024GB</v>
      </c>
      <c r="P368" s="1" t="s">
        <v>1493</v>
      </c>
      <c r="Q368" s="1" t="str">
        <f t="shared" si="7"/>
        <v>2560x1440</v>
      </c>
      <c r="R368" s="1" t="s">
        <v>256</v>
      </c>
      <c r="S368" s="1" t="str">
        <f t="shared" si="8"/>
        <v>240Hz</v>
      </c>
      <c r="T368" s="1" t="s">
        <v>90</v>
      </c>
      <c r="U368" s="1" t="str">
        <f t="shared" si="9"/>
        <v>Windows 11 Home</v>
      </c>
      <c r="V368" s="1" t="s">
        <v>2064</v>
      </c>
      <c r="W368" s="1" t="str">
        <f t="shared" si="10"/>
        <v>2.9 kg</v>
      </c>
      <c r="X368" s="1" t="s">
        <v>165</v>
      </c>
      <c r="Y368" s="1" t="str">
        <f t="shared" si="11"/>
        <v>2 Years</v>
      </c>
      <c r="Z368" s="4">
        <v>79599</v>
      </c>
      <c r="AA368" s="1" t="s">
        <v>166</v>
      </c>
    </row>
    <row r="369" spans="1:27" ht="15.75" customHeight="1" x14ac:dyDescent="0.35">
      <c r="A369" s="1" t="s">
        <v>30</v>
      </c>
      <c r="B369" s="1" t="str">
        <f t="shared" si="16"/>
        <v>MSI</v>
      </c>
      <c r="C369" s="1" t="s">
        <v>2065</v>
      </c>
      <c r="D369" s="1" t="str">
        <f t="shared" si="1"/>
        <v>Vector GP66 12UH</v>
      </c>
      <c r="E369" s="1" t="str">
        <f t="array" aca="1" ref="E369" ca="1">IFERROR(
INDEX(Family_Map!$B$2:$B$35,
_xludf.AGGREGATE(14,6,(ROW(Family_Map!$A$2:$A$35)-ROW(Family_Map!$A$2)+1)/(ISNUMBER(SEARCH(Family_Map!$A$2:$A$35,D369))),1)
),
"Other")</f>
        <v>Other</v>
      </c>
      <c r="F369" s="1" t="s">
        <v>1118</v>
      </c>
      <c r="G369" s="1" t="e">
        <f t="shared" ca="1" si="2"/>
        <v>#NAME?</v>
      </c>
      <c r="H369" s="1" t="str">
        <f t="shared" ca="1" si="12"/>
        <v>Other</v>
      </c>
      <c r="I369" s="1" t="s">
        <v>410</v>
      </c>
      <c r="J369" s="1" t="str">
        <f t="shared" si="3"/>
        <v>8GB</v>
      </c>
      <c r="K369" s="1" t="s">
        <v>2060</v>
      </c>
      <c r="L369" s="1">
        <f t="shared" si="27"/>
        <v>32</v>
      </c>
      <c r="M369" s="1" t="s">
        <v>2050</v>
      </c>
      <c r="N369" s="1" t="str">
        <f t="shared" si="5"/>
        <v>1TB</v>
      </c>
      <c r="O369" s="1" t="str">
        <f t="shared" si="6"/>
        <v>1024GB</v>
      </c>
      <c r="P369" s="1" t="s">
        <v>1493</v>
      </c>
      <c r="Q369" s="1" t="str">
        <f t="shared" si="7"/>
        <v>2560x1440</v>
      </c>
      <c r="R369" s="1" t="s">
        <v>57</v>
      </c>
      <c r="S369" s="1" t="str">
        <f t="shared" si="8"/>
        <v>165Hz</v>
      </c>
      <c r="T369" s="1" t="s">
        <v>90</v>
      </c>
      <c r="U369" s="1" t="str">
        <f t="shared" si="9"/>
        <v>Windows 11 Home</v>
      </c>
      <c r="V369" s="1" t="s">
        <v>398</v>
      </c>
      <c r="W369" s="1" t="str">
        <f t="shared" si="10"/>
        <v>2.38 kg</v>
      </c>
      <c r="X369" s="1" t="s">
        <v>165</v>
      </c>
      <c r="Y369" s="1" t="str">
        <f t="shared" si="11"/>
        <v>2 Years</v>
      </c>
      <c r="Z369" s="4">
        <v>83299</v>
      </c>
      <c r="AA369" s="1" t="s">
        <v>166</v>
      </c>
    </row>
    <row r="370" spans="1:27" ht="15.75" customHeight="1" x14ac:dyDescent="0.35">
      <c r="A370" s="1" t="s">
        <v>151</v>
      </c>
      <c r="B370" s="1" t="str">
        <f t="shared" si="16"/>
        <v>Lenovo</v>
      </c>
      <c r="C370" s="1" t="s">
        <v>1085</v>
      </c>
      <c r="D370" s="1" t="str">
        <f t="shared" si="1"/>
        <v>Legion Pro 5 16IRX8</v>
      </c>
      <c r="E370" s="1" t="str">
        <f t="array" aca="1" ref="E370" ca="1">IFERROR(
INDEX(Family_Map!$B$2:$B$35,
_xludf.AGGREGATE(14,6,(ROW(Family_Map!$A$2:$A$35)-ROW(Family_Map!$A$2)+1)/(ISNUMBER(SEARCH(Family_Map!$A$2:$A$35,D370))),1)
),
"Other")</f>
        <v>Other</v>
      </c>
      <c r="F370" s="1" t="s">
        <v>1636</v>
      </c>
      <c r="G370" s="1" t="e">
        <f t="shared" ca="1" si="2"/>
        <v>#NAME?</v>
      </c>
      <c r="H370" s="1" t="str">
        <f t="shared" ca="1" si="12"/>
        <v>Other</v>
      </c>
      <c r="I370" s="1" t="s">
        <v>410</v>
      </c>
      <c r="J370" s="1" t="str">
        <f t="shared" si="3"/>
        <v>8GB</v>
      </c>
      <c r="K370" s="1" t="s">
        <v>2069</v>
      </c>
      <c r="L370" s="1">
        <f t="shared" si="27"/>
        <v>16</v>
      </c>
      <c r="M370" s="1" t="s">
        <v>1087</v>
      </c>
      <c r="N370" s="1" t="str">
        <f t="shared" si="5"/>
        <v>512GB</v>
      </c>
      <c r="O370" s="1" t="str">
        <f t="shared" si="6"/>
        <v>512GB</v>
      </c>
      <c r="P370" s="1" t="s">
        <v>89</v>
      </c>
      <c r="Q370" s="1" t="str">
        <f t="shared" si="7"/>
        <v>2560x1600</v>
      </c>
      <c r="R370" s="1" t="s">
        <v>57</v>
      </c>
      <c r="S370" s="1" t="str">
        <f t="shared" si="8"/>
        <v>165Hz</v>
      </c>
      <c r="T370" s="1" t="s">
        <v>90</v>
      </c>
      <c r="U370" s="1" t="str">
        <f t="shared" si="9"/>
        <v>Windows 11 Home</v>
      </c>
      <c r="V370" s="1" t="s">
        <v>1091</v>
      </c>
      <c r="W370" s="1" t="str">
        <f t="shared" si="10"/>
        <v>2.55 kg</v>
      </c>
      <c r="X370" s="1" t="s">
        <v>129</v>
      </c>
      <c r="Y370" s="1" t="str">
        <f t="shared" si="11"/>
        <v>1 Year</v>
      </c>
      <c r="Z370" s="4">
        <v>71000</v>
      </c>
      <c r="AA370" s="1" t="s">
        <v>79</v>
      </c>
    </row>
    <row r="371" spans="1:27" ht="15.75" customHeight="1" x14ac:dyDescent="0.35">
      <c r="A371" s="1" t="s">
        <v>234</v>
      </c>
      <c r="B371" s="1" t="str">
        <f t="shared" si="16"/>
        <v>ASUS</v>
      </c>
      <c r="C371" s="1" t="s">
        <v>2073</v>
      </c>
      <c r="D371" s="1" t="str">
        <f t="shared" si="1"/>
        <v>ROG Zephyrus M16 GU603ZW-K8069W</v>
      </c>
      <c r="E371" s="1" t="str">
        <f t="array" aca="1" ref="E371" ca="1">IFERROR(
INDEX(Family_Map!$B$2:$B$35,
_xludf.AGGREGATE(14,6,(ROW(Family_Map!$A$2:$A$35)-ROW(Family_Map!$A$2)+1)/(ISNUMBER(SEARCH(Family_Map!$A$2:$A$35,D371))),1)
),
"Other")</f>
        <v>Other</v>
      </c>
      <c r="F371" s="1" t="s">
        <v>1756</v>
      </c>
      <c r="G371" s="1" t="e">
        <f t="shared" ca="1" si="2"/>
        <v>#NAME?</v>
      </c>
      <c r="H371" s="1" t="str">
        <f t="shared" ca="1" si="12"/>
        <v>Other</v>
      </c>
      <c r="I371" s="1" t="s">
        <v>410</v>
      </c>
      <c r="J371" s="1" t="str">
        <f t="shared" si="3"/>
        <v>8GB</v>
      </c>
      <c r="K371" s="1" t="s">
        <v>2074</v>
      </c>
      <c r="L371" s="1">
        <f t="shared" si="27"/>
        <v>32</v>
      </c>
      <c r="M371" s="1" t="s">
        <v>472</v>
      </c>
      <c r="N371" s="1" t="str">
        <f t="shared" si="5"/>
        <v>1TB</v>
      </c>
      <c r="O371" s="1" t="str">
        <f t="shared" si="6"/>
        <v>1024GB</v>
      </c>
      <c r="P371" s="1" t="s">
        <v>89</v>
      </c>
      <c r="Q371" s="1" t="str">
        <f t="shared" si="7"/>
        <v>2560x1600</v>
      </c>
      <c r="R371" s="1" t="s">
        <v>57</v>
      </c>
      <c r="S371" s="1" t="str">
        <f t="shared" si="8"/>
        <v>165Hz</v>
      </c>
      <c r="T371" s="1" t="s">
        <v>90</v>
      </c>
      <c r="U371" s="1" t="str">
        <f t="shared" si="9"/>
        <v>Windows 11 Home</v>
      </c>
      <c r="V371" s="1" t="s">
        <v>2078</v>
      </c>
      <c r="W371" s="1" t="str">
        <f t="shared" si="10"/>
        <v>2 kg</v>
      </c>
      <c r="X371" s="1" t="s">
        <v>165</v>
      </c>
      <c r="Y371" s="1" t="str">
        <f t="shared" si="11"/>
        <v>2 Years</v>
      </c>
      <c r="Z371" s="4">
        <v>102999</v>
      </c>
      <c r="AA371" s="1" t="s">
        <v>166</v>
      </c>
    </row>
    <row r="372" spans="1:27" ht="15.75" customHeight="1" x14ac:dyDescent="0.35">
      <c r="A372" s="1" t="s">
        <v>234</v>
      </c>
      <c r="B372" s="1" t="str">
        <f t="shared" si="16"/>
        <v>ASUS</v>
      </c>
      <c r="C372" s="1" t="s">
        <v>2080</v>
      </c>
      <c r="D372" s="1" t="str">
        <f t="shared" si="1"/>
        <v>ROG Strix G16 G614JZ-NN007W</v>
      </c>
      <c r="E372" s="1" t="str">
        <f t="array" aca="1" ref="E372" ca="1">IFERROR(
INDEX(Family_Map!$B$2:$B$35,
_xludf.AGGREGATE(14,6,(ROW(Family_Map!$A$2:$A$35)-ROW(Family_Map!$A$2)+1)/(ISNUMBER(SEARCH(Family_Map!$A$2:$A$35,D372))),1)
),
"Other")</f>
        <v>Other</v>
      </c>
      <c r="F372" s="1" t="s">
        <v>711</v>
      </c>
      <c r="G372" s="1" t="e">
        <f t="shared" ca="1" si="2"/>
        <v>#NAME?</v>
      </c>
      <c r="H372" s="1" t="str">
        <f t="shared" ca="1" si="12"/>
        <v>Other</v>
      </c>
      <c r="I372" s="1" t="s">
        <v>1556</v>
      </c>
      <c r="J372" s="1" t="str">
        <f t="shared" si="3"/>
        <v>12GB</v>
      </c>
      <c r="K372" s="1" t="s">
        <v>1264</v>
      </c>
      <c r="L372" s="1">
        <f t="shared" si="27"/>
        <v>16</v>
      </c>
      <c r="M372" s="1" t="s">
        <v>2082</v>
      </c>
      <c r="N372" s="1" t="str">
        <f t="shared" si="5"/>
        <v>1 TB</v>
      </c>
      <c r="O372" s="1" t="str">
        <f t="shared" si="6"/>
        <v>1024GB</v>
      </c>
      <c r="P372" s="1" t="s">
        <v>275</v>
      </c>
      <c r="Q372" s="1" t="str">
        <f t="shared" si="7"/>
        <v>1920x1200</v>
      </c>
      <c r="R372" s="1" t="s">
        <v>57</v>
      </c>
      <c r="S372" s="1" t="str">
        <f t="shared" si="8"/>
        <v>165Hz</v>
      </c>
      <c r="T372" s="1" t="s">
        <v>90</v>
      </c>
      <c r="U372" s="1" t="str">
        <f t="shared" si="9"/>
        <v>Windows 11 Home</v>
      </c>
      <c r="V372" s="1" t="s">
        <v>280</v>
      </c>
      <c r="W372" s="1" t="str">
        <f t="shared" si="10"/>
        <v>2.5 kg</v>
      </c>
      <c r="X372" s="1" t="s">
        <v>165</v>
      </c>
      <c r="Y372" s="1" t="str">
        <f t="shared" si="11"/>
        <v>2 Years</v>
      </c>
      <c r="Z372" s="4">
        <v>135000</v>
      </c>
      <c r="AA372" s="1" t="s">
        <v>79</v>
      </c>
    </row>
    <row r="373" spans="1:27" ht="15.75" customHeight="1" x14ac:dyDescent="0.35">
      <c r="A373" s="1" t="s">
        <v>234</v>
      </c>
      <c r="B373" s="1" t="str">
        <f t="shared" si="16"/>
        <v>ASUS</v>
      </c>
      <c r="C373" s="1" t="s">
        <v>2086</v>
      </c>
      <c r="D373" s="1" t="str">
        <f t="shared" si="1"/>
        <v>TUF Gaming A15 FA507RM-HQ098W</v>
      </c>
      <c r="E373" s="1" t="str">
        <f t="array" aca="1" ref="E373" ca="1">IFERROR(
INDEX(Family_Map!$B$2:$B$35,
_xludf.AGGREGATE(14,6,(ROW(Family_Map!$A$2:$A$35)-ROW(Family_Map!$A$2)+1)/(ISNUMBER(SEARCH(Family_Map!$A$2:$A$35,D373))),1)
),
"Other")</f>
        <v>Other</v>
      </c>
      <c r="F373" s="1" t="s">
        <v>1798</v>
      </c>
      <c r="G373" s="1" t="e">
        <f t="shared" ca="1" si="2"/>
        <v>#NAME?</v>
      </c>
      <c r="H373" s="1" t="str">
        <f t="shared" ca="1" si="12"/>
        <v>Other</v>
      </c>
      <c r="I373" s="1" t="s">
        <v>70</v>
      </c>
      <c r="J373" s="1" t="str">
        <f t="shared" si="3"/>
        <v>6GB</v>
      </c>
      <c r="K373" s="1" t="s">
        <v>2087</v>
      </c>
      <c r="L373" s="1">
        <f t="shared" si="27"/>
        <v>16</v>
      </c>
      <c r="M373" s="1" t="s">
        <v>2088</v>
      </c>
      <c r="N373" s="1" t="str">
        <f t="shared" si="5"/>
        <v>512GB</v>
      </c>
      <c r="O373" s="1" t="str">
        <f t="shared" si="6"/>
        <v>512GB</v>
      </c>
      <c r="P373" s="1" t="s">
        <v>616</v>
      </c>
      <c r="Q373" s="1" t="str">
        <f t="shared" si="7"/>
        <v>1920x1080</v>
      </c>
      <c r="R373" s="1" t="s">
        <v>75</v>
      </c>
      <c r="S373" s="1" t="str">
        <f t="shared" si="8"/>
        <v>144Hz</v>
      </c>
      <c r="T373" s="1" t="s">
        <v>90</v>
      </c>
      <c r="U373" s="1" t="str">
        <f t="shared" si="9"/>
        <v>Windows 11 Home</v>
      </c>
      <c r="V373" s="1" t="s">
        <v>300</v>
      </c>
      <c r="W373" s="1" t="str">
        <f t="shared" si="10"/>
        <v>2.2 kg</v>
      </c>
      <c r="X373" s="1" t="s">
        <v>165</v>
      </c>
      <c r="Y373" s="1" t="str">
        <f t="shared" si="11"/>
        <v>2 Years</v>
      </c>
      <c r="Z373" s="4">
        <v>47599</v>
      </c>
      <c r="AA373" s="1" t="s">
        <v>5735</v>
      </c>
    </row>
    <row r="374" spans="1:27" ht="15.75" customHeight="1" x14ac:dyDescent="0.35">
      <c r="A374" s="1" t="s">
        <v>234</v>
      </c>
      <c r="B374" s="1" t="str">
        <f t="shared" si="16"/>
        <v>ASUS</v>
      </c>
      <c r="C374" s="1" t="s">
        <v>2091</v>
      </c>
      <c r="D374" s="1" t="str">
        <f t="shared" si="1"/>
        <v>TUF Gaming A15 FA507XI-LP009W</v>
      </c>
      <c r="E374" s="1" t="str">
        <f t="array" aca="1" ref="E374" ca="1">IFERROR(
INDEX(Family_Map!$B$2:$B$35,
_xludf.AGGREGATE(14,6,(ROW(Family_Map!$A$2:$A$35)-ROW(Family_Map!$A$2)+1)/(ISNUMBER(SEARCH(Family_Map!$A$2:$A$35,D374))),1)
),
"Other")</f>
        <v>Other</v>
      </c>
      <c r="F374" s="1" t="s">
        <v>2092</v>
      </c>
      <c r="G374" s="1" t="e">
        <f t="shared" ca="1" si="2"/>
        <v>#NAME?</v>
      </c>
      <c r="H374" s="1" t="str">
        <f t="shared" ca="1" si="12"/>
        <v>Other</v>
      </c>
      <c r="I374" s="1" t="s">
        <v>410</v>
      </c>
      <c r="J374" s="1" t="str">
        <f t="shared" si="3"/>
        <v>8GB</v>
      </c>
      <c r="K374" s="1" t="s">
        <v>2093</v>
      </c>
      <c r="L374" s="1">
        <f t="shared" si="27"/>
        <v>16</v>
      </c>
      <c r="M374" s="1" t="s">
        <v>295</v>
      </c>
      <c r="N374" s="1" t="str">
        <f t="shared" si="5"/>
        <v>512GB</v>
      </c>
      <c r="O374" s="1" t="str">
        <f t="shared" si="6"/>
        <v>512GB</v>
      </c>
      <c r="P374" s="1" t="s">
        <v>616</v>
      </c>
      <c r="Q374" s="1" t="str">
        <f t="shared" si="7"/>
        <v>1920x1080</v>
      </c>
      <c r="R374" s="1" t="s">
        <v>75</v>
      </c>
      <c r="S374" s="1" t="str">
        <f t="shared" si="8"/>
        <v>144Hz</v>
      </c>
      <c r="T374" s="1" t="s">
        <v>90</v>
      </c>
      <c r="U374" s="1" t="str">
        <f t="shared" si="9"/>
        <v>Windows 11 Home</v>
      </c>
      <c r="V374" s="1" t="s">
        <v>300</v>
      </c>
      <c r="W374" s="1" t="str">
        <f t="shared" si="10"/>
        <v>2.2 kg</v>
      </c>
      <c r="X374" s="1" t="s">
        <v>165</v>
      </c>
      <c r="Y374" s="1" t="str">
        <f t="shared" si="11"/>
        <v>2 Years</v>
      </c>
      <c r="Z374" s="4">
        <v>84999</v>
      </c>
      <c r="AA374" s="1" t="s">
        <v>5735</v>
      </c>
    </row>
    <row r="375" spans="1:27" ht="15.75" customHeight="1" x14ac:dyDescent="0.35">
      <c r="A375" s="1" t="s">
        <v>234</v>
      </c>
      <c r="B375" s="1" t="str">
        <f t="shared" si="16"/>
        <v>ASUS</v>
      </c>
      <c r="C375" s="1" t="s">
        <v>2096</v>
      </c>
      <c r="D375" s="1" t="str">
        <f t="shared" si="1"/>
        <v>TUF Gaming A15 FA507RC-HN007W</v>
      </c>
      <c r="E375" s="1" t="str">
        <f t="array" aca="1" ref="E375" ca="1">IFERROR(
INDEX(Family_Map!$B$2:$B$35,
_xludf.AGGREGATE(14,6,(ROW(Family_Map!$A$2:$A$35)-ROW(Family_Map!$A$2)+1)/(ISNUMBER(SEARCH(Family_Map!$A$2:$A$35,D375))),1)
),
"Other")</f>
        <v>Other</v>
      </c>
      <c r="F375" s="1" t="s">
        <v>1798</v>
      </c>
      <c r="G375" s="1" t="e">
        <f t="shared" ca="1" si="2"/>
        <v>#NAME?</v>
      </c>
      <c r="H375" s="1" t="str">
        <f t="shared" ca="1" si="12"/>
        <v>Other</v>
      </c>
      <c r="I375" s="1" t="s">
        <v>507</v>
      </c>
      <c r="J375" s="1" t="str">
        <f t="shared" si="3"/>
        <v>4GB</v>
      </c>
      <c r="K375" s="1" t="s">
        <v>2097</v>
      </c>
      <c r="L375" s="1">
        <f t="shared" si="27"/>
        <v>16</v>
      </c>
      <c r="M375" s="1" t="s">
        <v>2088</v>
      </c>
      <c r="N375" s="1" t="str">
        <f t="shared" si="5"/>
        <v>512GB</v>
      </c>
      <c r="O375" s="1" t="str">
        <f t="shared" si="6"/>
        <v>512GB</v>
      </c>
      <c r="P375" s="1" t="s">
        <v>616</v>
      </c>
      <c r="Q375" s="1" t="str">
        <f t="shared" si="7"/>
        <v>1920x1080</v>
      </c>
      <c r="R375" s="1" t="s">
        <v>75</v>
      </c>
      <c r="S375" s="1" t="str">
        <f t="shared" si="8"/>
        <v>144Hz</v>
      </c>
      <c r="T375" s="1" t="s">
        <v>90</v>
      </c>
      <c r="U375" s="1" t="str">
        <f t="shared" si="9"/>
        <v>Windows 11 Home</v>
      </c>
      <c r="V375" s="1" t="s">
        <v>300</v>
      </c>
      <c r="W375" s="1" t="str">
        <f t="shared" si="10"/>
        <v>2.2 kg</v>
      </c>
      <c r="X375" s="1" t="s">
        <v>165</v>
      </c>
      <c r="Y375" s="1" t="str">
        <f t="shared" si="11"/>
        <v>2 Years</v>
      </c>
      <c r="Z375" s="4">
        <v>34499</v>
      </c>
      <c r="AA375" s="1" t="s">
        <v>5735</v>
      </c>
    </row>
    <row r="376" spans="1:27" ht="15.75" customHeight="1" x14ac:dyDescent="0.35">
      <c r="A376" s="1" t="s">
        <v>234</v>
      </c>
      <c r="B376" s="1" t="str">
        <f t="shared" si="16"/>
        <v>ASUS</v>
      </c>
      <c r="C376" s="1" t="s">
        <v>2100</v>
      </c>
      <c r="D376" s="1" t="str">
        <f t="shared" si="1"/>
        <v>TUF Gaming F15 FX507ZV4-LP007W</v>
      </c>
      <c r="E376" s="1" t="str">
        <f t="array" aca="1" ref="E376" ca="1">IFERROR(
INDEX(Family_Map!$B$2:$B$35,
_xludf.AGGREGATE(14,6,(ROW(Family_Map!$A$2:$A$35)-ROW(Family_Map!$A$2)+1)/(ISNUMBER(SEARCH(Family_Map!$A$2:$A$35,D376))),1)
),
"Other")</f>
        <v>Other</v>
      </c>
      <c r="F376" s="1" t="s">
        <v>1118</v>
      </c>
      <c r="G376" s="1" t="e">
        <f t="shared" ca="1" si="2"/>
        <v>#NAME?</v>
      </c>
      <c r="H376" s="1" t="str">
        <f t="shared" ca="1" si="12"/>
        <v>Other</v>
      </c>
      <c r="I376" s="1" t="s">
        <v>410</v>
      </c>
      <c r="J376" s="1" t="str">
        <f t="shared" si="3"/>
        <v>8GB</v>
      </c>
      <c r="K376" s="1" t="s">
        <v>1138</v>
      </c>
      <c r="L376" s="1">
        <f t="shared" si="27"/>
        <v>16</v>
      </c>
      <c r="M376" s="1" t="s">
        <v>295</v>
      </c>
      <c r="N376" s="1" t="str">
        <f t="shared" si="5"/>
        <v>512GB</v>
      </c>
      <c r="O376" s="1" t="str">
        <f t="shared" si="6"/>
        <v>512GB</v>
      </c>
      <c r="P376" s="1" t="s">
        <v>616</v>
      </c>
      <c r="Q376" s="1" t="str">
        <f t="shared" si="7"/>
        <v>1920x1080</v>
      </c>
      <c r="R376" s="1" t="s">
        <v>75</v>
      </c>
      <c r="S376" s="1" t="str">
        <f t="shared" si="8"/>
        <v>144Hz</v>
      </c>
      <c r="T376" s="1" t="s">
        <v>90</v>
      </c>
      <c r="U376" s="1" t="str">
        <f t="shared" si="9"/>
        <v>Windows 11 Home</v>
      </c>
      <c r="V376" s="1" t="s">
        <v>300</v>
      </c>
      <c r="W376" s="1" t="str">
        <f t="shared" si="10"/>
        <v>2.2 kg</v>
      </c>
      <c r="X376" s="1" t="s">
        <v>165</v>
      </c>
      <c r="Y376" s="1" t="str">
        <f t="shared" si="11"/>
        <v>2 Years</v>
      </c>
      <c r="Z376" s="4">
        <v>60149</v>
      </c>
      <c r="AA376" s="1" t="s">
        <v>166</v>
      </c>
    </row>
    <row r="377" spans="1:27" ht="15.75" customHeight="1" x14ac:dyDescent="0.35">
      <c r="A377" s="1" t="s">
        <v>234</v>
      </c>
      <c r="B377" s="1" t="str">
        <f t="shared" si="16"/>
        <v>ASUS</v>
      </c>
      <c r="C377" s="1" t="s">
        <v>2102</v>
      </c>
      <c r="D377" s="1" t="str">
        <f t="shared" si="1"/>
        <v>ASUS TUF Gaming F15 FX507ZU4-LP007W</v>
      </c>
      <c r="E377" s="1" t="str">
        <f t="array" aca="1" ref="E377" ca="1">IFERROR(
INDEX(Family_Map!$B$2:$B$35,
_xludf.AGGREGATE(14,6,(ROW(Family_Map!$A$2:$A$35)-ROW(Family_Map!$A$2)+1)/(ISNUMBER(SEARCH(Family_Map!$A$2:$A$35,D377))),1)
),
"Other")</f>
        <v>Other</v>
      </c>
      <c r="F377" s="1" t="s">
        <v>1118</v>
      </c>
      <c r="G377" s="1" t="e">
        <f t="shared" ca="1" si="2"/>
        <v>#NAME?</v>
      </c>
      <c r="H377" s="1" t="str">
        <f t="shared" ca="1" si="12"/>
        <v>Other</v>
      </c>
      <c r="I377" s="1" t="s">
        <v>70</v>
      </c>
      <c r="J377" s="1" t="str">
        <f t="shared" si="3"/>
        <v>6GB</v>
      </c>
      <c r="K377" s="1" t="s">
        <v>1119</v>
      </c>
      <c r="L377" s="1">
        <f t="shared" si="27"/>
        <v>16</v>
      </c>
      <c r="M377" s="1" t="s">
        <v>295</v>
      </c>
      <c r="N377" s="1" t="str">
        <f t="shared" si="5"/>
        <v>512GB</v>
      </c>
      <c r="O377" s="1" t="str">
        <f t="shared" si="6"/>
        <v>512GB</v>
      </c>
      <c r="P377" s="1" t="s">
        <v>616</v>
      </c>
      <c r="Q377" s="1" t="str">
        <f t="shared" si="7"/>
        <v>1920x1080</v>
      </c>
      <c r="R377" s="1" t="s">
        <v>75</v>
      </c>
      <c r="S377" s="1" t="str">
        <f t="shared" si="8"/>
        <v>144Hz</v>
      </c>
      <c r="T377" s="1" t="s">
        <v>90</v>
      </c>
      <c r="U377" s="1" t="str">
        <f t="shared" si="9"/>
        <v>Windows 11 Home</v>
      </c>
      <c r="V377" s="1" t="s">
        <v>300</v>
      </c>
      <c r="W377" s="1" t="str">
        <f t="shared" si="10"/>
        <v>2.2 kg</v>
      </c>
      <c r="X377" s="1" t="s">
        <v>165</v>
      </c>
      <c r="Y377" s="1" t="str">
        <f t="shared" si="11"/>
        <v>2 Years</v>
      </c>
      <c r="Z377" s="4">
        <v>69700</v>
      </c>
      <c r="AA377" s="1" t="s">
        <v>166</v>
      </c>
    </row>
    <row r="378" spans="1:27" ht="15.75" customHeight="1" x14ac:dyDescent="0.35">
      <c r="A378" s="1" t="s">
        <v>234</v>
      </c>
      <c r="B378" s="1" t="str">
        <f t="shared" si="16"/>
        <v>ASUS</v>
      </c>
      <c r="C378" s="1" t="s">
        <v>2103</v>
      </c>
      <c r="D378" s="1" t="str">
        <f t="shared" si="1"/>
        <v>TUF Gaming F15 FX507VU4-LP121W</v>
      </c>
      <c r="E378" s="1" t="str">
        <f t="array" aca="1" ref="E378" ca="1">IFERROR(
INDEX(Family_Map!$B$2:$B$35,
_xludf.AGGREGATE(14,6,(ROW(Family_Map!$A$2:$A$35)-ROW(Family_Map!$A$2)+1)/(ISNUMBER(SEARCH(Family_Map!$A$2:$A$35,D378))),1)
),
"Other")</f>
        <v>Other</v>
      </c>
      <c r="F378" s="1" t="s">
        <v>1200</v>
      </c>
      <c r="G378" s="1" t="e">
        <f t="shared" ca="1" si="2"/>
        <v>#NAME?</v>
      </c>
      <c r="H378" s="1" t="str">
        <f t="shared" ca="1" si="12"/>
        <v>Other</v>
      </c>
      <c r="I378" s="1" t="s">
        <v>70</v>
      </c>
      <c r="J378" s="1" t="str">
        <f t="shared" si="3"/>
        <v>6GB</v>
      </c>
      <c r="K378" s="1" t="s">
        <v>1119</v>
      </c>
      <c r="L378" s="1">
        <f t="shared" si="27"/>
        <v>16</v>
      </c>
      <c r="M378" s="1" t="s">
        <v>295</v>
      </c>
      <c r="N378" s="1" t="str">
        <f t="shared" si="5"/>
        <v>512GB</v>
      </c>
      <c r="O378" s="1" t="str">
        <f t="shared" si="6"/>
        <v>512GB</v>
      </c>
      <c r="P378" s="1" t="s">
        <v>616</v>
      </c>
      <c r="Q378" s="1" t="str">
        <f t="shared" si="7"/>
        <v>1920x1080</v>
      </c>
      <c r="R378" s="1" t="s">
        <v>75</v>
      </c>
      <c r="S378" s="1" t="str">
        <f t="shared" si="8"/>
        <v>144Hz</v>
      </c>
      <c r="T378" s="1" t="s">
        <v>90</v>
      </c>
      <c r="U378" s="1" t="str">
        <f t="shared" si="9"/>
        <v>Windows 11 Home</v>
      </c>
      <c r="V378" s="1" t="s">
        <v>300</v>
      </c>
      <c r="W378" s="1" t="str">
        <f t="shared" si="10"/>
        <v>2.2 kg</v>
      </c>
      <c r="X378" s="1" t="s">
        <v>165</v>
      </c>
      <c r="Y378" s="1" t="str">
        <f t="shared" si="11"/>
        <v>2 Years</v>
      </c>
      <c r="Z378" s="4">
        <v>64999</v>
      </c>
      <c r="AA378" s="1" t="s">
        <v>79</v>
      </c>
    </row>
    <row r="379" spans="1:27" ht="15.75" customHeight="1" x14ac:dyDescent="0.35">
      <c r="A379" s="1" t="s">
        <v>81</v>
      </c>
      <c r="B379" s="1" t="str">
        <f t="shared" si="16"/>
        <v>Dell</v>
      </c>
      <c r="C379" s="1" t="s">
        <v>414</v>
      </c>
      <c r="D379" s="1" t="str">
        <f t="shared" si="1"/>
        <v>G15 5530</v>
      </c>
      <c r="E379" s="1" t="str">
        <f t="array" aca="1" ref="E379" ca="1">IFERROR(
INDEX(Family_Map!$B$2:$B$35,
_xludf.AGGREGATE(14,6,(ROW(Family_Map!$A$2:$A$35)-ROW(Family_Map!$A$2)+1)/(ISNUMBER(SEARCH(Family_Map!$A$2:$A$35,D379))),1)
),
"Other")</f>
        <v>Other</v>
      </c>
      <c r="F379" s="1" t="s">
        <v>711</v>
      </c>
      <c r="G379" s="1" t="e">
        <f t="shared" ca="1" si="2"/>
        <v>#NAME?</v>
      </c>
      <c r="H379" s="1" t="str">
        <f t="shared" ca="1" si="12"/>
        <v>Other</v>
      </c>
      <c r="I379" s="1" t="s">
        <v>70</v>
      </c>
      <c r="J379" s="1" t="str">
        <f t="shared" si="3"/>
        <v>6GB</v>
      </c>
      <c r="K379" s="1" t="s">
        <v>792</v>
      </c>
      <c r="L379" s="1">
        <f t="shared" si="27"/>
        <v>16</v>
      </c>
      <c r="M379" s="1" t="s">
        <v>417</v>
      </c>
      <c r="N379" s="1" t="str">
        <f t="shared" si="5"/>
        <v>512GB</v>
      </c>
      <c r="O379" s="1" t="str">
        <f t="shared" si="6"/>
        <v>512GB</v>
      </c>
      <c r="P379" s="1" t="s">
        <v>616</v>
      </c>
      <c r="Q379" s="1" t="str">
        <f t="shared" si="7"/>
        <v>1920x1080</v>
      </c>
      <c r="R379" s="1" t="s">
        <v>39</v>
      </c>
      <c r="S379" s="1" t="str">
        <f t="shared" si="8"/>
        <v>120Hz</v>
      </c>
      <c r="T379" s="1" t="s">
        <v>90</v>
      </c>
      <c r="U379" s="1" t="str">
        <f t="shared" si="9"/>
        <v>Windows 11 Home</v>
      </c>
      <c r="V379" s="1" t="s">
        <v>423</v>
      </c>
      <c r="W379" s="1" t="str">
        <f t="shared" si="10"/>
        <v>2.81 kg</v>
      </c>
      <c r="X379" s="1" t="s">
        <v>129</v>
      </c>
      <c r="Y379" s="1" t="str">
        <f t="shared" si="11"/>
        <v>1 Year</v>
      </c>
      <c r="Z379" s="4">
        <v>50099</v>
      </c>
      <c r="AA379" s="1" t="s">
        <v>79</v>
      </c>
    </row>
    <row r="380" spans="1:27" ht="15.75" customHeight="1" x14ac:dyDescent="0.35">
      <c r="A380" s="1" t="s">
        <v>234</v>
      </c>
      <c r="B380" s="1" t="str">
        <f t="shared" si="16"/>
        <v>ASUS</v>
      </c>
      <c r="C380" s="1" t="s">
        <v>2107</v>
      </c>
      <c r="D380" s="1" t="str">
        <f t="shared" si="1"/>
        <v>TUF Dash F15 TUF516PE-AB73</v>
      </c>
      <c r="E380" s="1" t="str">
        <f t="array" aca="1" ref="E380" ca="1">IFERROR(
INDEX(Family_Map!$B$2:$B$35,
_xludf.AGGREGATE(14,6,(ROW(Family_Map!$A$2:$A$35)-ROW(Family_Map!$A$2)+1)/(ISNUMBER(SEARCH(Family_Map!$A$2:$A$35,D380))),1)
),
"Other")</f>
        <v>Other</v>
      </c>
      <c r="F380" s="1" t="s">
        <v>2108</v>
      </c>
      <c r="G380" s="1" t="e">
        <f t="shared" ca="1" si="2"/>
        <v>#NAME?</v>
      </c>
      <c r="H380" s="1" t="str">
        <f t="shared" ca="1" si="12"/>
        <v>Other</v>
      </c>
      <c r="I380" s="1" t="s">
        <v>507</v>
      </c>
      <c r="J380" s="1" t="str">
        <f t="shared" si="3"/>
        <v>4GB</v>
      </c>
      <c r="K380" s="1" t="s">
        <v>2110</v>
      </c>
      <c r="L380" s="1">
        <f t="shared" si="27"/>
        <v>8</v>
      </c>
      <c r="M380" s="1" t="s">
        <v>1604</v>
      </c>
      <c r="N380" s="1" t="str">
        <f t="shared" si="5"/>
        <v>512GB</v>
      </c>
      <c r="O380" s="1" t="str">
        <f t="shared" si="6"/>
        <v>512GB</v>
      </c>
      <c r="P380" s="1" t="s">
        <v>120</v>
      </c>
      <c r="Q380" s="1" t="str">
        <f t="shared" si="7"/>
        <v>1920x1080</v>
      </c>
      <c r="R380" s="1" t="s">
        <v>75</v>
      </c>
      <c r="S380" s="1" t="str">
        <f t="shared" si="8"/>
        <v>144Hz</v>
      </c>
      <c r="T380" s="1" t="s">
        <v>1722</v>
      </c>
      <c r="U380" s="1" t="str">
        <f t="shared" si="9"/>
        <v>Windows 10 Home</v>
      </c>
      <c r="V380" s="1" t="s">
        <v>814</v>
      </c>
      <c r="W380" s="1" t="str">
        <f t="shared" si="10"/>
        <v>2 kg</v>
      </c>
      <c r="X380" s="1" t="s">
        <v>165</v>
      </c>
      <c r="Y380" s="1" t="str">
        <f t="shared" si="11"/>
        <v>2 Years</v>
      </c>
      <c r="Z380" s="4">
        <v>44999</v>
      </c>
      <c r="AA380" s="1" t="s">
        <v>1082</v>
      </c>
    </row>
    <row r="381" spans="1:27" ht="15.75" customHeight="1" x14ac:dyDescent="0.35">
      <c r="A381" s="1" t="s">
        <v>151</v>
      </c>
      <c r="B381" s="1" t="str">
        <f t="shared" si="16"/>
        <v>Lenovo</v>
      </c>
      <c r="C381" s="1" t="s">
        <v>1769</v>
      </c>
      <c r="D381" s="1" t="str">
        <f t="shared" si="1"/>
        <v>Legion 5 Pro 16ITH6</v>
      </c>
      <c r="E381" s="1" t="str">
        <f t="array" aca="1" ref="E381" ca="1">IFERROR(
INDEX(Family_Map!$B$2:$B$35,
_xludf.AGGREGATE(14,6,(ROW(Family_Map!$A$2:$A$35)-ROW(Family_Map!$A$2)+1)/(ISNUMBER(SEARCH(Family_Map!$A$2:$A$35,D381))),1)
),
"Other")</f>
        <v>Other</v>
      </c>
      <c r="F381" s="1" t="s">
        <v>1075</v>
      </c>
      <c r="G381" s="1" t="e">
        <f t="shared" ca="1" si="2"/>
        <v>#NAME?</v>
      </c>
      <c r="H381" s="1" t="str">
        <f t="shared" ca="1" si="12"/>
        <v>Other</v>
      </c>
      <c r="I381" s="1" t="s">
        <v>507</v>
      </c>
      <c r="J381" s="1" t="str">
        <f t="shared" si="3"/>
        <v>4GB</v>
      </c>
      <c r="K381" s="1" t="s">
        <v>2115</v>
      </c>
      <c r="L381" s="1">
        <f t="shared" si="27"/>
        <v>16</v>
      </c>
      <c r="M381" s="1" t="s">
        <v>1506</v>
      </c>
      <c r="N381" s="1" t="str">
        <f t="shared" si="5"/>
        <v>512GB</v>
      </c>
      <c r="O381" s="1" t="str">
        <f t="shared" si="6"/>
        <v>512GB</v>
      </c>
      <c r="P381" s="1" t="s">
        <v>224</v>
      </c>
      <c r="Q381" s="1" t="str">
        <f t="shared" si="7"/>
        <v>2560x1600</v>
      </c>
      <c r="R381" s="1" t="s">
        <v>57</v>
      </c>
      <c r="S381" s="1" t="str">
        <f t="shared" si="8"/>
        <v>165Hz</v>
      </c>
      <c r="T381" s="1" t="s">
        <v>121</v>
      </c>
      <c r="U381" s="1" t="str">
        <f t="shared" si="9"/>
        <v>DOS</v>
      </c>
      <c r="V381" s="1" t="s">
        <v>503</v>
      </c>
      <c r="W381" s="1" t="str">
        <f t="shared" si="10"/>
        <v>2.3 kg</v>
      </c>
      <c r="X381" s="1" t="s">
        <v>129</v>
      </c>
      <c r="Y381" s="1" t="str">
        <f t="shared" si="11"/>
        <v>1 Year</v>
      </c>
      <c r="Z381" s="4">
        <v>40000</v>
      </c>
      <c r="AA381" s="1" t="s">
        <v>1082</v>
      </c>
    </row>
    <row r="382" spans="1:27" ht="15.75" customHeight="1" x14ac:dyDescent="0.35">
      <c r="A382" s="1" t="s">
        <v>234</v>
      </c>
      <c r="B382" s="1" t="str">
        <f t="shared" si="16"/>
        <v>ASUS</v>
      </c>
      <c r="C382" s="1" t="s">
        <v>2118</v>
      </c>
      <c r="D382" s="1" t="str">
        <f t="shared" si="1"/>
        <v>TUF Gaming F15 FX507VV4-LP105W</v>
      </c>
      <c r="E382" s="1" t="str">
        <f t="array" aca="1" ref="E382" ca="1">IFERROR(
INDEX(Family_Map!$B$2:$B$35,
_xludf.AGGREGATE(14,6,(ROW(Family_Map!$A$2:$A$35)-ROW(Family_Map!$A$2)+1)/(ISNUMBER(SEARCH(Family_Map!$A$2:$A$35,D382))),1)
),
"Other")</f>
        <v>Other</v>
      </c>
      <c r="F382" s="1" t="s">
        <v>1200</v>
      </c>
      <c r="G382" s="1" t="e">
        <f t="shared" ca="1" si="2"/>
        <v>#NAME?</v>
      </c>
      <c r="H382" s="1" t="str">
        <f t="shared" ca="1" si="12"/>
        <v>Other</v>
      </c>
      <c r="I382" s="1" t="s">
        <v>410</v>
      </c>
      <c r="J382" s="1" t="str">
        <f t="shared" si="3"/>
        <v>8GB</v>
      </c>
      <c r="K382" s="1" t="s">
        <v>491</v>
      </c>
      <c r="L382" s="1">
        <f t="shared" si="27"/>
        <v>16</v>
      </c>
      <c r="M382" s="1" t="s">
        <v>295</v>
      </c>
      <c r="N382" s="1" t="str">
        <f t="shared" si="5"/>
        <v>512GB</v>
      </c>
      <c r="O382" s="1" t="str">
        <f t="shared" si="6"/>
        <v>512GB</v>
      </c>
      <c r="P382" s="1" t="s">
        <v>616</v>
      </c>
      <c r="Q382" s="1" t="str">
        <f t="shared" si="7"/>
        <v>1920x1080</v>
      </c>
      <c r="R382" s="1" t="s">
        <v>75</v>
      </c>
      <c r="S382" s="1" t="str">
        <f t="shared" si="8"/>
        <v>144Hz</v>
      </c>
      <c r="T382" s="1" t="s">
        <v>90</v>
      </c>
      <c r="U382" s="1" t="str">
        <f t="shared" si="9"/>
        <v>Windows 11 Home</v>
      </c>
      <c r="V382" s="1" t="s">
        <v>300</v>
      </c>
      <c r="W382" s="1" t="str">
        <f t="shared" si="10"/>
        <v>2.2 kg</v>
      </c>
      <c r="X382" s="1" t="s">
        <v>165</v>
      </c>
      <c r="Y382" s="1" t="str">
        <f t="shared" si="11"/>
        <v>2 Years</v>
      </c>
      <c r="Z382" s="4">
        <v>91555</v>
      </c>
      <c r="AA382" s="1" t="s">
        <v>79</v>
      </c>
    </row>
    <row r="383" spans="1:27" ht="15.75" customHeight="1" x14ac:dyDescent="0.35">
      <c r="A383" s="1" t="s">
        <v>112</v>
      </c>
      <c r="B383" s="1" t="str">
        <f t="shared" si="16"/>
        <v>HP</v>
      </c>
      <c r="C383" s="1" t="s">
        <v>2119</v>
      </c>
      <c r="D383" s="1" t="str">
        <f t="shared" si="1"/>
        <v>Victus 16-E0005NE</v>
      </c>
      <c r="E383" s="1" t="str">
        <f t="array" aca="1" ref="E383" ca="1">IFERROR(
INDEX(Family_Map!$B$2:$B$35,
_xludf.AGGREGATE(14,6,(ROW(Family_Map!$A$2:$A$35)-ROW(Family_Map!$A$2)+1)/(ISNUMBER(SEARCH(Family_Map!$A$2:$A$35,D383))),1)
),
"Other")</f>
        <v>Other</v>
      </c>
      <c r="F383" s="1" t="s">
        <v>1649</v>
      </c>
      <c r="G383" s="1" t="e">
        <f t="shared" ca="1" si="2"/>
        <v>#NAME?</v>
      </c>
      <c r="H383" s="1" t="str">
        <f t="shared" ca="1" si="12"/>
        <v>Other</v>
      </c>
      <c r="I383" s="1" t="s">
        <v>507</v>
      </c>
      <c r="J383" s="1" t="str">
        <f t="shared" si="3"/>
        <v>4GB</v>
      </c>
      <c r="K383" s="1" t="s">
        <v>1429</v>
      </c>
      <c r="L383" s="1">
        <f t="shared" si="27"/>
        <v>8</v>
      </c>
      <c r="M383" s="1" t="s">
        <v>1813</v>
      </c>
      <c r="N383" s="1" t="str">
        <f t="shared" si="5"/>
        <v>512 GB</v>
      </c>
      <c r="O383" s="1" t="str">
        <f t="shared" si="6"/>
        <v>512 GB</v>
      </c>
      <c r="P383" s="1" t="s">
        <v>120</v>
      </c>
      <c r="Q383" s="1" t="str">
        <f t="shared" si="7"/>
        <v>1920x1080</v>
      </c>
      <c r="S383" s="1" t="str">
        <f t="shared" si="8"/>
        <v/>
      </c>
      <c r="T383" s="1" t="s">
        <v>90</v>
      </c>
      <c r="U383" s="1" t="str">
        <f t="shared" si="9"/>
        <v>Windows 11 Home</v>
      </c>
      <c r="V383" s="1" t="s">
        <v>2011</v>
      </c>
      <c r="W383" s="1" t="str">
        <f t="shared" si="10"/>
        <v>2.46 kg</v>
      </c>
      <c r="X383" s="1" t="s">
        <v>129</v>
      </c>
      <c r="Y383" s="1" t="str">
        <f t="shared" si="11"/>
        <v>1 Year</v>
      </c>
      <c r="Z383" s="4">
        <v>24799</v>
      </c>
      <c r="AA383" s="1" t="s">
        <v>5735</v>
      </c>
    </row>
    <row r="384" spans="1:27" ht="15.75" customHeight="1" x14ac:dyDescent="0.35">
      <c r="A384" s="1" t="s">
        <v>234</v>
      </c>
      <c r="B384" s="1" t="str">
        <f t="shared" si="16"/>
        <v>ASUS</v>
      </c>
      <c r="C384" s="1" t="s">
        <v>2124</v>
      </c>
      <c r="D384" s="1" t="str">
        <f t="shared" si="1"/>
        <v>TUF Gaming F15 FX507ZC4-HN002W</v>
      </c>
      <c r="E384" s="1" t="str">
        <f t="array" aca="1" ref="E384" ca="1">IFERROR(
INDEX(Family_Map!$B$2:$B$35,
_xludf.AGGREGATE(14,6,(ROW(Family_Map!$A$2:$A$35)-ROW(Family_Map!$A$2)+1)/(ISNUMBER(SEARCH(Family_Map!$A$2:$A$35,D384))),1)
),
"Other")</f>
        <v>Other</v>
      </c>
      <c r="F384" s="1" t="s">
        <v>1118</v>
      </c>
      <c r="G384" s="1" t="e">
        <f t="shared" ca="1" si="2"/>
        <v>#NAME?</v>
      </c>
      <c r="H384" s="1" t="str">
        <f t="shared" ca="1" si="12"/>
        <v>Other</v>
      </c>
      <c r="I384" s="1" t="s">
        <v>507</v>
      </c>
      <c r="J384" s="1" t="str">
        <f t="shared" si="3"/>
        <v>4GB</v>
      </c>
      <c r="K384" s="1" t="s">
        <v>965</v>
      </c>
      <c r="L384" s="1">
        <f t="shared" si="27"/>
        <v>16</v>
      </c>
      <c r="M384" s="1" t="s">
        <v>2125</v>
      </c>
      <c r="N384" s="1" t="str">
        <f t="shared" si="5"/>
        <v>512GB</v>
      </c>
      <c r="O384" s="1" t="str">
        <f t="shared" si="6"/>
        <v>512GB</v>
      </c>
      <c r="P384" s="1" t="s">
        <v>120</v>
      </c>
      <c r="Q384" s="1" t="str">
        <f t="shared" si="7"/>
        <v>1920x1080</v>
      </c>
      <c r="R384" s="1" t="s">
        <v>75</v>
      </c>
      <c r="S384" s="1" t="str">
        <f t="shared" si="8"/>
        <v>144Hz</v>
      </c>
      <c r="T384" s="1" t="s">
        <v>90</v>
      </c>
      <c r="U384" s="1" t="str">
        <f t="shared" si="9"/>
        <v>Windows 11 Home</v>
      </c>
      <c r="V384" s="1" t="s">
        <v>300</v>
      </c>
      <c r="W384" s="1" t="str">
        <f t="shared" si="10"/>
        <v>2.2 kg</v>
      </c>
      <c r="X384" s="1" t="s">
        <v>165</v>
      </c>
      <c r="Y384" s="1" t="str">
        <f t="shared" si="11"/>
        <v>2 Years</v>
      </c>
      <c r="Z384" s="4">
        <v>43999</v>
      </c>
      <c r="AA384" s="1" t="s">
        <v>166</v>
      </c>
    </row>
    <row r="385" spans="1:27" ht="15.75" customHeight="1" x14ac:dyDescent="0.35">
      <c r="A385" s="1" t="s">
        <v>81</v>
      </c>
      <c r="B385" s="1" t="str">
        <f t="shared" si="16"/>
        <v>Dell</v>
      </c>
      <c r="C385" s="1" t="s">
        <v>414</v>
      </c>
      <c r="D385" s="1" t="str">
        <f t="shared" si="1"/>
        <v>G15 5530</v>
      </c>
      <c r="E385" s="1" t="str">
        <f t="array" aca="1" ref="E385" ca="1">IFERROR(
INDEX(Family_Map!$B$2:$B$35,
_xludf.AGGREGATE(14,6,(ROW(Family_Map!$A$2:$A$35)-ROW(Family_Map!$A$2)+1)/(ISNUMBER(SEARCH(Family_Map!$A$2:$A$35,D385))),1)
),
"Other")</f>
        <v>Other</v>
      </c>
      <c r="F385" s="1" t="s">
        <v>711</v>
      </c>
      <c r="G385" s="1" t="e">
        <f t="shared" ca="1" si="2"/>
        <v>#NAME?</v>
      </c>
      <c r="H385" s="1" t="str">
        <f t="shared" ca="1" si="12"/>
        <v>Other</v>
      </c>
      <c r="I385" s="1" t="s">
        <v>410</v>
      </c>
      <c r="J385" s="1" t="str">
        <f t="shared" si="3"/>
        <v>8GB</v>
      </c>
      <c r="K385" s="1" t="s">
        <v>792</v>
      </c>
      <c r="L385" s="1">
        <f t="shared" si="27"/>
        <v>16</v>
      </c>
      <c r="M385" s="1" t="s">
        <v>417</v>
      </c>
      <c r="N385" s="1" t="str">
        <f t="shared" si="5"/>
        <v>512GB</v>
      </c>
      <c r="O385" s="1" t="str">
        <f t="shared" si="6"/>
        <v>512GB</v>
      </c>
      <c r="P385" s="1" t="s">
        <v>120</v>
      </c>
      <c r="Q385" s="1" t="str">
        <f t="shared" si="7"/>
        <v>1920x1080</v>
      </c>
      <c r="R385" s="1" t="s">
        <v>57</v>
      </c>
      <c r="S385" s="1" t="str">
        <f t="shared" si="8"/>
        <v>165Hz</v>
      </c>
      <c r="T385" s="1" t="s">
        <v>90</v>
      </c>
      <c r="U385" s="1" t="str">
        <f t="shared" si="9"/>
        <v>Windows 11 Home</v>
      </c>
      <c r="V385" s="1" t="s">
        <v>423</v>
      </c>
      <c r="W385" s="1" t="str">
        <f t="shared" si="10"/>
        <v>2.81 kg</v>
      </c>
      <c r="X385" s="1" t="s">
        <v>129</v>
      </c>
      <c r="Y385" s="1" t="str">
        <f t="shared" si="11"/>
        <v>1 Year</v>
      </c>
      <c r="Z385" s="4">
        <v>62000</v>
      </c>
      <c r="AA385" s="1" t="s">
        <v>79</v>
      </c>
    </row>
    <row r="386" spans="1:27" ht="15.75" customHeight="1" x14ac:dyDescent="0.35">
      <c r="A386" s="1" t="s">
        <v>151</v>
      </c>
      <c r="B386" s="1" t="str">
        <f t="shared" si="16"/>
        <v>Lenovo</v>
      </c>
      <c r="C386" s="1" t="s">
        <v>2131</v>
      </c>
      <c r="D386" s="1" t="str">
        <f t="shared" si="1"/>
        <v>IdeaPad Pro 5 16IRH8</v>
      </c>
      <c r="E386" s="1" t="str">
        <f t="array" aca="1" ref="E386" ca="1">IFERROR(
INDEX(Family_Map!$B$2:$B$35,
_xludf.AGGREGATE(14,6,(ROW(Family_Map!$A$2:$A$35)-ROW(Family_Map!$A$2)+1)/(ISNUMBER(SEARCH(Family_Map!$A$2:$A$35,D386))),1)
),
"Other")</f>
        <v>Other</v>
      </c>
      <c r="F386" s="1" t="s">
        <v>818</v>
      </c>
      <c r="G386" s="1" t="e">
        <f t="shared" ca="1" si="2"/>
        <v>#NAME?</v>
      </c>
      <c r="H386" s="1" t="str">
        <f t="shared" ca="1" si="12"/>
        <v>Other</v>
      </c>
      <c r="I386" s="1" t="s">
        <v>70</v>
      </c>
      <c r="J386" s="1" t="str">
        <f t="shared" si="3"/>
        <v>6GB</v>
      </c>
      <c r="K386" s="1" t="s">
        <v>2132</v>
      </c>
      <c r="L386" s="1">
        <f t="shared" si="27"/>
        <v>16</v>
      </c>
      <c r="M386" s="1" t="s">
        <v>156</v>
      </c>
      <c r="N386" s="1" t="str">
        <f t="shared" si="5"/>
        <v>512GB</v>
      </c>
      <c r="O386" s="1" t="str">
        <f t="shared" si="6"/>
        <v>512GB</v>
      </c>
      <c r="P386" s="1" t="s">
        <v>89</v>
      </c>
      <c r="Q386" s="1" t="str">
        <f t="shared" si="7"/>
        <v>2560x1600</v>
      </c>
      <c r="R386" s="1" t="s">
        <v>39</v>
      </c>
      <c r="S386" s="1" t="str">
        <f t="shared" si="8"/>
        <v>120Hz</v>
      </c>
      <c r="T386" s="1" t="s">
        <v>121</v>
      </c>
      <c r="U386" s="1" t="str">
        <f t="shared" si="9"/>
        <v>DOS</v>
      </c>
      <c r="V386" s="1" t="s">
        <v>923</v>
      </c>
      <c r="W386" s="1" t="str">
        <f t="shared" si="10"/>
        <v>1.95 kg</v>
      </c>
      <c r="X386" s="1" t="s">
        <v>129</v>
      </c>
      <c r="Y386" s="1" t="str">
        <f t="shared" si="11"/>
        <v>1 Year</v>
      </c>
      <c r="Z386" s="4">
        <v>47499</v>
      </c>
      <c r="AA386" s="1" t="s">
        <v>79</v>
      </c>
    </row>
    <row r="387" spans="1:27" ht="15.75" customHeight="1" x14ac:dyDescent="0.35">
      <c r="A387" s="1" t="s">
        <v>151</v>
      </c>
      <c r="B387" s="1" t="str">
        <f t="shared" si="16"/>
        <v>Lenovo</v>
      </c>
      <c r="C387" s="1" t="s">
        <v>1672</v>
      </c>
      <c r="D387" s="1" t="str">
        <f t="shared" si="1"/>
        <v>IdeaPad Gaming 3 15IAH7</v>
      </c>
      <c r="E387" s="1" t="str">
        <f t="array" aca="1" ref="E387" ca="1">IFERROR(
INDEX(Family_Map!$B$2:$B$35,
_xludf.AGGREGATE(14,6,(ROW(Family_Map!$A$2:$A$35)-ROW(Family_Map!$A$2)+1)/(ISNUMBER(SEARCH(Family_Map!$A$2:$A$35,D387))),1)
),
"Other")</f>
        <v>Other</v>
      </c>
      <c r="F387" s="1" t="s">
        <v>2137</v>
      </c>
      <c r="G387" s="1" t="e">
        <f t="shared" ca="1" si="2"/>
        <v>#NAME?</v>
      </c>
      <c r="H387" s="1" t="str">
        <f t="shared" ca="1" si="12"/>
        <v>Other</v>
      </c>
      <c r="I387" s="1" t="s">
        <v>507</v>
      </c>
      <c r="J387" s="1" t="str">
        <f t="shared" si="3"/>
        <v>4GB</v>
      </c>
      <c r="K387" s="1" t="s">
        <v>2115</v>
      </c>
      <c r="L387" s="1">
        <f t="shared" si="27"/>
        <v>16</v>
      </c>
      <c r="M387" s="1" t="s">
        <v>1506</v>
      </c>
      <c r="N387" s="1" t="str">
        <f t="shared" si="5"/>
        <v>512GB</v>
      </c>
      <c r="O387" s="1" t="str">
        <f t="shared" si="6"/>
        <v>512GB</v>
      </c>
      <c r="P387" s="1" t="s">
        <v>120</v>
      </c>
      <c r="Q387" s="1" t="str">
        <f t="shared" si="7"/>
        <v>1920x1080</v>
      </c>
      <c r="R387" s="1" t="s">
        <v>39</v>
      </c>
      <c r="S387" s="1" t="str">
        <f t="shared" si="8"/>
        <v>120Hz</v>
      </c>
      <c r="T387" s="1" t="s">
        <v>90</v>
      </c>
      <c r="U387" s="1" t="str">
        <f t="shared" si="9"/>
        <v>Windows 11 Home</v>
      </c>
      <c r="V387" s="1" t="s">
        <v>1678</v>
      </c>
      <c r="W387" s="1" t="str">
        <f t="shared" si="10"/>
        <v>2.32 kg</v>
      </c>
      <c r="X387" s="1" t="s">
        <v>2139</v>
      </c>
      <c r="Y387" s="1" t="str">
        <f t="shared" si="11"/>
        <v>2 Years</v>
      </c>
      <c r="Z387" s="4">
        <v>49999</v>
      </c>
      <c r="AA387" s="1" t="s">
        <v>166</v>
      </c>
    </row>
    <row r="388" spans="1:27" ht="15.75" customHeight="1" x14ac:dyDescent="0.35">
      <c r="A388" s="1" t="s">
        <v>151</v>
      </c>
      <c r="B388" s="1" t="str">
        <f t="shared" si="16"/>
        <v>Lenovo</v>
      </c>
      <c r="C388" s="1" t="s">
        <v>1499</v>
      </c>
      <c r="D388" s="1" t="str">
        <f t="shared" si="1"/>
        <v>Legion 5 15ACH6H</v>
      </c>
      <c r="E388" s="1" t="str">
        <f t="array" aca="1" ref="E388" ca="1">IFERROR(
INDEX(Family_Map!$B$2:$B$35,
_xludf.AGGREGATE(14,6,(ROW(Family_Map!$A$2:$A$35)-ROW(Family_Map!$A$2)+1)/(ISNUMBER(SEARCH(Family_Map!$A$2:$A$35,D388))),1)
),
"Other")</f>
        <v>Other</v>
      </c>
      <c r="F388" s="1" t="s">
        <v>2142</v>
      </c>
      <c r="G388" s="1" t="e">
        <f t="shared" ca="1" si="2"/>
        <v>#NAME?</v>
      </c>
      <c r="H388" s="1" t="str">
        <f t="shared" ca="1" si="12"/>
        <v>Other</v>
      </c>
      <c r="I388" s="1" t="s">
        <v>507</v>
      </c>
      <c r="J388" s="1" t="str">
        <f t="shared" si="3"/>
        <v>4GB</v>
      </c>
      <c r="K388" s="1" t="s">
        <v>1448</v>
      </c>
      <c r="L388" s="1">
        <v>8</v>
      </c>
      <c r="M388" s="1" t="s">
        <v>1506</v>
      </c>
      <c r="N388" s="1" t="str">
        <f t="shared" si="5"/>
        <v>512GB</v>
      </c>
      <c r="O388" s="1" t="str">
        <f t="shared" si="6"/>
        <v>512GB</v>
      </c>
      <c r="P388" s="1" t="s">
        <v>120</v>
      </c>
      <c r="Q388" s="1" t="str">
        <f t="shared" si="7"/>
        <v>1920x1080</v>
      </c>
      <c r="R388" s="1" t="s">
        <v>39</v>
      </c>
      <c r="S388" s="1" t="str">
        <f t="shared" si="8"/>
        <v>120Hz</v>
      </c>
      <c r="T388" s="1" t="s">
        <v>40</v>
      </c>
      <c r="U388" s="1" t="str">
        <f t="shared" si="9"/>
        <v>Windows 11 Home</v>
      </c>
      <c r="V388" s="1" t="s">
        <v>63</v>
      </c>
      <c r="W388" s="1" t="str">
        <f t="shared" si="10"/>
        <v>2.4 kg</v>
      </c>
      <c r="X388" s="1" t="s">
        <v>129</v>
      </c>
      <c r="Y388" s="1" t="str">
        <f t="shared" si="11"/>
        <v>1 Year</v>
      </c>
      <c r="Z388" s="4">
        <v>41299</v>
      </c>
      <c r="AA388" s="1" t="s">
        <v>5735</v>
      </c>
    </row>
    <row r="389" spans="1:27" ht="15.75" customHeight="1" x14ac:dyDescent="0.35">
      <c r="A389" s="1" t="s">
        <v>151</v>
      </c>
      <c r="B389" s="1" t="str">
        <f t="shared" si="16"/>
        <v>Lenovo</v>
      </c>
      <c r="C389" s="1" t="s">
        <v>1532</v>
      </c>
      <c r="D389" s="1" t="str">
        <f t="shared" si="1"/>
        <v>LOQ 15IRH8</v>
      </c>
      <c r="E389" s="1" t="str">
        <f t="array" aca="1" ref="E389" ca="1">IFERROR(
INDEX(Family_Map!$B$2:$B$35,
_xludf.AGGREGATE(14,6,(ROW(Family_Map!$A$2:$A$35)-ROW(Family_Map!$A$2)+1)/(ISNUMBER(SEARCH(Family_Map!$A$2:$A$35,D389))),1)
),
"Other")</f>
        <v>Other</v>
      </c>
      <c r="F389" s="1" t="s">
        <v>806</v>
      </c>
      <c r="G389" s="1" t="e">
        <f t="shared" ca="1" si="2"/>
        <v>#NAME?</v>
      </c>
      <c r="H389" s="1" t="str">
        <f t="shared" ca="1" si="12"/>
        <v>Other</v>
      </c>
      <c r="I389" s="1" t="s">
        <v>70</v>
      </c>
      <c r="J389" s="1" t="str">
        <f t="shared" si="3"/>
        <v>6GB</v>
      </c>
      <c r="K389" s="1" t="s">
        <v>2144</v>
      </c>
      <c r="L389" s="1">
        <f t="shared" ref="L389:L457" si="28">IFERROR(
VALUE(SUBSTITUTE(SUBSTITUTE(LEFT(UPPER(TRIM(K389)),FIND("GB",UPPER(K389)&amp;"GB")+1),"GB","")," ","")),
IFERROR(
VALUE(SUBSTITUTE(SUBSTITUTE(MID(UPPER(K389),FIND("GB",UPPER(K389)&amp;"GB")-3,3),"GB","")," ",""))
*
IF(
OR(
ISNUMBER(SEARCH("2X",UPPER(K389))),
ISNUMBER(SEARCH("X 2",UPPER(K389))),
ISNUMBER(SEARCH("*2",UPPER(K389))),
ISNUMBER(SEARCH("2*",UPPER(K389))),
ISNUMBER(SEARCH("(2 X",UPPER(K389)))
),
2,1),
"")
)</f>
        <v>8</v>
      </c>
      <c r="M389" s="1" t="s">
        <v>156</v>
      </c>
      <c r="N389" s="1" t="str">
        <f t="shared" si="5"/>
        <v>512GB</v>
      </c>
      <c r="O389" s="1" t="str">
        <f t="shared" si="6"/>
        <v>512GB</v>
      </c>
      <c r="P389" s="1" t="s">
        <v>616</v>
      </c>
      <c r="Q389" s="1" t="str">
        <f t="shared" si="7"/>
        <v>1920x1080</v>
      </c>
      <c r="R389" s="1" t="s">
        <v>75</v>
      </c>
      <c r="S389" s="1" t="str">
        <f t="shared" si="8"/>
        <v>144Hz</v>
      </c>
      <c r="T389" s="1" t="s">
        <v>101</v>
      </c>
      <c r="U389" s="1" t="str">
        <f t="shared" si="9"/>
        <v>DOS</v>
      </c>
      <c r="V389" s="1" t="s">
        <v>63</v>
      </c>
      <c r="W389" s="1" t="str">
        <f t="shared" si="10"/>
        <v>2.4 kg</v>
      </c>
      <c r="X389" s="1" t="s">
        <v>78</v>
      </c>
      <c r="Y389" s="1" t="str">
        <f t="shared" si="11"/>
        <v>1 Year</v>
      </c>
      <c r="Z389" s="4">
        <v>46000</v>
      </c>
      <c r="AA389" s="1" t="s">
        <v>79</v>
      </c>
    </row>
    <row r="390" spans="1:27" ht="15.75" customHeight="1" x14ac:dyDescent="0.35">
      <c r="A390" s="1" t="s">
        <v>151</v>
      </c>
      <c r="B390" s="1" t="str">
        <f t="shared" si="16"/>
        <v>Lenovo</v>
      </c>
      <c r="C390" s="1" t="s">
        <v>1532</v>
      </c>
      <c r="D390" s="1" t="str">
        <f t="shared" si="1"/>
        <v>LOQ 15IRH8</v>
      </c>
      <c r="E390" s="1" t="str">
        <f t="array" aca="1" ref="E390" ca="1">IFERROR(
INDEX(Family_Map!$B$2:$B$35,
_xludf.AGGREGATE(14,6,(ROW(Family_Map!$A$2:$A$35)-ROW(Family_Map!$A$2)+1)/(ISNUMBER(SEARCH(Family_Map!$A$2:$A$35,D390))),1)
),
"Other")</f>
        <v>Other</v>
      </c>
      <c r="F390" s="1" t="s">
        <v>806</v>
      </c>
      <c r="G390" s="1" t="e">
        <f t="shared" ca="1" si="2"/>
        <v>#NAME?</v>
      </c>
      <c r="H390" s="1" t="str">
        <f t="shared" ca="1" si="12"/>
        <v>Other</v>
      </c>
      <c r="I390" s="1" t="s">
        <v>70</v>
      </c>
      <c r="J390" s="1" t="str">
        <f t="shared" si="3"/>
        <v>6GB</v>
      </c>
      <c r="K390" s="1" t="s">
        <v>1653</v>
      </c>
      <c r="L390" s="1">
        <f t="shared" si="28"/>
        <v>16</v>
      </c>
      <c r="M390" s="1" t="s">
        <v>156</v>
      </c>
      <c r="N390" s="1" t="str">
        <f t="shared" si="5"/>
        <v>512GB</v>
      </c>
      <c r="O390" s="1" t="str">
        <f t="shared" si="6"/>
        <v>512GB</v>
      </c>
      <c r="P390" s="1" t="s">
        <v>616</v>
      </c>
      <c r="Q390" s="1" t="str">
        <f t="shared" si="7"/>
        <v>1920x1080</v>
      </c>
      <c r="R390" s="1" t="s">
        <v>75</v>
      </c>
      <c r="S390" s="1" t="str">
        <f t="shared" si="8"/>
        <v>144Hz</v>
      </c>
      <c r="T390" s="1" t="s">
        <v>101</v>
      </c>
      <c r="U390" s="1" t="str">
        <f t="shared" si="9"/>
        <v>DOS</v>
      </c>
      <c r="V390" s="1" t="s">
        <v>63</v>
      </c>
      <c r="W390" s="1" t="str">
        <f t="shared" si="10"/>
        <v>2.4 kg</v>
      </c>
      <c r="X390" s="1" t="s">
        <v>78</v>
      </c>
      <c r="Y390" s="1" t="str">
        <f t="shared" si="11"/>
        <v>1 Year</v>
      </c>
      <c r="Z390" s="4">
        <v>49499</v>
      </c>
      <c r="AA390" s="1" t="s">
        <v>79</v>
      </c>
    </row>
    <row r="391" spans="1:27" ht="15.75" customHeight="1" x14ac:dyDescent="0.35">
      <c r="A391" s="1" t="s">
        <v>151</v>
      </c>
      <c r="B391" s="1" t="str">
        <f t="shared" si="16"/>
        <v>Lenovo</v>
      </c>
      <c r="C391" s="1" t="s">
        <v>1532</v>
      </c>
      <c r="D391" s="1" t="str">
        <f t="shared" si="1"/>
        <v>LOQ 15IRH8</v>
      </c>
      <c r="E391" s="1" t="str">
        <f t="array" aca="1" ref="E391" ca="1">IFERROR(
INDEX(Family_Map!$B$2:$B$35,
_xludf.AGGREGATE(14,6,(ROW(Family_Map!$A$2:$A$35)-ROW(Family_Map!$A$2)+1)/(ISNUMBER(SEARCH(Family_Map!$A$2:$A$35,D391))),1)
),
"Other")</f>
        <v>Other</v>
      </c>
      <c r="F391" s="1" t="s">
        <v>806</v>
      </c>
      <c r="G391" s="1" t="e">
        <f t="shared" ca="1" si="2"/>
        <v>#NAME?</v>
      </c>
      <c r="H391" s="1" t="str">
        <f t="shared" ca="1" si="12"/>
        <v>Other</v>
      </c>
      <c r="I391" s="1" t="s">
        <v>410</v>
      </c>
      <c r="J391" s="1" t="str">
        <f t="shared" si="3"/>
        <v>8GB</v>
      </c>
      <c r="K391" s="1" t="s">
        <v>1653</v>
      </c>
      <c r="L391" s="1">
        <f t="shared" si="28"/>
        <v>16</v>
      </c>
      <c r="M391" s="1" t="s">
        <v>156</v>
      </c>
      <c r="N391" s="1" t="str">
        <f t="shared" si="5"/>
        <v>512GB</v>
      </c>
      <c r="O391" s="1" t="str">
        <f t="shared" si="6"/>
        <v>512GB</v>
      </c>
      <c r="P391" s="1" t="s">
        <v>120</v>
      </c>
      <c r="Q391" s="1" t="str">
        <f t="shared" si="7"/>
        <v>1920x1080</v>
      </c>
      <c r="R391" s="1" t="s">
        <v>75</v>
      </c>
      <c r="S391" s="1" t="str">
        <f t="shared" si="8"/>
        <v>144Hz</v>
      </c>
      <c r="T391" s="1" t="s">
        <v>101</v>
      </c>
      <c r="U391" s="1" t="str">
        <f t="shared" si="9"/>
        <v>DOS</v>
      </c>
      <c r="V391" s="1" t="s">
        <v>63</v>
      </c>
      <c r="W391" s="1" t="str">
        <f t="shared" si="10"/>
        <v>2.4 kg</v>
      </c>
      <c r="X391" s="1" t="s">
        <v>78</v>
      </c>
      <c r="Y391" s="1" t="str">
        <f t="shared" si="11"/>
        <v>1 Year</v>
      </c>
      <c r="Z391" s="4">
        <v>46199</v>
      </c>
      <c r="AA391" s="1" t="s">
        <v>79</v>
      </c>
    </row>
    <row r="392" spans="1:27" ht="15.75" customHeight="1" x14ac:dyDescent="0.35">
      <c r="A392" s="1" t="s">
        <v>81</v>
      </c>
      <c r="B392" s="1" t="str">
        <f t="shared" si="16"/>
        <v>Dell</v>
      </c>
      <c r="C392" s="1" t="s">
        <v>2148</v>
      </c>
      <c r="D392" s="1" t="str">
        <f t="shared" si="1"/>
        <v>G15 5515</v>
      </c>
      <c r="E392" s="1" t="str">
        <f t="array" aca="1" ref="E392" ca="1">IFERROR(
INDEX(Family_Map!$B$2:$B$35,
_xludf.AGGREGATE(14,6,(ROW(Family_Map!$A$2:$A$35)-ROW(Family_Map!$A$2)+1)/(ISNUMBER(SEARCH(Family_Map!$A$2:$A$35,D392))),1)
),
"Other")</f>
        <v>Other</v>
      </c>
      <c r="F392" s="1" t="s">
        <v>2142</v>
      </c>
      <c r="G392" s="1" t="e">
        <f t="shared" ca="1" si="2"/>
        <v>#NAME?</v>
      </c>
      <c r="H392" s="1" t="str">
        <f t="shared" ca="1" si="12"/>
        <v>Other</v>
      </c>
      <c r="I392" s="1" t="s">
        <v>507</v>
      </c>
      <c r="J392" s="1" t="str">
        <f t="shared" si="3"/>
        <v>4GB</v>
      </c>
      <c r="K392" s="1" t="s">
        <v>2110</v>
      </c>
      <c r="L392" s="1">
        <f t="shared" si="28"/>
        <v>8</v>
      </c>
      <c r="M392" s="1" t="s">
        <v>1120</v>
      </c>
      <c r="N392" s="1" t="str">
        <f t="shared" si="5"/>
        <v>512GB</v>
      </c>
      <c r="O392" s="1" t="str">
        <f t="shared" si="6"/>
        <v>512GB</v>
      </c>
      <c r="P392" s="1" t="s">
        <v>616</v>
      </c>
      <c r="Q392" s="1" t="str">
        <f t="shared" si="7"/>
        <v>1920x1080</v>
      </c>
      <c r="R392" s="1" t="s">
        <v>39</v>
      </c>
      <c r="S392" s="1" t="str">
        <f t="shared" si="8"/>
        <v>120Hz</v>
      </c>
      <c r="T392" s="1" t="s">
        <v>90</v>
      </c>
      <c r="U392" s="1" t="str">
        <f t="shared" si="9"/>
        <v>Windows 11 Home</v>
      </c>
      <c r="V392" s="1" t="s">
        <v>262</v>
      </c>
      <c r="W392" s="1" t="str">
        <f t="shared" si="10"/>
        <v>2.57 kg</v>
      </c>
      <c r="X392" s="1" t="s">
        <v>78</v>
      </c>
      <c r="Y392" s="1" t="str">
        <f t="shared" si="11"/>
        <v>1 Year</v>
      </c>
      <c r="Z392" s="4">
        <v>38000</v>
      </c>
      <c r="AA392" s="1" t="s">
        <v>5735</v>
      </c>
    </row>
    <row r="393" spans="1:27" ht="15.75" customHeight="1" x14ac:dyDescent="0.35">
      <c r="A393" s="1" t="s">
        <v>234</v>
      </c>
      <c r="B393" s="1" t="str">
        <f t="shared" si="16"/>
        <v>ASUS</v>
      </c>
      <c r="C393" s="1" t="s">
        <v>2155</v>
      </c>
      <c r="D393" s="1" t="str">
        <f t="shared" si="1"/>
        <v>ROG Strix SCAR 18 G834JY-N6033W</v>
      </c>
      <c r="E393" s="1" t="str">
        <f t="array" aca="1" ref="E393" ca="1">IFERROR(
INDEX(Family_Map!$B$2:$B$35,
_xludf.AGGREGATE(14,6,(ROW(Family_Map!$A$2:$A$35)-ROW(Family_Map!$A$2)+1)/(ISNUMBER(SEARCH(Family_Map!$A$2:$A$35,D393))),1)
),
"Other")</f>
        <v>Other</v>
      </c>
      <c r="F393" s="1" t="s">
        <v>2156</v>
      </c>
      <c r="G393" s="1" t="e">
        <f t="shared" ca="1" si="2"/>
        <v>#NAME?</v>
      </c>
      <c r="H393" s="1" t="str">
        <f t="shared" ca="1" si="12"/>
        <v>Other</v>
      </c>
      <c r="I393" s="1" t="s">
        <v>552</v>
      </c>
      <c r="J393" s="1" t="str">
        <f t="shared" si="3"/>
        <v>16GB</v>
      </c>
      <c r="K393" s="1" t="s">
        <v>1863</v>
      </c>
      <c r="L393" s="1">
        <f t="shared" si="28"/>
        <v>32</v>
      </c>
      <c r="M393" s="1" t="s">
        <v>2157</v>
      </c>
      <c r="N393" s="1" t="str">
        <f t="shared" si="5"/>
        <v>2TB</v>
      </c>
      <c r="O393" s="1" t="str">
        <f t="shared" si="6"/>
        <v>2048GB</v>
      </c>
      <c r="P393" s="1" t="s">
        <v>89</v>
      </c>
      <c r="Q393" s="1" t="str">
        <f t="shared" si="7"/>
        <v>2560x1600</v>
      </c>
      <c r="R393" s="1" t="s">
        <v>256</v>
      </c>
      <c r="S393" s="1" t="str">
        <f t="shared" si="8"/>
        <v>240Hz</v>
      </c>
      <c r="T393" s="1" t="s">
        <v>725</v>
      </c>
      <c r="U393" s="1" t="str">
        <f t="shared" si="9"/>
        <v>Windows 11 Pro</v>
      </c>
      <c r="V393" s="1" t="s">
        <v>1552</v>
      </c>
      <c r="W393" s="1" t="str">
        <f t="shared" si="10"/>
        <v>3.1 kg</v>
      </c>
      <c r="X393" s="1" t="s">
        <v>165</v>
      </c>
      <c r="Y393" s="1" t="str">
        <f t="shared" si="11"/>
        <v>2 Years</v>
      </c>
      <c r="Z393" s="4">
        <v>146499</v>
      </c>
      <c r="AA393" s="1" t="s">
        <v>79</v>
      </c>
    </row>
    <row r="394" spans="1:27" ht="15.75" customHeight="1" x14ac:dyDescent="0.35">
      <c r="A394" s="1" t="s">
        <v>234</v>
      </c>
      <c r="B394" s="1" t="str">
        <f t="shared" si="16"/>
        <v>ASUS</v>
      </c>
      <c r="C394" s="1" t="s">
        <v>2160</v>
      </c>
      <c r="D394" s="1" t="str">
        <f t="shared" si="1"/>
        <v>TUF Dash F15 FX516PM-HN023T</v>
      </c>
      <c r="E394" s="1" t="str">
        <f t="array" aca="1" ref="E394" ca="1">IFERROR(
INDEX(Family_Map!$B$2:$B$35,
_xludf.AGGREGATE(14,6,(ROW(Family_Map!$A$2:$A$35)-ROW(Family_Map!$A$2)+1)/(ISNUMBER(SEARCH(Family_Map!$A$2:$A$35,D394))),1)
),
"Other")</f>
        <v>Other</v>
      </c>
      <c r="F394" s="1" t="s">
        <v>2108</v>
      </c>
      <c r="G394" s="1" t="e">
        <f t="shared" ca="1" si="2"/>
        <v>#NAME?</v>
      </c>
      <c r="H394" s="1" t="str">
        <f t="shared" ca="1" si="12"/>
        <v>Other</v>
      </c>
      <c r="I394" s="1" t="s">
        <v>70</v>
      </c>
      <c r="J394" s="1" t="str">
        <f t="shared" si="3"/>
        <v>6GB</v>
      </c>
      <c r="K394" s="1" t="s">
        <v>2162</v>
      </c>
      <c r="L394" s="1">
        <f t="shared" si="28"/>
        <v>16</v>
      </c>
      <c r="M394" s="1" t="s">
        <v>2088</v>
      </c>
      <c r="N394" s="1" t="str">
        <f t="shared" si="5"/>
        <v>512GB</v>
      </c>
      <c r="O394" s="1" t="str">
        <f t="shared" si="6"/>
        <v>512GB</v>
      </c>
      <c r="P394" s="1" t="s">
        <v>616</v>
      </c>
      <c r="Q394" s="1" t="str">
        <f t="shared" si="7"/>
        <v>1920x1080</v>
      </c>
      <c r="R394" s="1" t="s">
        <v>75</v>
      </c>
      <c r="S394" s="1" t="str">
        <f t="shared" si="8"/>
        <v>144Hz</v>
      </c>
      <c r="T394" s="1" t="s">
        <v>2163</v>
      </c>
      <c r="U394" s="1" t="str">
        <f t="shared" si="9"/>
        <v>Windows 10 Home</v>
      </c>
      <c r="V394" s="1" t="s">
        <v>814</v>
      </c>
      <c r="W394" s="1" t="str">
        <f t="shared" si="10"/>
        <v>2 kg</v>
      </c>
      <c r="X394" s="1" t="s">
        <v>165</v>
      </c>
      <c r="Y394" s="1" t="str">
        <f t="shared" si="11"/>
        <v>2 Years</v>
      </c>
      <c r="Z394" s="4">
        <v>43999</v>
      </c>
      <c r="AA394" s="1" t="s">
        <v>1082</v>
      </c>
    </row>
    <row r="395" spans="1:27" ht="15.75" customHeight="1" x14ac:dyDescent="0.35">
      <c r="A395" s="1" t="s">
        <v>234</v>
      </c>
      <c r="B395" s="1" t="str">
        <f t="shared" si="16"/>
        <v>ASUS</v>
      </c>
      <c r="C395" s="1" t="s">
        <v>2166</v>
      </c>
      <c r="D395" s="1" t="str">
        <f t="shared" si="1"/>
        <v>ROG Strix G15 G513IM-HN007W</v>
      </c>
      <c r="E395" s="1" t="str">
        <f t="array" aca="1" ref="E395" ca="1">IFERROR(
INDEX(Family_Map!$B$2:$B$35,
_xludf.AGGREGATE(14,6,(ROW(Family_Map!$A$2:$A$35)-ROW(Family_Map!$A$2)+1)/(ISNUMBER(SEARCH(Family_Map!$A$2:$A$35,D395))),1)
),
"Other")</f>
        <v>Other</v>
      </c>
      <c r="F395" s="1" t="s">
        <v>5747</v>
      </c>
      <c r="G395" s="1" t="e">
        <f t="shared" ca="1" si="2"/>
        <v>#NAME?</v>
      </c>
      <c r="H395" s="1" t="str">
        <f t="shared" ca="1" si="12"/>
        <v>Other</v>
      </c>
      <c r="I395" s="1" t="s">
        <v>70</v>
      </c>
      <c r="J395" s="1" t="str">
        <f t="shared" si="3"/>
        <v>6GB</v>
      </c>
      <c r="K395" s="1" t="s">
        <v>965</v>
      </c>
      <c r="L395" s="1">
        <f t="shared" si="28"/>
        <v>16</v>
      </c>
      <c r="M395" s="1" t="s">
        <v>2168</v>
      </c>
      <c r="N395" s="1" t="str">
        <f t="shared" si="5"/>
        <v>1TB</v>
      </c>
      <c r="O395" s="1" t="str">
        <f t="shared" si="6"/>
        <v>1024GB</v>
      </c>
      <c r="P395" s="1" t="s">
        <v>616</v>
      </c>
      <c r="Q395" s="1" t="str">
        <f t="shared" si="7"/>
        <v>1920x1080</v>
      </c>
      <c r="R395" s="1" t="s">
        <v>75</v>
      </c>
      <c r="S395" s="1" t="str">
        <f t="shared" si="8"/>
        <v>144Hz</v>
      </c>
      <c r="T395" s="1" t="s">
        <v>90</v>
      </c>
      <c r="U395" s="1" t="str">
        <f t="shared" si="9"/>
        <v>Windows 11 Home</v>
      </c>
      <c r="V395" s="1" t="s">
        <v>1400</v>
      </c>
      <c r="W395" s="1" t="str">
        <f t="shared" si="10"/>
        <v>2.3 kg</v>
      </c>
      <c r="X395" s="1" t="s">
        <v>339</v>
      </c>
      <c r="Y395" s="1" t="str">
        <f t="shared" si="11"/>
        <v>2 Years</v>
      </c>
      <c r="Z395" s="4">
        <v>47555</v>
      </c>
      <c r="AA395" s="1" t="s">
        <v>5735</v>
      </c>
    </row>
    <row r="396" spans="1:27" ht="15.75" customHeight="1" x14ac:dyDescent="0.35">
      <c r="A396" s="1" t="s">
        <v>30</v>
      </c>
      <c r="B396" s="1" t="str">
        <f t="shared" si="16"/>
        <v>MSI</v>
      </c>
      <c r="C396" s="1" t="s">
        <v>2174</v>
      </c>
      <c r="D396" s="1" t="str">
        <f t="shared" si="1"/>
        <v>GF63 Thin 10UC</v>
      </c>
      <c r="E396" s="1" t="str">
        <f t="array" aca="1" ref="E396" ca="1">IFERROR(
INDEX(Family_Map!$B$2:$B$35,
_xludf.AGGREGATE(14,6,(ROW(Family_Map!$A$2:$A$35)-ROW(Family_Map!$A$2)+1)/(ISNUMBER(SEARCH(Family_Map!$A$2:$A$35,D396))),1)
),
"Other")</f>
        <v>Other</v>
      </c>
      <c r="F396" s="1" t="s">
        <v>2175</v>
      </c>
      <c r="G396" s="1" t="e">
        <f t="shared" ca="1" si="2"/>
        <v>#NAME?</v>
      </c>
      <c r="H396" s="1" t="str">
        <f t="shared" ca="1" si="12"/>
        <v>Other</v>
      </c>
      <c r="I396" s="1" t="s">
        <v>507</v>
      </c>
      <c r="J396" s="1" t="str">
        <f t="shared" si="3"/>
        <v>4GB</v>
      </c>
      <c r="K396" s="1" t="s">
        <v>2176</v>
      </c>
      <c r="L396" s="1">
        <f t="shared" si="28"/>
        <v>8</v>
      </c>
      <c r="M396" s="1" t="s">
        <v>2177</v>
      </c>
      <c r="N396" s="1" t="str">
        <f t="shared" si="5"/>
        <v>1TB</v>
      </c>
      <c r="O396" s="1" t="str">
        <f t="shared" si="6"/>
        <v>1024GB</v>
      </c>
      <c r="P396" s="1" t="s">
        <v>120</v>
      </c>
      <c r="Q396" s="1" t="str">
        <f t="shared" si="7"/>
        <v>1920x1080</v>
      </c>
      <c r="S396" s="1" t="str">
        <f t="shared" si="8"/>
        <v/>
      </c>
      <c r="U396" s="1" t="str">
        <f t="shared" si="9"/>
        <v>Unknown</v>
      </c>
      <c r="V396" s="1" t="s">
        <v>376</v>
      </c>
      <c r="W396" s="1" t="str">
        <f t="shared" si="10"/>
        <v>1.86 kg</v>
      </c>
      <c r="X396" s="1" t="s">
        <v>78</v>
      </c>
      <c r="Y396" s="1" t="str">
        <f t="shared" si="11"/>
        <v>1 Year</v>
      </c>
      <c r="Z396" s="4">
        <v>25999</v>
      </c>
      <c r="AA396" s="1" t="s">
        <v>2181</v>
      </c>
    </row>
    <row r="397" spans="1:27" ht="15.75" customHeight="1" x14ac:dyDescent="0.35">
      <c r="A397" s="1" t="s">
        <v>30</v>
      </c>
      <c r="B397" s="1" t="str">
        <f t="shared" si="16"/>
        <v>MSI</v>
      </c>
      <c r="C397" s="1" t="s">
        <v>2174</v>
      </c>
      <c r="D397" s="1" t="str">
        <f t="shared" si="1"/>
        <v>GF63 Thin 10UC</v>
      </c>
      <c r="E397" s="1" t="str">
        <f t="array" aca="1" ref="E397" ca="1">IFERROR(
INDEX(Family_Map!$B$2:$B$35,
_xludf.AGGREGATE(14,6,(ROW(Family_Map!$A$2:$A$35)-ROW(Family_Map!$A$2)+1)/(ISNUMBER(SEARCH(Family_Map!$A$2:$A$35,D397))),1)
),
"Other")</f>
        <v>Other</v>
      </c>
      <c r="F397" s="1" t="s">
        <v>2184</v>
      </c>
      <c r="G397" s="1" t="e">
        <f t="shared" ca="1" si="2"/>
        <v>#NAME?</v>
      </c>
      <c r="H397" s="1" t="str">
        <f t="shared" ca="1" si="12"/>
        <v>Other</v>
      </c>
      <c r="I397" s="1" t="s">
        <v>507</v>
      </c>
      <c r="J397" s="1" t="str">
        <f t="shared" si="3"/>
        <v>4GB</v>
      </c>
      <c r="K397" s="1" t="s">
        <v>2185</v>
      </c>
      <c r="L397" s="1">
        <f t="shared" si="28"/>
        <v>16</v>
      </c>
      <c r="M397" s="1" t="s">
        <v>2177</v>
      </c>
      <c r="N397" s="1" t="str">
        <f t="shared" si="5"/>
        <v>1TB</v>
      </c>
      <c r="O397" s="1" t="str">
        <f t="shared" si="6"/>
        <v>1024GB</v>
      </c>
      <c r="P397" s="1" t="s">
        <v>120</v>
      </c>
      <c r="Q397" s="1" t="str">
        <f t="shared" si="7"/>
        <v>1920x1080</v>
      </c>
      <c r="S397" s="1" t="str">
        <f t="shared" si="8"/>
        <v/>
      </c>
      <c r="U397" s="1" t="str">
        <f t="shared" si="9"/>
        <v>Unknown</v>
      </c>
      <c r="V397" s="1" t="s">
        <v>376</v>
      </c>
      <c r="W397" s="1" t="str">
        <f t="shared" si="10"/>
        <v>1.86 kg</v>
      </c>
      <c r="X397" s="1" t="s">
        <v>78</v>
      </c>
      <c r="Y397" s="1" t="str">
        <f t="shared" si="11"/>
        <v>1 Year</v>
      </c>
      <c r="Z397" s="4">
        <v>32099</v>
      </c>
      <c r="AA397" s="1" t="s">
        <v>2181</v>
      </c>
    </row>
    <row r="398" spans="1:27" ht="15.75" customHeight="1" x14ac:dyDescent="0.35">
      <c r="A398" s="1" t="s">
        <v>30</v>
      </c>
      <c r="B398" s="1" t="str">
        <f t="shared" si="16"/>
        <v>MSI</v>
      </c>
      <c r="C398" s="1" t="s">
        <v>1612</v>
      </c>
      <c r="D398" s="1" t="str">
        <f t="shared" si="1"/>
        <v>GF63 Thin 11SC</v>
      </c>
      <c r="E398" s="1" t="str">
        <f t="array" aca="1" ref="E398" ca="1">IFERROR(
INDEX(Family_Map!$B$2:$B$35,
_xludf.AGGREGATE(14,6,(ROW(Family_Map!$A$2:$A$35)-ROW(Family_Map!$A$2)+1)/(ISNUMBER(SEARCH(Family_Map!$A$2:$A$35,D398))),1)
),
"Other")</f>
        <v>Other</v>
      </c>
      <c r="F398" s="1" t="s">
        <v>1613</v>
      </c>
      <c r="G398" s="1" t="e">
        <f t="shared" ca="1" si="2"/>
        <v>#NAME?</v>
      </c>
      <c r="H398" s="1" t="str">
        <f t="shared" ca="1" si="12"/>
        <v>Other</v>
      </c>
      <c r="I398" s="1" t="s">
        <v>507</v>
      </c>
      <c r="J398" s="1" t="str">
        <f t="shared" si="3"/>
        <v>4GB</v>
      </c>
      <c r="K398" s="1" t="s">
        <v>1134</v>
      </c>
      <c r="L398" s="1">
        <f t="shared" si="28"/>
        <v>8</v>
      </c>
      <c r="M398" s="1" t="s">
        <v>2188</v>
      </c>
      <c r="N398" s="1" t="str">
        <f t="shared" si="5"/>
        <v>1TB</v>
      </c>
      <c r="O398" s="1" t="str">
        <f t="shared" si="6"/>
        <v>1024GB</v>
      </c>
      <c r="P398" s="1" t="s">
        <v>120</v>
      </c>
      <c r="Q398" s="1" t="str">
        <f t="shared" si="7"/>
        <v>1920x1080</v>
      </c>
      <c r="S398" s="1" t="str">
        <f t="shared" si="8"/>
        <v/>
      </c>
      <c r="U398" s="1" t="str">
        <f t="shared" si="9"/>
        <v>Unknown</v>
      </c>
      <c r="V398" s="1" t="s">
        <v>376</v>
      </c>
      <c r="W398" s="1" t="str">
        <f t="shared" si="10"/>
        <v>1.86 kg</v>
      </c>
      <c r="X398" s="1" t="s">
        <v>78</v>
      </c>
      <c r="Y398" s="1" t="str">
        <f t="shared" si="11"/>
        <v>1 Year</v>
      </c>
      <c r="Z398" s="4">
        <v>29050</v>
      </c>
      <c r="AA398" s="1" t="s">
        <v>1082</v>
      </c>
    </row>
    <row r="399" spans="1:27" ht="15.75" customHeight="1" x14ac:dyDescent="0.35">
      <c r="A399" s="1" t="s">
        <v>30</v>
      </c>
      <c r="B399" s="1" t="str">
        <f t="shared" si="16"/>
        <v>MSI</v>
      </c>
      <c r="C399" s="1" t="s">
        <v>1690</v>
      </c>
      <c r="D399" s="1" t="str">
        <f t="shared" si="1"/>
        <v>GF63 Thin 11UC</v>
      </c>
      <c r="E399" s="1" t="str">
        <f t="array" aca="1" ref="E399" ca="1">IFERROR(
INDEX(Family_Map!$B$2:$B$35,
_xludf.AGGREGATE(14,6,(ROW(Family_Map!$A$2:$A$35)-ROW(Family_Map!$A$2)+1)/(ISNUMBER(SEARCH(Family_Map!$A$2:$A$35,D399))),1)
),
"Other")</f>
        <v>Other</v>
      </c>
      <c r="F399" s="1" t="s">
        <v>1613</v>
      </c>
      <c r="G399" s="1" t="e">
        <f t="shared" ca="1" si="2"/>
        <v>#NAME?</v>
      </c>
      <c r="H399" s="1" t="str">
        <f t="shared" ca="1" si="12"/>
        <v>Other</v>
      </c>
      <c r="I399" s="1" t="s">
        <v>507</v>
      </c>
      <c r="J399" s="1" t="str">
        <f t="shared" si="3"/>
        <v>4GB</v>
      </c>
      <c r="K399" s="1" t="s">
        <v>1134</v>
      </c>
      <c r="L399" s="1">
        <f t="shared" si="28"/>
        <v>8</v>
      </c>
      <c r="M399" s="1" t="s">
        <v>2188</v>
      </c>
      <c r="N399" s="1" t="str">
        <f t="shared" si="5"/>
        <v>1TB</v>
      </c>
      <c r="O399" s="1" t="str">
        <f t="shared" si="6"/>
        <v>1024GB</v>
      </c>
      <c r="P399" s="1" t="s">
        <v>74</v>
      </c>
      <c r="Q399" s="1" t="str">
        <f t="shared" si="7"/>
        <v>1920x1080</v>
      </c>
      <c r="S399" s="1" t="str">
        <f t="shared" si="8"/>
        <v/>
      </c>
      <c r="T399" s="1" t="s">
        <v>101</v>
      </c>
      <c r="U399" s="1" t="str">
        <f t="shared" si="9"/>
        <v>DOS</v>
      </c>
      <c r="V399" s="1" t="s">
        <v>376</v>
      </c>
      <c r="W399" s="1" t="str">
        <f t="shared" si="10"/>
        <v>1.86 kg</v>
      </c>
      <c r="X399" s="1" t="s">
        <v>78</v>
      </c>
      <c r="Y399" s="1" t="str">
        <f t="shared" si="11"/>
        <v>1 Year</v>
      </c>
      <c r="Z399" s="4">
        <v>38499</v>
      </c>
      <c r="AA399" s="1" t="s">
        <v>1082</v>
      </c>
    </row>
    <row r="400" spans="1:27" ht="15.75" customHeight="1" x14ac:dyDescent="0.35">
      <c r="A400" s="1" t="s">
        <v>234</v>
      </c>
      <c r="B400" s="1" t="str">
        <f t="shared" si="16"/>
        <v>ASUS</v>
      </c>
      <c r="C400" s="1" t="s">
        <v>2191</v>
      </c>
      <c r="D400" s="1" t="str">
        <f t="shared" si="1"/>
        <v>ROG Flow Z13 GZ301ZE-LD165W</v>
      </c>
      <c r="E400" s="1" t="str">
        <f t="array" aca="1" ref="E400" ca="1">IFERROR(
INDEX(Family_Map!$B$2:$B$35,
_xludf.AGGREGATE(14,6,(ROW(Family_Map!$A$2:$A$35)-ROW(Family_Map!$A$2)+1)/(ISNUMBER(SEARCH(Family_Map!$A$2:$A$35,D400))),1)
),
"Other")</f>
        <v>Other</v>
      </c>
      <c r="F400" s="1" t="s">
        <v>1756</v>
      </c>
      <c r="G400" s="1" t="e">
        <f t="shared" ca="1" si="2"/>
        <v>#NAME?</v>
      </c>
      <c r="H400" s="1" t="str">
        <f t="shared" ca="1" si="12"/>
        <v>Other</v>
      </c>
      <c r="I400" s="1" t="s">
        <v>507</v>
      </c>
      <c r="J400" s="1" t="str">
        <f t="shared" si="3"/>
        <v>4GB</v>
      </c>
      <c r="K400" s="1" t="s">
        <v>2193</v>
      </c>
      <c r="L400" s="1">
        <f t="shared" si="28"/>
        <v>16</v>
      </c>
      <c r="M400" s="1" t="s">
        <v>1979</v>
      </c>
      <c r="N400" s="1" t="str">
        <f t="shared" si="5"/>
        <v>1TB</v>
      </c>
      <c r="O400" s="1" t="str">
        <f t="shared" si="6"/>
        <v>1024GB</v>
      </c>
      <c r="P400" s="1" t="s">
        <v>275</v>
      </c>
      <c r="Q400" s="1" t="str">
        <f t="shared" si="7"/>
        <v>1920x1200</v>
      </c>
      <c r="R400" s="1" t="s">
        <v>39</v>
      </c>
      <c r="S400" s="1" t="str">
        <f t="shared" si="8"/>
        <v>120Hz</v>
      </c>
      <c r="T400" s="1" t="s">
        <v>90</v>
      </c>
      <c r="U400" s="1" t="str">
        <f t="shared" si="9"/>
        <v>Windows 11 Home</v>
      </c>
      <c r="V400" s="1" t="s">
        <v>1975</v>
      </c>
      <c r="W400" s="1" t="str">
        <f t="shared" si="10"/>
        <v>1.18 kg</v>
      </c>
      <c r="X400" s="1" t="s">
        <v>165</v>
      </c>
      <c r="Y400" s="1" t="str">
        <f t="shared" si="11"/>
        <v>2 Years</v>
      </c>
      <c r="Z400" s="4">
        <v>84999</v>
      </c>
      <c r="AA400" s="1" t="s">
        <v>166</v>
      </c>
    </row>
    <row r="401" spans="1:27" ht="15.75" customHeight="1" x14ac:dyDescent="0.35">
      <c r="A401" s="1" t="s">
        <v>234</v>
      </c>
      <c r="B401" s="1" t="str">
        <f t="shared" si="16"/>
        <v>ASUS</v>
      </c>
      <c r="C401" s="1" t="s">
        <v>2198</v>
      </c>
      <c r="D401" s="1" t="str">
        <f t="shared" si="1"/>
        <v>Vivobook Pro 15 OLED D6500QH-OLED005W</v>
      </c>
      <c r="E401" s="1" t="str">
        <f t="array" aca="1" ref="E401" ca="1">IFERROR(
INDEX(Family_Map!$B$2:$B$35,
_xludf.AGGREGATE(14,6,(ROW(Family_Map!$A$2:$A$35)-ROW(Family_Map!$A$2)+1)/(ISNUMBER(SEARCH(Family_Map!$A$2:$A$35,D401))),1)
),
"Other")</f>
        <v>Other</v>
      </c>
      <c r="F401" s="1" t="s">
        <v>1711</v>
      </c>
      <c r="G401" s="1" t="e">
        <f t="shared" ca="1" si="2"/>
        <v>#NAME?</v>
      </c>
      <c r="H401" s="1" t="str">
        <f t="shared" ca="1" si="12"/>
        <v>Other</v>
      </c>
      <c r="I401" s="1" t="s">
        <v>507</v>
      </c>
      <c r="J401" s="1" t="str">
        <f t="shared" si="3"/>
        <v>4GB</v>
      </c>
      <c r="K401" s="1" t="s">
        <v>462</v>
      </c>
      <c r="L401" s="1">
        <f t="shared" si="28"/>
        <v>8</v>
      </c>
      <c r="M401" s="1" t="s">
        <v>1604</v>
      </c>
      <c r="N401" s="1" t="str">
        <f t="shared" si="5"/>
        <v>512GB</v>
      </c>
      <c r="O401" s="1" t="str">
        <f t="shared" si="6"/>
        <v>512GB</v>
      </c>
      <c r="P401" s="1" t="s">
        <v>2201</v>
      </c>
      <c r="Q401" s="1" t="str">
        <f t="shared" si="7"/>
        <v>2880x1620</v>
      </c>
      <c r="R401" s="1" t="s">
        <v>39</v>
      </c>
      <c r="S401" s="1" t="str">
        <f t="shared" si="8"/>
        <v>120Hz</v>
      </c>
      <c r="T401" s="1" t="s">
        <v>90</v>
      </c>
      <c r="U401" s="1" t="str">
        <f t="shared" si="9"/>
        <v>Windows 11 Home</v>
      </c>
      <c r="V401" s="1" t="s">
        <v>2204</v>
      </c>
      <c r="W401" s="1" t="str">
        <f t="shared" si="10"/>
        <v>1.8 kg</v>
      </c>
      <c r="X401" s="1" t="s">
        <v>165</v>
      </c>
      <c r="Y401" s="1" t="str">
        <f t="shared" si="11"/>
        <v>2 Years</v>
      </c>
      <c r="Z401" s="4">
        <v>49500</v>
      </c>
      <c r="AA401" s="1" t="s">
        <v>5735</v>
      </c>
    </row>
    <row r="402" spans="1:27" ht="15.75" customHeight="1" x14ac:dyDescent="0.35">
      <c r="A402" s="1" t="s">
        <v>234</v>
      </c>
      <c r="B402" s="1" t="str">
        <f t="shared" si="16"/>
        <v>ASUS</v>
      </c>
      <c r="C402" s="1" t="s">
        <v>2206</v>
      </c>
      <c r="D402" s="1" t="str">
        <f t="shared" si="1"/>
        <v>Vivobook Pro 16X OLED M7600QC-OLED007W</v>
      </c>
      <c r="E402" s="1" t="str">
        <f t="array" aca="1" ref="E402" ca="1">IFERROR(
INDEX(Family_Map!$B$2:$B$35,
_xludf.AGGREGATE(14,6,(ROW(Family_Map!$A$2:$A$35)-ROW(Family_Map!$A$2)+1)/(ISNUMBER(SEARCH(Family_Map!$A$2:$A$35,D402))),1)
),
"Other")</f>
        <v>Other</v>
      </c>
      <c r="F402" s="1" t="s">
        <v>2207</v>
      </c>
      <c r="G402" s="1" t="e">
        <f t="shared" ca="1" si="2"/>
        <v>#NAME?</v>
      </c>
      <c r="H402" s="1" t="str">
        <f t="shared" ca="1" si="12"/>
        <v>Other</v>
      </c>
      <c r="I402" s="1" t="s">
        <v>507</v>
      </c>
      <c r="J402" s="1" t="str">
        <f t="shared" si="3"/>
        <v>4GB</v>
      </c>
      <c r="K402" s="1" t="s">
        <v>965</v>
      </c>
      <c r="L402" s="1">
        <f t="shared" si="28"/>
        <v>16</v>
      </c>
      <c r="M402" s="1" t="s">
        <v>1936</v>
      </c>
      <c r="N402" s="1" t="str">
        <f t="shared" si="5"/>
        <v>1TB</v>
      </c>
      <c r="O402" s="1" t="str">
        <f t="shared" si="6"/>
        <v>1024GB</v>
      </c>
      <c r="P402" s="1" t="s">
        <v>345</v>
      </c>
      <c r="Q402" s="1" t="str">
        <f t="shared" si="7"/>
        <v>3840x2400</v>
      </c>
      <c r="R402" s="1" t="s">
        <v>971</v>
      </c>
      <c r="S402" s="1" t="str">
        <f t="shared" si="8"/>
        <v>60Hz</v>
      </c>
      <c r="T402" s="1" t="s">
        <v>90</v>
      </c>
      <c r="U402" s="1" t="str">
        <f t="shared" si="9"/>
        <v>Windows 11 Home</v>
      </c>
      <c r="V402" s="1" t="s">
        <v>518</v>
      </c>
      <c r="W402" s="1" t="str">
        <f t="shared" si="10"/>
        <v>1.95 kg</v>
      </c>
      <c r="X402" s="1" t="s">
        <v>165</v>
      </c>
      <c r="Y402" s="1" t="str">
        <f t="shared" si="11"/>
        <v>2 Years</v>
      </c>
      <c r="Z402" s="4">
        <v>39999</v>
      </c>
      <c r="AA402" s="1" t="s">
        <v>5735</v>
      </c>
    </row>
    <row r="403" spans="1:27" ht="15.75" customHeight="1" x14ac:dyDescent="0.35">
      <c r="A403" s="1" t="s">
        <v>234</v>
      </c>
      <c r="B403" s="1" t="str">
        <f t="shared" si="16"/>
        <v>ASUS</v>
      </c>
      <c r="C403" s="1" t="s">
        <v>2214</v>
      </c>
      <c r="D403" s="1" t="str">
        <f t="shared" si="1"/>
        <v>ROG Flow X16 GV601RM-M007W</v>
      </c>
      <c r="E403" s="1" t="str">
        <f t="array" aca="1" ref="E403" ca="1">IFERROR(
INDEX(Family_Map!$B$2:$B$35,
_xludf.AGGREGATE(14,6,(ROW(Family_Map!$A$2:$A$35)-ROW(Family_Map!$A$2)+1)/(ISNUMBER(SEARCH(Family_Map!$A$2:$A$35,D403))),1)
),
"Other")</f>
        <v>Other</v>
      </c>
      <c r="F403" s="1" t="s">
        <v>1788</v>
      </c>
      <c r="G403" s="1" t="e">
        <f t="shared" ca="1" si="2"/>
        <v>#NAME?</v>
      </c>
      <c r="H403" s="1" t="str">
        <f t="shared" ca="1" si="12"/>
        <v>Other</v>
      </c>
      <c r="I403" s="1" t="s">
        <v>1789</v>
      </c>
      <c r="J403" s="1" t="str">
        <f t="shared" si="3"/>
        <v>6GB</v>
      </c>
      <c r="K403" s="1" t="s">
        <v>1790</v>
      </c>
      <c r="L403" s="1">
        <f t="shared" si="28"/>
        <v>16</v>
      </c>
      <c r="M403" s="1" t="s">
        <v>472</v>
      </c>
      <c r="N403" s="1" t="str">
        <f t="shared" si="5"/>
        <v>1TB</v>
      </c>
      <c r="O403" s="1" t="str">
        <f t="shared" si="6"/>
        <v>1024GB</v>
      </c>
      <c r="P403" s="1" t="s">
        <v>89</v>
      </c>
      <c r="Q403" s="1" t="str">
        <f t="shared" si="7"/>
        <v>2560x1600</v>
      </c>
      <c r="R403" s="1" t="s">
        <v>57</v>
      </c>
      <c r="S403" s="1" t="str">
        <f t="shared" si="8"/>
        <v>165Hz</v>
      </c>
      <c r="T403" s="1" t="s">
        <v>90</v>
      </c>
      <c r="U403" s="1" t="str">
        <f t="shared" si="9"/>
        <v>Windows 11 Home</v>
      </c>
      <c r="V403" s="1" t="s">
        <v>814</v>
      </c>
      <c r="W403" s="1" t="str">
        <f t="shared" si="10"/>
        <v>2 kg</v>
      </c>
      <c r="X403" s="1" t="s">
        <v>339</v>
      </c>
      <c r="Y403" s="1" t="str">
        <f t="shared" si="11"/>
        <v>2 Years</v>
      </c>
      <c r="Z403" s="4">
        <v>83999</v>
      </c>
      <c r="AA403" s="1" t="s">
        <v>5735</v>
      </c>
    </row>
    <row r="404" spans="1:27" ht="15.75" customHeight="1" x14ac:dyDescent="0.35">
      <c r="A404" s="1" t="s">
        <v>234</v>
      </c>
      <c r="B404" s="1" t="str">
        <f t="shared" si="16"/>
        <v>ASUS</v>
      </c>
      <c r="C404" s="1" t="s">
        <v>2217</v>
      </c>
      <c r="D404" s="1" t="str">
        <f t="shared" si="1"/>
        <v>ROG Flow X16 GV601RW-M009W</v>
      </c>
      <c r="E404" s="1" t="str">
        <f t="array" aca="1" ref="E404" ca="1">IFERROR(
INDEX(Family_Map!$B$2:$B$35,
_xludf.AGGREGATE(14,6,(ROW(Family_Map!$A$2:$A$35)-ROW(Family_Map!$A$2)+1)/(ISNUMBER(SEARCH(Family_Map!$A$2:$A$35,D404))),1)
),
"Other")</f>
        <v>Other</v>
      </c>
      <c r="F404" s="1" t="s">
        <v>2218</v>
      </c>
      <c r="G404" s="1" t="e">
        <f t="shared" ca="1" si="2"/>
        <v>#NAME?</v>
      </c>
      <c r="H404" s="1" t="str">
        <f t="shared" ca="1" si="12"/>
        <v>Other</v>
      </c>
      <c r="I404" s="1" t="s">
        <v>410</v>
      </c>
      <c r="J404" s="1" t="str">
        <f t="shared" si="3"/>
        <v>8GB</v>
      </c>
      <c r="K404" s="1" t="s">
        <v>1863</v>
      </c>
      <c r="L404" s="1">
        <f t="shared" si="28"/>
        <v>32</v>
      </c>
      <c r="M404" s="1" t="s">
        <v>472</v>
      </c>
      <c r="N404" s="1" t="str">
        <f t="shared" si="5"/>
        <v>1TB</v>
      </c>
      <c r="O404" s="1" t="str">
        <f t="shared" si="6"/>
        <v>1024GB</v>
      </c>
      <c r="P404" s="1" t="s">
        <v>89</v>
      </c>
      <c r="Q404" s="1" t="str">
        <f t="shared" si="7"/>
        <v>2560x1600</v>
      </c>
      <c r="R404" s="1" t="s">
        <v>256</v>
      </c>
      <c r="S404" s="1" t="str">
        <f t="shared" si="8"/>
        <v>240Hz</v>
      </c>
      <c r="T404" s="1" t="s">
        <v>90</v>
      </c>
      <c r="U404" s="1" t="str">
        <f t="shared" si="9"/>
        <v>Windows 11 Home</v>
      </c>
      <c r="V404" s="1" t="s">
        <v>814</v>
      </c>
      <c r="W404" s="1" t="str">
        <f t="shared" si="10"/>
        <v>2 kg</v>
      </c>
      <c r="X404" s="1" t="s">
        <v>48</v>
      </c>
      <c r="Y404" s="1" t="str">
        <f t="shared" si="11"/>
        <v>2 Years</v>
      </c>
      <c r="Z404" s="4">
        <v>89999</v>
      </c>
      <c r="AA404" s="1" t="s">
        <v>5735</v>
      </c>
    </row>
    <row r="405" spans="1:27" ht="15.75" customHeight="1" x14ac:dyDescent="0.35">
      <c r="A405" s="1" t="s">
        <v>234</v>
      </c>
      <c r="B405" s="1" t="str">
        <f t="shared" si="16"/>
        <v>ASUS</v>
      </c>
      <c r="C405" s="1" t="s">
        <v>2225</v>
      </c>
      <c r="D405" s="1" t="str">
        <f t="shared" si="1"/>
        <v>ProArt Studiobook 16 OLED H7600HM-OLED009W</v>
      </c>
      <c r="E405" s="1" t="str">
        <f t="array" aca="1" ref="E405" ca="1">IFERROR(
INDEX(Family_Map!$B$2:$B$35,
_xludf.AGGREGATE(14,6,(ROW(Family_Map!$A$2:$A$35)-ROW(Family_Map!$A$2)+1)/(ISNUMBER(SEARCH(Family_Map!$A$2:$A$35,D405))),1)
),
"Other")</f>
        <v>Other</v>
      </c>
      <c r="F405" s="1" t="s">
        <v>1075</v>
      </c>
      <c r="G405" s="1" t="e">
        <f t="shared" ca="1" si="2"/>
        <v>#NAME?</v>
      </c>
      <c r="H405" s="1" t="str">
        <f t="shared" ca="1" si="12"/>
        <v>Other</v>
      </c>
      <c r="I405" s="1" t="s">
        <v>1584</v>
      </c>
      <c r="J405" s="1" t="str">
        <f t="shared" si="3"/>
        <v>6GB</v>
      </c>
      <c r="K405" s="1" t="s">
        <v>2227</v>
      </c>
      <c r="L405" s="1">
        <f t="shared" si="28"/>
        <v>32</v>
      </c>
      <c r="M405" s="1" t="s">
        <v>2228</v>
      </c>
      <c r="N405" s="1" t="str">
        <f t="shared" si="5"/>
        <v>1TB</v>
      </c>
      <c r="O405" s="1" t="str">
        <f t="shared" si="6"/>
        <v>1024GB</v>
      </c>
      <c r="P405" s="1" t="s">
        <v>345</v>
      </c>
      <c r="Q405" s="1" t="str">
        <f t="shared" si="7"/>
        <v>3840x2400</v>
      </c>
      <c r="R405" s="1" t="s">
        <v>971</v>
      </c>
      <c r="S405" s="1" t="str">
        <f t="shared" si="8"/>
        <v>60Hz</v>
      </c>
      <c r="T405" s="1" t="s">
        <v>90</v>
      </c>
      <c r="U405" s="1" t="str">
        <f t="shared" si="9"/>
        <v>Windows 11 Home</v>
      </c>
      <c r="V405" s="1" t="s">
        <v>2233</v>
      </c>
      <c r="W405" s="1" t="str">
        <f t="shared" si="10"/>
        <v>2.4 kg</v>
      </c>
      <c r="X405" s="1" t="s">
        <v>165</v>
      </c>
      <c r="Y405" s="1" t="str">
        <f t="shared" si="11"/>
        <v>2 Years</v>
      </c>
      <c r="Z405" s="4">
        <v>73999</v>
      </c>
      <c r="AA405" s="1" t="s">
        <v>1082</v>
      </c>
    </row>
    <row r="406" spans="1:27" ht="15.75" customHeight="1" x14ac:dyDescent="0.35">
      <c r="A406" s="1" t="s">
        <v>234</v>
      </c>
      <c r="B406" s="1" t="str">
        <f t="shared" si="16"/>
        <v>ASUS</v>
      </c>
      <c r="C406" s="1" t="s">
        <v>2237</v>
      </c>
      <c r="D406" s="1" t="str">
        <f t="shared" si="1"/>
        <v>ProArt Studiobook 16 OLED H5600QM-OLED009W</v>
      </c>
      <c r="E406" s="1" t="str">
        <f t="array" aca="1" ref="E406" ca="1">IFERROR(
INDEX(Family_Map!$B$2:$B$35,
_xludf.AGGREGATE(14,6,(ROW(Family_Map!$A$2:$A$35)-ROW(Family_Map!$A$2)+1)/(ISNUMBER(SEARCH(Family_Map!$A$2:$A$35,D406))),1)
),
"Other")</f>
        <v>Other</v>
      </c>
      <c r="F406" s="1" t="s">
        <v>2238</v>
      </c>
      <c r="G406" s="1" t="e">
        <f t="shared" ca="1" si="2"/>
        <v>#NAME?</v>
      </c>
      <c r="H406" s="1" t="str">
        <f t="shared" ca="1" si="12"/>
        <v>Other</v>
      </c>
      <c r="I406" s="1" t="s">
        <v>1584</v>
      </c>
      <c r="J406" s="1" t="str">
        <f t="shared" si="3"/>
        <v>6GB</v>
      </c>
      <c r="K406" s="1" t="s">
        <v>2227</v>
      </c>
      <c r="L406" s="1">
        <f t="shared" si="28"/>
        <v>32</v>
      </c>
      <c r="M406" s="1" t="s">
        <v>2240</v>
      </c>
      <c r="N406" s="1" t="str">
        <f t="shared" si="5"/>
        <v>1TB</v>
      </c>
      <c r="O406" s="1" t="str">
        <f t="shared" si="6"/>
        <v>1024GB</v>
      </c>
      <c r="P406" s="1" t="s">
        <v>345</v>
      </c>
      <c r="Q406" s="1" t="str">
        <f t="shared" si="7"/>
        <v>3840x2400</v>
      </c>
      <c r="R406" s="1" t="s">
        <v>971</v>
      </c>
      <c r="S406" s="1" t="str">
        <f t="shared" si="8"/>
        <v>60Hz</v>
      </c>
      <c r="T406" s="1" t="s">
        <v>90</v>
      </c>
      <c r="U406" s="1" t="str">
        <f t="shared" si="9"/>
        <v>Windows 11 Home</v>
      </c>
      <c r="V406" s="1" t="s">
        <v>2233</v>
      </c>
      <c r="W406" s="1" t="str">
        <f t="shared" si="10"/>
        <v>2.4 kg</v>
      </c>
      <c r="X406" s="1" t="s">
        <v>165</v>
      </c>
      <c r="Y406" s="1" t="str">
        <f t="shared" si="11"/>
        <v>2 Years</v>
      </c>
      <c r="Z406" s="4">
        <v>85699</v>
      </c>
      <c r="AA406" s="1" t="s">
        <v>5735</v>
      </c>
    </row>
    <row r="407" spans="1:27" ht="15.75" customHeight="1" x14ac:dyDescent="0.35">
      <c r="A407" s="1" t="s">
        <v>234</v>
      </c>
      <c r="B407" s="1" t="str">
        <f t="shared" si="16"/>
        <v>ASUS</v>
      </c>
      <c r="C407" s="1" t="s">
        <v>2245</v>
      </c>
      <c r="D407" s="1" t="str">
        <f t="shared" si="1"/>
        <v>TUF Gaming F15 FX507ZR-HQ003W</v>
      </c>
      <c r="E407" s="1" t="str">
        <f t="array" aca="1" ref="E407" ca="1">IFERROR(
INDEX(Family_Map!$B$2:$B$35,
_xludf.AGGREGATE(14,6,(ROW(Family_Map!$A$2:$A$35)-ROW(Family_Map!$A$2)+1)/(ISNUMBER(SEARCH(Family_Map!$A$2:$A$35,D407))),1)
),
"Other")</f>
        <v>Other</v>
      </c>
      <c r="F407" s="1" t="s">
        <v>1118</v>
      </c>
      <c r="G407" s="1" t="e">
        <f t="shared" ca="1" si="2"/>
        <v>#NAME?</v>
      </c>
      <c r="H407" s="1" t="str">
        <f t="shared" ca="1" si="12"/>
        <v>Other</v>
      </c>
      <c r="I407" s="1" t="s">
        <v>410</v>
      </c>
      <c r="J407" s="1" t="str">
        <f t="shared" si="3"/>
        <v>8GB</v>
      </c>
      <c r="K407" s="1" t="s">
        <v>2246</v>
      </c>
      <c r="L407" s="1">
        <f t="shared" si="28"/>
        <v>16</v>
      </c>
      <c r="M407" s="1" t="s">
        <v>1936</v>
      </c>
      <c r="N407" s="1" t="str">
        <f t="shared" si="5"/>
        <v>1TB</v>
      </c>
      <c r="O407" s="1" t="str">
        <f t="shared" si="6"/>
        <v>1024GB</v>
      </c>
      <c r="P407" s="1" t="s">
        <v>120</v>
      </c>
      <c r="Q407" s="1" t="str">
        <f t="shared" si="7"/>
        <v>1920x1080</v>
      </c>
      <c r="R407" s="1" t="s">
        <v>75</v>
      </c>
      <c r="S407" s="1" t="str">
        <f t="shared" si="8"/>
        <v>144Hz</v>
      </c>
      <c r="T407" s="1" t="s">
        <v>90</v>
      </c>
      <c r="U407" s="1" t="str">
        <f t="shared" si="9"/>
        <v>Windows 11 Home</v>
      </c>
      <c r="V407" s="1" t="s">
        <v>300</v>
      </c>
      <c r="W407" s="1" t="str">
        <f t="shared" si="10"/>
        <v>2.2 kg</v>
      </c>
      <c r="X407" s="1" t="s">
        <v>165</v>
      </c>
      <c r="Y407" s="1" t="str">
        <f t="shared" si="11"/>
        <v>2 Years</v>
      </c>
      <c r="Z407" s="4">
        <v>57999</v>
      </c>
      <c r="AA407" s="1" t="s">
        <v>166</v>
      </c>
    </row>
    <row r="408" spans="1:27" ht="15.75" customHeight="1" x14ac:dyDescent="0.35">
      <c r="A408" s="1" t="s">
        <v>234</v>
      </c>
      <c r="B408" s="1" t="str">
        <f t="shared" si="16"/>
        <v>ASUS</v>
      </c>
      <c r="C408" s="1" t="s">
        <v>2249</v>
      </c>
      <c r="D408" s="1" t="str">
        <f t="shared" si="1"/>
        <v>Zenbook Pro Duo 15 OLED UX582ZM-OLED009W</v>
      </c>
      <c r="E408" s="1" t="str">
        <f t="array" aca="1" ref="E408" ca="1">IFERROR(
INDEX(Family_Map!$B$2:$B$35,
_xludf.AGGREGATE(14,6,(ROW(Family_Map!$A$2:$A$35)-ROW(Family_Map!$A$2)+1)/(ISNUMBER(SEARCH(Family_Map!$A$2:$A$35,D408))),1)
),
"Other")</f>
        <v>Other</v>
      </c>
      <c r="F408" s="1" t="s">
        <v>2250</v>
      </c>
      <c r="G408" s="1" t="e">
        <f t="shared" ca="1" si="2"/>
        <v>#NAME?</v>
      </c>
      <c r="H408" s="1" t="str">
        <f t="shared" ca="1" si="12"/>
        <v>Other</v>
      </c>
      <c r="I408" s="1" t="s">
        <v>70</v>
      </c>
      <c r="J408" s="1" t="str">
        <f t="shared" si="3"/>
        <v>6GB</v>
      </c>
      <c r="K408" s="1" t="s">
        <v>2252</v>
      </c>
      <c r="L408" s="1">
        <f t="shared" si="28"/>
        <v>64</v>
      </c>
      <c r="M408" s="1" t="s">
        <v>2253</v>
      </c>
      <c r="N408" s="1" t="str">
        <f t="shared" si="5"/>
        <v>1TB</v>
      </c>
      <c r="O408" s="1" t="str">
        <f t="shared" si="6"/>
        <v>1024GB</v>
      </c>
      <c r="P408" s="1" t="s">
        <v>1890</v>
      </c>
      <c r="Q408" s="1" t="str">
        <f t="shared" si="7"/>
        <v>3840x2160</v>
      </c>
      <c r="R408" s="1" t="s">
        <v>971</v>
      </c>
      <c r="S408" s="1" t="str">
        <f t="shared" si="8"/>
        <v>60Hz</v>
      </c>
      <c r="T408" s="1" t="s">
        <v>2255</v>
      </c>
      <c r="U408" s="1" t="str">
        <f t="shared" si="9"/>
        <v>Windows 11 Pro</v>
      </c>
      <c r="V408" s="1" t="s">
        <v>766</v>
      </c>
      <c r="W408" s="1" t="str">
        <f t="shared" si="10"/>
        <v>2.34 kg</v>
      </c>
      <c r="X408" s="1" t="s">
        <v>165</v>
      </c>
      <c r="Y408" s="1" t="str">
        <f t="shared" si="11"/>
        <v>2 Years</v>
      </c>
      <c r="Z408" s="4">
        <v>135500</v>
      </c>
      <c r="AA408" s="1" t="s">
        <v>166</v>
      </c>
    </row>
    <row r="409" spans="1:27" ht="15.75" customHeight="1" x14ac:dyDescent="0.35">
      <c r="A409" s="1" t="s">
        <v>234</v>
      </c>
      <c r="B409" s="1" t="str">
        <f t="shared" si="16"/>
        <v>ASUS</v>
      </c>
      <c r="C409" s="1" t="s">
        <v>2263</v>
      </c>
      <c r="D409" s="1" t="str">
        <f t="shared" si="1"/>
        <v>ROG Strix G15 G513RM-LN007W</v>
      </c>
      <c r="E409" s="1" t="str">
        <f t="array" aca="1" ref="E409" ca="1">IFERROR(
INDEX(Family_Map!$B$2:$B$35,
_xludf.AGGREGATE(14,6,(ROW(Family_Map!$A$2:$A$35)-ROW(Family_Map!$A$2)+1)/(ISNUMBER(SEARCH(Family_Map!$A$2:$A$35,D409))),1)
),
"Other")</f>
        <v>Other</v>
      </c>
      <c r="F409" s="1" t="s">
        <v>1798</v>
      </c>
      <c r="G409" s="1" t="e">
        <f t="shared" ca="1" si="2"/>
        <v>#NAME?</v>
      </c>
      <c r="H409" s="1" t="str">
        <f t="shared" ca="1" si="12"/>
        <v>Other</v>
      </c>
      <c r="I409" s="1" t="s">
        <v>70</v>
      </c>
      <c r="J409" s="1" t="str">
        <f t="shared" si="3"/>
        <v>6GB</v>
      </c>
      <c r="K409" s="1" t="s">
        <v>452</v>
      </c>
      <c r="L409" s="1">
        <f t="shared" si="28"/>
        <v>16</v>
      </c>
      <c r="M409" s="1" t="s">
        <v>2264</v>
      </c>
      <c r="N409" s="1" t="str">
        <f t="shared" si="5"/>
        <v>1TB</v>
      </c>
      <c r="O409" s="1" t="str">
        <f t="shared" si="6"/>
        <v>1024GB</v>
      </c>
      <c r="P409" s="1" t="s">
        <v>1493</v>
      </c>
      <c r="Q409" s="1" t="str">
        <f t="shared" si="7"/>
        <v>2560x1440</v>
      </c>
      <c r="R409" s="1" t="s">
        <v>256</v>
      </c>
      <c r="S409" s="1" t="str">
        <f t="shared" si="8"/>
        <v>240Hz</v>
      </c>
      <c r="T409" s="1" t="s">
        <v>90</v>
      </c>
      <c r="U409" s="1" t="str">
        <f t="shared" si="9"/>
        <v>Windows 11 Home</v>
      </c>
      <c r="V409" s="1" t="s">
        <v>1400</v>
      </c>
      <c r="W409" s="1" t="str">
        <f t="shared" si="10"/>
        <v>2.3 kg</v>
      </c>
      <c r="X409" s="1" t="s">
        <v>339</v>
      </c>
      <c r="Y409" s="1" t="str">
        <f t="shared" si="11"/>
        <v>2 Years</v>
      </c>
      <c r="Z409" s="4">
        <v>51999</v>
      </c>
      <c r="AA409" s="1" t="s">
        <v>5735</v>
      </c>
    </row>
    <row r="410" spans="1:27" ht="15.75" customHeight="1" x14ac:dyDescent="0.35">
      <c r="A410" s="1" t="s">
        <v>66</v>
      </c>
      <c r="B410" s="1" t="str">
        <f t="shared" si="16"/>
        <v>Acer</v>
      </c>
      <c r="C410" s="1" t="s">
        <v>2268</v>
      </c>
      <c r="D410" s="1" t="str">
        <f t="shared" si="1"/>
        <v>Nitro 5 AN515-58-74A0</v>
      </c>
      <c r="E410" s="1" t="str">
        <f t="array" aca="1" ref="E410" ca="1">IFERROR(
INDEX(Family_Map!$B$2:$B$35,
_xludf.AGGREGATE(14,6,(ROW(Family_Map!$A$2:$A$35)-ROW(Family_Map!$A$2)+1)/(ISNUMBER(SEARCH(Family_Map!$A$2:$A$35,D410))),1)
),
"Other")</f>
        <v>Other</v>
      </c>
      <c r="F410" s="1" t="s">
        <v>1118</v>
      </c>
      <c r="G410" s="1" t="e">
        <f t="shared" ca="1" si="2"/>
        <v>#NAME?</v>
      </c>
      <c r="H410" s="1" t="str">
        <f t="shared" ca="1" si="12"/>
        <v>Other</v>
      </c>
      <c r="I410" s="1" t="s">
        <v>2269</v>
      </c>
      <c r="J410" s="1" t="str">
        <f t="shared" si="3"/>
        <v>6 GB</v>
      </c>
      <c r="K410" s="1" t="s">
        <v>2270</v>
      </c>
      <c r="L410" s="1">
        <f t="shared" si="28"/>
        <v>16</v>
      </c>
      <c r="M410" s="1" t="s">
        <v>2271</v>
      </c>
      <c r="N410" s="1" t="str">
        <f t="shared" si="5"/>
        <v>512GB</v>
      </c>
      <c r="O410" s="1" t="str">
        <f t="shared" si="6"/>
        <v>512GB</v>
      </c>
      <c r="P410" s="1" t="s">
        <v>120</v>
      </c>
      <c r="Q410" s="1" t="str">
        <f t="shared" si="7"/>
        <v>1920x1080</v>
      </c>
      <c r="R410" s="1" t="s">
        <v>75</v>
      </c>
      <c r="S410" s="1" t="str">
        <f t="shared" si="8"/>
        <v>144Hz</v>
      </c>
      <c r="T410" s="1" t="s">
        <v>101</v>
      </c>
      <c r="U410" s="1" t="str">
        <f t="shared" si="9"/>
        <v>DOS</v>
      </c>
      <c r="V410" s="1" t="s">
        <v>944</v>
      </c>
      <c r="W410" s="1" t="str">
        <f t="shared" si="10"/>
        <v>2.5 kg</v>
      </c>
      <c r="X410" s="1" t="s">
        <v>339</v>
      </c>
      <c r="Y410" s="1" t="str">
        <f t="shared" si="11"/>
        <v>2 Years</v>
      </c>
      <c r="Z410" s="4">
        <v>41999</v>
      </c>
      <c r="AA410" s="1" t="s">
        <v>166</v>
      </c>
    </row>
    <row r="411" spans="1:27" ht="15.75" customHeight="1" x14ac:dyDescent="0.35">
      <c r="A411" s="1" t="s">
        <v>66</v>
      </c>
      <c r="B411" s="1" t="str">
        <f t="shared" si="16"/>
        <v>Acer</v>
      </c>
      <c r="C411" s="1" t="s">
        <v>2279</v>
      </c>
      <c r="D411" s="1" t="str">
        <f t="shared" si="1"/>
        <v>Aspire 7 A715-51G-74HZ</v>
      </c>
      <c r="E411" s="1" t="str">
        <f t="array" aca="1" ref="E411" ca="1">IFERROR(
INDEX(Family_Map!$B$2:$B$35,
_xludf.AGGREGATE(14,6,(ROW(Family_Map!$A$2:$A$35)-ROW(Family_Map!$A$2)+1)/(ISNUMBER(SEARCH(Family_Map!$A$2:$A$35,D411))),1)
),
"Other")</f>
        <v>Other</v>
      </c>
      <c r="F411" s="1" t="s">
        <v>2280</v>
      </c>
      <c r="G411" s="1" t="e">
        <f t="shared" ca="1" si="2"/>
        <v>#NAME?</v>
      </c>
      <c r="H411" s="1" t="str">
        <f t="shared" ca="1" si="12"/>
        <v>Other</v>
      </c>
      <c r="I411" s="1" t="s">
        <v>507</v>
      </c>
      <c r="J411" s="1" t="str">
        <f t="shared" si="3"/>
        <v>4GB</v>
      </c>
      <c r="K411" s="1" t="s">
        <v>2281</v>
      </c>
      <c r="L411" s="1">
        <f t="shared" si="28"/>
        <v>16</v>
      </c>
      <c r="M411" s="1" t="s">
        <v>352</v>
      </c>
      <c r="N411" s="1" t="str">
        <f t="shared" si="5"/>
        <v>512GB</v>
      </c>
      <c r="O411" s="1" t="str">
        <f t="shared" si="6"/>
        <v>512GB</v>
      </c>
      <c r="P411" s="1" t="s">
        <v>120</v>
      </c>
      <c r="Q411" s="1" t="str">
        <f t="shared" si="7"/>
        <v>1920x1080</v>
      </c>
      <c r="S411" s="1" t="str">
        <f t="shared" si="8"/>
        <v/>
      </c>
      <c r="T411" s="1" t="s">
        <v>121</v>
      </c>
      <c r="U411" s="1" t="str">
        <f t="shared" si="9"/>
        <v>DOS</v>
      </c>
      <c r="V411" s="1" t="s">
        <v>2045</v>
      </c>
      <c r="W411" s="1" t="str">
        <f t="shared" si="10"/>
        <v>2.1 kg</v>
      </c>
      <c r="X411" s="1" t="s">
        <v>165</v>
      </c>
      <c r="Y411" s="1" t="str">
        <f t="shared" si="11"/>
        <v>2 Years</v>
      </c>
      <c r="Z411" s="4">
        <v>24999</v>
      </c>
      <c r="AA411" s="1" t="s">
        <v>166</v>
      </c>
    </row>
    <row r="412" spans="1:27" ht="15.75" customHeight="1" x14ac:dyDescent="0.35">
      <c r="A412" s="1" t="s">
        <v>66</v>
      </c>
      <c r="B412" s="1" t="str">
        <f t="shared" si="16"/>
        <v>Acer</v>
      </c>
      <c r="C412" s="1" t="s">
        <v>2291</v>
      </c>
      <c r="D412" s="1" t="str">
        <f t="shared" si="1"/>
        <v>Aspire 7 A715-51G-563H</v>
      </c>
      <c r="E412" s="1" t="str">
        <f t="array" aca="1" ref="E412" ca="1">IFERROR(
INDEX(Family_Map!$B$2:$B$35,
_xludf.AGGREGATE(14,6,(ROW(Family_Map!$A$2:$A$35)-ROW(Family_Map!$A$2)+1)/(ISNUMBER(SEARCH(Family_Map!$A$2:$A$35,D412))),1)
),
"Other")</f>
        <v>Other</v>
      </c>
      <c r="F412" s="1" t="s">
        <v>2292</v>
      </c>
      <c r="G412" s="1" t="e">
        <f t="shared" ca="1" si="2"/>
        <v>#NAME?</v>
      </c>
      <c r="H412" s="1" t="str">
        <f t="shared" ca="1" si="12"/>
        <v>Other</v>
      </c>
      <c r="I412" s="1" t="s">
        <v>507</v>
      </c>
      <c r="J412" s="1" t="str">
        <f t="shared" si="3"/>
        <v>4GB</v>
      </c>
      <c r="K412" s="1" t="s">
        <v>2293</v>
      </c>
      <c r="L412" s="1">
        <f t="shared" si="28"/>
        <v>8</v>
      </c>
      <c r="M412" s="1" t="s">
        <v>352</v>
      </c>
      <c r="N412" s="1" t="str">
        <f t="shared" si="5"/>
        <v>512GB</v>
      </c>
      <c r="O412" s="1" t="str">
        <f t="shared" si="6"/>
        <v>512GB</v>
      </c>
      <c r="P412" s="1" t="s">
        <v>120</v>
      </c>
      <c r="Q412" s="1" t="str">
        <f t="shared" si="7"/>
        <v>1920x1080</v>
      </c>
      <c r="S412" s="1" t="str">
        <f t="shared" si="8"/>
        <v/>
      </c>
      <c r="T412" s="1" t="s">
        <v>121</v>
      </c>
      <c r="U412" s="1" t="str">
        <f t="shared" si="9"/>
        <v>DOS</v>
      </c>
      <c r="V412" s="1" t="s">
        <v>2045</v>
      </c>
      <c r="W412" s="1" t="str">
        <f t="shared" si="10"/>
        <v>2.1 kg</v>
      </c>
      <c r="X412" s="1" t="s">
        <v>165</v>
      </c>
      <c r="Y412" s="1" t="str">
        <f t="shared" si="11"/>
        <v>2 Years</v>
      </c>
      <c r="Z412" s="4">
        <v>23999</v>
      </c>
      <c r="AA412" s="1" t="s">
        <v>166</v>
      </c>
    </row>
    <row r="413" spans="1:27" ht="15.75" customHeight="1" x14ac:dyDescent="0.35">
      <c r="A413" s="1" t="s">
        <v>66</v>
      </c>
      <c r="B413" s="1" t="str">
        <f t="shared" si="16"/>
        <v>Acer</v>
      </c>
      <c r="C413" s="1" t="s">
        <v>2297</v>
      </c>
      <c r="D413" s="1" t="str">
        <f t="shared" si="1"/>
        <v>Predator Helios 300 PH315-55-7213</v>
      </c>
      <c r="E413" s="1" t="str">
        <f t="array" aca="1" ref="E413" ca="1">IFERROR(
INDEX(Family_Map!$B$2:$B$35,
_xludf.AGGREGATE(14,6,(ROW(Family_Map!$A$2:$A$35)-ROW(Family_Map!$A$2)+1)/(ISNUMBER(SEARCH(Family_Map!$A$2:$A$35,D413))),1)
),
"Other")</f>
        <v>Other</v>
      </c>
      <c r="F413" s="1" t="s">
        <v>1118</v>
      </c>
      <c r="G413" s="1" t="e">
        <f t="shared" ca="1" si="2"/>
        <v>#NAME?</v>
      </c>
      <c r="H413" s="1" t="str">
        <f t="shared" ca="1" si="12"/>
        <v>Other</v>
      </c>
      <c r="I413" s="1" t="s">
        <v>410</v>
      </c>
      <c r="J413" s="1" t="str">
        <f t="shared" si="3"/>
        <v>8GB</v>
      </c>
      <c r="K413" s="1" t="s">
        <v>2299</v>
      </c>
      <c r="L413" s="1">
        <f t="shared" si="28"/>
        <v>32</v>
      </c>
      <c r="M413" s="1" t="s">
        <v>2300</v>
      </c>
      <c r="N413" s="1" t="str">
        <f t="shared" si="5"/>
        <v>1TB</v>
      </c>
      <c r="O413" s="1" t="str">
        <f t="shared" si="6"/>
        <v>1024GB</v>
      </c>
      <c r="P413" s="1" t="s">
        <v>1493</v>
      </c>
      <c r="Q413" s="1" t="str">
        <f t="shared" si="7"/>
        <v>2560x1440</v>
      </c>
      <c r="R413" s="1" t="s">
        <v>57</v>
      </c>
      <c r="S413" s="1" t="str">
        <f t="shared" si="8"/>
        <v>165Hz</v>
      </c>
      <c r="T413" s="1" t="s">
        <v>121</v>
      </c>
      <c r="U413" s="1" t="str">
        <f t="shared" si="9"/>
        <v>DOS</v>
      </c>
      <c r="V413" s="1" t="s">
        <v>1196</v>
      </c>
      <c r="W413" s="1" t="str">
        <f t="shared" si="10"/>
        <v>2.6 kg</v>
      </c>
      <c r="X413" s="1" t="s">
        <v>339</v>
      </c>
      <c r="Y413" s="1" t="str">
        <f t="shared" si="11"/>
        <v>2 Years</v>
      </c>
      <c r="Z413" s="4">
        <v>40000</v>
      </c>
      <c r="AA413" s="1" t="s">
        <v>166</v>
      </c>
    </row>
    <row r="414" spans="1:27" ht="15.75" customHeight="1" x14ac:dyDescent="0.35">
      <c r="A414" s="1" t="s">
        <v>66</v>
      </c>
      <c r="B414" s="1" t="str">
        <f t="shared" si="16"/>
        <v>Acer</v>
      </c>
      <c r="C414" s="1" t="s">
        <v>2307</v>
      </c>
      <c r="D414" s="1" t="str">
        <f t="shared" si="1"/>
        <v>Nitro 5 AN515-57-7447</v>
      </c>
      <c r="E414" s="1" t="str">
        <f t="array" aca="1" ref="E414" ca="1">IFERROR(
INDEX(Family_Map!$B$2:$B$35,
_xludf.AGGREGATE(14,6,(ROW(Family_Map!$A$2:$A$35)-ROW(Family_Map!$A$2)+1)/(ISNUMBER(SEARCH(Family_Map!$A$2:$A$35,D414))),1)
),
"Other")</f>
        <v>Other</v>
      </c>
      <c r="F414" s="1" t="s">
        <v>1075</v>
      </c>
      <c r="G414" s="1" t="e">
        <f t="shared" ca="1" si="2"/>
        <v>#NAME?</v>
      </c>
      <c r="H414" s="1" t="str">
        <f t="shared" ca="1" si="12"/>
        <v>Other</v>
      </c>
      <c r="I414" s="1" t="s">
        <v>70</v>
      </c>
      <c r="J414" s="1" t="str">
        <f t="shared" si="3"/>
        <v>6GB</v>
      </c>
      <c r="K414" s="1" t="s">
        <v>2308</v>
      </c>
      <c r="L414" s="1">
        <f t="shared" si="28"/>
        <v>24</v>
      </c>
      <c r="M414" s="1" t="s">
        <v>2300</v>
      </c>
      <c r="N414" s="1" t="str">
        <f t="shared" si="5"/>
        <v>1TB</v>
      </c>
      <c r="O414" s="1" t="str">
        <f t="shared" si="6"/>
        <v>1024GB</v>
      </c>
      <c r="P414" s="1" t="s">
        <v>120</v>
      </c>
      <c r="Q414" s="1" t="str">
        <f t="shared" si="7"/>
        <v>1920x1080</v>
      </c>
      <c r="R414" s="1" t="s">
        <v>75</v>
      </c>
      <c r="S414" s="1" t="str">
        <f t="shared" si="8"/>
        <v>144Hz</v>
      </c>
      <c r="T414" s="1" t="s">
        <v>121</v>
      </c>
      <c r="U414" s="1" t="str">
        <f t="shared" si="9"/>
        <v>DOS</v>
      </c>
      <c r="V414" s="1" t="s">
        <v>2312</v>
      </c>
      <c r="W414" s="1" t="str">
        <f t="shared" si="10"/>
        <v>2.2 kg</v>
      </c>
      <c r="X414" s="1" t="s">
        <v>339</v>
      </c>
      <c r="Y414" s="1" t="str">
        <f t="shared" si="11"/>
        <v>2 Years</v>
      </c>
      <c r="Z414" s="4">
        <v>36999</v>
      </c>
      <c r="AA414" s="1" t="s">
        <v>1082</v>
      </c>
    </row>
    <row r="415" spans="1:27" ht="15.75" customHeight="1" x14ac:dyDescent="0.35">
      <c r="A415" s="1" t="s">
        <v>234</v>
      </c>
      <c r="B415" s="1" t="str">
        <f t="shared" si="16"/>
        <v>ASUS</v>
      </c>
      <c r="C415" s="1" t="s">
        <v>2315</v>
      </c>
      <c r="D415" s="1" t="str">
        <f t="shared" si="1"/>
        <v>TUF Gaming F15 FX506HF-HN001W</v>
      </c>
      <c r="E415" s="1" t="str">
        <f t="array" aca="1" ref="E415" ca="1">IFERROR(
INDEX(Family_Map!$B$2:$B$35,
_xludf.AGGREGATE(14,6,(ROW(Family_Map!$A$2:$A$35)-ROW(Family_Map!$A$2)+1)/(ISNUMBER(SEARCH(Family_Map!$A$2:$A$35,D415))),1)
),
"Other")</f>
        <v>Other</v>
      </c>
      <c r="F415" s="1" t="s">
        <v>1613</v>
      </c>
      <c r="G415" s="1" t="e">
        <f t="shared" ca="1" si="2"/>
        <v>#NAME?</v>
      </c>
      <c r="H415" s="1" t="str">
        <f t="shared" ca="1" si="12"/>
        <v>Other</v>
      </c>
      <c r="I415" s="1" t="s">
        <v>507</v>
      </c>
      <c r="J415" s="1" t="str">
        <f t="shared" si="3"/>
        <v>4GB</v>
      </c>
      <c r="K415" s="1" t="s">
        <v>2316</v>
      </c>
      <c r="L415" s="1">
        <f t="shared" si="28"/>
        <v>8</v>
      </c>
      <c r="M415" s="1" t="s">
        <v>2088</v>
      </c>
      <c r="N415" s="1" t="str">
        <f t="shared" si="5"/>
        <v>512GB</v>
      </c>
      <c r="O415" s="1" t="str">
        <f t="shared" si="6"/>
        <v>512GB</v>
      </c>
      <c r="P415" s="1" t="s">
        <v>120</v>
      </c>
      <c r="Q415" s="1" t="str">
        <f t="shared" si="7"/>
        <v>1920x1080</v>
      </c>
      <c r="R415" s="1" t="s">
        <v>75</v>
      </c>
      <c r="S415" s="1" t="str">
        <f t="shared" si="8"/>
        <v>144Hz</v>
      </c>
      <c r="T415" s="1" t="s">
        <v>90</v>
      </c>
      <c r="U415" s="1" t="str">
        <f t="shared" si="9"/>
        <v>Windows 11 Home</v>
      </c>
      <c r="V415" s="1" t="s">
        <v>1400</v>
      </c>
      <c r="W415" s="1" t="str">
        <f t="shared" si="10"/>
        <v>2.3 kg</v>
      </c>
      <c r="X415" s="1" t="s">
        <v>339</v>
      </c>
      <c r="Y415" s="1" t="str">
        <f t="shared" si="11"/>
        <v>2 Years</v>
      </c>
      <c r="Z415" s="4">
        <v>30999</v>
      </c>
      <c r="AA415" s="1" t="s">
        <v>1082</v>
      </c>
    </row>
    <row r="416" spans="1:27" ht="15.75" customHeight="1" x14ac:dyDescent="0.35">
      <c r="A416" s="1" t="s">
        <v>234</v>
      </c>
      <c r="B416" s="1" t="str">
        <f t="shared" si="16"/>
        <v>ASUS</v>
      </c>
      <c r="C416" s="1" t="s">
        <v>2321</v>
      </c>
      <c r="D416" s="1" t="str">
        <f t="shared" si="1"/>
        <v>ROG Strix G15 G513RM-HF007W</v>
      </c>
      <c r="E416" s="1" t="str">
        <f t="array" aca="1" ref="E416" ca="1">IFERROR(
INDEX(Family_Map!$B$2:$B$35,
_xludf.AGGREGATE(14,6,(ROW(Family_Map!$A$2:$A$35)-ROW(Family_Map!$A$2)+1)/(ISNUMBER(SEARCH(Family_Map!$A$2:$A$35,D416))),1)
),
"Other")</f>
        <v>Other</v>
      </c>
      <c r="F416" s="1" t="s">
        <v>1798</v>
      </c>
      <c r="G416" s="1" t="e">
        <f t="shared" ca="1" si="2"/>
        <v>#NAME?</v>
      </c>
      <c r="H416" s="1" t="str">
        <f t="shared" ca="1" si="12"/>
        <v>Other</v>
      </c>
      <c r="I416" s="1" t="s">
        <v>70</v>
      </c>
      <c r="J416" s="1" t="str">
        <f t="shared" si="3"/>
        <v>6GB</v>
      </c>
      <c r="K416" s="1" t="s">
        <v>1324</v>
      </c>
      <c r="L416" s="1">
        <f t="shared" si="28"/>
        <v>16</v>
      </c>
      <c r="M416" s="1" t="s">
        <v>239</v>
      </c>
      <c r="N416" s="1" t="str">
        <f t="shared" si="5"/>
        <v>1TB</v>
      </c>
      <c r="O416" s="1" t="str">
        <f t="shared" si="6"/>
        <v>1024GB</v>
      </c>
      <c r="P416" s="1" t="s">
        <v>120</v>
      </c>
      <c r="Q416" s="1" t="str">
        <f t="shared" si="7"/>
        <v>1920x1080</v>
      </c>
      <c r="R416" s="1" t="s">
        <v>2323</v>
      </c>
      <c r="S416" s="1" t="str">
        <f t="shared" si="8"/>
        <v>300Hz</v>
      </c>
      <c r="T416" s="1" t="s">
        <v>90</v>
      </c>
      <c r="U416" s="1" t="str">
        <f t="shared" si="9"/>
        <v>Windows 11 Home</v>
      </c>
      <c r="V416" s="1" t="s">
        <v>1400</v>
      </c>
      <c r="W416" s="1" t="str">
        <f t="shared" si="10"/>
        <v>2.3 kg</v>
      </c>
      <c r="X416" s="1" t="s">
        <v>165</v>
      </c>
      <c r="Y416" s="1" t="str">
        <f t="shared" si="11"/>
        <v>2 Years</v>
      </c>
      <c r="Z416" s="4">
        <v>49999</v>
      </c>
      <c r="AA416" s="1" t="s">
        <v>5735</v>
      </c>
    </row>
    <row r="417" spans="1:27" ht="15.75" customHeight="1" x14ac:dyDescent="0.35">
      <c r="A417" s="1" t="s">
        <v>234</v>
      </c>
      <c r="B417" s="1" t="str">
        <f t="shared" si="16"/>
        <v>ASUS</v>
      </c>
      <c r="C417" s="1" t="s">
        <v>2325</v>
      </c>
      <c r="D417" s="1" t="str">
        <f t="shared" si="1"/>
        <v>Rog Zephyrus G15 GA503RW-LN054W</v>
      </c>
      <c r="E417" s="1" t="str">
        <f t="array" aca="1" ref="E417" ca="1">IFERROR(
INDEX(Family_Map!$B$2:$B$35,
_xludf.AGGREGATE(14,6,(ROW(Family_Map!$A$2:$A$35)-ROW(Family_Map!$A$2)+1)/(ISNUMBER(SEARCH(Family_Map!$A$2:$A$35,D417))),1)
),
"Other")</f>
        <v>Other</v>
      </c>
      <c r="F417" s="1" t="s">
        <v>2218</v>
      </c>
      <c r="G417" s="1" t="e">
        <f t="shared" ca="1" si="2"/>
        <v>#NAME?</v>
      </c>
      <c r="H417" s="1" t="str">
        <f t="shared" ca="1" si="12"/>
        <v>Other</v>
      </c>
      <c r="I417" s="1" t="s">
        <v>410</v>
      </c>
      <c r="J417" s="1" t="str">
        <f t="shared" si="3"/>
        <v>8GB</v>
      </c>
      <c r="K417" s="1" t="s">
        <v>2327</v>
      </c>
      <c r="L417" s="1">
        <f t="shared" si="28"/>
        <v>32</v>
      </c>
      <c r="M417" s="1" t="s">
        <v>239</v>
      </c>
      <c r="N417" s="1" t="str">
        <f t="shared" si="5"/>
        <v>1TB</v>
      </c>
      <c r="O417" s="1" t="str">
        <f t="shared" si="6"/>
        <v>1024GB</v>
      </c>
      <c r="P417" s="1" t="s">
        <v>1493</v>
      </c>
      <c r="Q417" s="1" t="str">
        <f t="shared" si="7"/>
        <v>2560x1440</v>
      </c>
      <c r="R417" s="1" t="s">
        <v>256</v>
      </c>
      <c r="S417" s="1" t="str">
        <f t="shared" si="8"/>
        <v>240Hz</v>
      </c>
      <c r="T417" s="1" t="s">
        <v>90</v>
      </c>
      <c r="U417" s="1" t="str">
        <f t="shared" si="9"/>
        <v>Windows 11 Home</v>
      </c>
      <c r="V417" s="1" t="s">
        <v>1923</v>
      </c>
      <c r="W417" s="1" t="str">
        <f t="shared" si="10"/>
        <v>1.9 kg</v>
      </c>
      <c r="X417" s="1" t="s">
        <v>339</v>
      </c>
      <c r="Y417" s="1" t="str">
        <f t="shared" si="11"/>
        <v>2 Years</v>
      </c>
      <c r="Z417" s="4">
        <v>69999</v>
      </c>
      <c r="AA417" s="1" t="s">
        <v>5735</v>
      </c>
    </row>
    <row r="418" spans="1:27" ht="15.75" customHeight="1" x14ac:dyDescent="0.35">
      <c r="A418" s="1" t="s">
        <v>234</v>
      </c>
      <c r="B418" s="1" t="str">
        <f t="shared" si="16"/>
        <v>ASUS</v>
      </c>
      <c r="C418" s="1" t="s">
        <v>2333</v>
      </c>
      <c r="D418" s="1" t="str">
        <f t="shared" si="1"/>
        <v>ROG Strix SCAR 18 G834JZ-N6022W</v>
      </c>
      <c r="E418" s="1" t="str">
        <f t="array" aca="1" ref="E418" ca="1">IFERROR(
INDEX(Family_Map!$B$2:$B$35,
_xludf.AGGREGATE(14,6,(ROW(Family_Map!$A$2:$A$35)-ROW(Family_Map!$A$2)+1)/(ISNUMBER(SEARCH(Family_Map!$A$2:$A$35,D418))),1)
),
"Other")</f>
        <v>Other</v>
      </c>
      <c r="F418" s="1" t="s">
        <v>1046</v>
      </c>
      <c r="G418" s="1" t="e">
        <f t="shared" ca="1" si="2"/>
        <v>#NAME?</v>
      </c>
      <c r="H418" s="1" t="str">
        <f t="shared" ca="1" si="12"/>
        <v>Other</v>
      </c>
      <c r="I418" s="1" t="s">
        <v>1556</v>
      </c>
      <c r="J418" s="1" t="str">
        <f t="shared" si="3"/>
        <v>12GB</v>
      </c>
      <c r="K418" s="1" t="s">
        <v>2335</v>
      </c>
      <c r="L418" s="1">
        <f t="shared" si="28"/>
        <v>32</v>
      </c>
      <c r="M418" s="1" t="s">
        <v>472</v>
      </c>
      <c r="N418" s="1" t="str">
        <f t="shared" si="5"/>
        <v>1TB</v>
      </c>
      <c r="O418" s="1" t="str">
        <f t="shared" si="6"/>
        <v>1024GB</v>
      </c>
      <c r="P418" s="1" t="s">
        <v>89</v>
      </c>
      <c r="Q418" s="1" t="str">
        <f t="shared" si="7"/>
        <v>2560x1600</v>
      </c>
      <c r="R418" s="1" t="s">
        <v>256</v>
      </c>
      <c r="S418" s="1" t="str">
        <f t="shared" si="8"/>
        <v>240Hz</v>
      </c>
      <c r="T418" s="1" t="s">
        <v>90</v>
      </c>
      <c r="U418" s="1" t="str">
        <f t="shared" si="9"/>
        <v>Windows 11 Home</v>
      </c>
      <c r="V418" s="1" t="s">
        <v>1552</v>
      </c>
      <c r="W418" s="1" t="str">
        <f t="shared" si="10"/>
        <v>3.1 kg</v>
      </c>
      <c r="X418" s="1" t="s">
        <v>165</v>
      </c>
      <c r="Y418" s="1" t="str">
        <f t="shared" si="11"/>
        <v>2 Years</v>
      </c>
      <c r="Z418" s="4">
        <v>124999</v>
      </c>
      <c r="AA418" s="1" t="s">
        <v>79</v>
      </c>
    </row>
    <row r="419" spans="1:27" ht="15.75" customHeight="1" x14ac:dyDescent="0.35">
      <c r="A419" s="1" t="s">
        <v>30</v>
      </c>
      <c r="B419" s="1" t="str">
        <f t="shared" si="16"/>
        <v>MSI</v>
      </c>
      <c r="C419" s="1" t="s">
        <v>2341</v>
      </c>
      <c r="D419" s="1" t="str">
        <f t="shared" si="1"/>
        <v>GF63 Thin 10SCSR</v>
      </c>
      <c r="E419" s="1" t="str">
        <f t="array" aca="1" ref="E419" ca="1">IFERROR(
INDEX(Family_Map!$B$2:$B$35,
_xludf.AGGREGATE(14,6,(ROW(Family_Map!$A$2:$A$35)-ROW(Family_Map!$A$2)+1)/(ISNUMBER(SEARCH(Family_Map!$A$2:$A$35,D419))),1)
),
"Other")</f>
        <v>Other</v>
      </c>
      <c r="F419" s="1" t="s">
        <v>2175</v>
      </c>
      <c r="G419" s="1" t="e">
        <f t="shared" ca="1" si="2"/>
        <v>#NAME?</v>
      </c>
      <c r="H419" s="1" t="str">
        <f t="shared" ca="1" si="12"/>
        <v>Other</v>
      </c>
      <c r="I419" s="1" t="s">
        <v>2342</v>
      </c>
      <c r="J419" s="1" t="str">
        <f t="shared" si="3"/>
        <v>4GB</v>
      </c>
      <c r="K419" s="1" t="s">
        <v>2110</v>
      </c>
      <c r="L419" s="1">
        <f t="shared" si="28"/>
        <v>8</v>
      </c>
      <c r="M419" s="1" t="s">
        <v>2343</v>
      </c>
      <c r="N419" s="1" t="str">
        <f t="shared" si="5"/>
        <v>1TB</v>
      </c>
      <c r="O419" s="1" t="str">
        <f t="shared" si="6"/>
        <v>1024GB</v>
      </c>
      <c r="P419" s="1" t="s">
        <v>74</v>
      </c>
      <c r="Q419" s="1" t="str">
        <f t="shared" si="7"/>
        <v>1920x1080</v>
      </c>
      <c r="S419" s="1" t="str">
        <f t="shared" si="8"/>
        <v/>
      </c>
      <c r="T419" s="1" t="s">
        <v>101</v>
      </c>
      <c r="U419" s="1" t="str">
        <f t="shared" si="9"/>
        <v>DOS</v>
      </c>
      <c r="V419" s="1" t="s">
        <v>376</v>
      </c>
      <c r="W419" s="1" t="str">
        <f t="shared" si="10"/>
        <v>1.86 kg</v>
      </c>
      <c r="X419" s="1" t="s">
        <v>78</v>
      </c>
      <c r="Y419" s="1" t="str">
        <f t="shared" si="11"/>
        <v>1 Year</v>
      </c>
      <c r="Z419" s="4">
        <v>24499</v>
      </c>
      <c r="AA419" s="1" t="s">
        <v>2181</v>
      </c>
    </row>
    <row r="420" spans="1:27" ht="15.75" customHeight="1" x14ac:dyDescent="0.35">
      <c r="A420" s="1" t="s">
        <v>30</v>
      </c>
      <c r="B420" s="1" t="str">
        <f t="shared" si="16"/>
        <v>MSI</v>
      </c>
      <c r="C420" s="1" t="s">
        <v>2345</v>
      </c>
      <c r="D420" s="1" t="str">
        <f t="shared" si="1"/>
        <v>Katana GF66 11UE</v>
      </c>
      <c r="E420" s="1" t="str">
        <f t="array" aca="1" ref="E420" ca="1">IFERROR(
INDEX(Family_Map!$B$2:$B$35,
_xludf.AGGREGATE(14,6,(ROW(Family_Map!$A$2:$A$35)-ROW(Family_Map!$A$2)+1)/(ISNUMBER(SEARCH(Family_Map!$A$2:$A$35,D420))),1)
),
"Other")</f>
        <v>Other</v>
      </c>
      <c r="F420" s="1" t="s">
        <v>1075</v>
      </c>
      <c r="G420" s="1" t="e">
        <f t="shared" ca="1" si="2"/>
        <v>#NAME?</v>
      </c>
      <c r="H420" s="1" t="str">
        <f t="shared" ca="1" si="12"/>
        <v>Other</v>
      </c>
      <c r="I420" s="1" t="s">
        <v>70</v>
      </c>
      <c r="J420" s="1" t="str">
        <f t="shared" si="3"/>
        <v>6GB</v>
      </c>
      <c r="K420" s="1" t="s">
        <v>2346</v>
      </c>
      <c r="L420" s="1">
        <f t="shared" si="28"/>
        <v>16</v>
      </c>
      <c r="M420" s="1" t="s">
        <v>322</v>
      </c>
      <c r="N420" s="1" t="str">
        <f t="shared" si="5"/>
        <v>1TB</v>
      </c>
      <c r="O420" s="1" t="str">
        <f t="shared" si="6"/>
        <v>1024GB</v>
      </c>
      <c r="P420" s="1" t="s">
        <v>120</v>
      </c>
      <c r="Q420" s="1" t="str">
        <f t="shared" si="7"/>
        <v>1920x1080</v>
      </c>
      <c r="R420" s="1" t="s">
        <v>75</v>
      </c>
      <c r="S420" s="1" t="str">
        <f t="shared" si="8"/>
        <v>144Hz</v>
      </c>
      <c r="T420" s="1" t="s">
        <v>90</v>
      </c>
      <c r="U420" s="1" t="str">
        <f t="shared" si="9"/>
        <v>Windows 11 Home</v>
      </c>
      <c r="V420" s="1" t="s">
        <v>652</v>
      </c>
      <c r="W420" s="1" t="str">
        <f t="shared" si="10"/>
        <v>2.25 kg</v>
      </c>
      <c r="X420" s="1" t="s">
        <v>78</v>
      </c>
      <c r="Y420" s="1" t="str">
        <f t="shared" si="11"/>
        <v>1 Year</v>
      </c>
      <c r="Z420" s="4">
        <v>41999</v>
      </c>
      <c r="AA420" s="1" t="s">
        <v>1082</v>
      </c>
    </row>
    <row r="421" spans="1:27" ht="15.75" customHeight="1" x14ac:dyDescent="0.35">
      <c r="A421" s="1" t="s">
        <v>234</v>
      </c>
      <c r="B421" s="1" t="str">
        <f t="shared" si="16"/>
        <v>ASUS</v>
      </c>
      <c r="C421" s="1" t="s">
        <v>2347</v>
      </c>
      <c r="D421" s="1" t="str">
        <f t="shared" si="1"/>
        <v>TUF Dash F15 FX517ZM-AS73</v>
      </c>
      <c r="E421" s="1" t="str">
        <f t="array" aca="1" ref="E421" ca="1">IFERROR(
INDEX(Family_Map!$B$2:$B$35,
_xludf.AGGREGATE(14,6,(ROW(Family_Map!$A$2:$A$35)-ROW(Family_Map!$A$2)+1)/(ISNUMBER(SEARCH(Family_Map!$A$2:$A$35,D421))),1)
),
"Other")</f>
        <v>Other</v>
      </c>
      <c r="F421" s="1" t="s">
        <v>2137</v>
      </c>
      <c r="G421" s="1" t="e">
        <f t="shared" ca="1" si="2"/>
        <v>#NAME?</v>
      </c>
      <c r="H421" s="1" t="str">
        <f t="shared" ca="1" si="12"/>
        <v>Other</v>
      </c>
      <c r="I421" s="1" t="s">
        <v>70</v>
      </c>
      <c r="J421" s="1" t="str">
        <f t="shared" si="3"/>
        <v>6GB</v>
      </c>
      <c r="K421" s="1" t="s">
        <v>2349</v>
      </c>
      <c r="L421" s="1">
        <f t="shared" si="28"/>
        <v>16</v>
      </c>
      <c r="M421" s="1" t="s">
        <v>1604</v>
      </c>
      <c r="N421" s="1" t="str">
        <f t="shared" si="5"/>
        <v>512GB</v>
      </c>
      <c r="O421" s="1" t="str">
        <f t="shared" si="6"/>
        <v>512GB</v>
      </c>
      <c r="P421" s="1" t="s">
        <v>120</v>
      </c>
      <c r="Q421" s="1" t="str">
        <f t="shared" si="7"/>
        <v>1920x1080</v>
      </c>
      <c r="R421" s="1" t="s">
        <v>75</v>
      </c>
      <c r="S421" s="1" t="str">
        <f t="shared" si="8"/>
        <v>144Hz</v>
      </c>
      <c r="T421" s="1" t="s">
        <v>90</v>
      </c>
      <c r="U421" s="1" t="str">
        <f t="shared" si="9"/>
        <v>Windows 11 Home</v>
      </c>
      <c r="V421" s="1" t="s">
        <v>814</v>
      </c>
      <c r="W421" s="1" t="str">
        <f t="shared" si="10"/>
        <v>2 kg</v>
      </c>
      <c r="X421" s="1" t="s">
        <v>339</v>
      </c>
      <c r="Y421" s="1" t="str">
        <f t="shared" si="11"/>
        <v>2 Years</v>
      </c>
      <c r="Z421" s="4">
        <v>42500</v>
      </c>
      <c r="AA421" s="1" t="s">
        <v>166</v>
      </c>
    </row>
    <row r="422" spans="1:27" ht="15.75" customHeight="1" x14ac:dyDescent="0.35">
      <c r="A422" s="1" t="s">
        <v>30</v>
      </c>
      <c r="B422" s="1" t="str">
        <f t="shared" si="16"/>
        <v>MSI</v>
      </c>
      <c r="C422" s="1" t="s">
        <v>2354</v>
      </c>
      <c r="D422" s="1" t="str">
        <f t="shared" si="1"/>
        <v>Katana GF66 12UGS</v>
      </c>
      <c r="E422" s="1" t="str">
        <f t="array" aca="1" ref="E422" ca="1">IFERROR(
INDEX(Family_Map!$B$2:$B$35,
_xludf.AGGREGATE(14,6,(ROW(Family_Map!$A$2:$A$35)-ROW(Family_Map!$A$2)+1)/(ISNUMBER(SEARCH(Family_Map!$A$2:$A$35,D422))),1)
),
"Other")</f>
        <v>Other</v>
      </c>
      <c r="F422" s="1" t="s">
        <v>1118</v>
      </c>
      <c r="G422" s="1" t="e">
        <f t="shared" ca="1" si="2"/>
        <v>#NAME?</v>
      </c>
      <c r="H422" s="1" t="str">
        <f t="shared" ca="1" si="12"/>
        <v>Other</v>
      </c>
      <c r="I422" s="1" t="s">
        <v>410</v>
      </c>
      <c r="J422" s="1" t="str">
        <f t="shared" si="3"/>
        <v>8GB</v>
      </c>
      <c r="K422" s="1" t="s">
        <v>2355</v>
      </c>
      <c r="L422" s="1">
        <f t="shared" si="28"/>
        <v>16</v>
      </c>
      <c r="M422" s="1" t="s">
        <v>322</v>
      </c>
      <c r="N422" s="1" t="str">
        <f t="shared" si="5"/>
        <v>1TB</v>
      </c>
      <c r="O422" s="1" t="str">
        <f t="shared" si="6"/>
        <v>1024GB</v>
      </c>
      <c r="P422" s="1" t="s">
        <v>120</v>
      </c>
      <c r="Q422" s="1" t="str">
        <f t="shared" si="7"/>
        <v>1920x1080</v>
      </c>
      <c r="R422" s="1" t="s">
        <v>256</v>
      </c>
      <c r="S422" s="1" t="str">
        <f t="shared" si="8"/>
        <v>240Hz</v>
      </c>
      <c r="T422" s="1" t="s">
        <v>90</v>
      </c>
      <c r="U422" s="1" t="str">
        <f t="shared" si="9"/>
        <v>Windows 11 Home</v>
      </c>
      <c r="V422" s="1" t="s">
        <v>652</v>
      </c>
      <c r="W422" s="1" t="str">
        <f t="shared" si="10"/>
        <v>2.25 kg</v>
      </c>
      <c r="X422" s="1" t="s">
        <v>78</v>
      </c>
      <c r="Y422" s="1" t="str">
        <f t="shared" si="11"/>
        <v>1 Year</v>
      </c>
      <c r="Z422" s="4">
        <v>57799</v>
      </c>
      <c r="AA422" s="1" t="s">
        <v>166</v>
      </c>
    </row>
    <row r="423" spans="1:27" ht="15.75" customHeight="1" x14ac:dyDescent="0.35">
      <c r="A423" s="1" t="s">
        <v>30</v>
      </c>
      <c r="B423" s="1" t="str">
        <f t="shared" si="16"/>
        <v>MSI</v>
      </c>
      <c r="C423" s="1" t="s">
        <v>2354</v>
      </c>
      <c r="D423" s="1" t="str">
        <f t="shared" si="1"/>
        <v>Katana GF66 12UGS</v>
      </c>
      <c r="E423" s="1" t="str">
        <f t="array" aca="1" ref="E423" ca="1">IFERROR(
INDEX(Family_Map!$B$2:$B$35,
_xludf.AGGREGATE(14,6,(ROW(Family_Map!$A$2:$A$35)-ROW(Family_Map!$A$2)+1)/(ISNUMBER(SEARCH(Family_Map!$A$2:$A$35,D423))),1)
),
"Other")</f>
        <v>Other</v>
      </c>
      <c r="F423" s="1" t="s">
        <v>1118</v>
      </c>
      <c r="G423" s="1" t="e">
        <f t="shared" ca="1" si="2"/>
        <v>#NAME?</v>
      </c>
      <c r="H423" s="1" t="str">
        <f t="shared" ca="1" si="12"/>
        <v>Other</v>
      </c>
      <c r="I423" s="1" t="s">
        <v>410</v>
      </c>
      <c r="J423" s="1" t="str">
        <f t="shared" si="3"/>
        <v>8GB</v>
      </c>
      <c r="K423" s="1" t="s">
        <v>2355</v>
      </c>
      <c r="L423" s="1">
        <f t="shared" si="28"/>
        <v>16</v>
      </c>
      <c r="M423" s="1" t="s">
        <v>322</v>
      </c>
      <c r="N423" s="1" t="str">
        <f t="shared" si="5"/>
        <v>1TB</v>
      </c>
      <c r="O423" s="1" t="str">
        <f t="shared" si="6"/>
        <v>1024GB</v>
      </c>
      <c r="P423" s="1" t="s">
        <v>120</v>
      </c>
      <c r="Q423" s="1" t="str">
        <f t="shared" si="7"/>
        <v>1920x1080</v>
      </c>
      <c r="R423" s="1" t="s">
        <v>75</v>
      </c>
      <c r="S423" s="1" t="str">
        <f t="shared" si="8"/>
        <v>144Hz</v>
      </c>
      <c r="T423" s="1" t="s">
        <v>90</v>
      </c>
      <c r="U423" s="1" t="str">
        <f t="shared" si="9"/>
        <v>Windows 11 Home</v>
      </c>
      <c r="V423" s="1" t="s">
        <v>652</v>
      </c>
      <c r="W423" s="1" t="str">
        <f t="shared" si="10"/>
        <v>2.25 kg</v>
      </c>
      <c r="X423" s="1" t="s">
        <v>78</v>
      </c>
      <c r="Y423" s="1" t="str">
        <f t="shared" si="11"/>
        <v>1 Year</v>
      </c>
      <c r="Z423" s="4">
        <v>70000</v>
      </c>
      <c r="AA423" s="1" t="s">
        <v>166</v>
      </c>
    </row>
    <row r="424" spans="1:27" ht="15.75" customHeight="1" x14ac:dyDescent="0.35">
      <c r="A424" s="1" t="s">
        <v>30</v>
      </c>
      <c r="B424" s="1" t="str">
        <f t="shared" si="16"/>
        <v>MSI</v>
      </c>
      <c r="C424" s="1" t="s">
        <v>2357</v>
      </c>
      <c r="D424" s="1" t="str">
        <f t="shared" si="1"/>
        <v>GF63 Thin 10UD</v>
      </c>
      <c r="E424" s="1" t="str">
        <f t="array" aca="1" ref="E424" ca="1">IFERROR(
INDEX(Family_Map!$B$2:$B$35,
_xludf.AGGREGATE(14,6,(ROW(Family_Map!$A$2:$A$35)-ROW(Family_Map!$A$2)+1)/(ISNUMBER(SEARCH(Family_Map!$A$2:$A$35,D424))),1)
),
"Other")</f>
        <v>Other</v>
      </c>
      <c r="F424" s="1" t="s">
        <v>2184</v>
      </c>
      <c r="G424" s="1" t="e">
        <f t="shared" ca="1" si="2"/>
        <v>#NAME?</v>
      </c>
      <c r="H424" s="1" t="str">
        <f t="shared" ca="1" si="12"/>
        <v>Other</v>
      </c>
      <c r="I424" s="1" t="s">
        <v>507</v>
      </c>
      <c r="J424" s="1" t="str">
        <f t="shared" si="3"/>
        <v>4GB</v>
      </c>
      <c r="K424" s="1" t="s">
        <v>513</v>
      </c>
      <c r="L424" s="1">
        <f t="shared" si="28"/>
        <v>16</v>
      </c>
      <c r="M424" s="1" t="s">
        <v>2359</v>
      </c>
      <c r="N424" s="1" t="str">
        <f t="shared" si="5"/>
        <v>1TB</v>
      </c>
      <c r="O424" s="1" t="str">
        <f t="shared" si="6"/>
        <v>1024GB</v>
      </c>
      <c r="P424" s="1" t="s">
        <v>120</v>
      </c>
      <c r="Q424" s="1" t="str">
        <f t="shared" si="7"/>
        <v>1920x1080</v>
      </c>
      <c r="R424" s="1" t="s">
        <v>75</v>
      </c>
      <c r="S424" s="1" t="str">
        <f t="shared" si="8"/>
        <v>144Hz</v>
      </c>
      <c r="T424" s="1" t="s">
        <v>1722</v>
      </c>
      <c r="U424" s="1" t="str">
        <f t="shared" si="9"/>
        <v>Windows 10 Home</v>
      </c>
      <c r="V424" s="1" t="s">
        <v>376</v>
      </c>
      <c r="W424" s="1" t="str">
        <f t="shared" si="10"/>
        <v>1.86 kg</v>
      </c>
      <c r="X424" s="1" t="s">
        <v>78</v>
      </c>
      <c r="Y424" s="1" t="str">
        <f t="shared" si="11"/>
        <v>1 Year</v>
      </c>
      <c r="Z424" s="4">
        <v>35480</v>
      </c>
      <c r="AA424" s="1" t="s">
        <v>2181</v>
      </c>
    </row>
    <row r="425" spans="1:27" ht="15.75" customHeight="1" x14ac:dyDescent="0.35">
      <c r="A425" s="1" t="s">
        <v>30</v>
      </c>
      <c r="B425" s="1" t="str">
        <f t="shared" si="16"/>
        <v>MSI</v>
      </c>
      <c r="C425" s="1" t="s">
        <v>1690</v>
      </c>
      <c r="D425" s="1" t="str">
        <f t="shared" si="1"/>
        <v>GF63 Thin 11UC</v>
      </c>
      <c r="E425" s="1" t="str">
        <f t="array" aca="1" ref="E425" ca="1">IFERROR(
INDEX(Family_Map!$B$2:$B$35,
_xludf.AGGREGATE(14,6,(ROW(Family_Map!$A$2:$A$35)-ROW(Family_Map!$A$2)+1)/(ISNUMBER(SEARCH(Family_Map!$A$2:$A$35,D425))),1)
),
"Other")</f>
        <v>Other</v>
      </c>
      <c r="F425" s="1" t="s">
        <v>1075</v>
      </c>
      <c r="G425" s="1" t="e">
        <f t="shared" ca="1" si="2"/>
        <v>#NAME?</v>
      </c>
      <c r="H425" s="1" t="str">
        <f t="shared" ca="1" si="12"/>
        <v>Other</v>
      </c>
      <c r="I425" s="1" t="s">
        <v>507</v>
      </c>
      <c r="J425" s="1" t="str">
        <f t="shared" si="3"/>
        <v>4GB</v>
      </c>
      <c r="K425" s="1" t="s">
        <v>2360</v>
      </c>
      <c r="L425" s="1">
        <f t="shared" si="28"/>
        <v>16</v>
      </c>
      <c r="M425" s="1" t="s">
        <v>2188</v>
      </c>
      <c r="N425" s="1" t="str">
        <f t="shared" si="5"/>
        <v>1TB</v>
      </c>
      <c r="O425" s="1" t="str">
        <f t="shared" si="6"/>
        <v>1024GB</v>
      </c>
      <c r="P425" s="1" t="s">
        <v>74</v>
      </c>
      <c r="Q425" s="1" t="str">
        <f t="shared" si="7"/>
        <v>1920x1080</v>
      </c>
      <c r="R425" s="1" t="s">
        <v>75</v>
      </c>
      <c r="S425" s="1" t="str">
        <f t="shared" si="8"/>
        <v>144Hz</v>
      </c>
      <c r="T425" s="1" t="s">
        <v>90</v>
      </c>
      <c r="U425" s="1" t="str">
        <f t="shared" si="9"/>
        <v>Windows 11 Home</v>
      </c>
      <c r="V425" s="1" t="s">
        <v>376</v>
      </c>
      <c r="W425" s="1" t="str">
        <f t="shared" si="10"/>
        <v>1.86 kg</v>
      </c>
      <c r="X425" s="1" t="s">
        <v>78</v>
      </c>
      <c r="Y425" s="1" t="str">
        <f t="shared" si="11"/>
        <v>1 Year</v>
      </c>
      <c r="Z425" s="4">
        <v>36959</v>
      </c>
      <c r="AA425" s="1" t="s">
        <v>1082</v>
      </c>
    </row>
    <row r="426" spans="1:27" ht="15.75" customHeight="1" x14ac:dyDescent="0.35">
      <c r="A426" s="1" t="s">
        <v>234</v>
      </c>
      <c r="B426" s="1" t="str">
        <f t="shared" si="16"/>
        <v>ASUS</v>
      </c>
      <c r="C426" s="1" t="s">
        <v>2361</v>
      </c>
      <c r="D426" s="1" t="str">
        <f t="shared" si="1"/>
        <v>ROG Flow X16 GV601RM-BLK57W</v>
      </c>
      <c r="E426" s="1" t="str">
        <f t="array" aca="1" ref="E426" ca="1">IFERROR(
INDEX(Family_Map!$B$2:$B$35,
_xludf.AGGREGATE(14,6,(ROW(Family_Map!$A$2:$A$35)-ROW(Family_Map!$A$2)+1)/(ISNUMBER(SEARCH(Family_Map!$A$2:$A$35,D426))),1)
),
"Other")</f>
        <v>Other</v>
      </c>
      <c r="F426" s="1" t="s">
        <v>2362</v>
      </c>
      <c r="G426" s="1" t="e">
        <f t="shared" ca="1" si="2"/>
        <v>#NAME?</v>
      </c>
      <c r="H426" s="1" t="str">
        <f t="shared" ca="1" si="12"/>
        <v>Other</v>
      </c>
      <c r="I426" s="1" t="s">
        <v>70</v>
      </c>
      <c r="J426" s="1" t="str">
        <f t="shared" si="3"/>
        <v>6GB</v>
      </c>
      <c r="K426" s="1" t="s">
        <v>1289</v>
      </c>
      <c r="L426" s="1">
        <f t="shared" si="28"/>
        <v>16</v>
      </c>
      <c r="M426" s="1" t="s">
        <v>2363</v>
      </c>
      <c r="N426" s="1" t="str">
        <f t="shared" si="5"/>
        <v>512GB</v>
      </c>
      <c r="O426" s="1" t="str">
        <f t="shared" si="6"/>
        <v>512GB</v>
      </c>
      <c r="P426" s="1" t="s">
        <v>89</v>
      </c>
      <c r="Q426" s="1" t="str">
        <f t="shared" si="7"/>
        <v>2560x1600</v>
      </c>
      <c r="R426" s="1" t="s">
        <v>57</v>
      </c>
      <c r="S426" s="1" t="str">
        <f t="shared" si="8"/>
        <v>165Hz</v>
      </c>
      <c r="T426" s="1" t="s">
        <v>90</v>
      </c>
      <c r="U426" s="1" t="str">
        <f t="shared" si="9"/>
        <v>Windows 11 Home</v>
      </c>
      <c r="V426" s="1" t="s">
        <v>814</v>
      </c>
      <c r="W426" s="1" t="str">
        <f t="shared" si="10"/>
        <v>2 kg</v>
      </c>
      <c r="X426" s="1" t="s">
        <v>165</v>
      </c>
      <c r="Y426" s="1" t="str">
        <f t="shared" si="11"/>
        <v>2 Years</v>
      </c>
      <c r="Z426" s="4">
        <v>69999</v>
      </c>
      <c r="AA426" s="1" t="s">
        <v>5735</v>
      </c>
    </row>
    <row r="427" spans="1:27" ht="15.75" customHeight="1" x14ac:dyDescent="0.35">
      <c r="A427" s="1" t="s">
        <v>234</v>
      </c>
      <c r="B427" s="1" t="str">
        <f t="shared" si="16"/>
        <v>ASUS</v>
      </c>
      <c r="C427" s="1" t="s">
        <v>2369</v>
      </c>
      <c r="D427" s="1" t="str">
        <f t="shared" si="1"/>
        <v>TUF Gaming F15 FX507ZM-HQ013W</v>
      </c>
      <c r="E427" s="1" t="str">
        <f t="array" aca="1" ref="E427" ca="1">IFERROR(
INDEX(Family_Map!$B$2:$B$35,
_xludf.AGGREGATE(14,6,(ROW(Family_Map!$A$2:$A$35)-ROW(Family_Map!$A$2)+1)/(ISNUMBER(SEARCH(Family_Map!$A$2:$A$35,D427))),1)
),
"Other")</f>
        <v>Other</v>
      </c>
      <c r="F427" s="1" t="s">
        <v>1118</v>
      </c>
      <c r="G427" s="1" t="e">
        <f t="shared" ca="1" si="2"/>
        <v>#NAME?</v>
      </c>
      <c r="H427" s="1" t="str">
        <f t="shared" ca="1" si="12"/>
        <v>Other</v>
      </c>
      <c r="I427" s="1" t="s">
        <v>1584</v>
      </c>
      <c r="J427" s="1" t="str">
        <f t="shared" si="3"/>
        <v>6GB</v>
      </c>
      <c r="K427" s="1" t="s">
        <v>656</v>
      </c>
      <c r="L427" s="1">
        <f t="shared" si="28"/>
        <v>16</v>
      </c>
      <c r="M427" s="1" t="s">
        <v>322</v>
      </c>
      <c r="N427" s="1" t="str">
        <f t="shared" si="5"/>
        <v>1TB</v>
      </c>
      <c r="O427" s="1" t="str">
        <f t="shared" si="6"/>
        <v>1024GB</v>
      </c>
      <c r="P427" s="1" t="s">
        <v>120</v>
      </c>
      <c r="Q427" s="1" t="str">
        <f t="shared" si="7"/>
        <v>1920x1080</v>
      </c>
      <c r="R427" s="1" t="s">
        <v>57</v>
      </c>
      <c r="S427" s="1" t="str">
        <f t="shared" si="8"/>
        <v>165Hz</v>
      </c>
      <c r="T427" s="1" t="s">
        <v>90</v>
      </c>
      <c r="U427" s="1" t="str">
        <f t="shared" si="9"/>
        <v>Windows 11 Home</v>
      </c>
      <c r="V427" s="1" t="s">
        <v>2312</v>
      </c>
      <c r="W427" s="1" t="str">
        <f t="shared" si="10"/>
        <v>2.2 kg</v>
      </c>
      <c r="X427" s="1" t="s">
        <v>165</v>
      </c>
      <c r="Y427" s="1" t="str">
        <f t="shared" si="11"/>
        <v>2 Years</v>
      </c>
      <c r="Z427" s="4">
        <v>44449</v>
      </c>
      <c r="AA427" s="1" t="s">
        <v>166</v>
      </c>
    </row>
    <row r="428" spans="1:27" ht="15.75" customHeight="1" x14ac:dyDescent="0.35">
      <c r="A428" s="1" t="s">
        <v>234</v>
      </c>
      <c r="B428" s="1" t="str">
        <f t="shared" si="16"/>
        <v>ASUS</v>
      </c>
      <c r="C428" s="1" t="s">
        <v>2373</v>
      </c>
      <c r="D428" s="1" t="str">
        <f t="shared" si="1"/>
        <v>ROG Flow X16 GV601RE-GRY57W</v>
      </c>
      <c r="E428" s="1" t="str">
        <f t="array" aca="1" ref="E428" ca="1">IFERROR(
INDEX(Family_Map!$B$2:$B$35,
_xludf.AGGREGATE(14,6,(ROW(Family_Map!$A$2:$A$35)-ROW(Family_Map!$A$2)+1)/(ISNUMBER(SEARCH(Family_Map!$A$2:$A$35,D428))),1)
),
"Other")</f>
        <v>Other</v>
      </c>
      <c r="F428" s="1" t="s">
        <v>2362</v>
      </c>
      <c r="G428" s="1" t="e">
        <f t="shared" ca="1" si="2"/>
        <v>#NAME?</v>
      </c>
      <c r="H428" s="1" t="str">
        <f t="shared" ca="1" si="12"/>
        <v>Other</v>
      </c>
      <c r="I428" s="1" t="s">
        <v>2342</v>
      </c>
      <c r="J428" s="1" t="str">
        <f t="shared" si="3"/>
        <v>4GB</v>
      </c>
      <c r="K428" s="1" t="s">
        <v>656</v>
      </c>
      <c r="L428" s="1">
        <f t="shared" si="28"/>
        <v>16</v>
      </c>
      <c r="M428" s="1" t="s">
        <v>295</v>
      </c>
      <c r="N428" s="1" t="str">
        <f t="shared" si="5"/>
        <v>512GB</v>
      </c>
      <c r="O428" s="1" t="str">
        <f t="shared" si="6"/>
        <v>512GB</v>
      </c>
      <c r="P428" s="1" t="s">
        <v>89</v>
      </c>
      <c r="Q428" s="1" t="str">
        <f t="shared" si="7"/>
        <v>2560x1600</v>
      </c>
      <c r="R428" s="1" t="s">
        <v>57</v>
      </c>
      <c r="S428" s="1" t="str">
        <f t="shared" si="8"/>
        <v>165Hz</v>
      </c>
      <c r="T428" s="1" t="s">
        <v>90</v>
      </c>
      <c r="U428" s="1" t="str">
        <f t="shared" si="9"/>
        <v>Windows 11 Home</v>
      </c>
      <c r="V428" s="1" t="s">
        <v>2377</v>
      </c>
      <c r="W428" s="1" t="str">
        <f t="shared" si="10"/>
        <v>2.1 kg</v>
      </c>
      <c r="X428" s="1" t="s">
        <v>165</v>
      </c>
      <c r="Y428" s="1" t="str">
        <f t="shared" si="11"/>
        <v>2 Years</v>
      </c>
      <c r="Z428" s="4">
        <v>64999</v>
      </c>
      <c r="AA428" s="1" t="s">
        <v>5735</v>
      </c>
    </row>
    <row r="429" spans="1:27" ht="15.75" customHeight="1" x14ac:dyDescent="0.35">
      <c r="A429" s="1" t="s">
        <v>151</v>
      </c>
      <c r="B429" s="1" t="str">
        <f t="shared" si="16"/>
        <v>Lenovo</v>
      </c>
      <c r="C429" s="1" t="s">
        <v>2379</v>
      </c>
      <c r="D429" s="1" t="str">
        <f t="shared" si="1"/>
        <v>IdeaPad Gaming 3 15IHU6</v>
      </c>
      <c r="E429" s="1" t="str">
        <f t="array" aca="1" ref="E429" ca="1">IFERROR(
INDEX(Family_Map!$B$2:$B$35,
_xludf.AGGREGATE(14,6,(ROW(Family_Map!$A$2:$A$35)-ROW(Family_Map!$A$2)+1)/(ISNUMBER(SEARCH(Family_Map!$A$2:$A$35,D429))),1)
),
"Other")</f>
        <v>Other</v>
      </c>
      <c r="F429" s="1" t="s">
        <v>2380</v>
      </c>
      <c r="G429" s="1" t="e">
        <f t="shared" ca="1" si="2"/>
        <v>#NAME?</v>
      </c>
      <c r="H429" s="1" t="str">
        <f t="shared" ca="1" si="12"/>
        <v>Other</v>
      </c>
      <c r="I429" s="1" t="s">
        <v>2342</v>
      </c>
      <c r="J429" s="1" t="str">
        <f t="shared" si="3"/>
        <v>4GB</v>
      </c>
      <c r="K429" s="1" t="s">
        <v>656</v>
      </c>
      <c r="L429" s="1">
        <f t="shared" si="28"/>
        <v>16</v>
      </c>
      <c r="M429" s="1" t="s">
        <v>1120</v>
      </c>
      <c r="N429" s="1" t="str">
        <f t="shared" si="5"/>
        <v>512GB</v>
      </c>
      <c r="O429" s="1" t="str">
        <f t="shared" si="6"/>
        <v>512GB</v>
      </c>
      <c r="P429" s="1" t="s">
        <v>120</v>
      </c>
      <c r="Q429" s="1" t="str">
        <f t="shared" si="7"/>
        <v>1920x1080</v>
      </c>
      <c r="R429" s="1" t="s">
        <v>39</v>
      </c>
      <c r="S429" s="1" t="str">
        <f t="shared" si="8"/>
        <v>120Hz</v>
      </c>
      <c r="T429" s="1" t="s">
        <v>121</v>
      </c>
      <c r="U429" s="1" t="str">
        <f t="shared" si="9"/>
        <v>DOS</v>
      </c>
      <c r="V429" s="1" t="s">
        <v>652</v>
      </c>
      <c r="W429" s="1" t="str">
        <f t="shared" si="10"/>
        <v>2.25 kg</v>
      </c>
      <c r="X429" s="1" t="s">
        <v>78</v>
      </c>
      <c r="Y429" s="1" t="str">
        <f t="shared" si="11"/>
        <v>1 Year</v>
      </c>
      <c r="Z429" s="4">
        <v>29999</v>
      </c>
      <c r="AA429" s="1" t="s">
        <v>1082</v>
      </c>
    </row>
    <row r="430" spans="1:27" ht="15.75" customHeight="1" x14ac:dyDescent="0.35">
      <c r="A430" s="1" t="s">
        <v>66</v>
      </c>
      <c r="B430" s="1" t="str">
        <f t="shared" si="16"/>
        <v>Acer</v>
      </c>
      <c r="C430" s="1" t="s">
        <v>2387</v>
      </c>
      <c r="D430" s="1" t="str">
        <f t="shared" si="1"/>
        <v>Aspire 5 A515-57G-57EU</v>
      </c>
      <c r="E430" s="1" t="str">
        <f t="array" aca="1" ref="E430" ca="1">IFERROR(
INDEX(Family_Map!$B$2:$B$35,
_xludf.AGGREGATE(14,6,(ROW(Family_Map!$A$2:$A$35)-ROW(Family_Map!$A$2)+1)/(ISNUMBER(SEARCH(Family_Map!$A$2:$A$35,D430))),1)
),
"Other")</f>
        <v>Other</v>
      </c>
      <c r="F430" s="1" t="s">
        <v>2292</v>
      </c>
      <c r="G430" s="1" t="e">
        <f t="shared" ca="1" si="2"/>
        <v>#NAME?</v>
      </c>
      <c r="H430" s="1" t="str">
        <f t="shared" ca="1" si="12"/>
        <v>Other</v>
      </c>
      <c r="I430" s="1" t="s">
        <v>2342</v>
      </c>
      <c r="J430" s="1" t="str">
        <f t="shared" si="3"/>
        <v>4GB</v>
      </c>
      <c r="K430" s="1" t="s">
        <v>512</v>
      </c>
      <c r="L430" s="1">
        <f t="shared" si="28"/>
        <v>8</v>
      </c>
      <c r="M430" s="1" t="s">
        <v>2388</v>
      </c>
      <c r="N430" s="1" t="str">
        <f t="shared" si="5"/>
        <v>256GB</v>
      </c>
      <c r="O430" s="1" t="str">
        <f t="shared" si="6"/>
        <v>256GB</v>
      </c>
      <c r="P430" s="1" t="s">
        <v>120</v>
      </c>
      <c r="Q430" s="1" t="str">
        <f t="shared" si="7"/>
        <v>1920x1080</v>
      </c>
      <c r="S430" s="1" t="str">
        <f t="shared" si="8"/>
        <v/>
      </c>
      <c r="T430" s="1" t="s">
        <v>121</v>
      </c>
      <c r="U430" s="1" t="str">
        <f t="shared" si="9"/>
        <v>DOS</v>
      </c>
      <c r="V430" s="1" t="s">
        <v>2393</v>
      </c>
      <c r="W430" s="1" t="str">
        <f t="shared" si="10"/>
        <v>1.82 kg</v>
      </c>
      <c r="X430" s="1" t="s">
        <v>165</v>
      </c>
      <c r="Y430" s="1" t="str">
        <f t="shared" si="11"/>
        <v>2 Years</v>
      </c>
      <c r="Z430" s="4">
        <v>24199</v>
      </c>
      <c r="AA430" s="1" t="s">
        <v>166</v>
      </c>
    </row>
    <row r="431" spans="1:27" ht="15.75" customHeight="1" x14ac:dyDescent="0.35">
      <c r="A431" s="1" t="s">
        <v>66</v>
      </c>
      <c r="B431" s="1" t="str">
        <f t="shared" si="16"/>
        <v>Acer</v>
      </c>
      <c r="C431" s="1" t="s">
        <v>2396</v>
      </c>
      <c r="D431" s="1" t="str">
        <f t="shared" si="1"/>
        <v>Aspire 5 A515-57G-70GT</v>
      </c>
      <c r="E431" s="1" t="str">
        <f t="array" aca="1" ref="E431" ca="1">IFERROR(
INDEX(Family_Map!$B$2:$B$35,
_xludf.AGGREGATE(14,6,(ROW(Family_Map!$A$2:$A$35)-ROW(Family_Map!$A$2)+1)/(ISNUMBER(SEARCH(Family_Map!$A$2:$A$35,D431))),1)
),
"Other")</f>
        <v>Other</v>
      </c>
      <c r="F431" s="1" t="s">
        <v>2280</v>
      </c>
      <c r="G431" s="1" t="e">
        <f t="shared" ca="1" si="2"/>
        <v>#NAME?</v>
      </c>
      <c r="H431" s="1" t="str">
        <f t="shared" ca="1" si="12"/>
        <v>Other</v>
      </c>
      <c r="I431" s="1" t="s">
        <v>2342</v>
      </c>
      <c r="J431" s="1" t="str">
        <f t="shared" si="3"/>
        <v>4GB</v>
      </c>
      <c r="K431" s="1" t="s">
        <v>512</v>
      </c>
      <c r="L431" s="1">
        <f t="shared" si="28"/>
        <v>8</v>
      </c>
      <c r="M431" s="1" t="s">
        <v>1120</v>
      </c>
      <c r="N431" s="1" t="str">
        <f t="shared" si="5"/>
        <v>512GB</v>
      </c>
      <c r="O431" s="1" t="str">
        <f t="shared" si="6"/>
        <v>512GB</v>
      </c>
      <c r="P431" s="1" t="s">
        <v>120</v>
      </c>
      <c r="Q431" s="1" t="str">
        <f t="shared" si="7"/>
        <v>1920x1080</v>
      </c>
      <c r="S431" s="1" t="str">
        <f t="shared" si="8"/>
        <v/>
      </c>
      <c r="T431" s="1" t="s">
        <v>121</v>
      </c>
      <c r="U431" s="1" t="str">
        <f t="shared" si="9"/>
        <v>DOS</v>
      </c>
      <c r="V431" s="1" t="s">
        <v>2393</v>
      </c>
      <c r="W431" s="1" t="str">
        <f t="shared" si="10"/>
        <v>1.82 kg</v>
      </c>
      <c r="X431" s="1" t="s">
        <v>165</v>
      </c>
      <c r="Y431" s="1" t="str">
        <f t="shared" si="11"/>
        <v>2 Years</v>
      </c>
      <c r="Z431" s="4">
        <v>25700</v>
      </c>
      <c r="AA431" s="1" t="s">
        <v>166</v>
      </c>
    </row>
    <row r="432" spans="1:27" ht="15.75" customHeight="1" x14ac:dyDescent="0.35">
      <c r="A432" s="1" t="s">
        <v>66</v>
      </c>
      <c r="B432" s="1" t="str">
        <f t="shared" si="16"/>
        <v>Acer</v>
      </c>
      <c r="C432" s="1" t="s">
        <v>2397</v>
      </c>
      <c r="D432" s="1" t="str">
        <f t="shared" si="1"/>
        <v>Acer Aspire 7 A715-43G-R380</v>
      </c>
      <c r="E432" s="1" t="str">
        <f t="array" aca="1" ref="E432" ca="1">IFERROR(
INDEX(Family_Map!$B$2:$B$35,
_xludf.AGGREGATE(14,6,(ROW(Family_Map!$A$2:$A$35)-ROW(Family_Map!$A$2)+1)/(ISNUMBER(SEARCH(Family_Map!$A$2:$A$35,D432))),1)
),
"Other")</f>
        <v>Other</v>
      </c>
      <c r="F432" s="1" t="s">
        <v>2398</v>
      </c>
      <c r="G432" s="1" t="e">
        <f t="shared" ca="1" si="2"/>
        <v>#NAME?</v>
      </c>
      <c r="H432" s="1" t="str">
        <f t="shared" ca="1" si="12"/>
        <v>Other</v>
      </c>
      <c r="I432" s="1" t="s">
        <v>2342</v>
      </c>
      <c r="J432" s="1" t="str">
        <f t="shared" si="3"/>
        <v>4GB</v>
      </c>
      <c r="K432" s="1" t="s">
        <v>512</v>
      </c>
      <c r="L432" s="1">
        <f t="shared" si="28"/>
        <v>8</v>
      </c>
      <c r="M432" s="1" t="s">
        <v>1120</v>
      </c>
      <c r="N432" s="1" t="str">
        <f t="shared" si="5"/>
        <v>512GB</v>
      </c>
      <c r="O432" s="1" t="str">
        <f t="shared" si="6"/>
        <v>512GB</v>
      </c>
      <c r="P432" s="1" t="s">
        <v>120</v>
      </c>
      <c r="Q432" s="1" t="str">
        <f t="shared" si="7"/>
        <v>1920x1080</v>
      </c>
      <c r="S432" s="1" t="str">
        <f t="shared" si="8"/>
        <v/>
      </c>
      <c r="T432" s="1" t="s">
        <v>121</v>
      </c>
      <c r="U432" s="1" t="str">
        <f t="shared" si="9"/>
        <v>DOS</v>
      </c>
      <c r="V432" s="1" t="s">
        <v>2402</v>
      </c>
      <c r="W432" s="1" t="str">
        <f t="shared" si="10"/>
        <v>2.15 kg</v>
      </c>
      <c r="X432" s="1" t="s">
        <v>165</v>
      </c>
      <c r="Y432" s="1" t="str">
        <f t="shared" si="11"/>
        <v>2 Years</v>
      </c>
      <c r="Z432" s="4">
        <v>25299</v>
      </c>
      <c r="AA432" s="1" t="s">
        <v>5735</v>
      </c>
    </row>
    <row r="433" spans="1:27" ht="15.75" customHeight="1" x14ac:dyDescent="0.35">
      <c r="A433" s="1" t="s">
        <v>66</v>
      </c>
      <c r="B433" s="1" t="str">
        <f t="shared" si="16"/>
        <v>Acer</v>
      </c>
      <c r="C433" s="1" t="s">
        <v>2404</v>
      </c>
      <c r="D433" s="1" t="str">
        <f t="shared" si="1"/>
        <v>Aspire 7 A715-43G-R3A6</v>
      </c>
      <c r="E433" s="1" t="str">
        <f t="array" aca="1" ref="E433" ca="1">IFERROR(
INDEX(Family_Map!$B$2:$B$35,
_xludf.AGGREGATE(14,6,(ROW(Family_Map!$A$2:$A$35)-ROW(Family_Map!$A$2)+1)/(ISNUMBER(SEARCH(Family_Map!$A$2:$A$35,D433))),1)
),
"Other")</f>
        <v>Other</v>
      </c>
      <c r="F433" s="1" t="s">
        <v>2405</v>
      </c>
      <c r="G433" s="1" t="e">
        <f t="shared" ca="1" si="2"/>
        <v>#NAME?</v>
      </c>
      <c r="H433" s="1" t="str">
        <f t="shared" ca="1" si="12"/>
        <v>Other</v>
      </c>
      <c r="I433" s="1" t="s">
        <v>2342</v>
      </c>
      <c r="J433" s="1" t="str">
        <f t="shared" si="3"/>
        <v>4GB</v>
      </c>
      <c r="K433" s="1" t="s">
        <v>656</v>
      </c>
      <c r="L433" s="1">
        <f t="shared" si="28"/>
        <v>16</v>
      </c>
      <c r="M433" s="1" t="s">
        <v>1120</v>
      </c>
      <c r="N433" s="1" t="str">
        <f t="shared" si="5"/>
        <v>512GB</v>
      </c>
      <c r="O433" s="1" t="str">
        <f t="shared" si="6"/>
        <v>512GB</v>
      </c>
      <c r="P433" s="1" t="s">
        <v>120</v>
      </c>
      <c r="Q433" s="1" t="str">
        <f t="shared" si="7"/>
        <v>1920x1080</v>
      </c>
      <c r="R433" s="1" t="s">
        <v>75</v>
      </c>
      <c r="S433" s="1" t="str">
        <f t="shared" si="8"/>
        <v>144Hz</v>
      </c>
      <c r="T433" s="1" t="s">
        <v>121</v>
      </c>
      <c r="U433" s="1" t="str">
        <f t="shared" si="9"/>
        <v>DOS</v>
      </c>
      <c r="V433" s="1" t="s">
        <v>2402</v>
      </c>
      <c r="W433" s="1" t="str">
        <f t="shared" si="10"/>
        <v>2.15 kg</v>
      </c>
      <c r="X433" s="1" t="s">
        <v>165</v>
      </c>
      <c r="Y433" s="1" t="str">
        <f t="shared" si="11"/>
        <v>2 Years</v>
      </c>
      <c r="Z433" s="4">
        <v>32499</v>
      </c>
      <c r="AA433" s="1" t="s">
        <v>5735</v>
      </c>
    </row>
    <row r="434" spans="1:27" ht="15.75" customHeight="1" x14ac:dyDescent="0.35">
      <c r="A434" s="1" t="s">
        <v>234</v>
      </c>
      <c r="B434" s="1" t="str">
        <f t="shared" si="16"/>
        <v>ASUS</v>
      </c>
      <c r="C434" s="1" t="s">
        <v>2408</v>
      </c>
      <c r="D434" s="1" t="str">
        <f t="shared" si="1"/>
        <v>TUF Dash F15 FX517ZC-HN002W</v>
      </c>
      <c r="E434" s="1" t="str">
        <f t="array" aca="1" ref="E434" ca="1">IFERROR(
INDEX(Family_Map!$B$2:$B$35,
_xludf.AGGREGATE(14,6,(ROW(Family_Map!$A$2:$A$35)-ROW(Family_Map!$A$2)+1)/(ISNUMBER(SEARCH(Family_Map!$A$2:$A$35,D434))),1)
),
"Other")</f>
        <v>Other</v>
      </c>
      <c r="F434" s="1" t="s">
        <v>2137</v>
      </c>
      <c r="G434" s="1" t="e">
        <f t="shared" ca="1" si="2"/>
        <v>#NAME?</v>
      </c>
      <c r="H434" s="1" t="str">
        <f t="shared" ca="1" si="12"/>
        <v>Other</v>
      </c>
      <c r="I434" s="1" t="s">
        <v>2342</v>
      </c>
      <c r="J434" s="1" t="str">
        <f t="shared" si="3"/>
        <v>4GB</v>
      </c>
      <c r="K434" s="1" t="s">
        <v>656</v>
      </c>
      <c r="L434" s="1">
        <f t="shared" si="28"/>
        <v>16</v>
      </c>
      <c r="M434" s="1" t="s">
        <v>1120</v>
      </c>
      <c r="N434" s="1" t="str">
        <f t="shared" si="5"/>
        <v>512GB</v>
      </c>
      <c r="O434" s="1" t="str">
        <f t="shared" si="6"/>
        <v>512GB</v>
      </c>
      <c r="P434" s="1" t="s">
        <v>120</v>
      </c>
      <c r="Q434" s="1" t="str">
        <f t="shared" si="7"/>
        <v>1920x1080</v>
      </c>
      <c r="R434" s="1" t="s">
        <v>75</v>
      </c>
      <c r="S434" s="1" t="str">
        <f t="shared" si="8"/>
        <v>144Hz</v>
      </c>
      <c r="T434" s="1" t="s">
        <v>555</v>
      </c>
      <c r="U434" s="1" t="str">
        <f t="shared" si="9"/>
        <v>Windows 11 Home</v>
      </c>
      <c r="V434" s="1" t="s">
        <v>2078</v>
      </c>
      <c r="W434" s="1" t="str">
        <f t="shared" si="10"/>
        <v>2 kg</v>
      </c>
      <c r="X434" s="1" t="s">
        <v>165</v>
      </c>
      <c r="Y434" s="1" t="str">
        <f t="shared" si="11"/>
        <v>2 Years</v>
      </c>
      <c r="Z434" s="4">
        <v>36000</v>
      </c>
      <c r="AA434" s="1" t="s">
        <v>166</v>
      </c>
    </row>
    <row r="435" spans="1:27" ht="15.75" customHeight="1" x14ac:dyDescent="0.35">
      <c r="A435" s="1" t="s">
        <v>151</v>
      </c>
      <c r="B435" s="1" t="str">
        <f t="shared" si="16"/>
        <v>Lenovo</v>
      </c>
      <c r="C435" s="1" t="s">
        <v>2412</v>
      </c>
      <c r="D435" s="1" t="str">
        <f t="shared" si="1"/>
        <v>Lenovo Ideapad Gaming 3</v>
      </c>
      <c r="E435" s="1" t="str">
        <f t="array" aca="1" ref="E435" ca="1">IFERROR(
INDEX(Family_Map!$B$2:$B$35,
_xludf.AGGREGATE(14,6,(ROW(Family_Map!$A$2:$A$35)-ROW(Family_Map!$A$2)+1)/(ISNUMBER(SEARCH(Family_Map!$A$2:$A$35,D435))),1)
),
"Other")</f>
        <v>Other</v>
      </c>
      <c r="F435" s="1" t="s">
        <v>2137</v>
      </c>
      <c r="G435" s="1" t="e">
        <f t="shared" ca="1" si="2"/>
        <v>#NAME?</v>
      </c>
      <c r="H435" s="1" t="str">
        <f t="shared" ca="1" si="12"/>
        <v>Other</v>
      </c>
      <c r="I435" s="1" t="s">
        <v>1584</v>
      </c>
      <c r="J435" s="1" t="str">
        <f t="shared" si="3"/>
        <v>6GB</v>
      </c>
      <c r="K435" s="1" t="s">
        <v>656</v>
      </c>
      <c r="L435" s="1">
        <f t="shared" si="28"/>
        <v>16</v>
      </c>
      <c r="M435" s="1" t="s">
        <v>1120</v>
      </c>
      <c r="N435" s="1" t="str">
        <f t="shared" si="5"/>
        <v>512GB</v>
      </c>
      <c r="O435" s="1" t="str">
        <f t="shared" si="6"/>
        <v>512GB</v>
      </c>
      <c r="P435" s="1" t="s">
        <v>120</v>
      </c>
      <c r="Q435" s="1" t="str">
        <f t="shared" si="7"/>
        <v>1920x1080</v>
      </c>
      <c r="R435" s="1" t="s">
        <v>39</v>
      </c>
      <c r="S435" s="1" t="str">
        <f t="shared" si="8"/>
        <v>120Hz</v>
      </c>
      <c r="T435" s="1" t="s">
        <v>121</v>
      </c>
      <c r="U435" s="1" t="str">
        <f t="shared" si="9"/>
        <v>DOS</v>
      </c>
      <c r="V435" s="1" t="s">
        <v>1678</v>
      </c>
      <c r="W435" s="1" t="str">
        <f t="shared" si="10"/>
        <v>2.32 kg</v>
      </c>
      <c r="X435" s="1" t="s">
        <v>78</v>
      </c>
      <c r="Y435" s="1" t="str">
        <f t="shared" si="11"/>
        <v>1 Year</v>
      </c>
      <c r="Z435" s="4">
        <v>60499</v>
      </c>
      <c r="AA435" s="1" t="s">
        <v>166</v>
      </c>
    </row>
    <row r="436" spans="1:27" ht="15.75" customHeight="1" x14ac:dyDescent="0.35">
      <c r="A436" s="1" t="s">
        <v>234</v>
      </c>
      <c r="B436" s="1" t="str">
        <f t="shared" si="16"/>
        <v>ASUS</v>
      </c>
      <c r="C436" s="1" t="s">
        <v>2415</v>
      </c>
      <c r="D436" s="1" t="str">
        <f t="shared" si="1"/>
        <v>TUF Gaming A15 FA506ICB-HN005W</v>
      </c>
      <c r="E436" s="1" t="str">
        <f t="array" aca="1" ref="E436" ca="1">IFERROR(
INDEX(Family_Map!$B$2:$B$35,
_xludf.AGGREGATE(14,6,(ROW(Family_Map!$A$2:$A$35)-ROW(Family_Map!$A$2)+1)/(ISNUMBER(SEARCH(Family_Map!$A$2:$A$35,D436))),1)
),
"Other")</f>
        <v>Other</v>
      </c>
      <c r="F436" s="1" t="s">
        <v>2416</v>
      </c>
      <c r="G436" s="1" t="e">
        <f t="shared" ca="1" si="2"/>
        <v>#NAME?</v>
      </c>
      <c r="H436" s="1" t="str">
        <f t="shared" ca="1" si="12"/>
        <v>Other</v>
      </c>
      <c r="I436" s="1" t="s">
        <v>2342</v>
      </c>
      <c r="J436" s="1" t="str">
        <f t="shared" si="3"/>
        <v>4GB</v>
      </c>
      <c r="K436" s="1" t="s">
        <v>512</v>
      </c>
      <c r="L436" s="1">
        <f t="shared" si="28"/>
        <v>8</v>
      </c>
      <c r="M436" s="1" t="s">
        <v>2088</v>
      </c>
      <c r="N436" s="1" t="str">
        <f t="shared" si="5"/>
        <v>512GB</v>
      </c>
      <c r="O436" s="1" t="str">
        <f t="shared" si="6"/>
        <v>512GB</v>
      </c>
      <c r="P436" s="1" t="s">
        <v>120</v>
      </c>
      <c r="Q436" s="1" t="str">
        <f t="shared" si="7"/>
        <v>1920x1080</v>
      </c>
      <c r="R436" s="1" t="s">
        <v>75</v>
      </c>
      <c r="S436" s="1" t="str">
        <f t="shared" si="8"/>
        <v>144Hz</v>
      </c>
      <c r="T436" s="1" t="s">
        <v>555</v>
      </c>
      <c r="U436" s="1" t="str">
        <f t="shared" si="9"/>
        <v>Windows 11 Home</v>
      </c>
      <c r="V436" s="1" t="s">
        <v>1400</v>
      </c>
      <c r="W436" s="1" t="str">
        <f t="shared" si="10"/>
        <v>2.3 kg</v>
      </c>
      <c r="X436" s="1" t="s">
        <v>78</v>
      </c>
      <c r="Y436" s="1" t="str">
        <f t="shared" si="11"/>
        <v>1 Year</v>
      </c>
      <c r="Z436" s="4">
        <v>20999</v>
      </c>
      <c r="AA436" s="1" t="s">
        <v>5735</v>
      </c>
    </row>
    <row r="437" spans="1:27" ht="15.75" customHeight="1" x14ac:dyDescent="0.35">
      <c r="A437" s="1" t="s">
        <v>234</v>
      </c>
      <c r="B437" s="1" t="str">
        <f t="shared" si="16"/>
        <v>ASUS</v>
      </c>
      <c r="C437" s="1" t="s">
        <v>2421</v>
      </c>
      <c r="D437" s="1" t="str">
        <f t="shared" si="1"/>
        <v>TUF Gaming A15 FA506IHR-HN019W</v>
      </c>
      <c r="E437" s="1" t="str">
        <f t="array" aca="1" ref="E437" ca="1">IFERROR(
INDEX(Family_Map!$B$2:$B$35,
_xludf.AGGREGATE(14,6,(ROW(Family_Map!$A$2:$A$35)-ROW(Family_Map!$A$2)+1)/(ISNUMBER(SEARCH(Family_Map!$A$2:$A$35,D437))),1)
),
"Other")</f>
        <v>Other</v>
      </c>
      <c r="F437" s="1" t="s">
        <v>2416</v>
      </c>
      <c r="G437" s="1" t="e">
        <f t="shared" ca="1" si="2"/>
        <v>#NAME?</v>
      </c>
      <c r="H437" s="1" t="str">
        <f t="shared" ca="1" si="12"/>
        <v>Other</v>
      </c>
      <c r="I437" s="1" t="s">
        <v>2342</v>
      </c>
      <c r="J437" s="1" t="str">
        <f t="shared" si="3"/>
        <v>4GB</v>
      </c>
      <c r="K437" s="1" t="s">
        <v>2423</v>
      </c>
      <c r="L437" s="1">
        <f t="shared" si="28"/>
        <v>8</v>
      </c>
      <c r="M437" s="1" t="s">
        <v>1604</v>
      </c>
      <c r="N437" s="1" t="str">
        <f t="shared" si="5"/>
        <v>512GB</v>
      </c>
      <c r="O437" s="1" t="str">
        <f t="shared" si="6"/>
        <v>512GB</v>
      </c>
      <c r="P437" s="1" t="s">
        <v>120</v>
      </c>
      <c r="Q437" s="1" t="str">
        <f t="shared" si="7"/>
        <v>1920x1080</v>
      </c>
      <c r="R437" s="1" t="s">
        <v>75</v>
      </c>
      <c r="S437" s="1" t="str">
        <f t="shared" si="8"/>
        <v>144Hz</v>
      </c>
      <c r="T437" s="1" t="s">
        <v>2425</v>
      </c>
      <c r="U437" s="1" t="str">
        <f t="shared" si="9"/>
        <v>Windows 11 Home</v>
      </c>
      <c r="V437" s="1" t="s">
        <v>1400</v>
      </c>
      <c r="W437" s="1" t="str">
        <f t="shared" si="10"/>
        <v>2.3 kg</v>
      </c>
      <c r="X437" s="1" t="s">
        <v>165</v>
      </c>
      <c r="Y437" s="1" t="str">
        <f t="shared" si="11"/>
        <v>2 Years</v>
      </c>
      <c r="Z437" s="4">
        <v>23100</v>
      </c>
      <c r="AA437" s="1" t="s">
        <v>5735</v>
      </c>
    </row>
    <row r="438" spans="1:27" ht="15.75" customHeight="1" x14ac:dyDescent="0.35">
      <c r="A438" s="1" t="s">
        <v>30</v>
      </c>
      <c r="B438" s="1" t="str">
        <f t="shared" si="16"/>
        <v>MSI</v>
      </c>
      <c r="C438" s="1" t="s">
        <v>2428</v>
      </c>
      <c r="D438" s="1" t="str">
        <f t="shared" si="1"/>
        <v>GF63 Thin 10SC</v>
      </c>
      <c r="E438" s="1" t="str">
        <f t="array" aca="1" ref="E438" ca="1">IFERROR(
INDEX(Family_Map!$B$2:$B$35,
_xludf.AGGREGATE(14,6,(ROW(Family_Map!$A$2:$A$35)-ROW(Family_Map!$A$2)+1)/(ISNUMBER(SEARCH(Family_Map!$A$2:$A$35,D438))),1)
),
"Other")</f>
        <v>Other</v>
      </c>
      <c r="F438" s="1" t="s">
        <v>2184</v>
      </c>
      <c r="G438" s="1" t="e">
        <f t="shared" ca="1" si="2"/>
        <v>#NAME?</v>
      </c>
      <c r="H438" s="1" t="str">
        <f t="shared" ca="1" si="12"/>
        <v>Other</v>
      </c>
      <c r="I438" s="1" t="s">
        <v>2430</v>
      </c>
      <c r="J438" s="1" t="str">
        <f t="shared" si="3"/>
        <v>4 GB</v>
      </c>
      <c r="K438" s="1" t="s">
        <v>2431</v>
      </c>
      <c r="L438" s="1">
        <f t="shared" si="28"/>
        <v>8</v>
      </c>
      <c r="M438" s="1" t="s">
        <v>2432</v>
      </c>
      <c r="N438" s="1" t="str">
        <f t="shared" si="5"/>
        <v>256GB</v>
      </c>
      <c r="O438" s="1" t="str">
        <f t="shared" si="6"/>
        <v>256GB</v>
      </c>
      <c r="P438" s="1" t="s">
        <v>120</v>
      </c>
      <c r="Q438" s="1" t="str">
        <f t="shared" si="7"/>
        <v>1920x1080</v>
      </c>
      <c r="S438" s="1" t="str">
        <f t="shared" si="8"/>
        <v/>
      </c>
      <c r="T438" s="1" t="s">
        <v>121</v>
      </c>
      <c r="U438" s="1" t="str">
        <f t="shared" si="9"/>
        <v>DOS</v>
      </c>
      <c r="V438" s="1" t="s">
        <v>376</v>
      </c>
      <c r="W438" s="1" t="str">
        <f t="shared" si="10"/>
        <v>1.86 kg</v>
      </c>
      <c r="X438" s="1" t="s">
        <v>78</v>
      </c>
      <c r="Y438" s="1" t="str">
        <f t="shared" si="11"/>
        <v>1 Year</v>
      </c>
      <c r="Z438" s="4">
        <v>32000</v>
      </c>
      <c r="AA438" s="1" t="s">
        <v>2181</v>
      </c>
    </row>
    <row r="439" spans="1:27" ht="15.75" customHeight="1" x14ac:dyDescent="0.35">
      <c r="A439" s="1" t="s">
        <v>112</v>
      </c>
      <c r="B439" s="1" t="str">
        <f t="shared" si="16"/>
        <v>HP</v>
      </c>
      <c r="C439" s="1" t="s">
        <v>2440</v>
      </c>
      <c r="D439" s="1" t="str">
        <f t="shared" si="1"/>
        <v>Victus 16-D1012NIA</v>
      </c>
      <c r="E439" s="1" t="str">
        <f t="array" aca="1" ref="E439" ca="1">IFERROR(
INDEX(Family_Map!$B$2:$B$35,
_xludf.AGGREGATE(14,6,(ROW(Family_Map!$A$2:$A$35)-ROW(Family_Map!$A$2)+1)/(ISNUMBER(SEARCH(Family_Map!$A$2:$A$35,D439))),1)
),
"Other")</f>
        <v>Other</v>
      </c>
      <c r="F439" s="1" t="s">
        <v>1118</v>
      </c>
      <c r="G439" s="1" t="e">
        <f t="shared" ca="1" si="2"/>
        <v>#NAME?</v>
      </c>
      <c r="H439" s="1" t="str">
        <f t="shared" ca="1" si="12"/>
        <v>Other</v>
      </c>
      <c r="I439" s="1" t="s">
        <v>1584</v>
      </c>
      <c r="J439" s="1" t="str">
        <f t="shared" si="3"/>
        <v>6GB</v>
      </c>
      <c r="K439" s="1" t="s">
        <v>1491</v>
      </c>
      <c r="L439" s="1">
        <f t="shared" si="28"/>
        <v>16</v>
      </c>
      <c r="M439" s="1" t="s">
        <v>1624</v>
      </c>
      <c r="N439" s="1" t="str">
        <f t="shared" si="5"/>
        <v>1 TB</v>
      </c>
      <c r="O439" s="1" t="str">
        <f t="shared" si="6"/>
        <v>1024GB</v>
      </c>
      <c r="P439" s="1" t="s">
        <v>120</v>
      </c>
      <c r="Q439" s="1" t="str">
        <f t="shared" si="7"/>
        <v>1920x1080</v>
      </c>
      <c r="R439" s="1" t="s">
        <v>75</v>
      </c>
      <c r="S439" s="1" t="str">
        <f t="shared" si="8"/>
        <v>144Hz</v>
      </c>
      <c r="T439" s="1" t="s">
        <v>121</v>
      </c>
      <c r="U439" s="1" t="str">
        <f t="shared" si="9"/>
        <v>DOS</v>
      </c>
      <c r="V439" s="1" t="s">
        <v>2011</v>
      </c>
      <c r="W439" s="1" t="str">
        <f t="shared" si="10"/>
        <v>2.46 kg</v>
      </c>
      <c r="X439" s="1" t="s">
        <v>78</v>
      </c>
      <c r="Y439" s="1" t="str">
        <f t="shared" si="11"/>
        <v>1 Year</v>
      </c>
      <c r="Z439" s="4">
        <v>49999</v>
      </c>
      <c r="AA439" s="1" t="s">
        <v>166</v>
      </c>
    </row>
    <row r="440" spans="1:27" ht="15.75" customHeight="1" x14ac:dyDescent="0.35">
      <c r="A440" s="1" t="s">
        <v>112</v>
      </c>
      <c r="B440" s="1" t="str">
        <f t="shared" si="16"/>
        <v>HP</v>
      </c>
      <c r="C440" s="1" t="s">
        <v>2442</v>
      </c>
      <c r="D440" s="1" t="str">
        <f t="shared" si="1"/>
        <v>Victus 16-E0003NE</v>
      </c>
      <c r="E440" s="1" t="str">
        <f t="array" aca="1" ref="E440" ca="1">IFERROR(
INDEX(Family_Map!$B$2:$B$35,
_xludf.AGGREGATE(14,6,(ROW(Family_Map!$A$2:$A$35)-ROW(Family_Map!$A$2)+1)/(ISNUMBER(SEARCH(Family_Map!$A$2:$A$35,D440))),1)
),
"Other")</f>
        <v>Other</v>
      </c>
      <c r="F440" s="1" t="s">
        <v>2142</v>
      </c>
      <c r="G440" s="1" t="e">
        <f t="shared" ca="1" si="2"/>
        <v>#NAME?</v>
      </c>
      <c r="H440" s="1" t="str">
        <f t="shared" ca="1" si="12"/>
        <v>Other</v>
      </c>
      <c r="I440" s="1" t="s">
        <v>2342</v>
      </c>
      <c r="J440" s="1" t="str">
        <f t="shared" si="3"/>
        <v>4GB</v>
      </c>
      <c r="K440" s="1" t="s">
        <v>2444</v>
      </c>
      <c r="L440" s="1">
        <f t="shared" si="28"/>
        <v>8</v>
      </c>
      <c r="M440" s="1" t="s">
        <v>2445</v>
      </c>
      <c r="N440" s="1" t="str">
        <f t="shared" si="5"/>
        <v>512GB</v>
      </c>
      <c r="O440" s="1" t="str">
        <f t="shared" si="6"/>
        <v>512GB</v>
      </c>
      <c r="P440" s="1" t="s">
        <v>120</v>
      </c>
      <c r="Q440" s="1" t="str">
        <f t="shared" si="7"/>
        <v>1920x1080</v>
      </c>
      <c r="S440" s="1" t="str">
        <f t="shared" si="8"/>
        <v/>
      </c>
      <c r="T440" s="1" t="s">
        <v>2447</v>
      </c>
      <c r="U440" s="1" t="str">
        <f t="shared" si="9"/>
        <v>Windows 11 Home</v>
      </c>
      <c r="V440" s="1" t="s">
        <v>2011</v>
      </c>
      <c r="W440" s="1" t="str">
        <f t="shared" si="10"/>
        <v>2.46 kg</v>
      </c>
      <c r="X440" s="1" t="s">
        <v>78</v>
      </c>
      <c r="Y440" s="1" t="str">
        <f t="shared" si="11"/>
        <v>1 Year</v>
      </c>
      <c r="Z440" s="4">
        <v>24999</v>
      </c>
      <c r="AA440" s="1" t="s">
        <v>5735</v>
      </c>
    </row>
    <row r="441" spans="1:27" ht="15.75" customHeight="1" x14ac:dyDescent="0.35">
      <c r="A441" s="1" t="s">
        <v>66</v>
      </c>
      <c r="B441" s="1" t="str">
        <f t="shared" si="16"/>
        <v>Acer</v>
      </c>
      <c r="C441" s="1" t="s">
        <v>2453</v>
      </c>
      <c r="D441" s="1" t="str">
        <f t="shared" si="1"/>
        <v>Nitro 5 AN515 57 5700</v>
      </c>
      <c r="E441" s="1" t="str">
        <f t="array" aca="1" ref="E441" ca="1">IFERROR(
INDEX(Family_Map!$B$2:$B$35,
_xludf.AGGREGATE(14,6,(ROW(Family_Map!$A$2:$A$35)-ROW(Family_Map!$A$2)+1)/(ISNUMBER(SEARCH(Family_Map!$A$2:$A$35,D441))),1)
),
"Other")</f>
        <v>Other</v>
      </c>
      <c r="F441" s="1" t="s">
        <v>1613</v>
      </c>
      <c r="G441" s="1" t="e">
        <f t="shared" ca="1" si="2"/>
        <v>#NAME?</v>
      </c>
      <c r="H441" s="1" t="str">
        <f t="shared" ca="1" si="12"/>
        <v>Other</v>
      </c>
      <c r="I441" s="1" t="s">
        <v>2342</v>
      </c>
      <c r="J441" s="1" t="str">
        <f t="shared" si="3"/>
        <v>4GB</v>
      </c>
      <c r="K441" s="1" t="s">
        <v>2455</v>
      </c>
      <c r="L441" s="1">
        <f t="shared" si="28"/>
        <v>16</v>
      </c>
      <c r="M441" s="1" t="s">
        <v>2456</v>
      </c>
      <c r="N441" s="1" t="str">
        <f t="shared" si="5"/>
        <v>512GB</v>
      </c>
      <c r="O441" s="1" t="str">
        <f t="shared" si="6"/>
        <v>512GB</v>
      </c>
      <c r="P441" s="1" t="s">
        <v>120</v>
      </c>
      <c r="Q441" s="1" t="str">
        <f t="shared" si="7"/>
        <v>1920x1080</v>
      </c>
      <c r="R441" s="1" t="s">
        <v>75</v>
      </c>
      <c r="S441" s="1" t="str">
        <f t="shared" si="8"/>
        <v>144Hz</v>
      </c>
      <c r="T441" s="1" t="s">
        <v>1722</v>
      </c>
      <c r="U441" s="1" t="str">
        <f t="shared" si="9"/>
        <v>Windows 10 Home</v>
      </c>
      <c r="V441" s="1" t="s">
        <v>2460</v>
      </c>
      <c r="W441" s="1" t="str">
        <f t="shared" si="10"/>
        <v>2.4 kg</v>
      </c>
      <c r="X441" s="1" t="s">
        <v>78</v>
      </c>
      <c r="Y441" s="1" t="str">
        <f t="shared" si="11"/>
        <v>1 Year</v>
      </c>
      <c r="Z441" s="4">
        <v>24499</v>
      </c>
      <c r="AA441" s="1" t="s">
        <v>1082</v>
      </c>
    </row>
    <row r="442" spans="1:27" ht="15.75" customHeight="1" x14ac:dyDescent="0.35">
      <c r="A442" s="1" t="s">
        <v>81</v>
      </c>
      <c r="B442" s="1" t="str">
        <f t="shared" si="16"/>
        <v>Dell</v>
      </c>
      <c r="C442" s="1" t="s">
        <v>2462</v>
      </c>
      <c r="D442" s="1" t="str">
        <f t="shared" si="1"/>
        <v>G15 5511</v>
      </c>
      <c r="E442" s="1" t="str">
        <f t="array" aca="1" ref="E442" ca="1">IFERROR(
INDEX(Family_Map!$B$2:$B$35,
_xludf.AGGREGATE(14,6,(ROW(Family_Map!$A$2:$A$35)-ROW(Family_Map!$A$2)+1)/(ISNUMBER(SEARCH(Family_Map!$A$2:$A$35,D442))),1)
),
"Other")</f>
        <v>Other</v>
      </c>
      <c r="F442" s="1" t="s">
        <v>1613</v>
      </c>
      <c r="G442" s="1" t="e">
        <f t="shared" ca="1" si="2"/>
        <v>#NAME?</v>
      </c>
      <c r="H442" s="1" t="str">
        <f t="shared" ca="1" si="12"/>
        <v>Other</v>
      </c>
      <c r="I442" s="1" t="s">
        <v>507</v>
      </c>
      <c r="J442" s="1" t="str">
        <f t="shared" si="3"/>
        <v>4GB</v>
      </c>
      <c r="K442" s="1" t="s">
        <v>2464</v>
      </c>
      <c r="L442" s="1">
        <f t="shared" si="28"/>
        <v>8</v>
      </c>
      <c r="M442" s="1" t="s">
        <v>2465</v>
      </c>
      <c r="N442" s="1" t="str">
        <f t="shared" si="5"/>
        <v>512 GB</v>
      </c>
      <c r="O442" s="1" t="str">
        <f t="shared" si="6"/>
        <v>512 GB</v>
      </c>
      <c r="P442" s="1" t="s">
        <v>120</v>
      </c>
      <c r="Q442" s="1" t="str">
        <f t="shared" si="7"/>
        <v>1920x1080</v>
      </c>
      <c r="R442" s="1" t="s">
        <v>39</v>
      </c>
      <c r="S442" s="1" t="str">
        <f t="shared" si="8"/>
        <v>120Hz</v>
      </c>
      <c r="T442" s="1" t="s">
        <v>90</v>
      </c>
      <c r="U442" s="1" t="str">
        <f t="shared" si="9"/>
        <v>Windows 11 Home</v>
      </c>
      <c r="V442" s="1" t="s">
        <v>2471</v>
      </c>
      <c r="W442" s="1" t="str">
        <f t="shared" si="10"/>
        <v>2.56 kg</v>
      </c>
      <c r="X442" s="1" t="s">
        <v>78</v>
      </c>
      <c r="Y442" s="1" t="str">
        <f t="shared" si="11"/>
        <v>1 Year</v>
      </c>
      <c r="Z442" s="4">
        <v>47777</v>
      </c>
      <c r="AA442" s="1" t="s">
        <v>1082</v>
      </c>
    </row>
    <row r="443" spans="1:27" ht="15.75" customHeight="1" x14ac:dyDescent="0.35">
      <c r="A443" s="1" t="s">
        <v>112</v>
      </c>
      <c r="B443" s="1" t="str">
        <f t="shared" si="16"/>
        <v>HP</v>
      </c>
      <c r="C443" s="1" t="s">
        <v>2473</v>
      </c>
      <c r="D443" s="1" t="str">
        <f t="shared" si="1"/>
        <v>OMEN 16-B0002TX</v>
      </c>
      <c r="E443" s="1" t="str">
        <f t="array" aca="1" ref="E443" ca="1">IFERROR(
INDEX(Family_Map!$B$2:$B$35,
_xludf.AGGREGATE(14,6,(ROW(Family_Map!$A$2:$A$35)-ROW(Family_Map!$A$2)+1)/(ISNUMBER(SEARCH(Family_Map!$A$2:$A$35,D443))),1)
),
"Other")</f>
        <v>Other</v>
      </c>
      <c r="F443" s="1" t="s">
        <v>1613</v>
      </c>
      <c r="G443" s="1" t="e">
        <f t="shared" ca="1" si="2"/>
        <v>#NAME?</v>
      </c>
      <c r="H443" s="1" t="str">
        <f t="shared" ca="1" si="12"/>
        <v>Other</v>
      </c>
      <c r="I443" s="1" t="s">
        <v>507</v>
      </c>
      <c r="J443" s="1" t="str">
        <f t="shared" si="3"/>
        <v>4GB</v>
      </c>
      <c r="K443" s="1" t="s">
        <v>2474</v>
      </c>
      <c r="L443" s="1">
        <f t="shared" si="28"/>
        <v>16</v>
      </c>
      <c r="M443" s="1" t="s">
        <v>1813</v>
      </c>
      <c r="N443" s="1" t="str">
        <f t="shared" si="5"/>
        <v>512 GB</v>
      </c>
      <c r="O443" s="1" t="str">
        <f t="shared" si="6"/>
        <v>512 GB</v>
      </c>
      <c r="P443" s="1" t="s">
        <v>120</v>
      </c>
      <c r="Q443" s="1" t="str">
        <f t="shared" si="7"/>
        <v>1920x1080</v>
      </c>
      <c r="S443" s="1" t="str">
        <f t="shared" si="8"/>
        <v/>
      </c>
      <c r="T443" s="1" t="s">
        <v>90</v>
      </c>
      <c r="U443" s="1" t="str">
        <f t="shared" si="9"/>
        <v>Windows 11 Home</v>
      </c>
      <c r="V443" s="1" t="s">
        <v>503</v>
      </c>
      <c r="W443" s="1" t="str">
        <f t="shared" si="10"/>
        <v>2.3 kg</v>
      </c>
      <c r="X443" s="1" t="s">
        <v>78</v>
      </c>
      <c r="Y443" s="1" t="str">
        <f t="shared" si="11"/>
        <v>1 Year</v>
      </c>
      <c r="Z443" s="4">
        <v>28999</v>
      </c>
      <c r="AA443" s="1" t="s">
        <v>1082</v>
      </c>
    </row>
    <row r="444" spans="1:27" ht="15.75" customHeight="1" x14ac:dyDescent="0.35">
      <c r="A444" s="1" t="s">
        <v>112</v>
      </c>
      <c r="B444" s="1" t="str">
        <f t="shared" si="16"/>
        <v>HP</v>
      </c>
      <c r="C444" s="1" t="s">
        <v>2478</v>
      </c>
      <c r="D444" s="1" t="str">
        <f t="shared" si="1"/>
        <v>Victus 16-D0032NE</v>
      </c>
      <c r="E444" s="1" t="str">
        <f t="array" aca="1" ref="E444" ca="1">IFERROR(
INDEX(Family_Map!$B$2:$B$35,
_xludf.AGGREGATE(14,6,(ROW(Family_Map!$A$2:$A$35)-ROW(Family_Map!$A$2)+1)/(ISNUMBER(SEARCH(Family_Map!$A$2:$A$35,D444))),1)
),
"Other")</f>
        <v>Other</v>
      </c>
      <c r="F444" s="1" t="s">
        <v>1075</v>
      </c>
      <c r="G444" s="1" t="e">
        <f t="shared" ca="1" si="2"/>
        <v>#NAME?</v>
      </c>
      <c r="H444" s="1" t="str">
        <f t="shared" ca="1" si="12"/>
        <v>Other</v>
      </c>
      <c r="I444" s="1" t="s">
        <v>70</v>
      </c>
      <c r="J444" s="1" t="str">
        <f t="shared" si="3"/>
        <v>6GB</v>
      </c>
      <c r="K444" s="1" t="s">
        <v>491</v>
      </c>
      <c r="L444" s="1">
        <f t="shared" si="28"/>
        <v>16</v>
      </c>
      <c r="M444" s="1" t="s">
        <v>322</v>
      </c>
      <c r="N444" s="1" t="str">
        <f t="shared" si="5"/>
        <v>1TB</v>
      </c>
      <c r="O444" s="1" t="str">
        <f t="shared" si="6"/>
        <v>1024GB</v>
      </c>
      <c r="P444" s="1" t="s">
        <v>120</v>
      </c>
      <c r="Q444" s="1" t="str">
        <f t="shared" si="7"/>
        <v>1920x1080</v>
      </c>
      <c r="R444" s="1" t="s">
        <v>75</v>
      </c>
      <c r="S444" s="1" t="str">
        <f t="shared" si="8"/>
        <v>144Hz</v>
      </c>
      <c r="T444" s="1" t="s">
        <v>101</v>
      </c>
      <c r="U444" s="1" t="str">
        <f t="shared" si="9"/>
        <v>DOS</v>
      </c>
      <c r="V444" s="1" t="s">
        <v>2483</v>
      </c>
      <c r="W444" s="1" t="str">
        <f t="shared" si="10"/>
        <v>2.48 kg</v>
      </c>
      <c r="X444" s="1" t="s">
        <v>78</v>
      </c>
      <c r="Y444" s="1" t="str">
        <f t="shared" si="11"/>
        <v>1 Year</v>
      </c>
      <c r="Z444" s="4">
        <v>37800</v>
      </c>
      <c r="AA444" s="1" t="s">
        <v>1082</v>
      </c>
    </row>
    <row r="445" spans="1:27" ht="15.75" customHeight="1" x14ac:dyDescent="0.35">
      <c r="A445" s="1" t="s">
        <v>112</v>
      </c>
      <c r="B445" s="1" t="str">
        <f t="shared" si="16"/>
        <v>HP</v>
      </c>
      <c r="C445" s="1" t="s">
        <v>2485</v>
      </c>
      <c r="D445" s="1" t="str">
        <f t="shared" si="1"/>
        <v>Victus 15-FA0032DX</v>
      </c>
      <c r="E445" s="1" t="str">
        <f t="array" aca="1" ref="E445" ca="1">IFERROR(
INDEX(Family_Map!$B$2:$B$35,
_xludf.AGGREGATE(14,6,(ROW(Family_Map!$A$2:$A$35)-ROW(Family_Map!$A$2)+1)/(ISNUMBER(SEARCH(Family_Map!$A$2:$A$35,D445))),1)
),
"Other")</f>
        <v>Other</v>
      </c>
      <c r="F445" s="1" t="s">
        <v>2137</v>
      </c>
      <c r="G445" s="1" t="e">
        <f t="shared" ca="1" si="2"/>
        <v>#NAME?</v>
      </c>
      <c r="H445" s="1" t="str">
        <f t="shared" ca="1" si="12"/>
        <v>Other</v>
      </c>
      <c r="I445" s="1" t="s">
        <v>507</v>
      </c>
      <c r="J445" s="1" t="str">
        <f t="shared" si="3"/>
        <v>4GB</v>
      </c>
      <c r="K445" s="1" t="s">
        <v>2487</v>
      </c>
      <c r="L445" s="1">
        <f t="shared" si="28"/>
        <v>16</v>
      </c>
      <c r="M445" s="1" t="s">
        <v>2488</v>
      </c>
      <c r="N445" s="1" t="str">
        <f t="shared" si="5"/>
        <v>512 GB</v>
      </c>
      <c r="O445" s="1" t="str">
        <f t="shared" si="6"/>
        <v>512 GB</v>
      </c>
      <c r="P445" s="1" t="s">
        <v>120</v>
      </c>
      <c r="Q445" s="1" t="str">
        <f t="shared" si="7"/>
        <v>1920x1080</v>
      </c>
      <c r="R445" s="1" t="s">
        <v>75</v>
      </c>
      <c r="S445" s="1" t="str">
        <f t="shared" si="8"/>
        <v>144Hz</v>
      </c>
      <c r="T445" s="1" t="s">
        <v>90</v>
      </c>
      <c r="U445" s="1" t="str">
        <f t="shared" si="9"/>
        <v>Windows 11 Home</v>
      </c>
      <c r="V445" s="1" t="s">
        <v>2011</v>
      </c>
      <c r="W445" s="1" t="str">
        <f t="shared" si="10"/>
        <v>2.46 kg</v>
      </c>
      <c r="X445" s="1" t="s">
        <v>78</v>
      </c>
      <c r="Y445" s="1" t="str">
        <f t="shared" si="11"/>
        <v>1 Year</v>
      </c>
      <c r="Z445" s="4">
        <v>47500</v>
      </c>
      <c r="AA445" s="1" t="s">
        <v>166</v>
      </c>
    </row>
    <row r="446" spans="1:27" ht="15.75" customHeight="1" x14ac:dyDescent="0.35">
      <c r="A446" s="1" t="s">
        <v>234</v>
      </c>
      <c r="B446" s="1" t="str">
        <f t="shared" si="16"/>
        <v>ASUS</v>
      </c>
      <c r="C446" s="1" t="s">
        <v>2495</v>
      </c>
      <c r="D446" s="1" t="str">
        <f t="shared" si="1"/>
        <v>ROG Strix G15 G513RC-HN088W</v>
      </c>
      <c r="E446" s="1" t="str">
        <f t="array" aca="1" ref="E446" ca="1">IFERROR(
INDEX(Family_Map!$B$2:$B$35,
_xludf.AGGREGATE(14,6,(ROW(Family_Map!$A$2:$A$35)-ROW(Family_Map!$A$2)+1)/(ISNUMBER(SEARCH(Family_Map!$A$2:$A$35,D446))),1)
),
"Other")</f>
        <v>Other</v>
      </c>
      <c r="F446" s="1" t="s">
        <v>2496</v>
      </c>
      <c r="G446" s="1" t="e">
        <f t="shared" ca="1" si="2"/>
        <v>#NAME?</v>
      </c>
      <c r="H446" s="1" t="str">
        <f t="shared" ca="1" si="12"/>
        <v>Other</v>
      </c>
      <c r="I446" s="1" t="s">
        <v>507</v>
      </c>
      <c r="J446" s="1" t="str">
        <f t="shared" si="3"/>
        <v>4GB</v>
      </c>
      <c r="K446" s="1" t="s">
        <v>2497</v>
      </c>
      <c r="L446" s="1">
        <f t="shared" si="28"/>
        <v>16</v>
      </c>
      <c r="M446" s="1" t="s">
        <v>295</v>
      </c>
      <c r="N446" s="1" t="str">
        <f t="shared" si="5"/>
        <v>512GB</v>
      </c>
      <c r="O446" s="1" t="str">
        <f t="shared" si="6"/>
        <v>512GB</v>
      </c>
      <c r="P446" s="1" t="s">
        <v>120</v>
      </c>
      <c r="Q446" s="1" t="str">
        <f t="shared" si="7"/>
        <v>1920x1080</v>
      </c>
      <c r="R446" s="1" t="s">
        <v>75</v>
      </c>
      <c r="S446" s="1" t="str">
        <f t="shared" si="8"/>
        <v>144Hz</v>
      </c>
      <c r="T446" s="1" t="s">
        <v>90</v>
      </c>
      <c r="U446" s="1" t="str">
        <f t="shared" si="9"/>
        <v>Windows 11 Home</v>
      </c>
      <c r="V446" s="1" t="s">
        <v>2501</v>
      </c>
      <c r="W446" s="1" t="str">
        <f t="shared" si="10"/>
        <v>2.1 kg</v>
      </c>
      <c r="X446" s="1" t="s">
        <v>339</v>
      </c>
      <c r="Y446" s="1" t="str">
        <f t="shared" si="11"/>
        <v>2 Years</v>
      </c>
      <c r="Z446" s="4">
        <v>57666</v>
      </c>
      <c r="AA446" s="1" t="s">
        <v>5735</v>
      </c>
    </row>
    <row r="447" spans="1:27" ht="15.75" customHeight="1" x14ac:dyDescent="0.35">
      <c r="A447" s="1" t="s">
        <v>151</v>
      </c>
      <c r="B447" s="1" t="str">
        <f t="shared" si="16"/>
        <v>Lenovo</v>
      </c>
      <c r="C447" s="1" t="s">
        <v>1074</v>
      </c>
      <c r="D447" s="1" t="str">
        <f t="shared" si="1"/>
        <v>Legion 5 15ITH6H</v>
      </c>
      <c r="E447" s="1" t="str">
        <f t="array" aca="1" ref="E447" ca="1">IFERROR(
INDEX(Family_Map!$B$2:$B$35,
_xludf.AGGREGATE(14,6,(ROW(Family_Map!$A$2:$A$35)-ROW(Family_Map!$A$2)+1)/(ISNUMBER(SEARCH(Family_Map!$A$2:$A$35,D447))),1)
),
"Other")</f>
        <v>Other</v>
      </c>
      <c r="F447" s="1" t="s">
        <v>2504</v>
      </c>
      <c r="G447" s="1" t="e">
        <f t="shared" ca="1" si="2"/>
        <v>#NAME?</v>
      </c>
      <c r="H447" s="1" t="str">
        <f t="shared" ca="1" si="12"/>
        <v>Other</v>
      </c>
      <c r="I447" s="1" t="s">
        <v>410</v>
      </c>
      <c r="J447" s="1" t="str">
        <f t="shared" si="3"/>
        <v>8GB</v>
      </c>
      <c r="K447" s="1" t="s">
        <v>1077</v>
      </c>
      <c r="L447" s="1">
        <f t="shared" si="28"/>
        <v>16</v>
      </c>
      <c r="M447" s="1" t="s">
        <v>2505</v>
      </c>
      <c r="N447" s="1" t="str">
        <f t="shared" si="5"/>
        <v>1TB</v>
      </c>
      <c r="O447" s="1" t="str">
        <f t="shared" si="6"/>
        <v>1024GB</v>
      </c>
      <c r="P447" s="1" t="s">
        <v>1371</v>
      </c>
      <c r="Q447" s="1" t="str">
        <f t="shared" si="7"/>
        <v>2560x1440</v>
      </c>
      <c r="R447" s="1" t="s">
        <v>57</v>
      </c>
      <c r="S447" s="1" t="str">
        <f t="shared" si="8"/>
        <v>165Hz</v>
      </c>
      <c r="T447" s="1" t="s">
        <v>2507</v>
      </c>
      <c r="U447" s="1" t="str">
        <f t="shared" si="9"/>
        <v>DOS</v>
      </c>
      <c r="V447" s="1" t="s">
        <v>63</v>
      </c>
      <c r="W447" s="1" t="str">
        <f t="shared" si="10"/>
        <v>2.4 kg</v>
      </c>
      <c r="X447" s="1" t="s">
        <v>78</v>
      </c>
      <c r="Y447" s="1" t="str">
        <f t="shared" si="11"/>
        <v>1 Year</v>
      </c>
      <c r="Z447" s="4">
        <v>49999</v>
      </c>
      <c r="AA447" s="1" t="s">
        <v>1082</v>
      </c>
    </row>
    <row r="448" spans="1:27" ht="15.75" customHeight="1" x14ac:dyDescent="0.35">
      <c r="A448" s="1" t="s">
        <v>151</v>
      </c>
      <c r="B448" s="1" t="str">
        <f t="shared" si="16"/>
        <v>Lenovo</v>
      </c>
      <c r="C448" s="1" t="s">
        <v>2512</v>
      </c>
      <c r="D448" s="1" t="str">
        <f t="shared" si="1"/>
        <v>Legion 5 Pro 16ACH6H</v>
      </c>
      <c r="E448" s="1" t="str">
        <f t="array" aca="1" ref="E448" ca="1">IFERROR(
INDEX(Family_Map!$B$2:$B$35,
_xludf.AGGREGATE(14,6,(ROW(Family_Map!$A$2:$A$35)-ROW(Family_Map!$A$2)+1)/(ISNUMBER(SEARCH(Family_Map!$A$2:$A$35,D448))),1)
),
"Other")</f>
        <v>Other</v>
      </c>
      <c r="F448" s="1" t="s">
        <v>1601</v>
      </c>
      <c r="G448" s="1" t="e">
        <f t="shared" ca="1" si="2"/>
        <v>#NAME?</v>
      </c>
      <c r="H448" s="1" t="str">
        <f t="shared" ca="1" si="12"/>
        <v>Other</v>
      </c>
      <c r="I448" s="1" t="s">
        <v>410</v>
      </c>
      <c r="J448" s="1" t="str">
        <f t="shared" si="3"/>
        <v>8GB</v>
      </c>
      <c r="K448" s="1" t="s">
        <v>1077</v>
      </c>
      <c r="L448" s="1">
        <f t="shared" si="28"/>
        <v>16</v>
      </c>
      <c r="M448" s="1" t="s">
        <v>829</v>
      </c>
      <c r="N448" s="1" t="str">
        <f t="shared" si="5"/>
        <v>512GB</v>
      </c>
      <c r="O448" s="1" t="str">
        <f t="shared" si="6"/>
        <v>512GB</v>
      </c>
      <c r="P448" s="1" t="s">
        <v>224</v>
      </c>
      <c r="Q448" s="1" t="str">
        <f t="shared" si="7"/>
        <v>2560x1600</v>
      </c>
      <c r="R448" s="1" t="s">
        <v>57</v>
      </c>
      <c r="S448" s="1" t="str">
        <f t="shared" si="8"/>
        <v>165Hz</v>
      </c>
      <c r="T448" s="1" t="s">
        <v>2514</v>
      </c>
      <c r="U448" s="1" t="str">
        <f t="shared" si="9"/>
        <v>Windows 11 Home</v>
      </c>
      <c r="V448" s="1" t="s">
        <v>2517</v>
      </c>
      <c r="W448" s="1" t="str">
        <f t="shared" si="10"/>
        <v>2.45 kg</v>
      </c>
      <c r="X448" s="1" t="s">
        <v>78</v>
      </c>
      <c r="Y448" s="1" t="str">
        <f t="shared" si="11"/>
        <v>1 Year</v>
      </c>
      <c r="Z448" s="4">
        <v>53999</v>
      </c>
      <c r="AA448" s="1" t="s">
        <v>5735</v>
      </c>
    </row>
    <row r="449" spans="1:27" ht="15.75" customHeight="1" x14ac:dyDescent="0.35">
      <c r="A449" s="1" t="s">
        <v>81</v>
      </c>
      <c r="B449" s="1" t="str">
        <f t="shared" si="16"/>
        <v>Dell</v>
      </c>
      <c r="C449" s="1" t="s">
        <v>2462</v>
      </c>
      <c r="D449" s="1" t="str">
        <f t="shared" si="1"/>
        <v>G15 5511</v>
      </c>
      <c r="E449" s="1" t="str">
        <f t="array" aca="1" ref="E449" ca="1">IFERROR(
INDEX(Family_Map!$B$2:$B$35,
_xludf.AGGREGATE(14,6,(ROW(Family_Map!$A$2:$A$35)-ROW(Family_Map!$A$2)+1)/(ISNUMBER(SEARCH(Family_Map!$A$2:$A$35,D449))),1)
),
"Other")</f>
        <v>Other</v>
      </c>
      <c r="F449" s="1" t="s">
        <v>2519</v>
      </c>
      <c r="G449" s="1" t="e">
        <f t="shared" ca="1" si="2"/>
        <v>#NAME?</v>
      </c>
      <c r="H449" s="1" t="str">
        <f t="shared" ca="1" si="12"/>
        <v>Other</v>
      </c>
      <c r="I449" s="1" t="s">
        <v>507</v>
      </c>
      <c r="J449" s="1" t="str">
        <f t="shared" si="3"/>
        <v>4GB</v>
      </c>
      <c r="K449" s="1" t="s">
        <v>2520</v>
      </c>
      <c r="L449" s="1">
        <f t="shared" si="28"/>
        <v>8</v>
      </c>
      <c r="M449" s="1" t="s">
        <v>2521</v>
      </c>
      <c r="N449" s="1" t="str">
        <f t="shared" si="5"/>
        <v>512GB</v>
      </c>
      <c r="O449" s="1" t="str">
        <f t="shared" si="6"/>
        <v>512GB</v>
      </c>
      <c r="P449" s="1" t="s">
        <v>120</v>
      </c>
      <c r="Q449" s="1" t="str">
        <f t="shared" si="7"/>
        <v>1920x1080</v>
      </c>
      <c r="R449" s="1" t="s">
        <v>39</v>
      </c>
      <c r="S449" s="1" t="str">
        <f t="shared" si="8"/>
        <v>120Hz</v>
      </c>
      <c r="T449" s="1" t="s">
        <v>2507</v>
      </c>
      <c r="U449" s="1" t="str">
        <f t="shared" si="9"/>
        <v>DOS</v>
      </c>
      <c r="V449" s="1" t="s">
        <v>2471</v>
      </c>
      <c r="W449" s="1" t="str">
        <f t="shared" si="10"/>
        <v>2.56 kg</v>
      </c>
      <c r="X449" s="1" t="s">
        <v>78</v>
      </c>
      <c r="Y449" s="1" t="str">
        <f t="shared" si="11"/>
        <v>1 Year</v>
      </c>
      <c r="Z449" s="4">
        <v>33999</v>
      </c>
      <c r="AA449" s="1" t="s">
        <v>1082</v>
      </c>
    </row>
    <row r="450" spans="1:27" ht="15.75" customHeight="1" x14ac:dyDescent="0.35">
      <c r="A450" s="1" t="s">
        <v>234</v>
      </c>
      <c r="B450" s="1" t="str">
        <f t="shared" si="16"/>
        <v>ASUS</v>
      </c>
      <c r="C450" s="1" t="s">
        <v>2526</v>
      </c>
      <c r="D450" s="1" t="str">
        <f t="shared" si="1"/>
        <v>ROG Strix G15 G513IE-HN006W</v>
      </c>
      <c r="E450" s="1" t="str">
        <f t="array" aca="1" ref="E450" ca="1">IFERROR(
INDEX(Family_Map!$B$2:$B$35,
_xludf.AGGREGATE(14,6,(ROW(Family_Map!$A$2:$A$35)-ROW(Family_Map!$A$2)+1)/(ISNUMBER(SEARCH(Family_Map!$A$2:$A$35,D450))),1)
),
"Other")</f>
        <v>Other</v>
      </c>
      <c r="F450" s="1" t="s">
        <v>2527</v>
      </c>
      <c r="G450" s="1" t="e">
        <f t="shared" ca="1" si="2"/>
        <v>#NAME?</v>
      </c>
      <c r="H450" s="1" t="str">
        <f t="shared" ca="1" si="12"/>
        <v>Other</v>
      </c>
      <c r="I450" s="1" t="s">
        <v>507</v>
      </c>
      <c r="J450" s="1" t="str">
        <f t="shared" si="3"/>
        <v>4GB</v>
      </c>
      <c r="K450" s="1" t="s">
        <v>2529</v>
      </c>
      <c r="L450" s="1">
        <f t="shared" si="28"/>
        <v>16</v>
      </c>
      <c r="M450" s="1" t="s">
        <v>2168</v>
      </c>
      <c r="N450" s="1" t="str">
        <f t="shared" si="5"/>
        <v>1TB</v>
      </c>
      <c r="O450" s="1" t="str">
        <f t="shared" si="6"/>
        <v>1024GB</v>
      </c>
      <c r="P450" s="1" t="s">
        <v>120</v>
      </c>
      <c r="Q450" s="1" t="str">
        <f t="shared" si="7"/>
        <v>1920x1080</v>
      </c>
      <c r="R450" s="1" t="s">
        <v>75</v>
      </c>
      <c r="S450" s="1" t="str">
        <f t="shared" si="8"/>
        <v>144Hz</v>
      </c>
      <c r="T450" s="1" t="s">
        <v>90</v>
      </c>
      <c r="U450" s="1" t="str">
        <f t="shared" si="9"/>
        <v>Windows 11 Home</v>
      </c>
      <c r="V450" s="1" t="s">
        <v>2501</v>
      </c>
      <c r="W450" s="1" t="str">
        <f t="shared" si="10"/>
        <v>2.1 kg</v>
      </c>
      <c r="X450" s="1" t="s">
        <v>48</v>
      </c>
      <c r="Y450" s="1" t="str">
        <f t="shared" si="11"/>
        <v>2 Years</v>
      </c>
      <c r="Z450" s="4">
        <v>35999</v>
      </c>
      <c r="AA450" s="1" t="s">
        <v>5735</v>
      </c>
    </row>
    <row r="451" spans="1:27" ht="15.75" customHeight="1" x14ac:dyDescent="0.35">
      <c r="A451" s="1" t="s">
        <v>234</v>
      </c>
      <c r="B451" s="1" t="str">
        <f t="shared" si="16"/>
        <v>ASUS</v>
      </c>
      <c r="C451" s="1" t="s">
        <v>2533</v>
      </c>
      <c r="D451" s="1" t="str">
        <f t="shared" si="1"/>
        <v>Tuf Gaming F15 FX507ZM-HF007W</v>
      </c>
      <c r="E451" s="1" t="str">
        <f t="array" aca="1" ref="E451" ca="1">IFERROR(
INDEX(Family_Map!$B$2:$B$35,
_xludf.AGGREGATE(14,6,(ROW(Family_Map!$A$2:$A$35)-ROW(Family_Map!$A$2)+1)/(ISNUMBER(SEARCH(Family_Map!$A$2:$A$35,D451))),1)
),
"Other")</f>
        <v>Other</v>
      </c>
      <c r="F451" s="1" t="s">
        <v>1118</v>
      </c>
      <c r="G451" s="1" t="e">
        <f t="shared" ca="1" si="2"/>
        <v>#NAME?</v>
      </c>
      <c r="H451" s="1" t="str">
        <f t="shared" ca="1" si="12"/>
        <v>Other</v>
      </c>
      <c r="I451" s="1" t="s">
        <v>70</v>
      </c>
      <c r="J451" s="1" t="str">
        <f t="shared" si="3"/>
        <v>6GB</v>
      </c>
      <c r="K451" s="1" t="s">
        <v>491</v>
      </c>
      <c r="L451" s="1">
        <f t="shared" si="28"/>
        <v>16</v>
      </c>
      <c r="M451" s="1" t="s">
        <v>1120</v>
      </c>
      <c r="N451" s="1" t="str">
        <f t="shared" si="5"/>
        <v>512GB</v>
      </c>
      <c r="O451" s="1" t="str">
        <f t="shared" si="6"/>
        <v>512GB</v>
      </c>
      <c r="P451" s="1" t="s">
        <v>120</v>
      </c>
      <c r="Q451" s="1" t="str">
        <f t="shared" si="7"/>
        <v>1920x1080</v>
      </c>
      <c r="R451" s="1" t="s">
        <v>2323</v>
      </c>
      <c r="S451" s="1" t="str">
        <f t="shared" si="8"/>
        <v>300Hz</v>
      </c>
      <c r="T451" s="1" t="s">
        <v>90</v>
      </c>
      <c r="U451" s="1" t="str">
        <f t="shared" si="9"/>
        <v>Windows 11 Home</v>
      </c>
      <c r="V451" s="1" t="s">
        <v>300</v>
      </c>
      <c r="W451" s="1" t="str">
        <f t="shared" si="10"/>
        <v>2.2 kg</v>
      </c>
      <c r="X451" s="1" t="s">
        <v>48</v>
      </c>
      <c r="Y451" s="1" t="str">
        <f t="shared" si="11"/>
        <v>2 Years</v>
      </c>
      <c r="Z451" s="4">
        <v>49999</v>
      </c>
      <c r="AA451" s="1" t="s">
        <v>166</v>
      </c>
    </row>
    <row r="452" spans="1:27" ht="15.75" customHeight="1" x14ac:dyDescent="0.35">
      <c r="A452" s="1" t="s">
        <v>234</v>
      </c>
      <c r="B452" s="1" t="str">
        <f t="shared" si="16"/>
        <v>ASUS</v>
      </c>
      <c r="C452" s="1" t="s">
        <v>2538</v>
      </c>
      <c r="D452" s="1" t="str">
        <f t="shared" si="1"/>
        <v>TUF GAMING F15 FX506HC-HN002W</v>
      </c>
      <c r="E452" s="1" t="str">
        <f t="array" aca="1" ref="E452" ca="1">IFERROR(
INDEX(Family_Map!$B$2:$B$35,
_xludf.AGGREGATE(14,6,(ROW(Family_Map!$A$2:$A$35)-ROW(Family_Map!$A$2)+1)/(ISNUMBER(SEARCH(Family_Map!$A$2:$A$35,D452))),1)
),
"Other")</f>
        <v>Other</v>
      </c>
      <c r="F452" s="1" t="s">
        <v>2539</v>
      </c>
      <c r="G452" s="1" t="e">
        <f t="shared" ca="1" si="2"/>
        <v>#NAME?</v>
      </c>
      <c r="H452" s="1" t="str">
        <f t="shared" ca="1" si="12"/>
        <v>Other</v>
      </c>
      <c r="I452" s="1" t="s">
        <v>507</v>
      </c>
      <c r="J452" s="1" t="str">
        <f t="shared" si="3"/>
        <v>4GB</v>
      </c>
      <c r="K452" s="1" t="s">
        <v>2110</v>
      </c>
      <c r="L452" s="1">
        <f t="shared" si="28"/>
        <v>8</v>
      </c>
      <c r="M452" s="1" t="s">
        <v>1604</v>
      </c>
      <c r="N452" s="1" t="str">
        <f t="shared" si="5"/>
        <v>512GB</v>
      </c>
      <c r="O452" s="1" t="str">
        <f t="shared" si="6"/>
        <v>512GB</v>
      </c>
      <c r="P452" s="1" t="s">
        <v>120</v>
      </c>
      <c r="Q452" s="1" t="str">
        <f t="shared" si="7"/>
        <v>1920x1080</v>
      </c>
      <c r="R452" s="1" t="s">
        <v>75</v>
      </c>
      <c r="S452" s="1" t="str">
        <f t="shared" si="8"/>
        <v>144Hz</v>
      </c>
      <c r="T452" s="1" t="s">
        <v>90</v>
      </c>
      <c r="U452" s="1" t="str">
        <f t="shared" si="9"/>
        <v>Windows 11 Home</v>
      </c>
      <c r="V452" s="1" t="s">
        <v>814</v>
      </c>
      <c r="W452" s="1" t="str">
        <f t="shared" si="10"/>
        <v>2 kg</v>
      </c>
      <c r="X452" s="1" t="s">
        <v>48</v>
      </c>
      <c r="Y452" s="1" t="str">
        <f t="shared" si="11"/>
        <v>2 Years</v>
      </c>
      <c r="Z452" s="4">
        <v>29999</v>
      </c>
      <c r="AA452" s="1" t="s">
        <v>1082</v>
      </c>
    </row>
    <row r="453" spans="1:27" ht="15.75" customHeight="1" x14ac:dyDescent="0.35">
      <c r="A453" s="1" t="s">
        <v>151</v>
      </c>
      <c r="B453" s="1" t="str">
        <f t="shared" si="16"/>
        <v>Lenovo</v>
      </c>
      <c r="C453" s="1" t="s">
        <v>1499</v>
      </c>
      <c r="D453" s="1" t="str">
        <f t="shared" si="1"/>
        <v>Legion 5 15ACH6H</v>
      </c>
      <c r="E453" s="1" t="str">
        <f t="array" aca="1" ref="E453" ca="1">IFERROR(
INDEX(Family_Map!$B$2:$B$35,
_xludf.AGGREGATE(14,6,(ROW(Family_Map!$A$2:$A$35)-ROW(Family_Map!$A$2)+1)/(ISNUMBER(SEARCH(Family_Map!$A$2:$A$35,D453))),1)
),
"Other")</f>
        <v>Other</v>
      </c>
      <c r="F453" s="1" t="s">
        <v>2207</v>
      </c>
      <c r="G453" s="1" t="e">
        <f t="shared" ca="1" si="2"/>
        <v>#NAME?</v>
      </c>
      <c r="H453" s="1" t="str">
        <f t="shared" ca="1" si="12"/>
        <v>Other</v>
      </c>
      <c r="I453" s="1" t="s">
        <v>410</v>
      </c>
      <c r="J453" s="1" t="str">
        <f t="shared" si="3"/>
        <v>8GB</v>
      </c>
      <c r="K453" s="1" t="s">
        <v>1077</v>
      </c>
      <c r="L453" s="1">
        <f t="shared" si="28"/>
        <v>16</v>
      </c>
      <c r="M453" s="1" t="s">
        <v>2545</v>
      </c>
      <c r="N453" s="1" t="str">
        <f t="shared" si="5"/>
        <v>1TB</v>
      </c>
      <c r="O453" s="1" t="str">
        <f t="shared" si="6"/>
        <v>1024GB</v>
      </c>
      <c r="P453" s="1" t="s">
        <v>1493</v>
      </c>
      <c r="Q453" s="1" t="str">
        <f t="shared" si="7"/>
        <v>2560x1440</v>
      </c>
      <c r="R453" s="1" t="s">
        <v>57</v>
      </c>
      <c r="S453" s="1" t="str">
        <f t="shared" si="8"/>
        <v>165Hz</v>
      </c>
      <c r="T453" s="1" t="s">
        <v>2507</v>
      </c>
      <c r="U453" s="1" t="str">
        <f t="shared" si="9"/>
        <v>DOS</v>
      </c>
      <c r="V453" s="1" t="s">
        <v>63</v>
      </c>
      <c r="W453" s="1" t="str">
        <f t="shared" si="10"/>
        <v>2.4 kg</v>
      </c>
      <c r="X453" s="1" t="s">
        <v>78</v>
      </c>
      <c r="Y453" s="1" t="str">
        <f t="shared" si="11"/>
        <v>1 Year</v>
      </c>
      <c r="Z453" s="4">
        <v>45999</v>
      </c>
      <c r="AA453" s="1" t="s">
        <v>5735</v>
      </c>
    </row>
    <row r="454" spans="1:27" ht="15.75" customHeight="1" x14ac:dyDescent="0.35">
      <c r="A454" s="1" t="s">
        <v>234</v>
      </c>
      <c r="B454" s="1" t="str">
        <f t="shared" si="16"/>
        <v>ASUS</v>
      </c>
      <c r="C454" s="1" t="s">
        <v>2549</v>
      </c>
      <c r="D454" s="1" t="str">
        <f t="shared" si="1"/>
        <v>Vivobook Pro 15 K3500PC-OLED007W</v>
      </c>
      <c r="E454" s="1" t="str">
        <f t="array" aca="1" ref="E454" ca="1">IFERROR(
INDEX(Family_Map!$B$2:$B$35,
_xludf.AGGREGATE(14,6,(ROW(Family_Map!$A$2:$A$35)-ROW(Family_Map!$A$2)+1)/(ISNUMBER(SEARCH(Family_Map!$A$2:$A$35,D454))),1)
),
"Other")</f>
        <v>Other</v>
      </c>
      <c r="F454" s="1" t="s">
        <v>2380</v>
      </c>
      <c r="G454" s="1" t="e">
        <f t="shared" ca="1" si="2"/>
        <v>#NAME?</v>
      </c>
      <c r="H454" s="1" t="str">
        <f t="shared" ca="1" si="12"/>
        <v>Other</v>
      </c>
      <c r="I454" s="1" t="s">
        <v>507</v>
      </c>
      <c r="J454" s="1" t="str">
        <f t="shared" si="3"/>
        <v>4GB</v>
      </c>
      <c r="K454" s="1" t="s">
        <v>1603</v>
      </c>
      <c r="L454" s="1">
        <f t="shared" si="28"/>
        <v>16</v>
      </c>
      <c r="M454" s="1" t="s">
        <v>1936</v>
      </c>
      <c r="N454" s="1" t="str">
        <f t="shared" si="5"/>
        <v>1TB</v>
      </c>
      <c r="O454" s="1" t="str">
        <f t="shared" si="6"/>
        <v>1024GB</v>
      </c>
      <c r="P454" s="1" t="s">
        <v>120</v>
      </c>
      <c r="Q454" s="1" t="str">
        <f t="shared" si="7"/>
        <v>1920x1080</v>
      </c>
      <c r="S454" s="1" t="str">
        <f t="shared" si="8"/>
        <v/>
      </c>
      <c r="T454" s="1" t="s">
        <v>555</v>
      </c>
      <c r="U454" s="1" t="str">
        <f t="shared" si="9"/>
        <v>Windows 11 Home</v>
      </c>
      <c r="V454" s="1" t="s">
        <v>1609</v>
      </c>
      <c r="W454" s="1" t="str">
        <f t="shared" si="10"/>
        <v>1.65 kg</v>
      </c>
      <c r="X454" s="1" t="s">
        <v>339</v>
      </c>
      <c r="Y454" s="1" t="str">
        <f t="shared" si="11"/>
        <v>2 Years</v>
      </c>
      <c r="Z454" s="4">
        <v>30999</v>
      </c>
      <c r="AA454" s="1" t="s">
        <v>1082</v>
      </c>
    </row>
    <row r="455" spans="1:27" ht="15.75" customHeight="1" x14ac:dyDescent="0.35">
      <c r="A455" s="1" t="s">
        <v>234</v>
      </c>
      <c r="B455" s="1" t="str">
        <f t="shared" si="16"/>
        <v>ASUS</v>
      </c>
      <c r="C455" s="1" t="s">
        <v>2557</v>
      </c>
      <c r="D455" s="1" t="str">
        <f t="shared" si="1"/>
        <v>TUF Dash F15 FX517ZC-HN051W</v>
      </c>
      <c r="E455" s="1" t="str">
        <f t="array" aca="1" ref="E455" ca="1">IFERROR(
INDEX(Family_Map!$B$2:$B$35,
_xludf.AGGREGATE(14,6,(ROW(Family_Map!$A$2:$A$35)-ROW(Family_Map!$A$2)+1)/(ISNUMBER(SEARCH(Family_Map!$A$2:$A$35,D455))),1)
),
"Other")</f>
        <v>Other</v>
      </c>
      <c r="F455" s="1" t="s">
        <v>1533</v>
      </c>
      <c r="G455" s="1" t="e">
        <f t="shared" ca="1" si="2"/>
        <v>#NAME?</v>
      </c>
      <c r="H455" s="1" t="str">
        <f t="shared" ca="1" si="12"/>
        <v>Other</v>
      </c>
      <c r="I455" s="1" t="s">
        <v>507</v>
      </c>
      <c r="J455" s="1" t="str">
        <f t="shared" si="3"/>
        <v>4GB</v>
      </c>
      <c r="K455" s="1" t="s">
        <v>2558</v>
      </c>
      <c r="L455" s="1">
        <f t="shared" si="28"/>
        <v>8</v>
      </c>
      <c r="M455" s="1" t="s">
        <v>1604</v>
      </c>
      <c r="N455" s="1" t="str">
        <f t="shared" si="5"/>
        <v>512GB</v>
      </c>
      <c r="O455" s="1" t="str">
        <f t="shared" si="6"/>
        <v>512GB</v>
      </c>
      <c r="P455" s="1" t="s">
        <v>1493</v>
      </c>
      <c r="Q455" s="1" t="str">
        <f t="shared" si="7"/>
        <v>2560x1440</v>
      </c>
      <c r="R455" s="1" t="s">
        <v>57</v>
      </c>
      <c r="S455" s="1" t="str">
        <f t="shared" si="8"/>
        <v>165Hz</v>
      </c>
      <c r="T455" s="1" t="s">
        <v>90</v>
      </c>
      <c r="U455" s="1" t="str">
        <f t="shared" si="9"/>
        <v>Windows 11 Home</v>
      </c>
      <c r="V455" s="1" t="s">
        <v>814</v>
      </c>
      <c r="W455" s="1" t="str">
        <f t="shared" si="10"/>
        <v>2 kg</v>
      </c>
      <c r="X455" s="1" t="s">
        <v>339</v>
      </c>
      <c r="Y455" s="1" t="str">
        <f t="shared" si="11"/>
        <v>2 Years</v>
      </c>
      <c r="Z455" s="4">
        <v>25999</v>
      </c>
      <c r="AA455" s="1" t="s">
        <v>166</v>
      </c>
    </row>
    <row r="456" spans="1:27" ht="15.75" customHeight="1" x14ac:dyDescent="0.35">
      <c r="A456" s="1" t="s">
        <v>234</v>
      </c>
      <c r="B456" s="1" t="str">
        <f t="shared" si="16"/>
        <v>ASUS</v>
      </c>
      <c r="C456" s="1" t="s">
        <v>2564</v>
      </c>
      <c r="D456" s="1" t="str">
        <f t="shared" si="1"/>
        <v>TUF Dash F15 FX517ZE-HN040W</v>
      </c>
      <c r="E456" s="1" t="str">
        <f t="array" aca="1" ref="E456" ca="1">IFERROR(
INDEX(Family_Map!$B$2:$B$35,
_xludf.AGGREGATE(14,6,(ROW(Family_Map!$A$2:$A$35)-ROW(Family_Map!$A$2)+1)/(ISNUMBER(SEARCH(Family_Map!$A$2:$A$35,D456))),1)
),
"Other")</f>
        <v>Other</v>
      </c>
      <c r="F456" s="1" t="s">
        <v>2137</v>
      </c>
      <c r="G456" s="1" t="e">
        <f t="shared" ca="1" si="2"/>
        <v>#NAME?</v>
      </c>
      <c r="H456" s="1" t="str">
        <f t="shared" ca="1" si="12"/>
        <v>Other</v>
      </c>
      <c r="I456" s="1" t="s">
        <v>507</v>
      </c>
      <c r="J456" s="1" t="str">
        <f t="shared" si="3"/>
        <v>4GB</v>
      </c>
      <c r="K456" s="1" t="s">
        <v>491</v>
      </c>
      <c r="L456" s="1">
        <f t="shared" si="28"/>
        <v>16</v>
      </c>
      <c r="M456" s="1" t="s">
        <v>1604</v>
      </c>
      <c r="N456" s="1" t="str">
        <f t="shared" si="5"/>
        <v>512GB</v>
      </c>
      <c r="O456" s="1" t="str">
        <f t="shared" si="6"/>
        <v>512GB</v>
      </c>
      <c r="P456" s="1" t="s">
        <v>120</v>
      </c>
      <c r="Q456" s="1" t="str">
        <f t="shared" si="7"/>
        <v>1920x1080</v>
      </c>
      <c r="R456" s="1" t="s">
        <v>75</v>
      </c>
      <c r="S456" s="1" t="str">
        <f t="shared" si="8"/>
        <v>144Hz</v>
      </c>
      <c r="T456" s="1" t="s">
        <v>90</v>
      </c>
      <c r="U456" s="1" t="str">
        <f t="shared" si="9"/>
        <v>Windows 11 Home</v>
      </c>
      <c r="V456" s="1" t="s">
        <v>814</v>
      </c>
      <c r="W456" s="1" t="str">
        <f t="shared" si="10"/>
        <v>2 kg</v>
      </c>
      <c r="X456" s="1" t="s">
        <v>339</v>
      </c>
      <c r="Y456" s="1" t="str">
        <f t="shared" si="11"/>
        <v>2 Years</v>
      </c>
      <c r="Z456" s="4">
        <v>33499</v>
      </c>
      <c r="AA456" s="1" t="s">
        <v>166</v>
      </c>
    </row>
    <row r="457" spans="1:27" ht="15.75" customHeight="1" x14ac:dyDescent="0.35">
      <c r="A457" s="1" t="s">
        <v>234</v>
      </c>
      <c r="B457" s="1" t="str">
        <f t="shared" si="16"/>
        <v>ASUS</v>
      </c>
      <c r="C457" s="1" t="s">
        <v>2568</v>
      </c>
      <c r="D457" s="1" t="str">
        <f t="shared" si="1"/>
        <v>ROG Strix G15 G513RM-HF284W</v>
      </c>
      <c r="E457" s="1" t="str">
        <f t="array" aca="1" ref="E457" ca="1">IFERROR(
INDEX(Family_Map!$B$2:$B$35,
_xludf.AGGREGATE(14,6,(ROW(Family_Map!$A$2:$A$35)-ROW(Family_Map!$A$2)+1)/(ISNUMBER(SEARCH(Family_Map!$A$2:$A$35,D457))),1)
),
"Other")</f>
        <v>Other</v>
      </c>
      <c r="F457" s="1" t="s">
        <v>2496</v>
      </c>
      <c r="G457" s="1" t="e">
        <f t="shared" ca="1" si="2"/>
        <v>#NAME?</v>
      </c>
      <c r="H457" s="1" t="str">
        <f t="shared" ca="1" si="12"/>
        <v>Other</v>
      </c>
      <c r="I457" s="1" t="s">
        <v>1789</v>
      </c>
      <c r="J457" s="1" t="str">
        <f t="shared" si="3"/>
        <v>6GB</v>
      </c>
      <c r="K457" s="1" t="s">
        <v>965</v>
      </c>
      <c r="L457" s="1">
        <f t="shared" si="28"/>
        <v>16</v>
      </c>
      <c r="M457" s="1" t="s">
        <v>295</v>
      </c>
      <c r="N457" s="1" t="str">
        <f t="shared" si="5"/>
        <v>512GB</v>
      </c>
      <c r="O457" s="1" t="str">
        <f t="shared" si="6"/>
        <v>512GB</v>
      </c>
      <c r="P457" s="1" t="s">
        <v>120</v>
      </c>
      <c r="Q457" s="1" t="str">
        <f t="shared" si="7"/>
        <v>1920x1080</v>
      </c>
      <c r="R457" s="1" t="s">
        <v>2323</v>
      </c>
      <c r="S457" s="1" t="str">
        <f t="shared" si="8"/>
        <v>300Hz</v>
      </c>
      <c r="T457" s="1" t="s">
        <v>90</v>
      </c>
      <c r="U457" s="1" t="str">
        <f t="shared" si="9"/>
        <v>Windows 11 Home</v>
      </c>
      <c r="V457" s="1" t="s">
        <v>1400</v>
      </c>
      <c r="W457" s="1" t="str">
        <f t="shared" si="10"/>
        <v>2.3 kg</v>
      </c>
      <c r="X457" s="1" t="s">
        <v>339</v>
      </c>
      <c r="Y457" s="1" t="str">
        <f t="shared" si="11"/>
        <v>2 Years</v>
      </c>
      <c r="Z457" s="4">
        <v>40999</v>
      </c>
      <c r="AA457" s="1" t="s">
        <v>5735</v>
      </c>
    </row>
    <row r="458" spans="1:27" ht="15.75" customHeight="1" x14ac:dyDescent="0.35">
      <c r="A458" s="1" t="s">
        <v>151</v>
      </c>
      <c r="B458" s="1" t="str">
        <f t="shared" si="16"/>
        <v>Lenovo</v>
      </c>
      <c r="C458" s="1" t="s">
        <v>2379</v>
      </c>
      <c r="D458" s="1" t="str">
        <f t="shared" si="1"/>
        <v>IdeaPad Gaming 3 15IHU6</v>
      </c>
      <c r="E458" s="1" t="str">
        <f t="array" aca="1" ref="E458" ca="1">IFERROR(
INDEX(Family_Map!$B$2:$B$35,
_xludf.AGGREGATE(14,6,(ROW(Family_Map!$A$2:$A$35)-ROW(Family_Map!$A$2)+1)/(ISNUMBER(SEARCH(Family_Map!$A$2:$A$35,D458))),1)
),
"Other")</f>
        <v>Other</v>
      </c>
      <c r="F458" s="1" t="s">
        <v>2380</v>
      </c>
      <c r="G458" s="1" t="e">
        <f t="shared" ca="1" si="2"/>
        <v>#NAME?</v>
      </c>
      <c r="H458" s="1" t="str">
        <f t="shared" ca="1" si="12"/>
        <v>Other</v>
      </c>
      <c r="I458" s="1" t="s">
        <v>507</v>
      </c>
      <c r="J458" s="1" t="str">
        <f t="shared" si="3"/>
        <v>4GB</v>
      </c>
      <c r="K458" s="1" t="s">
        <v>1448</v>
      </c>
      <c r="L458" s="1">
        <v>8</v>
      </c>
      <c r="M458" s="1" t="s">
        <v>2573</v>
      </c>
      <c r="N458" s="1" t="str">
        <f t="shared" si="5"/>
        <v>256GB</v>
      </c>
      <c r="O458" s="1" t="str">
        <f t="shared" si="6"/>
        <v>256GB</v>
      </c>
      <c r="P458" s="1" t="s">
        <v>120</v>
      </c>
      <c r="Q458" s="1" t="str">
        <f t="shared" si="7"/>
        <v>1920x1080</v>
      </c>
      <c r="R458" s="1" t="s">
        <v>39</v>
      </c>
      <c r="S458" s="1" t="str">
        <f t="shared" si="8"/>
        <v>120Hz</v>
      </c>
      <c r="T458" s="1" t="s">
        <v>2514</v>
      </c>
      <c r="U458" s="1" t="str">
        <f t="shared" si="9"/>
        <v>Windows 11 Home</v>
      </c>
      <c r="V458" s="1" t="s">
        <v>652</v>
      </c>
      <c r="W458" s="1" t="str">
        <f t="shared" si="10"/>
        <v>2.25 kg</v>
      </c>
      <c r="X458" s="1" t="s">
        <v>78</v>
      </c>
      <c r="Y458" s="1" t="str">
        <f t="shared" si="11"/>
        <v>1 Year</v>
      </c>
      <c r="Z458" s="4">
        <v>27499</v>
      </c>
      <c r="AA458" s="1" t="s">
        <v>1082</v>
      </c>
    </row>
    <row r="459" spans="1:27" ht="15.75" customHeight="1" x14ac:dyDescent="0.35">
      <c r="A459" s="1" t="s">
        <v>66</v>
      </c>
      <c r="B459" s="1" t="str">
        <f t="shared" si="16"/>
        <v>Acer</v>
      </c>
      <c r="C459" s="1" t="s">
        <v>2576</v>
      </c>
      <c r="D459" s="1" t="str">
        <f t="shared" si="1"/>
        <v>Swift X SFX14-41G-R1S6</v>
      </c>
      <c r="E459" s="1" t="str">
        <f t="array" aca="1" ref="E459" ca="1">IFERROR(
INDEX(Family_Map!$B$2:$B$35,
_xludf.AGGREGATE(14,6,(ROW(Family_Map!$A$2:$A$35)-ROW(Family_Map!$A$2)+1)/(ISNUMBER(SEARCH(Family_Map!$A$2:$A$35,D459))),1)
),
"Other")</f>
        <v>Other</v>
      </c>
      <c r="F459" s="1" t="s">
        <v>2577</v>
      </c>
      <c r="G459" s="1" t="e">
        <f t="shared" ca="1" si="2"/>
        <v>#NAME?</v>
      </c>
      <c r="H459" s="1" t="str">
        <f t="shared" ca="1" si="12"/>
        <v>Other</v>
      </c>
      <c r="I459" s="1" t="s">
        <v>507</v>
      </c>
      <c r="J459" s="1" t="str">
        <f t="shared" si="3"/>
        <v>4GB</v>
      </c>
      <c r="K459" s="1" t="s">
        <v>2578</v>
      </c>
      <c r="L459" s="1">
        <f t="shared" ref="L459:L465" si="29">IFERROR(
VALUE(SUBSTITUTE(SUBSTITUTE(LEFT(UPPER(TRIM(K459)),FIND("GB",UPPER(K459)&amp;"GB")+1),"GB","")," ","")),
IFERROR(
VALUE(SUBSTITUTE(SUBSTITUTE(MID(UPPER(K459),FIND("GB",UPPER(K459)&amp;"GB")-3,3),"GB","")," ",""))
*
IF(
OR(
ISNUMBER(SEARCH("2X",UPPER(K459))),
ISNUMBER(SEARCH("X 2",UPPER(K459))),
ISNUMBER(SEARCH("*2",UPPER(K459))),
ISNUMBER(SEARCH("2*",UPPER(K459))),
ISNUMBER(SEARCH("(2 X",UPPER(K459)))
),
2,1),
"")
)</f>
        <v>16</v>
      </c>
      <c r="M459" s="1" t="s">
        <v>723</v>
      </c>
      <c r="N459" s="1" t="str">
        <f t="shared" si="5"/>
        <v>512GB</v>
      </c>
      <c r="O459" s="1" t="str">
        <f t="shared" si="6"/>
        <v>512GB</v>
      </c>
      <c r="P459" s="1" t="s">
        <v>120</v>
      </c>
      <c r="Q459" s="1" t="str">
        <f t="shared" si="7"/>
        <v>1920x1080</v>
      </c>
      <c r="S459" s="1" t="str">
        <f t="shared" si="8"/>
        <v/>
      </c>
      <c r="T459" s="1" t="s">
        <v>90</v>
      </c>
      <c r="U459" s="1" t="str">
        <f t="shared" si="9"/>
        <v>Windows 11 Home</v>
      </c>
      <c r="V459" s="1" t="s">
        <v>2584</v>
      </c>
      <c r="W459" s="1" t="str">
        <f t="shared" si="10"/>
        <v>1.5 kg</v>
      </c>
      <c r="X459" s="1" t="s">
        <v>78</v>
      </c>
      <c r="Y459" s="1" t="str">
        <f t="shared" si="11"/>
        <v>1 Year</v>
      </c>
      <c r="Z459" s="4">
        <v>35199</v>
      </c>
      <c r="AA459" s="1" t="s">
        <v>5735</v>
      </c>
    </row>
    <row r="460" spans="1:27" ht="15.75" customHeight="1" x14ac:dyDescent="0.35">
      <c r="A460" s="1" t="s">
        <v>30</v>
      </c>
      <c r="B460" s="1" t="str">
        <f t="shared" si="16"/>
        <v>MSI</v>
      </c>
      <c r="C460" s="1" t="s">
        <v>2586</v>
      </c>
      <c r="D460" s="1" t="str">
        <f t="shared" si="1"/>
        <v>Delta 15001</v>
      </c>
      <c r="E460" s="1" t="str">
        <f t="array" aca="1" ref="E460" ca="1">IFERROR(
INDEX(Family_Map!$B$2:$B$35,
_xludf.AGGREGATE(14,6,(ROW(Family_Map!$A$2:$A$35)-ROW(Family_Map!$A$2)+1)/(ISNUMBER(SEARCH(Family_Map!$A$2:$A$35,D460))),1)
),
"Other")</f>
        <v>Other</v>
      </c>
      <c r="F460" s="1" t="s">
        <v>827</v>
      </c>
      <c r="G460" s="1" t="e">
        <f t="shared" ca="1" si="2"/>
        <v>#NAME?</v>
      </c>
      <c r="H460" s="1" t="str">
        <f t="shared" ca="1" si="12"/>
        <v>Other</v>
      </c>
      <c r="I460" s="1" t="s">
        <v>2588</v>
      </c>
      <c r="J460" s="1" t="str">
        <f t="shared" si="3"/>
        <v>10GB</v>
      </c>
      <c r="K460" s="1" t="s">
        <v>1691</v>
      </c>
      <c r="L460" s="1">
        <f t="shared" si="29"/>
        <v>16</v>
      </c>
      <c r="M460" s="1" t="s">
        <v>2589</v>
      </c>
      <c r="N460" s="1" t="str">
        <f t="shared" si="5"/>
        <v>1TB</v>
      </c>
      <c r="O460" s="1" t="str">
        <f t="shared" si="6"/>
        <v>1024GB</v>
      </c>
      <c r="P460" s="1" t="s">
        <v>120</v>
      </c>
      <c r="Q460" s="1" t="str">
        <f t="shared" si="7"/>
        <v>1920x1080</v>
      </c>
      <c r="R460" s="1" t="s">
        <v>256</v>
      </c>
      <c r="S460" s="1" t="str">
        <f t="shared" si="8"/>
        <v>240Hz</v>
      </c>
      <c r="T460" s="1" t="s">
        <v>1722</v>
      </c>
      <c r="U460" s="1" t="str">
        <f t="shared" si="9"/>
        <v>Windows 10 Home</v>
      </c>
      <c r="V460" s="1" t="s">
        <v>2595</v>
      </c>
      <c r="W460" s="1" t="str">
        <f t="shared" si="10"/>
        <v>1.9 kg</v>
      </c>
      <c r="X460" s="1" t="s">
        <v>78</v>
      </c>
      <c r="Y460" s="1" t="str">
        <f t="shared" si="11"/>
        <v>1 Year</v>
      </c>
      <c r="Z460" s="4">
        <v>48499</v>
      </c>
      <c r="AA460" s="1" t="s">
        <v>5735</v>
      </c>
    </row>
    <row r="461" spans="1:27" ht="15.75" customHeight="1" x14ac:dyDescent="0.35">
      <c r="A461" s="1" t="s">
        <v>234</v>
      </c>
      <c r="B461" s="1" t="str">
        <f t="shared" si="16"/>
        <v>ASUS</v>
      </c>
      <c r="C461" s="1" t="s">
        <v>2596</v>
      </c>
      <c r="D461" s="1" t="str">
        <f t="shared" si="1"/>
        <v>TUF Dash F15 FX516PR-211.TM15</v>
      </c>
      <c r="E461" s="1" t="str">
        <f t="array" aca="1" ref="E461" ca="1">IFERROR(
INDEX(Family_Map!$B$2:$B$35,
_xludf.AGGREGATE(14,6,(ROW(Family_Map!$A$2:$A$35)-ROW(Family_Map!$A$2)+1)/(ISNUMBER(SEARCH(Family_Map!$A$2:$A$35,D461))),1)
),
"Other")</f>
        <v>Other</v>
      </c>
      <c r="F461" s="1" t="s">
        <v>2380</v>
      </c>
      <c r="G461" s="1" t="e">
        <f t="shared" ca="1" si="2"/>
        <v>#NAME?</v>
      </c>
      <c r="H461" s="1" t="str">
        <f t="shared" ca="1" si="12"/>
        <v>Other</v>
      </c>
      <c r="I461" s="1" t="s">
        <v>410</v>
      </c>
      <c r="J461" s="1" t="str">
        <f t="shared" si="3"/>
        <v>8GB</v>
      </c>
      <c r="K461" s="1" t="s">
        <v>2598</v>
      </c>
      <c r="L461" s="1">
        <f t="shared" si="29"/>
        <v>16</v>
      </c>
      <c r="M461" s="1" t="s">
        <v>1936</v>
      </c>
      <c r="N461" s="1" t="str">
        <f t="shared" si="5"/>
        <v>1TB</v>
      </c>
      <c r="O461" s="1" t="str">
        <f t="shared" si="6"/>
        <v>1024GB</v>
      </c>
      <c r="P461" s="1" t="s">
        <v>120</v>
      </c>
      <c r="Q461" s="1" t="str">
        <f t="shared" si="7"/>
        <v>1920x1080</v>
      </c>
      <c r="R461" s="1" t="s">
        <v>256</v>
      </c>
      <c r="S461" s="1" t="str">
        <f t="shared" si="8"/>
        <v>240Hz</v>
      </c>
      <c r="T461" s="1" t="s">
        <v>2163</v>
      </c>
      <c r="U461" s="1" t="str">
        <f t="shared" si="9"/>
        <v>Windows 10 Home</v>
      </c>
      <c r="V461" s="1" t="s">
        <v>814</v>
      </c>
      <c r="W461" s="1" t="str">
        <f t="shared" si="10"/>
        <v>2 kg</v>
      </c>
      <c r="X461" s="1" t="s">
        <v>78</v>
      </c>
      <c r="Y461" s="1" t="str">
        <f t="shared" si="11"/>
        <v>1 Year</v>
      </c>
      <c r="Z461" s="4">
        <v>57999</v>
      </c>
      <c r="AA461" s="1" t="s">
        <v>1082</v>
      </c>
    </row>
    <row r="462" spans="1:27" ht="15.75" customHeight="1" x14ac:dyDescent="0.35">
      <c r="A462" s="1" t="s">
        <v>234</v>
      </c>
      <c r="B462" s="1" t="str">
        <f t="shared" si="16"/>
        <v>ASUS</v>
      </c>
      <c r="C462" s="1" t="s">
        <v>2601</v>
      </c>
      <c r="D462" s="1" t="str">
        <f t="shared" si="1"/>
        <v>TUF Dash F15 FX517ZE-ES73</v>
      </c>
      <c r="E462" s="1" t="str">
        <f t="array" aca="1" ref="E462" ca="1">IFERROR(
INDEX(Family_Map!$B$2:$B$35,
_xludf.AGGREGATE(14,6,(ROW(Family_Map!$A$2:$A$35)-ROW(Family_Map!$A$2)+1)/(ISNUMBER(SEARCH(Family_Map!$A$2:$A$35,D462))),1)
),
"Other")</f>
        <v>Other</v>
      </c>
      <c r="F462" s="1" t="s">
        <v>2137</v>
      </c>
      <c r="G462" s="1" t="e">
        <f t="shared" ca="1" si="2"/>
        <v>#NAME?</v>
      </c>
      <c r="H462" s="1" t="str">
        <f t="shared" ca="1" si="12"/>
        <v>Other</v>
      </c>
      <c r="I462" s="1" t="s">
        <v>507</v>
      </c>
      <c r="J462" s="1" t="str">
        <f t="shared" si="3"/>
        <v>4GB</v>
      </c>
      <c r="K462" s="1" t="s">
        <v>2349</v>
      </c>
      <c r="L462" s="1">
        <f t="shared" si="29"/>
        <v>16</v>
      </c>
      <c r="M462" s="1" t="s">
        <v>2603</v>
      </c>
      <c r="N462" s="1" t="str">
        <f t="shared" si="5"/>
        <v>512GB</v>
      </c>
      <c r="O462" s="1" t="str">
        <f t="shared" si="6"/>
        <v>512GB</v>
      </c>
      <c r="P462" s="1" t="s">
        <v>120</v>
      </c>
      <c r="Q462" s="1" t="str">
        <f t="shared" si="7"/>
        <v>1920x1080</v>
      </c>
      <c r="R462" s="1" t="s">
        <v>75</v>
      </c>
      <c r="S462" s="1" t="str">
        <f t="shared" si="8"/>
        <v>144Hz</v>
      </c>
      <c r="T462" s="1" t="s">
        <v>90</v>
      </c>
      <c r="U462" s="1" t="str">
        <f t="shared" si="9"/>
        <v>Windows 11 Home</v>
      </c>
      <c r="V462" s="1" t="s">
        <v>1670</v>
      </c>
      <c r="W462" s="1" t="str">
        <f t="shared" si="10"/>
        <v>2 kg</v>
      </c>
      <c r="X462" s="1" t="s">
        <v>2608</v>
      </c>
      <c r="Y462" s="1" t="str">
        <f t="shared" si="11"/>
        <v>1 Year</v>
      </c>
      <c r="Z462" s="4">
        <v>35999</v>
      </c>
      <c r="AA462" s="1" t="s">
        <v>166</v>
      </c>
    </row>
    <row r="463" spans="1:27" ht="15.75" customHeight="1" x14ac:dyDescent="0.35">
      <c r="A463" s="1" t="s">
        <v>81</v>
      </c>
      <c r="B463" s="1" t="str">
        <f t="shared" si="16"/>
        <v>Dell</v>
      </c>
      <c r="C463" s="1" t="s">
        <v>2609</v>
      </c>
      <c r="D463" s="1" t="str">
        <f t="shared" si="1"/>
        <v>G15 5510</v>
      </c>
      <c r="E463" s="1" t="str">
        <f t="array" aca="1" ref="E463" ca="1">IFERROR(
INDEX(Family_Map!$B$2:$B$35,
_xludf.AGGREGATE(14,6,(ROW(Family_Map!$A$2:$A$35)-ROW(Family_Map!$A$2)+1)/(ISNUMBER(SEARCH(Family_Map!$A$2:$A$35,D463))),1)
),
"Other")</f>
        <v>Other</v>
      </c>
      <c r="F463" s="1" t="s">
        <v>2175</v>
      </c>
      <c r="G463" s="1" t="e">
        <f t="shared" ca="1" si="2"/>
        <v>#NAME?</v>
      </c>
      <c r="H463" s="1" t="str">
        <f t="shared" ca="1" si="12"/>
        <v>Other</v>
      </c>
      <c r="I463" s="1" t="s">
        <v>507</v>
      </c>
      <c r="J463" s="1" t="str">
        <f t="shared" si="3"/>
        <v>4GB</v>
      </c>
      <c r="K463" s="1" t="s">
        <v>2610</v>
      </c>
      <c r="L463" s="1">
        <f t="shared" si="29"/>
        <v>8</v>
      </c>
      <c r="M463" s="1" t="s">
        <v>2521</v>
      </c>
      <c r="N463" s="1" t="str">
        <f t="shared" si="5"/>
        <v>512GB</v>
      </c>
      <c r="O463" s="1" t="str">
        <f t="shared" si="6"/>
        <v>512GB</v>
      </c>
      <c r="P463" s="1" t="s">
        <v>74</v>
      </c>
      <c r="Q463" s="1" t="str">
        <f t="shared" si="7"/>
        <v>1920x1080</v>
      </c>
      <c r="R463" s="1" t="s">
        <v>39</v>
      </c>
      <c r="S463" s="1" t="str">
        <f t="shared" si="8"/>
        <v>120Hz</v>
      </c>
      <c r="T463" s="1" t="s">
        <v>2611</v>
      </c>
      <c r="U463" s="1" t="str">
        <f t="shared" si="9"/>
        <v>DOS</v>
      </c>
      <c r="V463" s="1" t="s">
        <v>2614</v>
      </c>
      <c r="W463" s="1" t="str">
        <f t="shared" si="10"/>
        <v>2.44 kg</v>
      </c>
      <c r="X463" s="1" t="s">
        <v>129</v>
      </c>
      <c r="Y463" s="1" t="str">
        <f t="shared" si="11"/>
        <v>1 Year</v>
      </c>
      <c r="Z463" s="4">
        <v>25000</v>
      </c>
      <c r="AA463" s="1" t="s">
        <v>2181</v>
      </c>
    </row>
    <row r="464" spans="1:27" ht="15.75" customHeight="1" x14ac:dyDescent="0.35">
      <c r="A464" s="1" t="s">
        <v>81</v>
      </c>
      <c r="B464" s="1" t="str">
        <f t="shared" si="16"/>
        <v>Dell</v>
      </c>
      <c r="C464" s="1" t="s">
        <v>2609</v>
      </c>
      <c r="D464" s="1" t="str">
        <f t="shared" si="1"/>
        <v>G15 5510</v>
      </c>
      <c r="E464" s="1" t="str">
        <f t="array" aca="1" ref="E464" ca="1">IFERROR(
INDEX(Family_Map!$B$2:$B$35,
_xludf.AGGREGATE(14,6,(ROW(Family_Map!$A$2:$A$35)-ROW(Family_Map!$A$2)+1)/(ISNUMBER(SEARCH(Family_Map!$A$2:$A$35,D464))),1)
),
"Other")</f>
        <v>Other</v>
      </c>
      <c r="F464" s="1" t="s">
        <v>2616</v>
      </c>
      <c r="G464" s="1" t="e">
        <f t="shared" ca="1" si="2"/>
        <v>#NAME?</v>
      </c>
      <c r="H464" s="1" t="str">
        <f t="shared" ca="1" si="12"/>
        <v>Other</v>
      </c>
      <c r="I464" s="1" t="s">
        <v>70</v>
      </c>
      <c r="J464" s="1" t="str">
        <f t="shared" si="3"/>
        <v>6GB</v>
      </c>
      <c r="K464" s="1" t="s">
        <v>2618</v>
      </c>
      <c r="L464" s="1">
        <f t="shared" si="29"/>
        <v>16</v>
      </c>
      <c r="M464" s="1" t="s">
        <v>2521</v>
      </c>
      <c r="N464" s="1" t="str">
        <f t="shared" si="5"/>
        <v>512GB</v>
      </c>
      <c r="O464" s="1" t="str">
        <f t="shared" si="6"/>
        <v>512GB</v>
      </c>
      <c r="P464" s="1" t="s">
        <v>74</v>
      </c>
      <c r="Q464" s="1" t="str">
        <f t="shared" si="7"/>
        <v>1920x1080</v>
      </c>
      <c r="R464" s="1" t="s">
        <v>57</v>
      </c>
      <c r="S464" s="1" t="str">
        <f t="shared" si="8"/>
        <v>165Hz</v>
      </c>
      <c r="T464" s="1" t="s">
        <v>1722</v>
      </c>
      <c r="U464" s="1" t="str">
        <f t="shared" si="9"/>
        <v>Windows 10 Home</v>
      </c>
      <c r="V464" s="1" t="s">
        <v>2614</v>
      </c>
      <c r="W464" s="1" t="str">
        <f t="shared" si="10"/>
        <v>2.44 kg</v>
      </c>
      <c r="X464" s="1" t="s">
        <v>129</v>
      </c>
      <c r="Y464" s="1" t="str">
        <f t="shared" si="11"/>
        <v>1 Year</v>
      </c>
      <c r="Z464" s="4">
        <v>32999</v>
      </c>
      <c r="AA464" s="1" t="s">
        <v>2181</v>
      </c>
    </row>
    <row r="465" spans="1:27" ht="15.75" customHeight="1" x14ac:dyDescent="0.35">
      <c r="A465" s="1" t="s">
        <v>112</v>
      </c>
      <c r="B465" s="1" t="str">
        <f t="shared" si="16"/>
        <v>HP</v>
      </c>
      <c r="C465" s="1" t="s">
        <v>2622</v>
      </c>
      <c r="D465" s="1" t="str">
        <f t="shared" si="1"/>
        <v>Pavilion Gaming 15-DK2087NE</v>
      </c>
      <c r="E465" s="1" t="str">
        <f t="array" aca="1" ref="E465" ca="1">IFERROR(
INDEX(Family_Map!$B$2:$B$35,
_xludf.AGGREGATE(14,6,(ROW(Family_Map!$A$2:$A$35)-ROW(Family_Map!$A$2)+1)/(ISNUMBER(SEARCH(Family_Map!$A$2:$A$35,D465))),1)
),
"Other")</f>
        <v>Other</v>
      </c>
      <c r="F465" s="1" t="s">
        <v>2623</v>
      </c>
      <c r="G465" s="1" t="e">
        <f t="shared" ca="1" si="2"/>
        <v>#NAME?</v>
      </c>
      <c r="H465" s="1" t="str">
        <f t="shared" ca="1" si="12"/>
        <v>Other</v>
      </c>
      <c r="I465" s="1" t="s">
        <v>507</v>
      </c>
      <c r="J465" s="1" t="str">
        <f t="shared" si="3"/>
        <v>4GB</v>
      </c>
      <c r="K465" s="1" t="s">
        <v>1707</v>
      </c>
      <c r="L465" s="1">
        <f t="shared" si="29"/>
        <v>8</v>
      </c>
      <c r="M465" s="1" t="s">
        <v>2624</v>
      </c>
      <c r="N465" s="1" t="str">
        <f t="shared" si="5"/>
        <v>1TB</v>
      </c>
      <c r="O465" s="1" t="str">
        <f t="shared" si="6"/>
        <v>1024GB</v>
      </c>
      <c r="P465" s="1" t="s">
        <v>120</v>
      </c>
      <c r="Q465" s="1" t="str">
        <f t="shared" si="7"/>
        <v>1920x1080</v>
      </c>
      <c r="R465" s="1" t="s">
        <v>75</v>
      </c>
      <c r="S465" s="1" t="str">
        <f t="shared" si="8"/>
        <v>144Hz</v>
      </c>
      <c r="T465" s="1" t="s">
        <v>2507</v>
      </c>
      <c r="U465" s="1" t="str">
        <f t="shared" si="9"/>
        <v>DOS</v>
      </c>
      <c r="V465" s="1" t="s">
        <v>2630</v>
      </c>
      <c r="W465" s="1" t="str">
        <f t="shared" si="10"/>
        <v>2.28 kg</v>
      </c>
      <c r="X465" s="1" t="s">
        <v>78</v>
      </c>
      <c r="Y465" s="1" t="str">
        <f t="shared" si="11"/>
        <v>1 Year</v>
      </c>
      <c r="Z465" s="4">
        <v>39799</v>
      </c>
      <c r="AA465" s="1" t="s">
        <v>1082</v>
      </c>
    </row>
    <row r="466" spans="1:27" ht="15.75" customHeight="1" x14ac:dyDescent="0.35">
      <c r="A466" s="1" t="s">
        <v>151</v>
      </c>
      <c r="B466" s="1" t="str">
        <f t="shared" si="16"/>
        <v>Lenovo</v>
      </c>
      <c r="C466" s="1" t="s">
        <v>2379</v>
      </c>
      <c r="D466" s="1" t="str">
        <f t="shared" si="1"/>
        <v>IdeaPad Gaming 3 15IHU6</v>
      </c>
      <c r="E466" s="1" t="str">
        <f t="array" aca="1" ref="E466" ca="1">IFERROR(
INDEX(Family_Map!$B$2:$B$35,
_xludf.AGGREGATE(14,6,(ROW(Family_Map!$A$2:$A$35)-ROW(Family_Map!$A$2)+1)/(ISNUMBER(SEARCH(Family_Map!$A$2:$A$35,D466))),1)
),
"Other")</f>
        <v>Other</v>
      </c>
      <c r="F466" s="1" t="s">
        <v>2633</v>
      </c>
      <c r="G466" s="1" t="e">
        <f t="shared" ca="1" si="2"/>
        <v>#NAME?</v>
      </c>
      <c r="H466" s="1" t="str">
        <f t="shared" ca="1" si="12"/>
        <v>Other</v>
      </c>
      <c r="I466" s="1" t="s">
        <v>507</v>
      </c>
      <c r="J466" s="1" t="str">
        <f t="shared" si="3"/>
        <v>4GB</v>
      </c>
      <c r="K466" s="1" t="s">
        <v>1448</v>
      </c>
      <c r="L466" s="1">
        <v>8</v>
      </c>
      <c r="M466" s="1" t="s">
        <v>2634</v>
      </c>
      <c r="N466" s="1" t="str">
        <f t="shared" si="5"/>
        <v>512GB</v>
      </c>
      <c r="O466" s="1" t="str">
        <f t="shared" si="6"/>
        <v>512GB</v>
      </c>
      <c r="P466" s="1" t="s">
        <v>74</v>
      </c>
      <c r="Q466" s="1" t="str">
        <f t="shared" si="7"/>
        <v>1920x1080</v>
      </c>
      <c r="R466" s="1" t="s">
        <v>39</v>
      </c>
      <c r="S466" s="1" t="str">
        <f t="shared" si="8"/>
        <v>120Hz</v>
      </c>
      <c r="T466" s="1" t="s">
        <v>2611</v>
      </c>
      <c r="U466" s="1" t="str">
        <f t="shared" si="9"/>
        <v>DOS</v>
      </c>
      <c r="V466" s="1" t="s">
        <v>652</v>
      </c>
      <c r="W466" s="1" t="str">
        <f t="shared" si="10"/>
        <v>2.25 kg</v>
      </c>
      <c r="X466" s="1" t="s">
        <v>129</v>
      </c>
      <c r="Y466" s="1" t="str">
        <f t="shared" si="11"/>
        <v>1 Year</v>
      </c>
      <c r="Z466" s="4">
        <v>26899</v>
      </c>
      <c r="AA466" s="1" t="s">
        <v>1082</v>
      </c>
    </row>
    <row r="467" spans="1:27" ht="15.75" customHeight="1" x14ac:dyDescent="0.35">
      <c r="B467" s="1" t="str">
        <f t="shared" si="16"/>
        <v/>
      </c>
      <c r="C467" s="1" t="s">
        <v>2637</v>
      </c>
      <c r="D467" s="1" t="str">
        <f t="shared" si="1"/>
        <v>F15 FX516PM-211.TF15</v>
      </c>
      <c r="E467" s="1" t="str">
        <f t="array" aca="1" ref="E467" ca="1">IFERROR(
INDEX(Family_Map!$B$2:$B$35,
_xludf.AGGREGATE(14,6,(ROW(Family_Map!$A$2:$A$35)-ROW(Family_Map!$A$2)+1)/(ISNUMBER(SEARCH(Family_Map!$A$2:$A$35,D467))),1)
),
"Other")</f>
        <v>Other</v>
      </c>
      <c r="F467" s="1" t="s">
        <v>2380</v>
      </c>
      <c r="G467" s="1" t="e">
        <f t="shared" ca="1" si="2"/>
        <v>#NAME?</v>
      </c>
      <c r="H467" s="1" t="str">
        <f t="shared" ca="1" si="12"/>
        <v>Other</v>
      </c>
      <c r="I467" s="1" t="s">
        <v>1584</v>
      </c>
      <c r="J467" s="1" t="str">
        <f t="shared" si="3"/>
        <v>6GB</v>
      </c>
      <c r="K467" s="1" t="s">
        <v>2638</v>
      </c>
      <c r="L467" s="1">
        <f t="shared" ref="L467:L480" si="30">IFERROR(
VALUE(SUBSTITUTE(SUBSTITUTE(LEFT(UPPER(TRIM(K467)),FIND("GB",UPPER(K467)&amp;"GB")+1),"GB","")," ","")),
IFERROR(
VALUE(SUBSTITUTE(SUBSTITUTE(MID(UPPER(K467),FIND("GB",UPPER(K467)&amp;"GB")-3,3),"GB","")," ",""))
*
IF(
OR(
ISNUMBER(SEARCH("2X",UPPER(K467))),
ISNUMBER(SEARCH("X 2",UPPER(K467))),
ISNUMBER(SEARCH("*2",UPPER(K467))),
ISNUMBER(SEARCH("2*",UPPER(K467))),
ISNUMBER(SEARCH("(2 X",UPPER(K467)))
),
2,1),
"")
)</f>
        <v>16</v>
      </c>
      <c r="M467" s="1" t="s">
        <v>322</v>
      </c>
      <c r="N467" s="1" t="str">
        <f t="shared" si="5"/>
        <v>1TB</v>
      </c>
      <c r="O467" s="1" t="str">
        <f t="shared" si="6"/>
        <v>1024GB</v>
      </c>
      <c r="P467" s="1" t="s">
        <v>120</v>
      </c>
      <c r="Q467" s="1" t="str">
        <f t="shared" si="7"/>
        <v>1920x1080</v>
      </c>
      <c r="S467" s="1" t="str">
        <f t="shared" si="8"/>
        <v/>
      </c>
      <c r="T467" s="1" t="s">
        <v>90</v>
      </c>
      <c r="U467" s="1" t="str">
        <f t="shared" si="9"/>
        <v>Windows 11 Home</v>
      </c>
      <c r="V467" s="1" t="s">
        <v>2078</v>
      </c>
      <c r="W467" s="1" t="str">
        <f t="shared" si="10"/>
        <v>2 kg</v>
      </c>
      <c r="X467" s="1" t="s">
        <v>165</v>
      </c>
      <c r="Y467" s="1" t="str">
        <f t="shared" si="11"/>
        <v>2 Years</v>
      </c>
      <c r="Z467" s="4">
        <v>70000</v>
      </c>
      <c r="AA467" s="1" t="s">
        <v>1082</v>
      </c>
    </row>
    <row r="468" spans="1:27" ht="15.75" customHeight="1" x14ac:dyDescent="0.35">
      <c r="B468" s="1" t="str">
        <f t="shared" si="16"/>
        <v/>
      </c>
      <c r="C468" s="1" t="s">
        <v>2641</v>
      </c>
      <c r="D468" s="1" t="str">
        <f t="shared" si="1"/>
        <v>ROG Strix Scar 17 SE. G733C-XS97</v>
      </c>
      <c r="E468" s="1" t="str">
        <f t="array" aca="1" ref="E468" ca="1">IFERROR(
INDEX(Family_Map!$B$2:$B$35,
_xludf.AGGREGATE(14,6,(ROW(Family_Map!$A$2:$A$35)-ROW(Family_Map!$A$2)+1)/(ISNUMBER(SEARCH(Family_Map!$A$2:$A$35,D468))),1)
),
"Other")</f>
        <v>Other</v>
      </c>
      <c r="F468" s="1" t="s">
        <v>2642</v>
      </c>
      <c r="G468" s="1" t="e">
        <f t="shared" ca="1" si="2"/>
        <v>#NAME?</v>
      </c>
      <c r="H468" s="1" t="str">
        <f t="shared" ca="1" si="12"/>
        <v>Other</v>
      </c>
      <c r="I468" s="1" t="s">
        <v>552</v>
      </c>
      <c r="J468" s="1" t="str">
        <f t="shared" si="3"/>
        <v>16GB</v>
      </c>
      <c r="K468" s="1" t="s">
        <v>2643</v>
      </c>
      <c r="L468" s="1">
        <f t="shared" si="30"/>
        <v>32</v>
      </c>
      <c r="M468" s="1" t="s">
        <v>576</v>
      </c>
      <c r="N468" s="1" t="str">
        <f t="shared" si="5"/>
        <v>2TB</v>
      </c>
      <c r="O468" s="1" t="str">
        <f t="shared" si="6"/>
        <v>2048GB</v>
      </c>
      <c r="P468" s="1" t="s">
        <v>1493</v>
      </c>
      <c r="Q468" s="1" t="str">
        <f t="shared" si="7"/>
        <v>2560x1440</v>
      </c>
      <c r="R468" s="1" t="s">
        <v>256</v>
      </c>
      <c r="S468" s="1" t="str">
        <f t="shared" si="8"/>
        <v>240Hz</v>
      </c>
      <c r="T468" s="1" t="s">
        <v>725</v>
      </c>
      <c r="U468" s="1" t="str">
        <f t="shared" si="9"/>
        <v>Windows 11 Pro</v>
      </c>
      <c r="V468" s="1" t="s">
        <v>2647</v>
      </c>
      <c r="W468" s="1" t="str">
        <f t="shared" si="10"/>
        <v>3 kg</v>
      </c>
      <c r="X468" s="1" t="s">
        <v>165</v>
      </c>
      <c r="Y468" s="1" t="str">
        <f t="shared" si="11"/>
        <v>2 Years</v>
      </c>
      <c r="Z468" s="4">
        <v>114999</v>
      </c>
      <c r="AA468" s="1" t="s">
        <v>166</v>
      </c>
    </row>
    <row r="469" spans="1:27" ht="15.75" customHeight="1" x14ac:dyDescent="0.35">
      <c r="B469" s="1" t="str">
        <f t="shared" si="16"/>
        <v/>
      </c>
      <c r="C469" s="1" t="s">
        <v>2649</v>
      </c>
      <c r="D469" s="1" t="str">
        <f t="shared" si="1"/>
        <v>Rog Zephyrus DUO 16 GX650RX-XS97</v>
      </c>
      <c r="E469" s="1" t="str">
        <f t="array" aca="1" ref="E469" ca="1">IFERROR(
INDEX(Family_Map!$B$2:$B$35,
_xludf.AGGREGATE(14,6,(ROW(Family_Map!$A$2:$A$35)-ROW(Family_Map!$A$2)+1)/(ISNUMBER(SEARCH(Family_Map!$A$2:$A$35,D469))),1)
),
"Other")</f>
        <v>Other</v>
      </c>
      <c r="F469" s="1" t="s">
        <v>2650</v>
      </c>
      <c r="G469" s="1" t="e">
        <f t="shared" ca="1" si="2"/>
        <v>#NAME?</v>
      </c>
      <c r="H469" s="1" t="str">
        <f t="shared" ca="1" si="12"/>
        <v>Other</v>
      </c>
      <c r="I469" s="1" t="s">
        <v>552</v>
      </c>
      <c r="J469" s="1" t="str">
        <f t="shared" si="3"/>
        <v>16GB</v>
      </c>
      <c r="K469" s="1" t="s">
        <v>2652</v>
      </c>
      <c r="L469" s="1">
        <f t="shared" si="30"/>
        <v>32</v>
      </c>
      <c r="M469" s="1" t="s">
        <v>2653</v>
      </c>
      <c r="N469" s="1" t="str">
        <f t="shared" si="5"/>
        <v>2TB</v>
      </c>
      <c r="O469" s="1" t="str">
        <f t="shared" si="6"/>
        <v>2048GB</v>
      </c>
      <c r="P469" s="1" t="s">
        <v>89</v>
      </c>
      <c r="Q469" s="1" t="str">
        <f t="shared" si="7"/>
        <v>2560x1600</v>
      </c>
      <c r="R469" s="1" t="s">
        <v>57</v>
      </c>
      <c r="S469" s="1" t="str">
        <f t="shared" si="8"/>
        <v>165Hz</v>
      </c>
      <c r="T469" s="1" t="s">
        <v>725</v>
      </c>
      <c r="U469" s="1" t="str">
        <f t="shared" si="9"/>
        <v>Windows 11 Pro</v>
      </c>
      <c r="V469" s="1" t="s">
        <v>2657</v>
      </c>
      <c r="W469" s="1" t="str">
        <f t="shared" si="10"/>
        <v>2.59 kg</v>
      </c>
      <c r="X469" s="1" t="s">
        <v>165</v>
      </c>
      <c r="Y469" s="1" t="str">
        <f t="shared" si="11"/>
        <v>2 Years</v>
      </c>
      <c r="Z469" s="4">
        <v>125000</v>
      </c>
      <c r="AA469" s="1" t="s">
        <v>5735</v>
      </c>
    </row>
    <row r="470" spans="1:27" ht="15.75" customHeight="1" x14ac:dyDescent="0.35">
      <c r="B470" s="1" t="str">
        <f t="shared" si="16"/>
        <v/>
      </c>
      <c r="C470" s="1" t="s">
        <v>2659</v>
      </c>
      <c r="D470" s="1" t="str">
        <f t="shared" si="1"/>
        <v>TUF Gaming FX505D-HN536</v>
      </c>
      <c r="E470" s="1" t="str">
        <f t="array" aca="1" ref="E470" ca="1">IFERROR(
INDEX(Family_Map!$B$2:$B$35,
_xludf.AGGREGATE(14,6,(ROW(Family_Map!$A$2:$A$35)-ROW(Family_Map!$A$2)+1)/(ISNUMBER(SEARCH(Family_Map!$A$2:$A$35,D470))),1)
),
"Other")</f>
        <v>Other</v>
      </c>
      <c r="F470" s="1" t="s">
        <v>2660</v>
      </c>
      <c r="G470" s="1" t="e">
        <f t="shared" ca="1" si="2"/>
        <v>#NAME?</v>
      </c>
      <c r="H470" s="1" t="str">
        <f t="shared" ca="1" si="12"/>
        <v>Other</v>
      </c>
      <c r="I470" s="1" t="s">
        <v>2662</v>
      </c>
      <c r="J470" s="1" t="str">
        <f t="shared" si="3"/>
        <v>4GB</v>
      </c>
      <c r="K470" s="1" t="s">
        <v>2663</v>
      </c>
      <c r="L470" s="1">
        <f t="shared" si="30"/>
        <v>8</v>
      </c>
      <c r="M470" s="1" t="s">
        <v>1604</v>
      </c>
      <c r="N470" s="1" t="str">
        <f t="shared" si="5"/>
        <v>512GB</v>
      </c>
      <c r="O470" s="1" t="str">
        <f t="shared" si="6"/>
        <v>512GB</v>
      </c>
      <c r="P470" s="1" t="s">
        <v>120</v>
      </c>
      <c r="Q470" s="1" t="str">
        <f t="shared" si="7"/>
        <v>1920x1080</v>
      </c>
      <c r="R470" s="1" t="s">
        <v>75</v>
      </c>
      <c r="S470" s="1" t="str">
        <f t="shared" si="8"/>
        <v>144Hz</v>
      </c>
      <c r="T470" s="1" t="s">
        <v>2507</v>
      </c>
      <c r="U470" s="1" t="str">
        <f t="shared" si="9"/>
        <v>DOS</v>
      </c>
      <c r="V470" s="1" t="s">
        <v>300</v>
      </c>
      <c r="W470" s="1" t="str">
        <f t="shared" si="10"/>
        <v>2.2 kg</v>
      </c>
      <c r="X470" s="1" t="s">
        <v>165</v>
      </c>
      <c r="Y470" s="1" t="str">
        <f t="shared" si="11"/>
        <v>2 Years</v>
      </c>
      <c r="Z470" s="4">
        <v>18499</v>
      </c>
      <c r="AA470" s="1" t="s">
        <v>5735</v>
      </c>
    </row>
    <row r="471" spans="1:27" ht="15.75" customHeight="1" x14ac:dyDescent="0.35">
      <c r="A471" s="1" t="s">
        <v>112</v>
      </c>
      <c r="B471" s="1" t="str">
        <f t="shared" si="16"/>
        <v>HP</v>
      </c>
      <c r="C471" s="1" t="s">
        <v>2669</v>
      </c>
      <c r="D471" s="1" t="str">
        <f t="shared" si="1"/>
        <v>Victus 15-FA0083NIA</v>
      </c>
      <c r="E471" s="1" t="str">
        <f t="array" aca="1" ref="E471" ca="1">IFERROR(
INDEX(Family_Map!$B$2:$B$35,
_xludf.AGGREGATE(14,6,(ROW(Family_Map!$A$2:$A$35)-ROW(Family_Map!$A$2)+1)/(ISNUMBER(SEARCH(Family_Map!$A$2:$A$35,D471))),1)
),
"Other")</f>
        <v>Other</v>
      </c>
      <c r="F471" s="1" t="s">
        <v>1118</v>
      </c>
      <c r="G471" s="1" t="e">
        <f t="shared" ca="1" si="2"/>
        <v>#NAME?</v>
      </c>
      <c r="H471" s="1" t="str">
        <f t="shared" ca="1" si="12"/>
        <v>Other</v>
      </c>
      <c r="I471" s="1" t="s">
        <v>507</v>
      </c>
      <c r="J471" s="1" t="str">
        <f t="shared" si="3"/>
        <v>4GB</v>
      </c>
      <c r="K471" s="1" t="s">
        <v>1462</v>
      </c>
      <c r="L471" s="1">
        <f t="shared" si="30"/>
        <v>16</v>
      </c>
      <c r="M471" s="1" t="s">
        <v>1813</v>
      </c>
      <c r="N471" s="1" t="str">
        <f t="shared" si="5"/>
        <v>512 GB</v>
      </c>
      <c r="O471" s="1" t="str">
        <f t="shared" si="6"/>
        <v>512 GB</v>
      </c>
      <c r="P471" s="1" t="s">
        <v>120</v>
      </c>
      <c r="Q471" s="1" t="str">
        <f t="shared" si="7"/>
        <v>1920x1080</v>
      </c>
      <c r="R471" s="1" t="s">
        <v>75</v>
      </c>
      <c r="S471" s="1" t="str">
        <f t="shared" si="8"/>
        <v>144Hz</v>
      </c>
      <c r="T471" s="1" t="s">
        <v>2507</v>
      </c>
      <c r="U471" s="1" t="str">
        <f t="shared" si="9"/>
        <v>DOS</v>
      </c>
      <c r="V471" s="1" t="s">
        <v>127</v>
      </c>
      <c r="W471" s="1" t="str">
        <f t="shared" si="10"/>
        <v>2.29 kg</v>
      </c>
      <c r="X471" s="1" t="s">
        <v>78</v>
      </c>
      <c r="Y471" s="1" t="str">
        <f t="shared" si="11"/>
        <v>1 Year</v>
      </c>
      <c r="Z471" s="4">
        <v>32000</v>
      </c>
      <c r="AA471" s="1" t="s">
        <v>166</v>
      </c>
    </row>
    <row r="472" spans="1:27" ht="15.75" customHeight="1" x14ac:dyDescent="0.35">
      <c r="A472" s="1" t="s">
        <v>30</v>
      </c>
      <c r="B472" s="1" t="str">
        <f t="shared" si="16"/>
        <v>MSI</v>
      </c>
      <c r="C472" s="1" t="s">
        <v>2671</v>
      </c>
      <c r="D472" s="1" t="str">
        <f t="shared" si="1"/>
        <v>GP76 Vector 12UG</v>
      </c>
      <c r="E472" s="1" t="str">
        <f t="array" aca="1" ref="E472" ca="1">IFERROR(
INDEX(Family_Map!$B$2:$B$35,
_xludf.AGGREGATE(14,6,(ROW(Family_Map!$A$2:$A$35)-ROW(Family_Map!$A$2)+1)/(ISNUMBER(SEARCH(Family_Map!$A$2:$A$35,D472))),1)
),
"Other")</f>
        <v>Other</v>
      </c>
      <c r="F472" s="1" t="s">
        <v>1756</v>
      </c>
      <c r="G472" s="1" t="e">
        <f t="shared" ca="1" si="2"/>
        <v>#NAME?</v>
      </c>
      <c r="H472" s="1" t="str">
        <f t="shared" ca="1" si="12"/>
        <v>Other</v>
      </c>
      <c r="I472" s="1" t="s">
        <v>410</v>
      </c>
      <c r="J472" s="1" t="str">
        <f t="shared" si="3"/>
        <v>8GB</v>
      </c>
      <c r="K472" s="1" t="s">
        <v>2673</v>
      </c>
      <c r="L472" s="1">
        <f t="shared" si="30"/>
        <v>32</v>
      </c>
      <c r="M472" s="1" t="s">
        <v>2674</v>
      </c>
      <c r="N472" s="1" t="str">
        <f t="shared" si="5"/>
        <v>1TB</v>
      </c>
      <c r="O472" s="1" t="str">
        <f t="shared" si="6"/>
        <v>1024GB</v>
      </c>
      <c r="Q472" s="1" t="str">
        <f t="shared" si="7"/>
        <v/>
      </c>
      <c r="R472" s="1" t="s">
        <v>1518</v>
      </c>
      <c r="S472" s="1" t="str">
        <f t="shared" si="8"/>
        <v>360Hz</v>
      </c>
      <c r="T472" s="1" t="s">
        <v>90</v>
      </c>
      <c r="U472" s="1" t="str">
        <f t="shared" si="9"/>
        <v>Windows 11 Home</v>
      </c>
      <c r="V472" s="1" t="s">
        <v>2064</v>
      </c>
      <c r="W472" s="1" t="str">
        <f t="shared" si="10"/>
        <v>2.9 kg</v>
      </c>
      <c r="X472" s="1" t="s">
        <v>78</v>
      </c>
      <c r="Y472" s="1" t="str">
        <f t="shared" si="11"/>
        <v>1 Year</v>
      </c>
      <c r="Z472" s="4">
        <v>79999</v>
      </c>
      <c r="AA472" s="1" t="s">
        <v>166</v>
      </c>
    </row>
    <row r="473" spans="1:27" ht="15.75" customHeight="1" x14ac:dyDescent="0.35">
      <c r="A473" s="1" t="s">
        <v>81</v>
      </c>
      <c r="B473" s="1" t="str">
        <f t="shared" si="16"/>
        <v>Dell</v>
      </c>
      <c r="C473" s="1" t="s">
        <v>2679</v>
      </c>
      <c r="D473" s="1" t="str">
        <f t="shared" si="1"/>
        <v>G15 5521 SE</v>
      </c>
      <c r="E473" s="1" t="str">
        <f t="array" aca="1" ref="E473" ca="1">IFERROR(
INDEX(Family_Map!$B$2:$B$35,
_xludf.AGGREGATE(14,6,(ROW(Family_Map!$A$2:$A$35)-ROW(Family_Map!$A$2)+1)/(ISNUMBER(SEARCH(Family_Map!$A$2:$A$35,D473))),1)
),
"Other")</f>
        <v>Other</v>
      </c>
      <c r="F473" s="1" t="s">
        <v>1118</v>
      </c>
      <c r="G473" s="1" t="e">
        <f t="shared" ca="1" si="2"/>
        <v>#NAME?</v>
      </c>
      <c r="H473" s="1" t="str">
        <f t="shared" ca="1" si="12"/>
        <v>Other</v>
      </c>
      <c r="I473" s="1" t="s">
        <v>70</v>
      </c>
      <c r="J473" s="1" t="str">
        <f t="shared" si="3"/>
        <v>6GB</v>
      </c>
      <c r="K473" s="1" t="s">
        <v>553</v>
      </c>
      <c r="L473" s="1">
        <f t="shared" si="30"/>
        <v>32</v>
      </c>
      <c r="M473" s="1" t="s">
        <v>2680</v>
      </c>
      <c r="N473" s="1" t="str">
        <f t="shared" si="5"/>
        <v>1TB</v>
      </c>
      <c r="O473" s="1" t="str">
        <f t="shared" si="6"/>
        <v>1024GB</v>
      </c>
      <c r="P473" s="1" t="s">
        <v>1493</v>
      </c>
      <c r="Q473" s="1" t="str">
        <f t="shared" si="7"/>
        <v>2560x1440</v>
      </c>
      <c r="R473" s="1" t="s">
        <v>256</v>
      </c>
      <c r="S473" s="1" t="str">
        <f t="shared" si="8"/>
        <v>240Hz</v>
      </c>
      <c r="T473" s="1" t="s">
        <v>555</v>
      </c>
      <c r="U473" s="1" t="str">
        <f t="shared" si="9"/>
        <v>Windows 11 Home</v>
      </c>
      <c r="V473" s="1" t="s">
        <v>2685</v>
      </c>
      <c r="W473" s="1" t="str">
        <f t="shared" si="10"/>
        <v>2.67 kg</v>
      </c>
      <c r="X473" s="1" t="s">
        <v>129</v>
      </c>
      <c r="Y473" s="1" t="str">
        <f t="shared" si="11"/>
        <v>1 Year</v>
      </c>
      <c r="Z473" s="4">
        <v>69999</v>
      </c>
      <c r="AA473" s="1" t="s">
        <v>166</v>
      </c>
    </row>
    <row r="474" spans="1:27" ht="15.75" customHeight="1" x14ac:dyDescent="0.35">
      <c r="A474" s="1" t="s">
        <v>81</v>
      </c>
      <c r="B474" s="1" t="str">
        <f t="shared" si="16"/>
        <v>Dell</v>
      </c>
      <c r="C474" s="1" t="s">
        <v>2686</v>
      </c>
      <c r="D474" s="1" t="str">
        <f t="shared" si="1"/>
        <v>Dell G15 5520</v>
      </c>
      <c r="E474" s="1" t="str">
        <f t="array" aca="1" ref="E474" ca="1">IFERROR(
INDEX(Family_Map!$B$2:$B$35,
_xludf.AGGREGATE(14,6,(ROW(Family_Map!$A$2:$A$35)-ROW(Family_Map!$A$2)+1)/(ISNUMBER(SEARCH(Family_Map!$A$2:$A$35,D474))),1)
),
"Other")</f>
        <v>Other</v>
      </c>
      <c r="F474" s="1" t="s">
        <v>1118</v>
      </c>
      <c r="G474" s="1" t="e">
        <f t="shared" ca="1" si="2"/>
        <v>#NAME?</v>
      </c>
      <c r="H474" s="1" t="str">
        <f t="shared" ca="1" si="12"/>
        <v>Other</v>
      </c>
      <c r="I474" s="1" t="s">
        <v>1584</v>
      </c>
      <c r="J474" s="1" t="str">
        <f t="shared" si="3"/>
        <v>6GB</v>
      </c>
      <c r="K474" s="1" t="s">
        <v>1657</v>
      </c>
      <c r="L474" s="1">
        <f t="shared" si="30"/>
        <v>16</v>
      </c>
      <c r="M474" s="1" t="s">
        <v>2687</v>
      </c>
      <c r="N474" s="1" t="str">
        <f t="shared" si="5"/>
        <v>512GB</v>
      </c>
      <c r="O474" s="1" t="str">
        <f t="shared" si="6"/>
        <v>512GB</v>
      </c>
      <c r="P474" s="1" t="s">
        <v>120</v>
      </c>
      <c r="Q474" s="1" t="str">
        <f t="shared" si="7"/>
        <v>1920x1080</v>
      </c>
      <c r="R474" s="1" t="s">
        <v>39</v>
      </c>
      <c r="S474" s="1" t="str">
        <f t="shared" si="8"/>
        <v>120Hz</v>
      </c>
      <c r="T474" s="1" t="s">
        <v>90</v>
      </c>
      <c r="U474" s="1" t="str">
        <f t="shared" si="9"/>
        <v>Windows 11 Home</v>
      </c>
      <c r="V474" s="1" t="s">
        <v>1662</v>
      </c>
      <c r="W474" s="1" t="str">
        <f t="shared" si="10"/>
        <v>2.67 kg</v>
      </c>
      <c r="X474" s="1" t="s">
        <v>129</v>
      </c>
      <c r="Y474" s="1" t="str">
        <f t="shared" si="11"/>
        <v>1 Year</v>
      </c>
      <c r="Z474" s="4">
        <v>44499</v>
      </c>
      <c r="AA474" s="1" t="s">
        <v>166</v>
      </c>
    </row>
    <row r="475" spans="1:27" ht="15.75" customHeight="1" x14ac:dyDescent="0.35">
      <c r="A475" s="1" t="s">
        <v>81</v>
      </c>
      <c r="B475" s="1" t="str">
        <f t="shared" si="16"/>
        <v>Dell</v>
      </c>
      <c r="C475" s="1" t="s">
        <v>2686</v>
      </c>
      <c r="D475" s="1" t="str">
        <f t="shared" si="1"/>
        <v>Dell G15 5520</v>
      </c>
      <c r="E475" s="1" t="str">
        <f t="array" aca="1" ref="E475" ca="1">IFERROR(
INDEX(Family_Map!$B$2:$B$35,
_xludf.AGGREGATE(14,6,(ROW(Family_Map!$A$2:$A$35)-ROW(Family_Map!$A$2)+1)/(ISNUMBER(SEARCH(Family_Map!$A$2:$A$35,D475))),1)
),
"Other")</f>
        <v>Other</v>
      </c>
      <c r="F475" s="1" t="s">
        <v>1118</v>
      </c>
      <c r="G475" s="1" t="e">
        <f t="shared" ca="1" si="2"/>
        <v>#NAME?</v>
      </c>
      <c r="H475" s="1" t="str">
        <f t="shared" ca="1" si="12"/>
        <v>Other</v>
      </c>
      <c r="I475" s="1" t="s">
        <v>507</v>
      </c>
      <c r="J475" s="1" t="str">
        <f t="shared" si="3"/>
        <v>4GB</v>
      </c>
      <c r="K475" s="1" t="s">
        <v>1657</v>
      </c>
      <c r="L475" s="1">
        <f t="shared" si="30"/>
        <v>16</v>
      </c>
      <c r="M475" s="1" t="s">
        <v>2687</v>
      </c>
      <c r="N475" s="1" t="str">
        <f t="shared" si="5"/>
        <v>512GB</v>
      </c>
      <c r="O475" s="1" t="str">
        <f t="shared" si="6"/>
        <v>512GB</v>
      </c>
      <c r="P475" s="1" t="s">
        <v>120</v>
      </c>
      <c r="Q475" s="1" t="str">
        <f t="shared" si="7"/>
        <v>1920x1080</v>
      </c>
      <c r="R475" s="1" t="s">
        <v>39</v>
      </c>
      <c r="S475" s="1" t="str">
        <f t="shared" si="8"/>
        <v>120Hz</v>
      </c>
      <c r="T475" s="1" t="s">
        <v>555</v>
      </c>
      <c r="U475" s="1" t="str">
        <f t="shared" si="9"/>
        <v>Windows 11 Home</v>
      </c>
      <c r="V475" s="1" t="s">
        <v>1662</v>
      </c>
      <c r="W475" s="1" t="str">
        <f t="shared" si="10"/>
        <v>2.67 kg</v>
      </c>
      <c r="X475" s="1" t="s">
        <v>129</v>
      </c>
      <c r="Y475" s="1" t="str">
        <f t="shared" si="11"/>
        <v>1 Year</v>
      </c>
      <c r="Z475" s="4">
        <v>37500</v>
      </c>
      <c r="AA475" s="1" t="s">
        <v>166</v>
      </c>
    </row>
    <row r="476" spans="1:27" ht="15.75" customHeight="1" x14ac:dyDescent="0.35">
      <c r="A476" s="1" t="s">
        <v>81</v>
      </c>
      <c r="B476" s="1" t="str">
        <f t="shared" si="16"/>
        <v>Dell</v>
      </c>
      <c r="C476" s="1" t="s">
        <v>2462</v>
      </c>
      <c r="D476" s="1" t="str">
        <f t="shared" si="1"/>
        <v>G15 5511</v>
      </c>
      <c r="E476" s="1" t="str">
        <f t="array" aca="1" ref="E476" ca="1">IFERROR(
INDEX(Family_Map!$B$2:$B$35,
_xludf.AGGREGATE(14,6,(ROW(Family_Map!$A$2:$A$35)-ROW(Family_Map!$A$2)+1)/(ISNUMBER(SEARCH(Family_Map!$A$2:$A$35,D476))),1)
),
"Other")</f>
        <v>Other</v>
      </c>
      <c r="F476" s="1" t="s">
        <v>2504</v>
      </c>
      <c r="G476" s="1" t="e">
        <f t="shared" ca="1" si="2"/>
        <v>#NAME?</v>
      </c>
      <c r="H476" s="1" t="str">
        <f t="shared" ca="1" si="12"/>
        <v>Other</v>
      </c>
      <c r="I476" s="1" t="s">
        <v>507</v>
      </c>
      <c r="J476" s="1" t="str">
        <f t="shared" si="3"/>
        <v>4GB</v>
      </c>
      <c r="K476" s="1" t="s">
        <v>2690</v>
      </c>
      <c r="L476" s="1">
        <f t="shared" si="30"/>
        <v>16</v>
      </c>
      <c r="M476" s="1" t="s">
        <v>1604</v>
      </c>
      <c r="N476" s="1" t="str">
        <f t="shared" si="5"/>
        <v>512GB</v>
      </c>
      <c r="O476" s="1" t="str">
        <f t="shared" si="6"/>
        <v>512GB</v>
      </c>
      <c r="P476" s="1" t="s">
        <v>120</v>
      </c>
      <c r="Q476" s="1" t="str">
        <f t="shared" si="7"/>
        <v>1920x1080</v>
      </c>
      <c r="R476" s="1" t="s">
        <v>39</v>
      </c>
      <c r="S476" s="1" t="str">
        <f t="shared" si="8"/>
        <v>120Hz</v>
      </c>
      <c r="T476" s="1" t="s">
        <v>555</v>
      </c>
      <c r="U476" s="1" t="str">
        <f t="shared" si="9"/>
        <v>Windows 11 Home</v>
      </c>
      <c r="V476" s="1" t="s">
        <v>2696</v>
      </c>
      <c r="W476" s="1" t="str">
        <f t="shared" si="10"/>
        <v>2.65 kg</v>
      </c>
      <c r="X476" s="1" t="s">
        <v>129</v>
      </c>
      <c r="Y476" s="1" t="str">
        <f t="shared" si="11"/>
        <v>1 Year</v>
      </c>
      <c r="Z476" s="4">
        <v>29399</v>
      </c>
      <c r="AA476" s="1" t="s">
        <v>1082</v>
      </c>
    </row>
    <row r="477" spans="1:27" ht="15.75" customHeight="1" x14ac:dyDescent="0.35">
      <c r="A477" s="1" t="s">
        <v>81</v>
      </c>
      <c r="B477" s="1" t="str">
        <f t="shared" si="16"/>
        <v>Dell</v>
      </c>
      <c r="C477" s="1" t="s">
        <v>2462</v>
      </c>
      <c r="D477" s="1" t="str">
        <f t="shared" si="1"/>
        <v>G15 5511</v>
      </c>
      <c r="E477" s="1" t="str">
        <f t="array" aca="1" ref="E477" ca="1">IFERROR(
INDEX(Family_Map!$B$2:$B$35,
_xludf.AGGREGATE(14,6,(ROW(Family_Map!$A$2:$A$35)-ROW(Family_Map!$A$2)+1)/(ISNUMBER(SEARCH(Family_Map!$A$2:$A$35,D477))),1)
),
"Other")</f>
        <v>Other</v>
      </c>
      <c r="F477" s="1" t="s">
        <v>1075</v>
      </c>
      <c r="G477" s="1" t="e">
        <f t="shared" ca="1" si="2"/>
        <v>#NAME?</v>
      </c>
      <c r="H477" s="1" t="str">
        <f t="shared" ca="1" si="12"/>
        <v>Other</v>
      </c>
      <c r="I477" s="1" t="s">
        <v>507</v>
      </c>
      <c r="J477" s="1" t="str">
        <f t="shared" si="3"/>
        <v>4GB</v>
      </c>
      <c r="K477" s="1" t="s">
        <v>2690</v>
      </c>
      <c r="L477" s="1">
        <f t="shared" si="30"/>
        <v>16</v>
      </c>
      <c r="M477" s="1" t="s">
        <v>1604</v>
      </c>
      <c r="N477" s="1" t="str">
        <f t="shared" si="5"/>
        <v>512GB</v>
      </c>
      <c r="O477" s="1" t="str">
        <f t="shared" si="6"/>
        <v>512GB</v>
      </c>
      <c r="P477" s="1" t="s">
        <v>120</v>
      </c>
      <c r="Q477" s="1" t="str">
        <f t="shared" si="7"/>
        <v>1920x1080</v>
      </c>
      <c r="R477" s="1" t="s">
        <v>39</v>
      </c>
      <c r="S477" s="1" t="str">
        <f t="shared" si="8"/>
        <v>120Hz</v>
      </c>
      <c r="T477" s="1" t="s">
        <v>90</v>
      </c>
      <c r="U477" s="1" t="str">
        <f t="shared" si="9"/>
        <v>Windows 11 Home</v>
      </c>
      <c r="V477" s="1" t="s">
        <v>2696</v>
      </c>
      <c r="W477" s="1" t="str">
        <f t="shared" si="10"/>
        <v>2.65 kg</v>
      </c>
      <c r="X477" s="1" t="s">
        <v>78</v>
      </c>
      <c r="Y477" s="1" t="str">
        <f t="shared" si="11"/>
        <v>1 Year</v>
      </c>
      <c r="Z477" s="4">
        <v>36499</v>
      </c>
      <c r="AA477" s="1" t="s">
        <v>1082</v>
      </c>
    </row>
    <row r="478" spans="1:27" ht="15.75" customHeight="1" x14ac:dyDescent="0.35">
      <c r="A478" s="1" t="s">
        <v>81</v>
      </c>
      <c r="B478" s="1" t="str">
        <f t="shared" si="16"/>
        <v>Dell</v>
      </c>
      <c r="C478" s="1" t="s">
        <v>2698</v>
      </c>
      <c r="D478" s="1" t="str">
        <f t="shared" si="1"/>
        <v>Dell G15 5511</v>
      </c>
      <c r="E478" s="1" t="str">
        <f t="array" aca="1" ref="E478" ca="1">IFERROR(
INDEX(Family_Map!$B$2:$B$35,
_xludf.AGGREGATE(14,6,(ROW(Family_Map!$A$2:$A$35)-ROW(Family_Map!$A$2)+1)/(ISNUMBER(SEARCH(Family_Map!$A$2:$A$35,D478))),1)
),
"Other")</f>
        <v>Other</v>
      </c>
      <c r="F478" s="1" t="s">
        <v>1613</v>
      </c>
      <c r="G478" s="1" t="e">
        <f t="shared" ca="1" si="2"/>
        <v>#NAME?</v>
      </c>
      <c r="H478" s="1" t="str">
        <f t="shared" ca="1" si="12"/>
        <v>Other</v>
      </c>
      <c r="I478" s="1" t="s">
        <v>507</v>
      </c>
      <c r="J478" s="1" t="str">
        <f t="shared" si="3"/>
        <v>4GB</v>
      </c>
      <c r="K478" s="1" t="s">
        <v>2464</v>
      </c>
      <c r="L478" s="1">
        <f t="shared" si="30"/>
        <v>8</v>
      </c>
      <c r="M478" s="1" t="s">
        <v>2465</v>
      </c>
      <c r="N478" s="1" t="str">
        <f t="shared" si="5"/>
        <v>512 GB</v>
      </c>
      <c r="O478" s="1" t="str">
        <f t="shared" si="6"/>
        <v>512 GB</v>
      </c>
      <c r="P478" s="1" t="s">
        <v>120</v>
      </c>
      <c r="Q478" s="1" t="str">
        <f t="shared" si="7"/>
        <v>1920x1080</v>
      </c>
      <c r="R478" s="1" t="s">
        <v>57</v>
      </c>
      <c r="S478" s="1" t="str">
        <f t="shared" si="8"/>
        <v>165Hz</v>
      </c>
      <c r="T478" s="1" t="s">
        <v>1722</v>
      </c>
      <c r="U478" s="1" t="str">
        <f t="shared" si="9"/>
        <v>Windows 10 Home</v>
      </c>
      <c r="V478" s="1" t="s">
        <v>2471</v>
      </c>
      <c r="W478" s="1" t="str">
        <f t="shared" si="10"/>
        <v>2.56 kg</v>
      </c>
      <c r="X478" s="1" t="s">
        <v>129</v>
      </c>
      <c r="Y478" s="1" t="str">
        <f t="shared" si="11"/>
        <v>1 Year</v>
      </c>
      <c r="Z478" s="4">
        <v>25199</v>
      </c>
      <c r="AA478" s="1" t="s">
        <v>1082</v>
      </c>
    </row>
    <row r="479" spans="1:27" ht="15.75" customHeight="1" x14ac:dyDescent="0.35">
      <c r="A479" s="1" t="s">
        <v>30</v>
      </c>
      <c r="B479" s="1" t="str">
        <f t="shared" si="16"/>
        <v>MSI</v>
      </c>
      <c r="C479" s="1" t="s">
        <v>2700</v>
      </c>
      <c r="D479" s="1" t="str">
        <f t="shared" si="1"/>
        <v>Crosshair 15 R6E B12UGZ</v>
      </c>
      <c r="E479" s="1" t="str">
        <f t="array" aca="1" ref="E479" ca="1">IFERROR(
INDEX(Family_Map!$B$2:$B$35,
_xludf.AGGREGATE(14,6,(ROW(Family_Map!$A$2:$A$35)-ROW(Family_Map!$A$2)+1)/(ISNUMBER(SEARCH(Family_Map!$A$2:$A$35,D479))),1)
),
"Other")</f>
        <v>Other</v>
      </c>
      <c r="F479" s="1" t="s">
        <v>1118</v>
      </c>
      <c r="G479" s="1" t="e">
        <f t="shared" ca="1" si="2"/>
        <v>#NAME?</v>
      </c>
      <c r="H479" s="1" t="str">
        <f t="shared" ca="1" si="12"/>
        <v>Other</v>
      </c>
      <c r="I479" s="1" t="s">
        <v>410</v>
      </c>
      <c r="J479" s="1" t="str">
        <f t="shared" si="3"/>
        <v>8GB</v>
      </c>
      <c r="K479" s="1" t="s">
        <v>2702</v>
      </c>
      <c r="L479" s="1">
        <f t="shared" si="30"/>
        <v>16</v>
      </c>
      <c r="M479" s="1" t="s">
        <v>322</v>
      </c>
      <c r="N479" s="1" t="str">
        <f t="shared" si="5"/>
        <v>1TB</v>
      </c>
      <c r="O479" s="1" t="str">
        <f t="shared" si="6"/>
        <v>1024GB</v>
      </c>
      <c r="P479" s="1" t="s">
        <v>1371</v>
      </c>
      <c r="Q479" s="1" t="str">
        <f t="shared" si="7"/>
        <v>2560x1440</v>
      </c>
      <c r="R479" s="1" t="s">
        <v>57</v>
      </c>
      <c r="S479" s="1" t="str">
        <f t="shared" si="8"/>
        <v>165Hz</v>
      </c>
      <c r="T479" s="1" t="s">
        <v>2704</v>
      </c>
      <c r="U479" s="1" t="str">
        <f t="shared" si="9"/>
        <v>Windows 11 Home</v>
      </c>
      <c r="V479" s="1" t="s">
        <v>2709</v>
      </c>
      <c r="W479" s="1" t="str">
        <f t="shared" si="10"/>
        <v>2.47 kg</v>
      </c>
      <c r="X479" s="1" t="s">
        <v>78</v>
      </c>
      <c r="Y479" s="1" t="str">
        <f t="shared" si="11"/>
        <v>1 Year</v>
      </c>
      <c r="Z479" s="4">
        <v>49999</v>
      </c>
      <c r="AA479" s="1" t="s">
        <v>166</v>
      </c>
    </row>
    <row r="480" spans="1:27" ht="15.75" customHeight="1" x14ac:dyDescent="0.35">
      <c r="A480" s="1" t="s">
        <v>81</v>
      </c>
      <c r="B480" s="1" t="str">
        <f t="shared" si="16"/>
        <v>Dell</v>
      </c>
      <c r="C480" s="1" t="s">
        <v>2519</v>
      </c>
      <c r="D480" s="1" t="str">
        <f t="shared" si="1"/>
        <v>Intel Core I5-11260H</v>
      </c>
      <c r="E480" s="1" t="str">
        <f t="array" aca="1" ref="E480" ca="1">IFERROR(
INDEX(Family_Map!$B$2:$B$35,
_xludf.AGGREGATE(14,6,(ROW(Family_Map!$A$2:$A$35)-ROW(Family_Map!$A$2)+1)/(ISNUMBER(SEARCH(Family_Map!$A$2:$A$35,D480))),1)
),
"Other")</f>
        <v>Other</v>
      </c>
      <c r="F480" s="1" t="s">
        <v>2519</v>
      </c>
      <c r="G480" s="1" t="e">
        <f t="shared" ca="1" si="2"/>
        <v>#NAME?</v>
      </c>
      <c r="H480" s="1" t="str">
        <f t="shared" ca="1" si="12"/>
        <v>Other</v>
      </c>
      <c r="I480" s="1" t="s">
        <v>507</v>
      </c>
      <c r="J480" s="1" t="str">
        <f t="shared" si="3"/>
        <v>4GB</v>
      </c>
      <c r="K480" s="1" t="s">
        <v>491</v>
      </c>
      <c r="L480" s="1">
        <f t="shared" si="30"/>
        <v>16</v>
      </c>
      <c r="M480" s="1" t="s">
        <v>2710</v>
      </c>
      <c r="N480" s="1" t="str">
        <f t="shared" si="5"/>
        <v>512GB</v>
      </c>
      <c r="O480" s="1" t="str">
        <f t="shared" si="6"/>
        <v>512GB</v>
      </c>
      <c r="P480" s="1" t="s">
        <v>120</v>
      </c>
      <c r="Q480" s="1" t="str">
        <f t="shared" si="7"/>
        <v>1920x1080</v>
      </c>
      <c r="R480" s="1" t="s">
        <v>57</v>
      </c>
      <c r="S480" s="1" t="str">
        <f t="shared" si="8"/>
        <v>165Hz</v>
      </c>
      <c r="T480" s="1" t="s">
        <v>1722</v>
      </c>
      <c r="U480" s="1" t="str">
        <f t="shared" si="9"/>
        <v>Windows 10 Home</v>
      </c>
      <c r="V480" s="1" t="s">
        <v>2471</v>
      </c>
      <c r="W480" s="1" t="str">
        <f t="shared" si="10"/>
        <v>2.56 kg</v>
      </c>
      <c r="X480" s="1" t="s">
        <v>78</v>
      </c>
      <c r="Y480" s="1" t="str">
        <f t="shared" si="11"/>
        <v>1 Year</v>
      </c>
      <c r="Z480" s="4">
        <v>22999</v>
      </c>
      <c r="AA480" s="1" t="s">
        <v>1082</v>
      </c>
    </row>
    <row r="481" spans="1:27" ht="15.75" customHeight="1" x14ac:dyDescent="0.35">
      <c r="A481" s="1" t="s">
        <v>151</v>
      </c>
      <c r="B481" s="1" t="str">
        <f t="shared" si="16"/>
        <v>Lenovo</v>
      </c>
      <c r="C481" s="1" t="s">
        <v>826</v>
      </c>
      <c r="D481" s="1" t="str">
        <f t="shared" si="1"/>
        <v>IdeaPad Gaming 3 15ACH6</v>
      </c>
      <c r="E481" s="1" t="str">
        <f t="array" aca="1" ref="E481" ca="1">IFERROR(
INDEX(Family_Map!$B$2:$B$35,
_xludf.AGGREGATE(14,6,(ROW(Family_Map!$A$2:$A$35)-ROW(Family_Map!$A$2)+1)/(ISNUMBER(SEARCH(Family_Map!$A$2:$A$35,D481))),1)
),
"Other")</f>
        <v>Other</v>
      </c>
      <c r="F481" s="1" t="s">
        <v>1500</v>
      </c>
      <c r="G481" s="1" t="e">
        <f t="shared" ca="1" si="2"/>
        <v>#NAME?</v>
      </c>
      <c r="H481" s="1" t="str">
        <f t="shared" ca="1" si="12"/>
        <v>Other</v>
      </c>
      <c r="I481" s="1" t="s">
        <v>507</v>
      </c>
      <c r="J481" s="1" t="str">
        <f t="shared" si="3"/>
        <v>4GB</v>
      </c>
      <c r="K481" s="1" t="s">
        <v>1448</v>
      </c>
      <c r="L481" s="1">
        <v>8</v>
      </c>
      <c r="M481" s="1" t="s">
        <v>829</v>
      </c>
      <c r="N481" s="1" t="str">
        <f t="shared" si="5"/>
        <v>512GB</v>
      </c>
      <c r="O481" s="1" t="str">
        <f t="shared" si="6"/>
        <v>512GB</v>
      </c>
      <c r="P481" s="1" t="s">
        <v>120</v>
      </c>
      <c r="Q481" s="1" t="str">
        <f t="shared" si="7"/>
        <v>1920x1080</v>
      </c>
      <c r="R481" s="1" t="s">
        <v>39</v>
      </c>
      <c r="S481" s="1" t="str">
        <f t="shared" si="8"/>
        <v>120Hz</v>
      </c>
      <c r="T481" s="1" t="s">
        <v>2711</v>
      </c>
      <c r="U481" s="1" t="str">
        <f t="shared" si="9"/>
        <v>Windows 11 Home</v>
      </c>
      <c r="V481" s="1" t="s">
        <v>652</v>
      </c>
      <c r="W481" s="1" t="str">
        <f t="shared" si="10"/>
        <v>2.25 kg</v>
      </c>
      <c r="X481" s="1" t="s">
        <v>78</v>
      </c>
      <c r="Y481" s="1" t="str">
        <f t="shared" si="11"/>
        <v>1 Year</v>
      </c>
      <c r="Z481" s="4">
        <v>26500</v>
      </c>
      <c r="AA481" s="1" t="s">
        <v>5735</v>
      </c>
    </row>
    <row r="482" spans="1:27" ht="15.75" customHeight="1" x14ac:dyDescent="0.35">
      <c r="A482" s="1" t="s">
        <v>112</v>
      </c>
      <c r="B482" s="1" t="str">
        <f t="shared" si="16"/>
        <v>HP</v>
      </c>
      <c r="C482" s="1" t="s">
        <v>2715</v>
      </c>
      <c r="D482" s="1" t="str">
        <f t="shared" si="1"/>
        <v>Pavilion Gaming 15-dk2099ne</v>
      </c>
      <c r="E482" s="1" t="str">
        <f t="array" aca="1" ref="E482" ca="1">IFERROR(
INDEX(Family_Map!$B$2:$B$35,
_xludf.AGGREGATE(14,6,(ROW(Family_Map!$A$2:$A$35)-ROW(Family_Map!$A$2)+1)/(ISNUMBER(SEARCH(Family_Map!$A$2:$A$35,D482))),1)
),
"Other")</f>
        <v>Other</v>
      </c>
      <c r="F482" s="1" t="s">
        <v>2716</v>
      </c>
      <c r="G482" s="1" t="e">
        <f t="shared" ca="1" si="2"/>
        <v>#NAME?</v>
      </c>
      <c r="H482" s="1" t="str">
        <f t="shared" ca="1" si="12"/>
        <v>Other</v>
      </c>
      <c r="I482" s="1" t="s">
        <v>2342</v>
      </c>
      <c r="J482" s="1" t="str">
        <f t="shared" si="3"/>
        <v>4GB</v>
      </c>
      <c r="K482" s="1" t="s">
        <v>2717</v>
      </c>
      <c r="L482" s="1">
        <f t="shared" ref="L482:L509" si="31">IFERROR(
VALUE(SUBSTITUTE(SUBSTITUTE(LEFT(UPPER(TRIM(K482)),FIND("GB",UPPER(K482)&amp;"GB")+1),"GB","")," ","")),
IFERROR(
VALUE(SUBSTITUTE(SUBSTITUTE(MID(UPPER(K482),FIND("GB",UPPER(K482)&amp;"GB")-3,3),"GB","")," ",""))
*
IF(
OR(
ISNUMBER(SEARCH("2X",UPPER(K482))),
ISNUMBER(SEARCH("X 2",UPPER(K482))),
ISNUMBER(SEARCH("*2",UPPER(K482))),
ISNUMBER(SEARCH("2*",UPPER(K482))),
ISNUMBER(SEARCH("(2 X",UPPER(K482)))
),
2,1),
"")
)</f>
        <v>8</v>
      </c>
      <c r="M482" s="1" t="s">
        <v>2718</v>
      </c>
      <c r="N482" s="1" t="str">
        <f t="shared" si="5"/>
        <v>512 GB</v>
      </c>
      <c r="O482" s="1" t="str">
        <f t="shared" si="6"/>
        <v>512 GB</v>
      </c>
      <c r="P482" s="1" t="s">
        <v>120</v>
      </c>
      <c r="Q482" s="1" t="str">
        <f t="shared" si="7"/>
        <v>1920x1080</v>
      </c>
      <c r="R482" s="1" t="s">
        <v>75</v>
      </c>
      <c r="S482" s="1" t="str">
        <f t="shared" si="8"/>
        <v>144Hz</v>
      </c>
      <c r="T482" s="1" t="s">
        <v>2507</v>
      </c>
      <c r="U482" s="1" t="str">
        <f t="shared" si="9"/>
        <v>DOS</v>
      </c>
      <c r="V482" s="1" t="s">
        <v>2721</v>
      </c>
      <c r="W482" s="1" t="str">
        <f t="shared" si="10"/>
        <v>2.23 kg</v>
      </c>
      <c r="X482" s="1" t="s">
        <v>78</v>
      </c>
      <c r="Y482" s="1" t="str">
        <f t="shared" si="11"/>
        <v>1 Year</v>
      </c>
      <c r="Z482" s="4">
        <v>25999</v>
      </c>
      <c r="AA482" s="1" t="s">
        <v>1082</v>
      </c>
    </row>
    <row r="483" spans="1:27" ht="15.75" customHeight="1" x14ac:dyDescent="0.35">
      <c r="A483" s="1" t="s">
        <v>151</v>
      </c>
      <c r="B483" s="1" t="str">
        <f t="shared" si="16"/>
        <v>Lenovo</v>
      </c>
      <c r="C483" s="1" t="s">
        <v>1730</v>
      </c>
      <c r="D483" s="1" t="str">
        <f t="shared" si="1"/>
        <v>Legion 7 16ITHg6</v>
      </c>
      <c r="E483" s="1" t="str">
        <f t="array" aca="1" ref="E483" ca="1">IFERROR(
INDEX(Family_Map!$B$2:$B$35,
_xludf.AGGREGATE(14,6,(ROW(Family_Map!$A$2:$A$35)-ROW(Family_Map!$A$2)+1)/(ISNUMBER(SEARCH(Family_Map!$A$2:$A$35,D483))),1)
),
"Other")</f>
        <v>Other</v>
      </c>
      <c r="F483" s="1" t="s">
        <v>2504</v>
      </c>
      <c r="G483" s="1" t="e">
        <f t="shared" ca="1" si="2"/>
        <v>#NAME?</v>
      </c>
      <c r="H483" s="1" t="str">
        <f t="shared" ca="1" si="12"/>
        <v>Other</v>
      </c>
      <c r="I483" s="1" t="s">
        <v>410</v>
      </c>
      <c r="J483" s="1" t="str">
        <f t="shared" si="3"/>
        <v>8GB</v>
      </c>
      <c r="K483" s="1" t="s">
        <v>1077</v>
      </c>
      <c r="L483" s="1">
        <f t="shared" si="31"/>
        <v>16</v>
      </c>
      <c r="M483" s="1" t="s">
        <v>2505</v>
      </c>
      <c r="N483" s="1" t="str">
        <f t="shared" si="5"/>
        <v>1TB</v>
      </c>
      <c r="O483" s="1" t="str">
        <f t="shared" si="6"/>
        <v>1024GB</v>
      </c>
      <c r="P483" s="1" t="s">
        <v>224</v>
      </c>
      <c r="Q483" s="1" t="str">
        <f t="shared" si="7"/>
        <v>2560x1600</v>
      </c>
      <c r="R483" s="1" t="s">
        <v>57</v>
      </c>
      <c r="S483" s="1" t="str">
        <f t="shared" si="8"/>
        <v>165Hz</v>
      </c>
      <c r="T483" s="1" t="s">
        <v>2725</v>
      </c>
      <c r="U483" s="1" t="str">
        <f t="shared" si="9"/>
        <v>Windows 11 Home</v>
      </c>
      <c r="V483" s="1" t="s">
        <v>944</v>
      </c>
      <c r="W483" s="1" t="str">
        <f t="shared" si="10"/>
        <v>2.5 kg</v>
      </c>
      <c r="X483" s="1" t="s">
        <v>78</v>
      </c>
      <c r="Y483" s="1" t="str">
        <f t="shared" si="11"/>
        <v>1 Year</v>
      </c>
      <c r="Z483" s="4">
        <v>64999</v>
      </c>
      <c r="AA483" s="1" t="s">
        <v>1082</v>
      </c>
    </row>
    <row r="484" spans="1:27" ht="15.75" customHeight="1" x14ac:dyDescent="0.35">
      <c r="A484" s="1" t="s">
        <v>151</v>
      </c>
      <c r="B484" s="1" t="str">
        <f t="shared" si="16"/>
        <v>Lenovo</v>
      </c>
      <c r="C484" s="1" t="s">
        <v>826</v>
      </c>
      <c r="D484" s="1" t="str">
        <f t="shared" si="1"/>
        <v>IdeaPad Gaming 3 15ACH6</v>
      </c>
      <c r="E484" s="1" t="str">
        <f t="array" aca="1" ref="E484" ca="1">IFERROR(
INDEX(Family_Map!$B$2:$B$35,
_xludf.AGGREGATE(14,6,(ROW(Family_Map!$A$2:$A$35)-ROW(Family_Map!$A$2)+1)/(ISNUMBER(SEARCH(Family_Map!$A$2:$A$35,D484))),1)
),
"Other")</f>
        <v>Other</v>
      </c>
      <c r="F484" s="1" t="s">
        <v>827</v>
      </c>
      <c r="G484" s="1" t="e">
        <f t="shared" ca="1" si="2"/>
        <v>#NAME?</v>
      </c>
      <c r="H484" s="1" t="str">
        <f t="shared" ca="1" si="12"/>
        <v>Other</v>
      </c>
      <c r="I484" s="1" t="s">
        <v>507</v>
      </c>
      <c r="J484" s="1" t="str">
        <f t="shared" si="3"/>
        <v>4GB</v>
      </c>
      <c r="K484" s="1" t="s">
        <v>1077</v>
      </c>
      <c r="L484" s="1">
        <f t="shared" si="31"/>
        <v>16</v>
      </c>
      <c r="M484" s="1" t="s">
        <v>829</v>
      </c>
      <c r="N484" s="1" t="str">
        <f t="shared" si="5"/>
        <v>512GB</v>
      </c>
      <c r="O484" s="1" t="str">
        <f t="shared" si="6"/>
        <v>512GB</v>
      </c>
      <c r="P484" s="1" t="s">
        <v>120</v>
      </c>
      <c r="Q484" s="1" t="str">
        <f t="shared" si="7"/>
        <v>1920x1080</v>
      </c>
      <c r="R484" s="1" t="s">
        <v>39</v>
      </c>
      <c r="S484" s="1" t="str">
        <f t="shared" si="8"/>
        <v>120Hz</v>
      </c>
      <c r="T484" s="1" t="s">
        <v>2725</v>
      </c>
      <c r="U484" s="1" t="str">
        <f t="shared" si="9"/>
        <v>Windows 11 Home</v>
      </c>
      <c r="V484" s="1" t="s">
        <v>652</v>
      </c>
      <c r="W484" s="1" t="str">
        <f t="shared" si="10"/>
        <v>2.25 kg</v>
      </c>
      <c r="X484" s="1" t="s">
        <v>78</v>
      </c>
      <c r="Y484" s="1" t="str">
        <f t="shared" si="11"/>
        <v>1 Year</v>
      </c>
      <c r="Z484" s="4">
        <v>22999</v>
      </c>
      <c r="AA484" s="1" t="s">
        <v>5735</v>
      </c>
    </row>
    <row r="485" spans="1:27" ht="15.75" customHeight="1" x14ac:dyDescent="0.35">
      <c r="A485" s="1" t="s">
        <v>30</v>
      </c>
      <c r="B485" s="1" t="str">
        <f t="shared" si="16"/>
        <v>MSI</v>
      </c>
      <c r="C485" s="1" t="s">
        <v>2734</v>
      </c>
      <c r="D485" s="1" t="str">
        <f t="shared" si="1"/>
        <v>GS76 STEALTH 11UH</v>
      </c>
      <c r="E485" s="1" t="str">
        <f t="array" aca="1" ref="E485" ca="1">IFERROR(
INDEX(Family_Map!$B$2:$B$35,
_xludf.AGGREGATE(14,6,(ROW(Family_Map!$A$2:$A$35)-ROW(Family_Map!$A$2)+1)/(ISNUMBER(SEARCH(Family_Map!$A$2:$A$35,D485))),1)
),
"Other")</f>
        <v>Other</v>
      </c>
      <c r="F485" s="1" t="s">
        <v>1075</v>
      </c>
      <c r="G485" s="1" t="e">
        <f t="shared" ca="1" si="2"/>
        <v>#NAME?</v>
      </c>
      <c r="H485" s="1" t="str">
        <f t="shared" ca="1" si="12"/>
        <v>Other</v>
      </c>
      <c r="I485" s="1" t="s">
        <v>552</v>
      </c>
      <c r="J485" s="1" t="str">
        <f t="shared" si="3"/>
        <v>16GB</v>
      </c>
      <c r="K485" s="1" t="s">
        <v>553</v>
      </c>
      <c r="L485" s="1">
        <f t="shared" si="31"/>
        <v>32</v>
      </c>
      <c r="M485" s="1" t="s">
        <v>322</v>
      </c>
      <c r="N485" s="1" t="str">
        <f t="shared" si="5"/>
        <v>1TB</v>
      </c>
      <c r="O485" s="1" t="str">
        <f t="shared" si="6"/>
        <v>1024GB</v>
      </c>
      <c r="P485" s="1" t="s">
        <v>120</v>
      </c>
      <c r="Q485" s="1" t="str">
        <f t="shared" si="7"/>
        <v>1920x1080</v>
      </c>
      <c r="R485" s="1" t="s">
        <v>1518</v>
      </c>
      <c r="S485" s="1" t="str">
        <f t="shared" si="8"/>
        <v>360Hz</v>
      </c>
      <c r="T485" s="1" t="s">
        <v>1722</v>
      </c>
      <c r="U485" s="1" t="str">
        <f t="shared" si="9"/>
        <v>Windows 10 Home</v>
      </c>
      <c r="V485" s="1" t="s">
        <v>2517</v>
      </c>
      <c r="W485" s="1" t="str">
        <f t="shared" si="10"/>
        <v>2.45 kg</v>
      </c>
      <c r="X485" s="1" t="s">
        <v>78</v>
      </c>
      <c r="Y485" s="1" t="str">
        <f t="shared" si="11"/>
        <v>1 Year</v>
      </c>
      <c r="Z485" s="4">
        <v>53399</v>
      </c>
      <c r="AA485" s="1" t="s">
        <v>1082</v>
      </c>
    </row>
    <row r="486" spans="1:27" ht="15.75" customHeight="1" x14ac:dyDescent="0.35">
      <c r="A486" s="1" t="s">
        <v>151</v>
      </c>
      <c r="B486" s="1" t="str">
        <f t="shared" si="16"/>
        <v>Lenovo</v>
      </c>
      <c r="C486" s="1" t="s">
        <v>2379</v>
      </c>
      <c r="D486" s="1" t="str">
        <f t="shared" si="1"/>
        <v>IdeaPad Gaming 3 15IHU6</v>
      </c>
      <c r="E486" s="1" t="str">
        <f t="array" aca="1" ref="E486" ca="1">IFERROR(
INDEX(Family_Map!$B$2:$B$35,
_xludf.AGGREGATE(14,6,(ROW(Family_Map!$A$2:$A$35)-ROW(Family_Map!$A$2)+1)/(ISNUMBER(SEARCH(Family_Map!$A$2:$A$35,D486))),1)
),
"Other")</f>
        <v>Other</v>
      </c>
      <c r="F486" s="1" t="s">
        <v>2739</v>
      </c>
      <c r="G486" s="1" t="e">
        <f t="shared" ca="1" si="2"/>
        <v>#NAME?</v>
      </c>
      <c r="H486" s="1" t="str">
        <f t="shared" ca="1" si="12"/>
        <v>Other</v>
      </c>
      <c r="I486" s="1" t="s">
        <v>507</v>
      </c>
      <c r="J486" s="1" t="str">
        <f t="shared" si="3"/>
        <v>4GB</v>
      </c>
      <c r="K486" s="1" t="s">
        <v>1674</v>
      </c>
      <c r="L486" s="1">
        <f t="shared" si="31"/>
        <v>32</v>
      </c>
      <c r="M486" s="1" t="s">
        <v>2634</v>
      </c>
      <c r="N486" s="1" t="str">
        <f t="shared" si="5"/>
        <v>512GB</v>
      </c>
      <c r="O486" s="1" t="str">
        <f t="shared" si="6"/>
        <v>512GB</v>
      </c>
      <c r="P486" s="1" t="s">
        <v>120</v>
      </c>
      <c r="Q486" s="1" t="str">
        <f t="shared" si="7"/>
        <v>1920x1080</v>
      </c>
      <c r="R486" s="1" t="s">
        <v>39</v>
      </c>
      <c r="S486" s="1" t="str">
        <f t="shared" si="8"/>
        <v>120Hz</v>
      </c>
      <c r="T486" s="1" t="s">
        <v>101</v>
      </c>
      <c r="U486" s="1" t="str">
        <f t="shared" si="9"/>
        <v>DOS</v>
      </c>
      <c r="V486" s="1" t="s">
        <v>652</v>
      </c>
      <c r="W486" s="1" t="str">
        <f t="shared" si="10"/>
        <v>2.25 kg</v>
      </c>
      <c r="X486" s="1" t="s">
        <v>78</v>
      </c>
      <c r="Y486" s="1" t="str">
        <f t="shared" si="11"/>
        <v>1 Year</v>
      </c>
      <c r="Z486" s="4">
        <v>28777</v>
      </c>
      <c r="AA486" s="1" t="s">
        <v>1082</v>
      </c>
    </row>
    <row r="487" spans="1:27" ht="15.75" customHeight="1" x14ac:dyDescent="0.35">
      <c r="A487" s="1" t="s">
        <v>151</v>
      </c>
      <c r="B487" s="1" t="str">
        <f t="shared" si="16"/>
        <v>Lenovo</v>
      </c>
      <c r="C487" s="1" t="s">
        <v>1108</v>
      </c>
      <c r="D487" s="1" t="str">
        <f t="shared" si="1"/>
        <v>Legion 5 15ACH6A</v>
      </c>
      <c r="E487" s="1" t="str">
        <f t="array" aca="1" ref="E487" ca="1">IFERROR(
INDEX(Family_Map!$B$2:$B$35,
_xludf.AGGREGATE(14,6,(ROW(Family_Map!$A$2:$A$35)-ROW(Family_Map!$A$2)+1)/(ISNUMBER(SEARCH(Family_Map!$A$2:$A$35,D487))),1)
),
"Other")</f>
        <v>Other</v>
      </c>
      <c r="F487" s="1" t="s">
        <v>827</v>
      </c>
      <c r="G487" s="1" t="e">
        <f t="shared" ca="1" si="2"/>
        <v>#NAME?</v>
      </c>
      <c r="H487" s="1" t="str">
        <f t="shared" ca="1" si="12"/>
        <v>Other</v>
      </c>
      <c r="I487" s="1" t="s">
        <v>410</v>
      </c>
      <c r="J487" s="1" t="str">
        <f t="shared" si="3"/>
        <v>8GB</v>
      </c>
      <c r="K487" s="1" t="s">
        <v>1077</v>
      </c>
      <c r="L487" s="1">
        <f t="shared" si="31"/>
        <v>16</v>
      </c>
      <c r="M487" s="1" t="s">
        <v>2545</v>
      </c>
      <c r="N487" s="1" t="str">
        <f t="shared" si="5"/>
        <v>1TB</v>
      </c>
      <c r="O487" s="1" t="str">
        <f t="shared" si="6"/>
        <v>1024GB</v>
      </c>
      <c r="P487" s="1" t="s">
        <v>120</v>
      </c>
      <c r="Q487" s="1" t="str">
        <f t="shared" si="7"/>
        <v>1920x1080</v>
      </c>
      <c r="R487" s="1" t="s">
        <v>57</v>
      </c>
      <c r="S487" s="1" t="str">
        <f t="shared" si="8"/>
        <v>165Hz</v>
      </c>
      <c r="T487" s="1" t="s">
        <v>2711</v>
      </c>
      <c r="U487" s="1" t="str">
        <f t="shared" si="9"/>
        <v>Windows 11 Home</v>
      </c>
      <c r="V487" s="1" t="s">
        <v>63</v>
      </c>
      <c r="W487" s="1" t="str">
        <f t="shared" si="10"/>
        <v>2.4 kg</v>
      </c>
      <c r="X487" s="1" t="s">
        <v>78</v>
      </c>
      <c r="Y487" s="1" t="str">
        <f t="shared" si="11"/>
        <v>1 Year</v>
      </c>
      <c r="Z487" s="4">
        <v>55299</v>
      </c>
      <c r="AA487" s="1" t="s">
        <v>5735</v>
      </c>
    </row>
    <row r="488" spans="1:27" ht="15.75" customHeight="1" x14ac:dyDescent="0.35">
      <c r="A488" s="1" t="s">
        <v>151</v>
      </c>
      <c r="B488" s="1" t="str">
        <f t="shared" si="16"/>
        <v>Lenovo</v>
      </c>
      <c r="C488" s="1" t="s">
        <v>1499</v>
      </c>
      <c r="D488" s="1" t="str">
        <f t="shared" si="1"/>
        <v>Legion 5 15ACH6H</v>
      </c>
      <c r="E488" s="1" t="str">
        <f t="array" aca="1" ref="E488" ca="1">IFERROR(
INDEX(Family_Map!$B$2:$B$35,
_xludf.AGGREGATE(14,6,(ROW(Family_Map!$A$2:$A$35)-ROW(Family_Map!$A$2)+1)/(ISNUMBER(SEARCH(Family_Map!$A$2:$A$35,D488))),1)
),
"Other")</f>
        <v>Other</v>
      </c>
      <c r="F488" s="1" t="s">
        <v>827</v>
      </c>
      <c r="G488" s="1" t="e">
        <f t="shared" ca="1" si="2"/>
        <v>#NAME?</v>
      </c>
      <c r="H488" s="1" t="str">
        <f t="shared" ca="1" si="12"/>
        <v>Other</v>
      </c>
      <c r="I488" s="1" t="s">
        <v>410</v>
      </c>
      <c r="J488" s="1" t="str">
        <f t="shared" si="3"/>
        <v>8GB</v>
      </c>
      <c r="K488" s="1" t="s">
        <v>1077</v>
      </c>
      <c r="L488" s="1">
        <f t="shared" si="31"/>
        <v>16</v>
      </c>
      <c r="M488" s="1" t="s">
        <v>2545</v>
      </c>
      <c r="N488" s="1" t="str">
        <f t="shared" si="5"/>
        <v>1TB</v>
      </c>
      <c r="O488" s="1" t="str">
        <f t="shared" si="6"/>
        <v>1024GB</v>
      </c>
      <c r="P488" s="1" t="s">
        <v>120</v>
      </c>
      <c r="Q488" s="1" t="str">
        <f t="shared" si="7"/>
        <v>1920x1080</v>
      </c>
      <c r="R488" s="1" t="s">
        <v>57</v>
      </c>
      <c r="S488" s="1" t="str">
        <f t="shared" si="8"/>
        <v>165Hz</v>
      </c>
      <c r="T488" s="1" t="s">
        <v>101</v>
      </c>
      <c r="U488" s="1" t="str">
        <f t="shared" si="9"/>
        <v>DOS</v>
      </c>
      <c r="V488" s="1" t="s">
        <v>63</v>
      </c>
      <c r="W488" s="1" t="str">
        <f t="shared" si="10"/>
        <v>2.4 kg</v>
      </c>
      <c r="X488" s="1" t="s">
        <v>78</v>
      </c>
      <c r="Y488" s="1" t="str">
        <f t="shared" si="11"/>
        <v>1 Year</v>
      </c>
      <c r="Z488" s="4">
        <v>45999</v>
      </c>
      <c r="AA488" s="1" t="s">
        <v>5735</v>
      </c>
    </row>
    <row r="489" spans="1:27" ht="15.75" customHeight="1" x14ac:dyDescent="0.35">
      <c r="A489" s="1" t="s">
        <v>151</v>
      </c>
      <c r="B489" s="1" t="str">
        <f t="shared" si="16"/>
        <v>Lenovo</v>
      </c>
      <c r="C489" s="1" t="s">
        <v>2746</v>
      </c>
      <c r="D489" s="1" t="str">
        <f t="shared" si="1"/>
        <v>Legion 7 16ACHg6</v>
      </c>
      <c r="E489" s="1" t="str">
        <f t="array" aca="1" ref="E489" ca="1">IFERROR(
INDEX(Family_Map!$B$2:$B$35,
_xludf.AGGREGATE(14,6,(ROW(Family_Map!$A$2:$A$35)-ROW(Family_Map!$A$2)+1)/(ISNUMBER(SEARCH(Family_Map!$A$2:$A$35,D489))),1)
),
"Other")</f>
        <v>Other</v>
      </c>
      <c r="F489" s="1" t="s">
        <v>2747</v>
      </c>
      <c r="G489" s="1" t="e">
        <f t="shared" ca="1" si="2"/>
        <v>#NAME?</v>
      </c>
      <c r="H489" s="1" t="str">
        <f t="shared" ca="1" si="12"/>
        <v>Other</v>
      </c>
      <c r="I489" s="1" t="s">
        <v>552</v>
      </c>
      <c r="J489" s="1" t="str">
        <f t="shared" si="3"/>
        <v>16GB</v>
      </c>
      <c r="K489" s="1" t="s">
        <v>2749</v>
      </c>
      <c r="L489" s="1">
        <f t="shared" si="31"/>
        <v>32</v>
      </c>
      <c r="M489" s="1" t="s">
        <v>2750</v>
      </c>
      <c r="N489" s="1" t="str">
        <f t="shared" si="5"/>
        <v>2x 1TB</v>
      </c>
      <c r="O489" s="1" t="str">
        <f t="shared" si="6"/>
        <v/>
      </c>
      <c r="P489" s="1" t="s">
        <v>89</v>
      </c>
      <c r="Q489" s="1" t="str">
        <f t="shared" si="7"/>
        <v>2560x1600</v>
      </c>
      <c r="R489" s="1" t="s">
        <v>57</v>
      </c>
      <c r="S489" s="1" t="str">
        <f t="shared" si="8"/>
        <v>165Hz</v>
      </c>
      <c r="T489" s="1" t="s">
        <v>2711</v>
      </c>
      <c r="U489" s="1" t="str">
        <f t="shared" si="9"/>
        <v>Windows 11 Home</v>
      </c>
      <c r="V489" s="1" t="s">
        <v>944</v>
      </c>
      <c r="W489" s="1" t="str">
        <f t="shared" si="10"/>
        <v>2.5 kg</v>
      </c>
      <c r="X489" s="1" t="s">
        <v>78</v>
      </c>
      <c r="Y489" s="1" t="str">
        <f t="shared" si="11"/>
        <v>1 Year</v>
      </c>
      <c r="Z489" s="4">
        <v>111249</v>
      </c>
      <c r="AA489" s="1" t="s">
        <v>5735</v>
      </c>
    </row>
    <row r="490" spans="1:27" ht="15.75" customHeight="1" x14ac:dyDescent="0.35">
      <c r="A490" s="1" t="s">
        <v>151</v>
      </c>
      <c r="B490" s="1" t="str">
        <f t="shared" si="16"/>
        <v>Lenovo</v>
      </c>
      <c r="C490" s="1" t="s">
        <v>826</v>
      </c>
      <c r="D490" s="1" t="str">
        <f t="shared" si="1"/>
        <v>IdeaPad Gaming 3 15ACH6</v>
      </c>
      <c r="E490" s="1" t="str">
        <f t="array" aca="1" ref="E490" ca="1">IFERROR(
INDEX(Family_Map!$B$2:$B$35,
_xludf.AGGREGATE(14,6,(ROW(Family_Map!$A$2:$A$35)-ROW(Family_Map!$A$2)+1)/(ISNUMBER(SEARCH(Family_Map!$A$2:$A$35,D490))),1)
),
"Other")</f>
        <v>Other</v>
      </c>
      <c r="F490" s="1" t="s">
        <v>1500</v>
      </c>
      <c r="G490" s="1" t="e">
        <f t="shared" ca="1" si="2"/>
        <v>#NAME?</v>
      </c>
      <c r="H490" s="1" t="str">
        <f t="shared" ca="1" si="12"/>
        <v>Other</v>
      </c>
      <c r="I490" s="1" t="s">
        <v>507</v>
      </c>
      <c r="J490" s="1" t="str">
        <f t="shared" si="3"/>
        <v>4GB</v>
      </c>
      <c r="K490" s="1" t="s">
        <v>1913</v>
      </c>
      <c r="L490" s="1">
        <f t="shared" si="31"/>
        <v>8</v>
      </c>
      <c r="M490" s="1" t="s">
        <v>829</v>
      </c>
      <c r="N490" s="1" t="str">
        <f t="shared" si="5"/>
        <v>512GB</v>
      </c>
      <c r="O490" s="1" t="str">
        <f t="shared" si="6"/>
        <v>512GB</v>
      </c>
      <c r="P490" s="1" t="s">
        <v>120</v>
      </c>
      <c r="Q490" s="1" t="str">
        <f t="shared" si="7"/>
        <v>1920x1080</v>
      </c>
      <c r="R490" s="1" t="s">
        <v>39</v>
      </c>
      <c r="S490" s="1" t="str">
        <f t="shared" si="8"/>
        <v>120Hz</v>
      </c>
      <c r="T490" s="1" t="s">
        <v>2755</v>
      </c>
      <c r="U490" s="1" t="str">
        <f t="shared" si="9"/>
        <v>Windows 11 Home</v>
      </c>
      <c r="V490" s="1" t="s">
        <v>652</v>
      </c>
      <c r="W490" s="1" t="str">
        <f t="shared" si="10"/>
        <v>2.25 kg</v>
      </c>
      <c r="X490" s="1" t="s">
        <v>78</v>
      </c>
      <c r="Y490" s="1" t="str">
        <f t="shared" si="11"/>
        <v>1 Year</v>
      </c>
      <c r="Z490" s="4">
        <v>27999</v>
      </c>
      <c r="AA490" s="1" t="s">
        <v>5735</v>
      </c>
    </row>
    <row r="491" spans="1:27" ht="15.75" customHeight="1" x14ac:dyDescent="0.35">
      <c r="A491" s="1" t="s">
        <v>151</v>
      </c>
      <c r="B491" s="1" t="str">
        <f t="shared" si="16"/>
        <v>Lenovo</v>
      </c>
      <c r="C491" s="1" t="s">
        <v>826</v>
      </c>
      <c r="D491" s="1" t="str">
        <f t="shared" si="1"/>
        <v>IdeaPad Gaming 3 15ACH6</v>
      </c>
      <c r="E491" s="1" t="str">
        <f t="array" aca="1" ref="E491" ca="1">IFERROR(
INDEX(Family_Map!$B$2:$B$35,
_xludf.AGGREGATE(14,6,(ROW(Family_Map!$A$2:$A$35)-ROW(Family_Map!$A$2)+1)/(ISNUMBER(SEARCH(Family_Map!$A$2:$A$35,D491))),1)
),
"Other")</f>
        <v>Other</v>
      </c>
      <c r="F491" s="1" t="s">
        <v>827</v>
      </c>
      <c r="G491" s="1" t="e">
        <f t="shared" ca="1" si="2"/>
        <v>#NAME?</v>
      </c>
      <c r="H491" s="1" t="str">
        <f t="shared" ca="1" si="12"/>
        <v>Other</v>
      </c>
      <c r="I491" s="1" t="s">
        <v>70</v>
      </c>
      <c r="J491" s="1" t="str">
        <f t="shared" si="3"/>
        <v>6GB</v>
      </c>
      <c r="K491" s="1" t="s">
        <v>513</v>
      </c>
      <c r="L491" s="1">
        <f t="shared" si="31"/>
        <v>16</v>
      </c>
      <c r="M491" s="1" t="s">
        <v>829</v>
      </c>
      <c r="N491" s="1" t="str">
        <f t="shared" si="5"/>
        <v>512GB</v>
      </c>
      <c r="O491" s="1" t="str">
        <f t="shared" si="6"/>
        <v>512GB</v>
      </c>
      <c r="P491" s="1" t="s">
        <v>120</v>
      </c>
      <c r="Q491" s="1" t="str">
        <f t="shared" si="7"/>
        <v>1920x1080</v>
      </c>
      <c r="R491" s="1" t="s">
        <v>39</v>
      </c>
      <c r="S491" s="1" t="str">
        <f t="shared" si="8"/>
        <v>120Hz</v>
      </c>
      <c r="T491" s="1" t="s">
        <v>2757</v>
      </c>
      <c r="U491" s="1" t="str">
        <f t="shared" si="9"/>
        <v>Windows 11 Home</v>
      </c>
      <c r="V491" s="1" t="s">
        <v>652</v>
      </c>
      <c r="W491" s="1" t="str">
        <f t="shared" si="10"/>
        <v>2.25 kg</v>
      </c>
      <c r="X491" s="1" t="s">
        <v>78</v>
      </c>
      <c r="Y491" s="1" t="str">
        <f t="shared" si="11"/>
        <v>1 Year</v>
      </c>
      <c r="Z491" s="4">
        <v>38999</v>
      </c>
      <c r="AA491" s="1" t="s">
        <v>5735</v>
      </c>
    </row>
    <row r="492" spans="1:27" ht="15.75" customHeight="1" x14ac:dyDescent="0.35">
      <c r="A492" s="1" t="s">
        <v>151</v>
      </c>
      <c r="B492" s="1" t="str">
        <f t="shared" si="16"/>
        <v>Lenovo</v>
      </c>
      <c r="C492" s="1" t="s">
        <v>2379</v>
      </c>
      <c r="D492" s="1" t="str">
        <f t="shared" si="1"/>
        <v>IdeaPad Gaming 3 15IHU6</v>
      </c>
      <c r="E492" s="1" t="str">
        <f t="array" aca="1" ref="E492" ca="1">IFERROR(
INDEX(Family_Map!$B$2:$B$35,
_xludf.AGGREGATE(14,6,(ROW(Family_Map!$A$2:$A$35)-ROW(Family_Map!$A$2)+1)/(ISNUMBER(SEARCH(Family_Map!$A$2:$A$35,D492))),1)
),
"Other")</f>
        <v>Other</v>
      </c>
      <c r="F492" s="1" t="s">
        <v>2716</v>
      </c>
      <c r="G492" s="1" t="e">
        <f t="shared" ca="1" si="2"/>
        <v>#NAME?</v>
      </c>
      <c r="H492" s="1" t="str">
        <f t="shared" ca="1" si="12"/>
        <v>Other</v>
      </c>
      <c r="I492" s="1" t="s">
        <v>507</v>
      </c>
      <c r="J492" s="1" t="str">
        <f t="shared" si="3"/>
        <v>4GB</v>
      </c>
      <c r="K492" s="1" t="s">
        <v>1077</v>
      </c>
      <c r="L492" s="1">
        <f t="shared" si="31"/>
        <v>16</v>
      </c>
      <c r="M492" s="1" t="s">
        <v>2573</v>
      </c>
      <c r="N492" s="1" t="str">
        <f t="shared" si="5"/>
        <v>256GB</v>
      </c>
      <c r="O492" s="1" t="str">
        <f t="shared" si="6"/>
        <v>256GB</v>
      </c>
      <c r="P492" s="1" t="s">
        <v>120</v>
      </c>
      <c r="Q492" s="1" t="str">
        <f t="shared" si="7"/>
        <v>1920x1080</v>
      </c>
      <c r="R492" s="1" t="s">
        <v>39</v>
      </c>
      <c r="S492" s="1" t="str">
        <f t="shared" si="8"/>
        <v>120Hz</v>
      </c>
      <c r="T492" s="1" t="s">
        <v>101</v>
      </c>
      <c r="U492" s="1" t="str">
        <f t="shared" si="9"/>
        <v>DOS</v>
      </c>
      <c r="V492" s="1" t="s">
        <v>652</v>
      </c>
      <c r="W492" s="1" t="str">
        <f t="shared" si="10"/>
        <v>2.25 kg</v>
      </c>
      <c r="X492" s="1" t="s">
        <v>78</v>
      </c>
      <c r="Y492" s="1" t="str">
        <f t="shared" si="11"/>
        <v>1 Year</v>
      </c>
      <c r="Z492" s="4">
        <v>43777</v>
      </c>
      <c r="AA492" s="1" t="s">
        <v>1082</v>
      </c>
    </row>
    <row r="493" spans="1:27" ht="15.75" customHeight="1" x14ac:dyDescent="0.35">
      <c r="A493" s="1" t="s">
        <v>151</v>
      </c>
      <c r="B493" s="1" t="str">
        <f t="shared" si="16"/>
        <v>Lenovo</v>
      </c>
      <c r="C493" s="1" t="s">
        <v>826</v>
      </c>
      <c r="D493" s="1" t="str">
        <f t="shared" si="1"/>
        <v>IdeaPad Gaming 3 15ACH6</v>
      </c>
      <c r="E493" s="1" t="str">
        <f t="array" aca="1" ref="E493" ca="1">IFERROR(
INDEX(Family_Map!$B$2:$B$35,
_xludf.AGGREGATE(14,6,(ROW(Family_Map!$A$2:$A$35)-ROW(Family_Map!$A$2)+1)/(ISNUMBER(SEARCH(Family_Map!$A$2:$A$35,D493))),1)
),
"Other")</f>
        <v>Other</v>
      </c>
      <c r="F493" s="1" t="s">
        <v>827</v>
      </c>
      <c r="G493" s="1" t="e">
        <f t="shared" ca="1" si="2"/>
        <v>#NAME?</v>
      </c>
      <c r="H493" s="1" t="str">
        <f t="shared" ca="1" si="12"/>
        <v>Other</v>
      </c>
      <c r="I493" s="1" t="s">
        <v>507</v>
      </c>
      <c r="J493" s="1" t="str">
        <f t="shared" si="3"/>
        <v>4GB</v>
      </c>
      <c r="K493" s="1" t="s">
        <v>1077</v>
      </c>
      <c r="L493" s="1">
        <f t="shared" si="31"/>
        <v>16</v>
      </c>
      <c r="M493" s="1" t="s">
        <v>2573</v>
      </c>
      <c r="N493" s="1" t="str">
        <f t="shared" si="5"/>
        <v>256GB</v>
      </c>
      <c r="O493" s="1" t="str">
        <f t="shared" si="6"/>
        <v>256GB</v>
      </c>
      <c r="P493" s="1" t="s">
        <v>120</v>
      </c>
      <c r="Q493" s="1" t="str">
        <f t="shared" si="7"/>
        <v>1920x1080</v>
      </c>
      <c r="R493" s="1" t="s">
        <v>57</v>
      </c>
      <c r="S493" s="1" t="str">
        <f t="shared" si="8"/>
        <v>165Hz</v>
      </c>
      <c r="T493" s="1" t="s">
        <v>101</v>
      </c>
      <c r="U493" s="1" t="str">
        <f t="shared" si="9"/>
        <v>DOS</v>
      </c>
      <c r="V493" s="1" t="s">
        <v>652</v>
      </c>
      <c r="W493" s="1" t="str">
        <f t="shared" si="10"/>
        <v>2.25 kg</v>
      </c>
      <c r="X493" s="1" t="s">
        <v>78</v>
      </c>
      <c r="Y493" s="1" t="str">
        <f t="shared" si="11"/>
        <v>1 Year</v>
      </c>
      <c r="Z493" s="4">
        <v>23099</v>
      </c>
      <c r="AA493" s="1" t="s">
        <v>5735</v>
      </c>
    </row>
    <row r="494" spans="1:27" ht="15.75" customHeight="1" x14ac:dyDescent="0.35">
      <c r="A494" s="1" t="s">
        <v>112</v>
      </c>
      <c r="B494" s="1" t="str">
        <f t="shared" si="16"/>
        <v>HP</v>
      </c>
      <c r="C494" s="1" t="s">
        <v>2762</v>
      </c>
      <c r="D494" s="1" t="str">
        <f t="shared" si="1"/>
        <v>Victus 15-FA0031DX</v>
      </c>
      <c r="E494" s="1" t="str">
        <f t="array" aca="1" ref="E494" ca="1">IFERROR(
INDEX(Family_Map!$B$2:$B$35,
_xludf.AGGREGATE(14,6,(ROW(Family_Map!$A$2:$A$35)-ROW(Family_Map!$A$2)+1)/(ISNUMBER(SEARCH(Family_Map!$A$2:$A$35,D494))),1)
),
"Other")</f>
        <v>Other</v>
      </c>
      <c r="F494" s="1" t="s">
        <v>1533</v>
      </c>
      <c r="G494" s="1" t="e">
        <f t="shared" ca="1" si="2"/>
        <v>#NAME?</v>
      </c>
      <c r="H494" s="1" t="str">
        <f t="shared" ca="1" si="12"/>
        <v>Other</v>
      </c>
      <c r="I494" s="1" t="s">
        <v>439</v>
      </c>
      <c r="J494" s="1" t="str">
        <f t="shared" si="3"/>
        <v>4 GB</v>
      </c>
      <c r="K494" s="1" t="s">
        <v>1525</v>
      </c>
      <c r="L494" s="1">
        <f t="shared" si="31"/>
        <v>8</v>
      </c>
      <c r="M494" s="1" t="s">
        <v>1813</v>
      </c>
      <c r="N494" s="1" t="str">
        <f t="shared" si="5"/>
        <v>512 GB</v>
      </c>
      <c r="O494" s="1" t="str">
        <f t="shared" si="6"/>
        <v>512 GB</v>
      </c>
      <c r="P494" s="1" t="s">
        <v>120</v>
      </c>
      <c r="Q494" s="1" t="str">
        <f t="shared" si="7"/>
        <v>1920x1080</v>
      </c>
      <c r="R494" s="1" t="s">
        <v>75</v>
      </c>
      <c r="S494" s="1" t="str">
        <f t="shared" si="8"/>
        <v>144Hz</v>
      </c>
      <c r="T494" s="1" t="s">
        <v>90</v>
      </c>
      <c r="U494" s="1" t="str">
        <f t="shared" si="9"/>
        <v>Windows 11 Home</v>
      </c>
      <c r="V494" s="1" t="s">
        <v>127</v>
      </c>
      <c r="W494" s="1" t="str">
        <f t="shared" si="10"/>
        <v>2.29 kg</v>
      </c>
      <c r="X494" s="1" t="s">
        <v>78</v>
      </c>
      <c r="Y494" s="1" t="str">
        <f t="shared" si="11"/>
        <v>1 Year</v>
      </c>
      <c r="Z494" s="4">
        <v>28888</v>
      </c>
      <c r="AA494" s="1" t="s">
        <v>166</v>
      </c>
    </row>
    <row r="495" spans="1:27" ht="15.75" customHeight="1" x14ac:dyDescent="0.35">
      <c r="A495" s="1" t="s">
        <v>81</v>
      </c>
      <c r="B495" s="1" t="str">
        <f t="shared" si="16"/>
        <v>Dell</v>
      </c>
      <c r="C495" s="1" t="s">
        <v>2462</v>
      </c>
      <c r="D495" s="1" t="str">
        <f t="shared" si="1"/>
        <v>G15 5511</v>
      </c>
      <c r="E495" s="1" t="str">
        <f t="array" aca="1" ref="E495" ca="1">IFERROR(
INDEX(Family_Map!$B$2:$B$35,
_xludf.AGGREGATE(14,6,(ROW(Family_Map!$A$2:$A$35)-ROW(Family_Map!$A$2)+1)/(ISNUMBER(SEARCH(Family_Map!$A$2:$A$35,D495))),1)
),
"Other")</f>
        <v>Other</v>
      </c>
      <c r="F495" s="1" t="s">
        <v>2504</v>
      </c>
      <c r="G495" s="1" t="e">
        <f t="shared" ca="1" si="2"/>
        <v>#NAME?</v>
      </c>
      <c r="H495" s="1" t="str">
        <f t="shared" ca="1" si="12"/>
        <v>Other</v>
      </c>
      <c r="I495" s="1" t="s">
        <v>70</v>
      </c>
      <c r="J495" s="1" t="str">
        <f t="shared" si="3"/>
        <v>6GB</v>
      </c>
      <c r="K495" s="1" t="s">
        <v>2767</v>
      </c>
      <c r="L495" s="1">
        <f t="shared" si="31"/>
        <v>16</v>
      </c>
      <c r="M495" s="1" t="s">
        <v>2521</v>
      </c>
      <c r="N495" s="1" t="str">
        <f t="shared" si="5"/>
        <v>512GB</v>
      </c>
      <c r="O495" s="1" t="str">
        <f t="shared" si="6"/>
        <v>512GB</v>
      </c>
      <c r="P495" s="1" t="s">
        <v>120</v>
      </c>
      <c r="Q495" s="1" t="str">
        <f t="shared" si="7"/>
        <v>1920x1080</v>
      </c>
      <c r="R495" s="1" t="s">
        <v>39</v>
      </c>
      <c r="S495" s="1" t="str">
        <f t="shared" si="8"/>
        <v>120Hz</v>
      </c>
      <c r="T495" s="1" t="s">
        <v>90</v>
      </c>
      <c r="U495" s="1" t="str">
        <f t="shared" si="9"/>
        <v>Windows 11 Home</v>
      </c>
      <c r="V495" s="1" t="s">
        <v>2696</v>
      </c>
      <c r="W495" s="1" t="str">
        <f t="shared" si="10"/>
        <v>2.65 kg</v>
      </c>
      <c r="X495" s="1" t="s">
        <v>78</v>
      </c>
      <c r="Y495" s="1" t="str">
        <f t="shared" si="11"/>
        <v>1 Year</v>
      </c>
      <c r="Z495" s="4">
        <v>44199</v>
      </c>
      <c r="AA495" s="1" t="s">
        <v>1082</v>
      </c>
    </row>
    <row r="496" spans="1:27" ht="15.75" customHeight="1" x14ac:dyDescent="0.35">
      <c r="A496" s="1" t="s">
        <v>81</v>
      </c>
      <c r="B496" s="1" t="str">
        <f t="shared" si="16"/>
        <v>Dell</v>
      </c>
      <c r="C496" s="1" t="s">
        <v>2768</v>
      </c>
      <c r="D496" s="1" t="str">
        <f t="shared" si="1"/>
        <v>Alienware X15 R1</v>
      </c>
      <c r="E496" s="1" t="str">
        <f t="array" aca="1" ref="E496" ca="1">IFERROR(
INDEX(Family_Map!$B$2:$B$35,
_xludf.AGGREGATE(14,6,(ROW(Family_Map!$A$2:$A$35)-ROW(Family_Map!$A$2)+1)/(ISNUMBER(SEARCH(Family_Map!$A$2:$A$35,D496))),1)
),
"Other")</f>
        <v>Other</v>
      </c>
      <c r="F496" s="1" t="s">
        <v>2504</v>
      </c>
      <c r="G496" s="1" t="e">
        <f t="shared" ca="1" si="2"/>
        <v>#NAME?</v>
      </c>
      <c r="H496" s="1" t="str">
        <f t="shared" ca="1" si="12"/>
        <v>Other</v>
      </c>
      <c r="I496" s="1" t="s">
        <v>410</v>
      </c>
      <c r="J496" s="1" t="str">
        <f t="shared" si="3"/>
        <v>8GB</v>
      </c>
      <c r="K496" s="1" t="s">
        <v>2770</v>
      </c>
      <c r="L496" s="1">
        <f t="shared" si="31"/>
        <v>16</v>
      </c>
      <c r="M496" s="1" t="s">
        <v>2771</v>
      </c>
      <c r="N496" s="1" t="str">
        <f t="shared" si="5"/>
        <v>512 GB</v>
      </c>
      <c r="O496" s="1" t="str">
        <f t="shared" si="6"/>
        <v>512 GB</v>
      </c>
      <c r="P496" s="1" t="s">
        <v>120</v>
      </c>
      <c r="Q496" s="1" t="str">
        <f t="shared" si="7"/>
        <v>1920x1080</v>
      </c>
      <c r="R496" s="1" t="s">
        <v>1518</v>
      </c>
      <c r="S496" s="1" t="str">
        <f t="shared" si="8"/>
        <v>360Hz</v>
      </c>
      <c r="T496" s="1" t="s">
        <v>1722</v>
      </c>
      <c r="U496" s="1" t="str">
        <f t="shared" si="9"/>
        <v>Windows 10 Home</v>
      </c>
      <c r="V496" s="1" t="s">
        <v>1127</v>
      </c>
      <c r="W496" s="1" t="str">
        <f t="shared" si="10"/>
        <v>2.36 kg</v>
      </c>
      <c r="X496" s="1" t="s">
        <v>78</v>
      </c>
      <c r="Y496" s="1" t="str">
        <f t="shared" si="11"/>
        <v>1 Year</v>
      </c>
      <c r="Z496" s="4">
        <v>49849</v>
      </c>
      <c r="AA496" s="1" t="s">
        <v>1082</v>
      </c>
    </row>
    <row r="497" spans="1:27" ht="15.75" customHeight="1" x14ac:dyDescent="0.35">
      <c r="A497" s="1" t="s">
        <v>2779</v>
      </c>
      <c r="B497" s="1" t="str">
        <f t="shared" si="16"/>
        <v>Razer</v>
      </c>
      <c r="C497" s="1" t="s">
        <v>2780</v>
      </c>
      <c r="D497" s="1" t="str">
        <f t="shared" si="1"/>
        <v>BLADE 15</v>
      </c>
      <c r="E497" s="1" t="str">
        <f t="array" aca="1" ref="E497" ca="1">IFERROR(
INDEX(Family_Map!$B$2:$B$35,
_xludf.AGGREGATE(14,6,(ROW(Family_Map!$A$2:$A$35)-ROW(Family_Map!$A$2)+1)/(ISNUMBER(SEARCH(Family_Map!$A$2:$A$35,D497))),1)
),
"Other")</f>
        <v>Other</v>
      </c>
      <c r="F497" s="1" t="s">
        <v>2781</v>
      </c>
      <c r="G497" s="1" t="e">
        <f t="shared" ca="1" si="2"/>
        <v>#NAME?</v>
      </c>
      <c r="H497" s="1" t="str">
        <f t="shared" ca="1" si="12"/>
        <v>Other</v>
      </c>
      <c r="I497" s="1" t="s">
        <v>552</v>
      </c>
      <c r="J497" s="1" t="str">
        <f t="shared" si="3"/>
        <v>16GB</v>
      </c>
      <c r="K497" s="1" t="s">
        <v>2782</v>
      </c>
      <c r="L497" s="1">
        <f t="shared" si="31"/>
        <v>32</v>
      </c>
      <c r="M497" s="1" t="s">
        <v>2783</v>
      </c>
      <c r="N497" s="1" t="str">
        <f t="shared" si="5"/>
        <v>1TB</v>
      </c>
      <c r="O497" s="1" t="str">
        <f t="shared" si="6"/>
        <v>1024GB</v>
      </c>
      <c r="P497" s="1" t="s">
        <v>1890</v>
      </c>
      <c r="Q497" s="1" t="str">
        <f t="shared" si="7"/>
        <v>3840x2160</v>
      </c>
      <c r="R497" s="1" t="s">
        <v>971</v>
      </c>
      <c r="S497" s="1" t="str">
        <f t="shared" si="8"/>
        <v>60Hz</v>
      </c>
      <c r="T497" s="1" t="s">
        <v>1722</v>
      </c>
      <c r="U497" s="1" t="str">
        <f t="shared" si="9"/>
        <v>Windows 10 Home</v>
      </c>
      <c r="V497" s="1" t="s">
        <v>2790</v>
      </c>
      <c r="W497" s="1" t="str">
        <f t="shared" si="10"/>
        <v>2.08 kg</v>
      </c>
      <c r="X497" s="1" t="s">
        <v>78</v>
      </c>
      <c r="Y497" s="1" t="str">
        <f t="shared" si="11"/>
        <v>1 Year</v>
      </c>
      <c r="Z497" s="4">
        <v>49999</v>
      </c>
      <c r="AA497" s="1" t="s">
        <v>2181</v>
      </c>
    </row>
    <row r="498" spans="1:27" ht="15.75" customHeight="1" x14ac:dyDescent="0.35">
      <c r="A498" s="1" t="s">
        <v>151</v>
      </c>
      <c r="B498" s="1" t="str">
        <f t="shared" si="16"/>
        <v>Lenovo</v>
      </c>
      <c r="C498" s="1" t="s">
        <v>826</v>
      </c>
      <c r="D498" s="1" t="str">
        <f t="shared" si="1"/>
        <v>IdeaPad Gaming 3 15ACH6</v>
      </c>
      <c r="E498" s="1" t="str">
        <f t="array" aca="1" ref="E498" ca="1">IFERROR(
INDEX(Family_Map!$B$2:$B$35,
_xludf.AGGREGATE(14,6,(ROW(Family_Map!$A$2:$A$35)-ROW(Family_Map!$A$2)+1)/(ISNUMBER(SEARCH(Family_Map!$A$2:$A$35,D498))),1)
),
"Other")</f>
        <v>Other</v>
      </c>
      <c r="F498" s="1" t="s">
        <v>1500</v>
      </c>
      <c r="G498" s="1" t="e">
        <f t="shared" ca="1" si="2"/>
        <v>#NAME?</v>
      </c>
      <c r="H498" s="1" t="str">
        <f t="shared" ca="1" si="12"/>
        <v>Other</v>
      </c>
      <c r="I498" s="1" t="s">
        <v>507</v>
      </c>
      <c r="J498" s="1" t="str">
        <f t="shared" si="3"/>
        <v>4GB</v>
      </c>
      <c r="K498" s="1" t="s">
        <v>1077</v>
      </c>
      <c r="L498" s="1">
        <f t="shared" si="31"/>
        <v>16</v>
      </c>
      <c r="M498" s="1" t="s">
        <v>2573</v>
      </c>
      <c r="N498" s="1" t="str">
        <f t="shared" si="5"/>
        <v>256GB</v>
      </c>
      <c r="O498" s="1" t="str">
        <f t="shared" si="6"/>
        <v>256GB</v>
      </c>
      <c r="P498" s="1" t="s">
        <v>120</v>
      </c>
      <c r="Q498" s="1" t="str">
        <f t="shared" si="7"/>
        <v>1920x1080</v>
      </c>
      <c r="R498" s="1" t="s">
        <v>39</v>
      </c>
      <c r="S498" s="1" t="str">
        <f t="shared" si="8"/>
        <v>120Hz</v>
      </c>
      <c r="T498" s="1" t="s">
        <v>101</v>
      </c>
      <c r="U498" s="1" t="str">
        <f t="shared" si="9"/>
        <v>DOS</v>
      </c>
      <c r="V498" s="1" t="s">
        <v>652</v>
      </c>
      <c r="W498" s="1" t="str">
        <f t="shared" si="10"/>
        <v>2.25 kg</v>
      </c>
      <c r="X498" s="1" t="s">
        <v>78</v>
      </c>
      <c r="Y498" s="1" t="str">
        <f t="shared" si="11"/>
        <v>1 Year</v>
      </c>
      <c r="Z498" s="4">
        <v>18399</v>
      </c>
      <c r="AA498" s="1" t="s">
        <v>5735</v>
      </c>
    </row>
    <row r="499" spans="1:27" ht="15.75" customHeight="1" x14ac:dyDescent="0.35">
      <c r="A499" s="1" t="s">
        <v>151</v>
      </c>
      <c r="B499" s="1" t="str">
        <f t="shared" si="16"/>
        <v>Lenovo</v>
      </c>
      <c r="C499" s="1" t="s">
        <v>2796</v>
      </c>
      <c r="D499" s="1" t="str">
        <f t="shared" si="1"/>
        <v>Legion 5 15IMH6</v>
      </c>
      <c r="E499" s="1" t="str">
        <f t="array" aca="1" ref="E499" ca="1">IFERROR(
INDEX(Family_Map!$B$2:$B$35,
_xludf.AGGREGATE(14,6,(ROW(Family_Map!$A$2:$A$35)-ROW(Family_Map!$A$2)+1)/(ISNUMBER(SEARCH(Family_Map!$A$2:$A$35,D499))),1)
),
"Other")</f>
        <v>Other</v>
      </c>
      <c r="F499" s="1" t="s">
        <v>2184</v>
      </c>
      <c r="G499" s="1" t="e">
        <f t="shared" ca="1" si="2"/>
        <v>#NAME?</v>
      </c>
      <c r="H499" s="1" t="str">
        <f t="shared" ca="1" si="12"/>
        <v>Other</v>
      </c>
      <c r="I499" s="1" t="s">
        <v>507</v>
      </c>
      <c r="J499" s="1" t="str">
        <f t="shared" si="3"/>
        <v>4GB</v>
      </c>
      <c r="K499" s="1" t="s">
        <v>2797</v>
      </c>
      <c r="L499" s="1">
        <f t="shared" si="31"/>
        <v>16</v>
      </c>
      <c r="M499" s="1" t="s">
        <v>829</v>
      </c>
      <c r="N499" s="1" t="str">
        <f t="shared" si="5"/>
        <v>512GB</v>
      </c>
      <c r="O499" s="1" t="str">
        <f t="shared" si="6"/>
        <v>512GB</v>
      </c>
      <c r="P499" s="1" t="s">
        <v>120</v>
      </c>
      <c r="Q499" s="1" t="str">
        <f t="shared" si="7"/>
        <v>1920x1080</v>
      </c>
      <c r="R499" s="1" t="s">
        <v>57</v>
      </c>
      <c r="S499" s="1" t="str">
        <f t="shared" si="8"/>
        <v>165Hz</v>
      </c>
      <c r="T499" s="1" t="s">
        <v>101</v>
      </c>
      <c r="U499" s="1" t="str">
        <f t="shared" si="9"/>
        <v>DOS</v>
      </c>
      <c r="V499" s="1" t="s">
        <v>503</v>
      </c>
      <c r="W499" s="1" t="str">
        <f t="shared" si="10"/>
        <v>2.3 kg</v>
      </c>
      <c r="X499" s="1" t="s">
        <v>78</v>
      </c>
      <c r="Y499" s="1" t="str">
        <f t="shared" si="11"/>
        <v>1 Year</v>
      </c>
      <c r="Z499" s="4">
        <v>24249</v>
      </c>
      <c r="AA499" s="1" t="s">
        <v>2181</v>
      </c>
    </row>
    <row r="500" spans="1:27" ht="15.75" customHeight="1" x14ac:dyDescent="0.35">
      <c r="A500" s="1" t="s">
        <v>112</v>
      </c>
      <c r="B500" s="1" t="str">
        <f t="shared" si="16"/>
        <v>HP</v>
      </c>
      <c r="C500" s="1" t="s">
        <v>2804</v>
      </c>
      <c r="D500" s="1" t="str">
        <f t="shared" si="1"/>
        <v>Pavilion 15-dk2108ne</v>
      </c>
      <c r="E500" s="1" t="str">
        <f t="array" aca="1" ref="E500" ca="1">IFERROR(
INDEX(Family_Map!$B$2:$B$35,
_xludf.AGGREGATE(14,6,(ROW(Family_Map!$A$2:$A$35)-ROW(Family_Map!$A$2)+1)/(ISNUMBER(SEARCH(Family_Map!$A$2:$A$35,D500))),1)
),
"Other")</f>
        <v>Other</v>
      </c>
      <c r="F500" s="1" t="s">
        <v>2739</v>
      </c>
      <c r="G500" s="1" t="e">
        <f t="shared" ca="1" si="2"/>
        <v>#NAME?</v>
      </c>
      <c r="H500" s="1" t="str">
        <f t="shared" ca="1" si="12"/>
        <v>Other</v>
      </c>
      <c r="I500" s="1" t="s">
        <v>507</v>
      </c>
      <c r="J500" s="1" t="str">
        <f t="shared" si="3"/>
        <v>4GB</v>
      </c>
      <c r="K500" s="1" t="s">
        <v>1462</v>
      </c>
      <c r="L500" s="1">
        <f t="shared" si="31"/>
        <v>16</v>
      </c>
      <c r="M500" s="1" t="s">
        <v>2806</v>
      </c>
      <c r="N500" s="1" t="str">
        <f t="shared" si="5"/>
        <v>1TB</v>
      </c>
      <c r="O500" s="1" t="str">
        <f t="shared" si="6"/>
        <v>1024GB</v>
      </c>
      <c r="P500" s="1" t="s">
        <v>120</v>
      </c>
      <c r="Q500" s="1" t="str">
        <f t="shared" si="7"/>
        <v>1920x1080</v>
      </c>
      <c r="R500" s="1" t="s">
        <v>75</v>
      </c>
      <c r="S500" s="1" t="str">
        <f t="shared" si="8"/>
        <v>144Hz</v>
      </c>
      <c r="T500" s="1" t="s">
        <v>101</v>
      </c>
      <c r="U500" s="1" t="str">
        <f t="shared" si="9"/>
        <v>DOS</v>
      </c>
      <c r="V500" s="1" t="s">
        <v>2630</v>
      </c>
      <c r="W500" s="1" t="str">
        <f t="shared" si="10"/>
        <v>2.28 kg</v>
      </c>
      <c r="X500" s="1" t="s">
        <v>78</v>
      </c>
      <c r="Y500" s="1" t="str">
        <f t="shared" si="11"/>
        <v>1 Year</v>
      </c>
      <c r="Z500" s="4">
        <v>19115</v>
      </c>
      <c r="AA500" s="1" t="s">
        <v>1082</v>
      </c>
    </row>
    <row r="501" spans="1:27" ht="15.75" customHeight="1" x14ac:dyDescent="0.35">
      <c r="A501" s="1" t="s">
        <v>112</v>
      </c>
      <c r="B501" s="1" t="str">
        <f t="shared" si="16"/>
        <v>HP</v>
      </c>
      <c r="C501" s="1" t="s">
        <v>2809</v>
      </c>
      <c r="D501" s="1" t="str">
        <f t="shared" si="1"/>
        <v>Pavilion Gaming I5-DK2041NE</v>
      </c>
      <c r="E501" s="1" t="str">
        <f t="array" aca="1" ref="E501" ca="1">IFERROR(
INDEX(Family_Map!$B$2:$B$35,
_xludf.AGGREGATE(14,6,(ROW(Family_Map!$A$2:$A$35)-ROW(Family_Map!$A$2)+1)/(ISNUMBER(SEARCH(Family_Map!$A$2:$A$35,D501))),1)
),
"Other")</f>
        <v>Other</v>
      </c>
      <c r="F501" s="1" t="s">
        <v>2739</v>
      </c>
      <c r="G501" s="1" t="e">
        <f t="shared" ca="1" si="2"/>
        <v>#NAME?</v>
      </c>
      <c r="H501" s="1" t="str">
        <f t="shared" ca="1" si="12"/>
        <v>Other</v>
      </c>
      <c r="I501" s="1" t="s">
        <v>507</v>
      </c>
      <c r="J501" s="1" t="str">
        <f t="shared" si="3"/>
        <v>4GB</v>
      </c>
      <c r="K501" s="1" t="s">
        <v>1429</v>
      </c>
      <c r="L501" s="1">
        <f t="shared" si="31"/>
        <v>8</v>
      </c>
      <c r="M501" s="1" t="s">
        <v>2810</v>
      </c>
      <c r="N501" s="1" t="str">
        <f t="shared" si="5"/>
        <v>256 GB</v>
      </c>
      <c r="O501" s="1" t="str">
        <f t="shared" si="6"/>
        <v>256 GB</v>
      </c>
      <c r="P501" s="1" t="s">
        <v>120</v>
      </c>
      <c r="Q501" s="1" t="str">
        <f t="shared" si="7"/>
        <v>1920x1080</v>
      </c>
      <c r="R501" s="1" t="s">
        <v>75</v>
      </c>
      <c r="S501" s="1" t="str">
        <f t="shared" si="8"/>
        <v>144Hz</v>
      </c>
      <c r="T501" s="1" t="s">
        <v>101</v>
      </c>
      <c r="U501" s="1" t="str">
        <f t="shared" si="9"/>
        <v>DOS</v>
      </c>
      <c r="V501" s="1" t="s">
        <v>2630</v>
      </c>
      <c r="W501" s="1" t="str">
        <f t="shared" si="10"/>
        <v>2.28 kg</v>
      </c>
      <c r="X501" s="1" t="s">
        <v>78</v>
      </c>
      <c r="Y501" s="1" t="str">
        <f t="shared" si="11"/>
        <v>1 Year</v>
      </c>
      <c r="Z501" s="4">
        <v>20999</v>
      </c>
      <c r="AA501" s="1" t="s">
        <v>1082</v>
      </c>
    </row>
    <row r="502" spans="1:27" ht="15.75" customHeight="1" x14ac:dyDescent="0.35">
      <c r="B502" s="1" t="str">
        <f t="shared" si="16"/>
        <v/>
      </c>
      <c r="C502" s="1" t="s">
        <v>2813</v>
      </c>
      <c r="D502" s="1" t="str">
        <f t="shared" si="1"/>
        <v>ROG Strix G15 G513IE-HN003W</v>
      </c>
      <c r="E502" s="1" t="str">
        <f t="array" aca="1" ref="E502" ca="1">IFERROR(
INDEX(Family_Map!$B$2:$B$35,
_xludf.AGGREGATE(14,6,(ROW(Family_Map!$A$2:$A$35)-ROW(Family_Map!$A$2)+1)/(ISNUMBER(SEARCH(Family_Map!$A$2:$A$35,D502))),1)
),
"Other")</f>
        <v>Other</v>
      </c>
      <c r="F502" s="1" t="s">
        <v>2527</v>
      </c>
      <c r="G502" s="1" t="e">
        <f t="shared" ca="1" si="2"/>
        <v>#NAME?</v>
      </c>
      <c r="H502" s="1" t="str">
        <f t="shared" ca="1" si="12"/>
        <v>Other</v>
      </c>
      <c r="J502" s="1" t="str">
        <f t="shared" si="3"/>
        <v/>
      </c>
      <c r="K502" s="1" t="s">
        <v>513</v>
      </c>
      <c r="L502" s="1">
        <f t="shared" si="31"/>
        <v>16</v>
      </c>
      <c r="M502" s="1" t="s">
        <v>2815</v>
      </c>
      <c r="N502" s="1" t="str">
        <f t="shared" si="5"/>
        <v>512GB</v>
      </c>
      <c r="O502" s="1" t="str">
        <f t="shared" si="6"/>
        <v>512GB</v>
      </c>
      <c r="P502" s="1" t="s">
        <v>120</v>
      </c>
      <c r="Q502" s="1" t="str">
        <f t="shared" si="7"/>
        <v>1920x1080</v>
      </c>
      <c r="R502" s="1" t="s">
        <v>75</v>
      </c>
      <c r="S502" s="1" t="str">
        <f t="shared" si="8"/>
        <v>144Hz</v>
      </c>
      <c r="T502" s="1" t="s">
        <v>90</v>
      </c>
      <c r="U502" s="1" t="str">
        <f t="shared" si="9"/>
        <v>Windows 11 Home</v>
      </c>
      <c r="V502" s="1" t="s">
        <v>2819</v>
      </c>
      <c r="W502" s="1" t="str">
        <f t="shared" si="10"/>
        <v>2.1 kg</v>
      </c>
      <c r="X502" s="1" t="s">
        <v>48</v>
      </c>
      <c r="Y502" s="1" t="str">
        <f t="shared" si="11"/>
        <v>2 Years</v>
      </c>
      <c r="Z502" s="4">
        <v>31870</v>
      </c>
      <c r="AA502" s="1" t="s">
        <v>5735</v>
      </c>
    </row>
    <row r="503" spans="1:27" ht="15.75" customHeight="1" x14ac:dyDescent="0.35">
      <c r="B503" s="1" t="str">
        <f t="shared" si="16"/>
        <v/>
      </c>
      <c r="C503" s="1" t="s">
        <v>2821</v>
      </c>
      <c r="D503" s="1" t="str">
        <f t="shared" si="1"/>
        <v>TUF Gaming F15 FX506HEB-HN154T</v>
      </c>
      <c r="E503" s="1" t="str">
        <f t="array" aca="1" ref="E503" ca="1">IFERROR(
INDEX(Family_Map!$B$2:$B$35,
_xludf.AGGREGATE(14,6,(ROW(Family_Map!$A$2:$A$35)-ROW(Family_Map!$A$2)+1)/(ISNUMBER(SEARCH(Family_Map!$A$2:$A$35,D503))),1)
),
"Other")</f>
        <v>Other</v>
      </c>
      <c r="F503" s="1" t="s">
        <v>1075</v>
      </c>
      <c r="G503" s="1" t="e">
        <f t="shared" ca="1" si="2"/>
        <v>#NAME?</v>
      </c>
      <c r="H503" s="1" t="str">
        <f t="shared" ca="1" si="12"/>
        <v>Other</v>
      </c>
      <c r="I503" s="1" t="s">
        <v>507</v>
      </c>
      <c r="J503" s="1" t="str">
        <f t="shared" si="3"/>
        <v>4GB</v>
      </c>
      <c r="K503" s="1" t="s">
        <v>1698</v>
      </c>
      <c r="L503" s="1">
        <f t="shared" si="31"/>
        <v>16</v>
      </c>
      <c r="M503" s="1" t="s">
        <v>1936</v>
      </c>
      <c r="N503" s="1" t="str">
        <f t="shared" si="5"/>
        <v>1TB</v>
      </c>
      <c r="O503" s="1" t="str">
        <f t="shared" si="6"/>
        <v>1024GB</v>
      </c>
      <c r="P503" s="1" t="s">
        <v>120</v>
      </c>
      <c r="Q503" s="1" t="str">
        <f t="shared" si="7"/>
        <v>1920x1080</v>
      </c>
      <c r="R503" s="1" t="s">
        <v>75</v>
      </c>
      <c r="S503" s="1" t="str">
        <f t="shared" si="8"/>
        <v>144Hz</v>
      </c>
      <c r="T503" s="1" t="s">
        <v>1722</v>
      </c>
      <c r="U503" s="1" t="str">
        <f t="shared" si="9"/>
        <v>Windows 10 Home</v>
      </c>
      <c r="V503" s="1" t="s">
        <v>1400</v>
      </c>
      <c r="W503" s="1" t="str">
        <f t="shared" si="10"/>
        <v>2.3 kg</v>
      </c>
      <c r="X503" s="1" t="s">
        <v>48</v>
      </c>
      <c r="Y503" s="1" t="str">
        <f t="shared" si="11"/>
        <v>2 Years</v>
      </c>
      <c r="Z503" s="4">
        <v>31535</v>
      </c>
      <c r="AA503" s="1" t="s">
        <v>1082</v>
      </c>
    </row>
    <row r="504" spans="1:27" ht="15.75" customHeight="1" x14ac:dyDescent="0.35">
      <c r="B504" s="1" t="str">
        <f t="shared" si="16"/>
        <v/>
      </c>
      <c r="C504" s="1" t="s">
        <v>2825</v>
      </c>
      <c r="D504" s="1" t="str">
        <f t="shared" si="1"/>
        <v>TUF Dash F15 FX516PC-HN004T</v>
      </c>
      <c r="E504" s="1" t="str">
        <f t="array" aca="1" ref="E504" ca="1">IFERROR(
INDEX(Family_Map!$B$2:$B$35,
_xludf.AGGREGATE(14,6,(ROW(Family_Map!$A$2:$A$35)-ROW(Family_Map!$A$2)+1)/(ISNUMBER(SEARCH(Family_Map!$A$2:$A$35,D504))),1)
),
"Other")</f>
        <v>Other</v>
      </c>
      <c r="F504" s="1" t="s">
        <v>2380</v>
      </c>
      <c r="G504" s="1" t="e">
        <f t="shared" ca="1" si="2"/>
        <v>#NAME?</v>
      </c>
      <c r="H504" s="1" t="str">
        <f t="shared" ca="1" si="12"/>
        <v>Other</v>
      </c>
      <c r="I504" s="1" t="s">
        <v>507</v>
      </c>
      <c r="J504" s="1" t="str">
        <f t="shared" si="3"/>
        <v>4GB</v>
      </c>
      <c r="K504" s="1" t="s">
        <v>965</v>
      </c>
      <c r="L504" s="1">
        <f t="shared" si="31"/>
        <v>16</v>
      </c>
      <c r="M504" s="1" t="s">
        <v>2718</v>
      </c>
      <c r="N504" s="1" t="str">
        <f t="shared" si="5"/>
        <v>512 GB</v>
      </c>
      <c r="O504" s="1" t="str">
        <f t="shared" si="6"/>
        <v>512 GB</v>
      </c>
      <c r="P504" s="1" t="s">
        <v>120</v>
      </c>
      <c r="Q504" s="1" t="str">
        <f t="shared" si="7"/>
        <v>1920x1080</v>
      </c>
      <c r="R504" s="1" t="s">
        <v>75</v>
      </c>
      <c r="S504" s="1" t="str">
        <f t="shared" si="8"/>
        <v>144Hz</v>
      </c>
      <c r="T504" s="1" t="s">
        <v>1722</v>
      </c>
      <c r="U504" s="1" t="str">
        <f t="shared" si="9"/>
        <v>Windows 10 Home</v>
      </c>
      <c r="V504" s="1" t="s">
        <v>1670</v>
      </c>
      <c r="W504" s="1" t="str">
        <f t="shared" si="10"/>
        <v>2 kg</v>
      </c>
      <c r="X504" s="1" t="s">
        <v>48</v>
      </c>
      <c r="Y504" s="1" t="str">
        <f t="shared" si="11"/>
        <v>2 Years</v>
      </c>
      <c r="Z504" s="4">
        <v>27770</v>
      </c>
      <c r="AA504" s="1" t="s">
        <v>1082</v>
      </c>
    </row>
    <row r="505" spans="1:27" ht="15.75" customHeight="1" x14ac:dyDescent="0.35">
      <c r="B505" s="1" t="str">
        <f t="shared" si="16"/>
        <v/>
      </c>
      <c r="C505" s="1" t="s">
        <v>2828</v>
      </c>
      <c r="D505" s="1" t="str">
        <f t="shared" si="1"/>
        <v>Rog Strix Scar 15 G533QS-HF017T</v>
      </c>
      <c r="E505" s="1" t="str">
        <f t="array" aca="1" ref="E505" ca="1">IFERROR(
INDEX(Family_Map!$B$2:$B$35,
_xludf.AGGREGATE(14,6,(ROW(Family_Map!$A$2:$A$35)-ROW(Family_Map!$A$2)+1)/(ISNUMBER(SEARCH(Family_Map!$A$2:$A$35,D505))),1)
),
"Other")</f>
        <v>Other</v>
      </c>
      <c r="F505" s="1" t="s">
        <v>2829</v>
      </c>
      <c r="G505" s="1" t="e">
        <f t="shared" ca="1" si="2"/>
        <v>#NAME?</v>
      </c>
      <c r="H505" s="1" t="str">
        <f t="shared" ca="1" si="12"/>
        <v>Other</v>
      </c>
      <c r="I505" s="1" t="s">
        <v>552</v>
      </c>
      <c r="J505" s="1" t="str">
        <f t="shared" si="3"/>
        <v>16GB</v>
      </c>
      <c r="K505" s="1" t="s">
        <v>553</v>
      </c>
      <c r="L505" s="1">
        <f t="shared" si="31"/>
        <v>32</v>
      </c>
      <c r="M505" s="1" t="s">
        <v>1944</v>
      </c>
      <c r="N505" s="1" t="str">
        <f t="shared" si="5"/>
        <v>1TB</v>
      </c>
      <c r="O505" s="1" t="str">
        <f t="shared" si="6"/>
        <v>1024GB</v>
      </c>
      <c r="P505" s="1" t="s">
        <v>120</v>
      </c>
      <c r="Q505" s="1" t="str">
        <f t="shared" si="7"/>
        <v>1920x1080</v>
      </c>
      <c r="R505" s="1" t="s">
        <v>2323</v>
      </c>
      <c r="S505" s="1" t="str">
        <f t="shared" si="8"/>
        <v>300Hz</v>
      </c>
      <c r="T505" s="1" t="s">
        <v>1722</v>
      </c>
      <c r="U505" s="1" t="str">
        <f t="shared" si="9"/>
        <v>Windows 10 Home</v>
      </c>
      <c r="V505" s="1" t="s">
        <v>1400</v>
      </c>
      <c r="W505" s="1" t="str">
        <f t="shared" si="10"/>
        <v>2.3 kg</v>
      </c>
      <c r="X505" s="1" t="s">
        <v>48</v>
      </c>
      <c r="Y505" s="1" t="str">
        <f t="shared" si="11"/>
        <v>2 Years</v>
      </c>
      <c r="Z505" s="4">
        <v>68570</v>
      </c>
      <c r="AA505" s="1" t="s">
        <v>5735</v>
      </c>
    </row>
    <row r="506" spans="1:27" ht="15.75" customHeight="1" x14ac:dyDescent="0.35">
      <c r="B506" s="1" t="str">
        <f t="shared" si="16"/>
        <v/>
      </c>
      <c r="C506" s="1" t="s">
        <v>2837</v>
      </c>
      <c r="D506" s="1" t="str">
        <f t="shared" si="1"/>
        <v>ROG Strix SCAR G533QS-HF255T</v>
      </c>
      <c r="E506" s="1" t="str">
        <f t="array" aca="1" ref="E506" ca="1">IFERROR(
INDEX(Family_Map!$B$2:$B$35,
_xludf.AGGREGATE(14,6,(ROW(Family_Map!$A$2:$A$35)-ROW(Family_Map!$A$2)+1)/(ISNUMBER(SEARCH(Family_Map!$A$2:$A$35,D506))),1)
),
"Other")</f>
        <v>Other</v>
      </c>
      <c r="F506" s="1" t="s">
        <v>2747</v>
      </c>
      <c r="G506" s="1" t="e">
        <f t="shared" ca="1" si="2"/>
        <v>#NAME?</v>
      </c>
      <c r="H506" s="1" t="str">
        <f t="shared" ca="1" si="12"/>
        <v>Other</v>
      </c>
      <c r="I506" s="1" t="s">
        <v>552</v>
      </c>
      <c r="J506" s="1" t="str">
        <f t="shared" si="3"/>
        <v>16GB</v>
      </c>
      <c r="K506" s="1" t="s">
        <v>553</v>
      </c>
      <c r="L506" s="1">
        <f t="shared" si="31"/>
        <v>32</v>
      </c>
      <c r="M506" s="1" t="s">
        <v>1944</v>
      </c>
      <c r="N506" s="1" t="str">
        <f t="shared" si="5"/>
        <v>1TB</v>
      </c>
      <c r="O506" s="1" t="str">
        <f t="shared" si="6"/>
        <v>1024GB</v>
      </c>
      <c r="P506" s="1" t="s">
        <v>120</v>
      </c>
      <c r="Q506" s="1" t="str">
        <f t="shared" si="7"/>
        <v>1920x1080</v>
      </c>
      <c r="R506" s="1" t="s">
        <v>2323</v>
      </c>
      <c r="S506" s="1" t="str">
        <f t="shared" si="8"/>
        <v>300Hz</v>
      </c>
      <c r="T506" s="1" t="s">
        <v>1722</v>
      </c>
      <c r="U506" s="1" t="str">
        <f t="shared" si="9"/>
        <v>Windows 10 Home</v>
      </c>
      <c r="V506" s="1" t="s">
        <v>1400</v>
      </c>
      <c r="W506" s="1" t="str">
        <f t="shared" si="10"/>
        <v>2.3 kg</v>
      </c>
      <c r="X506" s="1" t="s">
        <v>48</v>
      </c>
      <c r="Y506" s="1" t="str">
        <f t="shared" si="11"/>
        <v>2 Years</v>
      </c>
      <c r="Z506" s="4">
        <v>71830</v>
      </c>
      <c r="AA506" s="1" t="s">
        <v>5735</v>
      </c>
    </row>
    <row r="507" spans="1:27" ht="15.75" customHeight="1" x14ac:dyDescent="0.35">
      <c r="B507" s="1" t="str">
        <f t="shared" si="16"/>
        <v/>
      </c>
      <c r="C507" s="1" t="s">
        <v>2840</v>
      </c>
      <c r="D507" s="1" t="str">
        <f t="shared" si="1"/>
        <v>ROG Zephyrus G14 GA401QM-HZ025T</v>
      </c>
      <c r="E507" s="1" t="str">
        <f t="array" aca="1" ref="E507" ca="1">IFERROR(
INDEX(Family_Map!$B$2:$B$35,
_xludf.AGGREGATE(14,6,(ROW(Family_Map!$A$2:$A$35)-ROW(Family_Map!$A$2)+1)/(ISNUMBER(SEARCH(Family_Map!$A$2:$A$35,D507))),1)
),
"Other")</f>
        <v>Other</v>
      </c>
      <c r="F507" s="1" t="s">
        <v>2841</v>
      </c>
      <c r="G507" s="1" t="e">
        <f t="shared" ca="1" si="2"/>
        <v>#NAME?</v>
      </c>
      <c r="H507" s="1" t="str">
        <f t="shared" ca="1" si="12"/>
        <v>Other</v>
      </c>
      <c r="I507" s="1" t="s">
        <v>1789</v>
      </c>
      <c r="J507" s="1" t="str">
        <f t="shared" si="3"/>
        <v>6GB</v>
      </c>
      <c r="K507" s="1" t="s">
        <v>1603</v>
      </c>
      <c r="L507" s="1">
        <f t="shared" si="31"/>
        <v>16</v>
      </c>
      <c r="M507" s="1" t="s">
        <v>1944</v>
      </c>
      <c r="N507" s="1" t="str">
        <f t="shared" si="5"/>
        <v>1TB</v>
      </c>
      <c r="O507" s="1" t="str">
        <f t="shared" si="6"/>
        <v>1024GB</v>
      </c>
      <c r="P507" s="1" t="s">
        <v>120</v>
      </c>
      <c r="Q507" s="1" t="str">
        <f t="shared" si="7"/>
        <v>1920x1080</v>
      </c>
      <c r="S507" s="1" t="str">
        <f t="shared" si="8"/>
        <v/>
      </c>
      <c r="T507" s="1" t="s">
        <v>1722</v>
      </c>
      <c r="U507" s="1" t="str">
        <f t="shared" si="9"/>
        <v>Windows 10 Home</v>
      </c>
      <c r="V507" s="1" t="s">
        <v>1932</v>
      </c>
      <c r="W507" s="1" t="str">
        <f t="shared" si="10"/>
        <v>1.6 kg</v>
      </c>
      <c r="X507" s="1" t="s">
        <v>48</v>
      </c>
      <c r="Y507" s="1" t="str">
        <f t="shared" si="11"/>
        <v>2 Years</v>
      </c>
      <c r="Z507" s="4">
        <v>58349</v>
      </c>
      <c r="AA507" s="1" t="s">
        <v>5735</v>
      </c>
    </row>
    <row r="508" spans="1:27" ht="15.75" customHeight="1" x14ac:dyDescent="0.35">
      <c r="B508" s="1" t="str">
        <f t="shared" si="16"/>
        <v/>
      </c>
      <c r="C508" s="1" t="s">
        <v>2845</v>
      </c>
      <c r="D508" s="1" t="str">
        <f t="shared" si="1"/>
        <v>ROG Zephyrus S17 GX703HS-KF061T</v>
      </c>
      <c r="E508" s="1" t="str">
        <f t="array" aca="1" ref="E508" ca="1">IFERROR(
INDEX(Family_Map!$B$2:$B$35,
_xludf.AGGREGATE(14,6,(ROW(Family_Map!$A$2:$A$35)-ROW(Family_Map!$A$2)+1)/(ISNUMBER(SEARCH(Family_Map!$A$2:$A$35,D508))),1)
),
"Other")</f>
        <v>Other</v>
      </c>
      <c r="F508" s="1" t="s">
        <v>1886</v>
      </c>
      <c r="G508" s="1" t="e">
        <f t="shared" ca="1" si="2"/>
        <v>#NAME?</v>
      </c>
      <c r="H508" s="1" t="str">
        <f t="shared" ca="1" si="12"/>
        <v>Other</v>
      </c>
      <c r="I508" s="1" t="s">
        <v>552</v>
      </c>
      <c r="J508" s="1" t="str">
        <f t="shared" si="3"/>
        <v>16GB</v>
      </c>
      <c r="K508" s="1" t="s">
        <v>2846</v>
      </c>
      <c r="L508" s="1">
        <f t="shared" si="31"/>
        <v>32</v>
      </c>
      <c r="M508" s="1" t="s">
        <v>576</v>
      </c>
      <c r="N508" s="1" t="str">
        <f t="shared" si="5"/>
        <v>2TB</v>
      </c>
      <c r="O508" s="1" t="str">
        <f t="shared" si="6"/>
        <v>2048GB</v>
      </c>
      <c r="P508" s="1" t="s">
        <v>1890</v>
      </c>
      <c r="Q508" s="1" t="str">
        <f t="shared" si="7"/>
        <v>3840x2160</v>
      </c>
      <c r="R508" s="1" t="s">
        <v>39</v>
      </c>
      <c r="S508" s="1" t="str">
        <f t="shared" si="8"/>
        <v>120Hz</v>
      </c>
      <c r="T508" s="1" t="s">
        <v>1722</v>
      </c>
      <c r="U508" s="1" t="str">
        <f t="shared" si="9"/>
        <v>Windows 10 Home</v>
      </c>
      <c r="V508" s="1" t="s">
        <v>1894</v>
      </c>
      <c r="W508" s="1" t="str">
        <f t="shared" si="10"/>
        <v>2.6 kg</v>
      </c>
      <c r="X508" s="1" t="s">
        <v>48</v>
      </c>
      <c r="Y508" s="1" t="str">
        <f t="shared" si="11"/>
        <v>2 Years</v>
      </c>
      <c r="Z508" s="4">
        <v>93300</v>
      </c>
      <c r="AA508" s="1" t="s">
        <v>1082</v>
      </c>
    </row>
    <row r="509" spans="1:27" ht="15.75" customHeight="1" x14ac:dyDescent="0.35">
      <c r="B509" s="1" t="str">
        <f t="shared" si="16"/>
        <v/>
      </c>
      <c r="C509" s="1" t="s">
        <v>2850</v>
      </c>
      <c r="D509" s="1" t="str">
        <f t="shared" si="1"/>
        <v>ZenBook DUO UX582H-H2007W</v>
      </c>
      <c r="E509" s="1" t="str">
        <f t="array" aca="1" ref="E509" ca="1">IFERROR(
INDEX(Family_Map!$B$2:$B$35,
_xludf.AGGREGATE(14,6,(ROW(Family_Map!$A$2:$A$35)-ROW(Family_Map!$A$2)+1)/(ISNUMBER(SEARCH(Family_Map!$A$2:$A$35,D509))),1)
),
"Other")</f>
        <v>Other</v>
      </c>
      <c r="F509" s="1" t="s">
        <v>2851</v>
      </c>
      <c r="G509" s="1" t="e">
        <f t="shared" ca="1" si="2"/>
        <v>#NAME?</v>
      </c>
      <c r="H509" s="1" t="str">
        <f t="shared" ca="1" si="12"/>
        <v>Other</v>
      </c>
      <c r="I509" s="1" t="s">
        <v>512</v>
      </c>
      <c r="J509" s="1" t="str">
        <f t="shared" si="3"/>
        <v>8GB</v>
      </c>
      <c r="K509" s="1" t="s">
        <v>2853</v>
      </c>
      <c r="L509" s="1">
        <f t="shared" si="31"/>
        <v>32</v>
      </c>
      <c r="M509" s="1" t="s">
        <v>2253</v>
      </c>
      <c r="N509" s="1" t="str">
        <f t="shared" si="5"/>
        <v>1TB</v>
      </c>
      <c r="O509" s="1" t="str">
        <f t="shared" si="6"/>
        <v>1024GB</v>
      </c>
      <c r="P509" s="1" t="s">
        <v>1890</v>
      </c>
      <c r="Q509" s="1" t="str">
        <f t="shared" si="7"/>
        <v>3840x2160</v>
      </c>
      <c r="S509" s="1" t="str">
        <f t="shared" si="8"/>
        <v/>
      </c>
      <c r="T509" s="1" t="s">
        <v>90</v>
      </c>
      <c r="U509" s="1" t="str">
        <f t="shared" si="9"/>
        <v>Windows 11 Home</v>
      </c>
      <c r="V509" s="1" t="s">
        <v>766</v>
      </c>
      <c r="W509" s="1" t="str">
        <f t="shared" si="10"/>
        <v>2.34 kg</v>
      </c>
      <c r="X509" s="1" t="s">
        <v>48</v>
      </c>
      <c r="Y509" s="1" t="str">
        <f t="shared" si="11"/>
        <v>2 Years</v>
      </c>
      <c r="Z509" s="4">
        <v>84870</v>
      </c>
      <c r="AA509" s="1" t="s">
        <v>1082</v>
      </c>
    </row>
    <row r="510" spans="1:27" ht="15.75" customHeight="1" x14ac:dyDescent="0.35">
      <c r="A510" s="1" t="s">
        <v>151</v>
      </c>
      <c r="B510" s="1" t="str">
        <f t="shared" si="16"/>
        <v>Lenovo</v>
      </c>
      <c r="C510" s="1" t="s">
        <v>2379</v>
      </c>
      <c r="D510" s="1" t="str">
        <f t="shared" si="1"/>
        <v>IdeaPad Gaming 3 15IHU6</v>
      </c>
      <c r="E510" s="1" t="str">
        <f t="array" aca="1" ref="E510" ca="1">IFERROR(
INDEX(Family_Map!$B$2:$B$35,
_xludf.AGGREGATE(14,6,(ROW(Family_Map!$A$2:$A$35)-ROW(Family_Map!$A$2)+1)/(ISNUMBER(SEARCH(Family_Map!$A$2:$A$35,D510))),1)
),
"Other")</f>
        <v>Other</v>
      </c>
      <c r="F510" s="1" t="s">
        <v>2716</v>
      </c>
      <c r="G510" s="1" t="e">
        <f t="shared" ca="1" si="2"/>
        <v>#NAME?</v>
      </c>
      <c r="H510" s="1" t="str">
        <f t="shared" ca="1" si="12"/>
        <v>Other</v>
      </c>
      <c r="I510" s="1" t="s">
        <v>507</v>
      </c>
      <c r="J510" s="1" t="str">
        <f t="shared" si="3"/>
        <v>4GB</v>
      </c>
      <c r="K510" s="1" t="s">
        <v>2859</v>
      </c>
      <c r="L510" s="1">
        <v>16</v>
      </c>
      <c r="M510" s="1" t="s">
        <v>2573</v>
      </c>
      <c r="N510" s="1" t="str">
        <f t="shared" si="5"/>
        <v>256GB</v>
      </c>
      <c r="O510" s="1" t="str">
        <f t="shared" si="6"/>
        <v>256GB</v>
      </c>
      <c r="P510" s="1" t="s">
        <v>120</v>
      </c>
      <c r="Q510" s="1" t="str">
        <f t="shared" si="7"/>
        <v>1920x1080</v>
      </c>
      <c r="R510" s="1" t="s">
        <v>39</v>
      </c>
      <c r="S510" s="1" t="str">
        <f t="shared" si="8"/>
        <v>120Hz</v>
      </c>
      <c r="T510" s="1" t="s">
        <v>2757</v>
      </c>
      <c r="U510" s="1" t="str">
        <f t="shared" si="9"/>
        <v>Windows 11 Home</v>
      </c>
      <c r="V510" s="1" t="s">
        <v>652</v>
      </c>
      <c r="W510" s="1" t="str">
        <f t="shared" si="10"/>
        <v>2.25 kg</v>
      </c>
      <c r="X510" s="1" t="s">
        <v>78</v>
      </c>
      <c r="Y510" s="1" t="str">
        <f t="shared" si="11"/>
        <v>1 Year</v>
      </c>
      <c r="Z510" s="4">
        <v>28888</v>
      </c>
      <c r="AA510" s="1" t="s">
        <v>1082</v>
      </c>
    </row>
    <row r="511" spans="1:27" ht="15.75" customHeight="1" x14ac:dyDescent="0.35">
      <c r="A511" s="1" t="s">
        <v>151</v>
      </c>
      <c r="B511" s="1" t="str">
        <f t="shared" si="16"/>
        <v>Lenovo</v>
      </c>
      <c r="C511" s="1" t="s">
        <v>1074</v>
      </c>
      <c r="D511" s="1" t="str">
        <f t="shared" si="1"/>
        <v>Legion 5 15ITH6H</v>
      </c>
      <c r="E511" s="1" t="str">
        <f t="array" aca="1" ref="E511" ca="1">IFERROR(
INDEX(Family_Map!$B$2:$B$35,
_xludf.AGGREGATE(14,6,(ROW(Family_Map!$A$2:$A$35)-ROW(Family_Map!$A$2)+1)/(ISNUMBER(SEARCH(Family_Map!$A$2:$A$35,D511))),1)
),
"Other")</f>
        <v>Other</v>
      </c>
      <c r="F511" s="1" t="s">
        <v>1075</v>
      </c>
      <c r="G511" s="1" t="e">
        <f t="shared" ca="1" si="2"/>
        <v>#NAME?</v>
      </c>
      <c r="H511" s="1" t="str">
        <f t="shared" ca="1" si="12"/>
        <v>Other</v>
      </c>
      <c r="I511" s="1" t="s">
        <v>1584</v>
      </c>
      <c r="J511" s="1" t="str">
        <f t="shared" si="3"/>
        <v>6GB</v>
      </c>
      <c r="K511" s="1" t="s">
        <v>1077</v>
      </c>
      <c r="L511" s="1">
        <f t="shared" ref="L511:L515" si="32">IFERROR(
VALUE(SUBSTITUTE(SUBSTITUTE(LEFT(UPPER(TRIM(K511)),FIND("GB",UPPER(K511)&amp;"GB")+1),"GB","")," ","")),
IFERROR(
VALUE(SUBSTITUTE(SUBSTITUTE(MID(UPPER(K511),FIND("GB",UPPER(K511)&amp;"GB")-3,3),"GB","")," ",""))
*
IF(
OR(
ISNUMBER(SEARCH("2X",UPPER(K511))),
ISNUMBER(SEARCH("X 2",UPPER(K511))),
ISNUMBER(SEARCH("*2",UPPER(K511))),
ISNUMBER(SEARCH("2*",UPPER(K511))),
ISNUMBER(SEARCH("(2 X",UPPER(K511)))
),
2,1),
"")
)</f>
        <v>16</v>
      </c>
      <c r="M511" s="1" t="s">
        <v>2861</v>
      </c>
      <c r="N511" s="1" t="str">
        <f t="shared" si="5"/>
        <v>512GB</v>
      </c>
      <c r="O511" s="1" t="str">
        <f t="shared" si="6"/>
        <v>512GB</v>
      </c>
      <c r="P511" s="1" t="s">
        <v>120</v>
      </c>
      <c r="Q511" s="1" t="str">
        <f t="shared" si="7"/>
        <v>1920x1080</v>
      </c>
      <c r="R511" s="1" t="s">
        <v>57</v>
      </c>
      <c r="S511" s="1" t="str">
        <f t="shared" si="8"/>
        <v>165Hz</v>
      </c>
      <c r="T511" s="1" t="s">
        <v>121</v>
      </c>
      <c r="U511" s="1" t="str">
        <f t="shared" si="9"/>
        <v>DOS</v>
      </c>
      <c r="V511" s="1" t="s">
        <v>2460</v>
      </c>
      <c r="W511" s="1" t="str">
        <f t="shared" si="10"/>
        <v>2.4 kg</v>
      </c>
      <c r="X511" s="1" t="s">
        <v>78</v>
      </c>
      <c r="Y511" s="1" t="str">
        <f t="shared" si="11"/>
        <v>1 Year</v>
      </c>
      <c r="Z511" s="4">
        <v>33999</v>
      </c>
      <c r="AA511" s="1" t="s">
        <v>1082</v>
      </c>
    </row>
    <row r="512" spans="1:27" ht="15.75" customHeight="1" x14ac:dyDescent="0.35">
      <c r="A512" s="1" t="s">
        <v>151</v>
      </c>
      <c r="B512" s="1" t="str">
        <f t="shared" si="16"/>
        <v>Lenovo</v>
      </c>
      <c r="C512" s="1" t="s">
        <v>2865</v>
      </c>
      <c r="D512" s="1" t="str">
        <f t="shared" si="1"/>
        <v>LENOVO LEGION 5 Pro 16ITH6H</v>
      </c>
      <c r="E512" s="1" t="str">
        <f t="array" aca="1" ref="E512" ca="1">IFERROR(
INDEX(Family_Map!$B$2:$B$35,
_xludf.AGGREGATE(14,6,(ROW(Family_Map!$A$2:$A$35)-ROW(Family_Map!$A$2)+1)/(ISNUMBER(SEARCH(Family_Map!$A$2:$A$35,D512))),1)
),
"Other")</f>
        <v>Other</v>
      </c>
      <c r="F512" s="1" t="s">
        <v>1075</v>
      </c>
      <c r="G512" s="1" t="e">
        <f t="shared" ca="1" si="2"/>
        <v>#NAME?</v>
      </c>
      <c r="H512" s="1" t="str">
        <f t="shared" ca="1" si="12"/>
        <v>Other</v>
      </c>
      <c r="I512" s="1" t="s">
        <v>1584</v>
      </c>
      <c r="J512" s="1" t="str">
        <f t="shared" si="3"/>
        <v>6GB</v>
      </c>
      <c r="K512" s="1" t="s">
        <v>1830</v>
      </c>
      <c r="L512" s="1">
        <f t="shared" si="32"/>
        <v>16</v>
      </c>
      <c r="M512" s="1" t="s">
        <v>2505</v>
      </c>
      <c r="N512" s="1" t="str">
        <f t="shared" si="5"/>
        <v>1TB</v>
      </c>
      <c r="O512" s="1" t="str">
        <f t="shared" si="6"/>
        <v>1024GB</v>
      </c>
      <c r="P512" s="1" t="s">
        <v>89</v>
      </c>
      <c r="Q512" s="1" t="str">
        <f t="shared" si="7"/>
        <v>2560x1600</v>
      </c>
      <c r="R512" s="1" t="s">
        <v>57</v>
      </c>
      <c r="S512" s="1" t="str">
        <f t="shared" si="8"/>
        <v>165Hz</v>
      </c>
      <c r="T512" s="1" t="s">
        <v>121</v>
      </c>
      <c r="U512" s="1" t="str">
        <f t="shared" si="9"/>
        <v>DOS</v>
      </c>
      <c r="V512" s="1" t="s">
        <v>2868</v>
      </c>
      <c r="W512" s="1" t="str">
        <f t="shared" si="10"/>
        <v>2.3 kg</v>
      </c>
      <c r="X512" s="1" t="s">
        <v>78</v>
      </c>
      <c r="Y512" s="1" t="str">
        <f t="shared" si="11"/>
        <v>1 Year</v>
      </c>
      <c r="Z512" s="4">
        <v>37799</v>
      </c>
      <c r="AA512" s="1" t="s">
        <v>1082</v>
      </c>
    </row>
    <row r="513" spans="1:27" ht="15.75" customHeight="1" x14ac:dyDescent="0.35">
      <c r="A513" s="1" t="s">
        <v>81</v>
      </c>
      <c r="B513" s="1" t="str">
        <f t="shared" si="16"/>
        <v>Dell</v>
      </c>
      <c r="C513" s="1" t="s">
        <v>2686</v>
      </c>
      <c r="D513" s="1" t="str">
        <f t="shared" si="1"/>
        <v>Dell G15 5520</v>
      </c>
      <c r="E513" s="1" t="str">
        <f t="array" aca="1" ref="E513" ca="1">IFERROR(
INDEX(Family_Map!$B$2:$B$35,
_xludf.AGGREGATE(14,6,(ROW(Family_Map!$A$2:$A$35)-ROW(Family_Map!$A$2)+1)/(ISNUMBER(SEARCH(Family_Map!$A$2:$A$35,D513))),1)
),
"Other")</f>
        <v>Other</v>
      </c>
      <c r="F513" s="1" t="s">
        <v>1118</v>
      </c>
      <c r="G513" s="1" t="e">
        <f t="shared" ca="1" si="2"/>
        <v>#NAME?</v>
      </c>
      <c r="H513" s="1" t="str">
        <f t="shared" ca="1" si="12"/>
        <v>Other</v>
      </c>
      <c r="I513" s="1" t="s">
        <v>2870</v>
      </c>
      <c r="J513" s="1" t="str">
        <f t="shared" si="3"/>
        <v>6 GB</v>
      </c>
      <c r="K513" s="1" t="s">
        <v>1657</v>
      </c>
      <c r="L513" s="1">
        <f t="shared" si="32"/>
        <v>16</v>
      </c>
      <c r="M513" s="1" t="s">
        <v>2687</v>
      </c>
      <c r="N513" s="1" t="str">
        <f t="shared" si="5"/>
        <v>512GB</v>
      </c>
      <c r="O513" s="1" t="str">
        <f t="shared" si="6"/>
        <v>512GB</v>
      </c>
      <c r="P513" s="1" t="s">
        <v>120</v>
      </c>
      <c r="Q513" s="1" t="str">
        <f t="shared" si="7"/>
        <v>1920x1080</v>
      </c>
      <c r="R513" s="1" t="s">
        <v>39</v>
      </c>
      <c r="S513" s="1" t="str">
        <f t="shared" si="8"/>
        <v>120Hz</v>
      </c>
      <c r="T513" s="1" t="s">
        <v>121</v>
      </c>
      <c r="U513" s="1" t="str">
        <f t="shared" si="9"/>
        <v>DOS</v>
      </c>
      <c r="V513" s="1" t="s">
        <v>1662</v>
      </c>
      <c r="W513" s="1" t="str">
        <f t="shared" si="10"/>
        <v>2.67 kg</v>
      </c>
      <c r="X513" s="1" t="s">
        <v>78</v>
      </c>
      <c r="Y513" s="1" t="str">
        <f t="shared" si="11"/>
        <v>1 Year</v>
      </c>
      <c r="Z513" s="4">
        <v>51899</v>
      </c>
      <c r="AA513" s="1" t="s">
        <v>166</v>
      </c>
    </row>
    <row r="514" spans="1:27" ht="15.75" customHeight="1" x14ac:dyDescent="0.35">
      <c r="A514" s="1" t="s">
        <v>81</v>
      </c>
      <c r="B514" s="1" t="str">
        <f t="shared" si="16"/>
        <v>Dell</v>
      </c>
      <c r="C514" s="1" t="s">
        <v>2686</v>
      </c>
      <c r="D514" s="1" t="str">
        <f t="shared" si="1"/>
        <v>Dell G15 5520</v>
      </c>
      <c r="E514" s="1" t="str">
        <f t="array" aca="1" ref="E514" ca="1">IFERROR(
INDEX(Family_Map!$B$2:$B$35,
_xludf.AGGREGATE(14,6,(ROW(Family_Map!$A$2:$A$35)-ROW(Family_Map!$A$2)+1)/(ISNUMBER(SEARCH(Family_Map!$A$2:$A$35,D514))),1)
),
"Other")</f>
        <v>Other</v>
      </c>
      <c r="F514" s="1" t="s">
        <v>1118</v>
      </c>
      <c r="G514" s="1" t="e">
        <f t="shared" ca="1" si="2"/>
        <v>#NAME?</v>
      </c>
      <c r="H514" s="1" t="str">
        <f t="shared" ca="1" si="12"/>
        <v>Other</v>
      </c>
      <c r="I514" s="1" t="s">
        <v>507</v>
      </c>
      <c r="J514" s="1" t="str">
        <f t="shared" si="3"/>
        <v>4GB</v>
      </c>
      <c r="K514" s="1" t="s">
        <v>1657</v>
      </c>
      <c r="L514" s="1">
        <f t="shared" si="32"/>
        <v>16</v>
      </c>
      <c r="M514" s="1" t="s">
        <v>2687</v>
      </c>
      <c r="N514" s="1" t="str">
        <f t="shared" si="5"/>
        <v>512GB</v>
      </c>
      <c r="O514" s="1" t="str">
        <f t="shared" si="6"/>
        <v>512GB</v>
      </c>
      <c r="P514" s="1" t="s">
        <v>120</v>
      </c>
      <c r="Q514" s="1" t="str">
        <f t="shared" si="7"/>
        <v>1920x1080</v>
      </c>
      <c r="R514" s="1" t="s">
        <v>39</v>
      </c>
      <c r="S514" s="1" t="str">
        <f t="shared" si="8"/>
        <v>120Hz</v>
      </c>
      <c r="T514" s="1" t="s">
        <v>121</v>
      </c>
      <c r="U514" s="1" t="str">
        <f t="shared" si="9"/>
        <v>DOS</v>
      </c>
      <c r="V514" s="1" t="s">
        <v>1662</v>
      </c>
      <c r="W514" s="1" t="str">
        <f t="shared" si="10"/>
        <v>2.67 kg</v>
      </c>
      <c r="X514" s="1" t="s">
        <v>78</v>
      </c>
      <c r="Y514" s="1" t="str">
        <f t="shared" si="11"/>
        <v>1 Year</v>
      </c>
      <c r="Z514" s="4">
        <v>42999</v>
      </c>
      <c r="AA514" s="1" t="s">
        <v>166</v>
      </c>
    </row>
    <row r="515" spans="1:27" ht="15.75" customHeight="1" x14ac:dyDescent="0.35">
      <c r="A515" s="1" t="s">
        <v>151</v>
      </c>
      <c r="B515" s="1" t="str">
        <f t="shared" si="16"/>
        <v>Lenovo</v>
      </c>
      <c r="C515" s="1" t="s">
        <v>2871</v>
      </c>
      <c r="D515" s="1" t="str">
        <f t="shared" si="1"/>
        <v>IdeaPad GAMING 3 15IMH05</v>
      </c>
      <c r="E515" s="1" t="str">
        <f t="array" aca="1" ref="E515" ca="1">IFERROR(
INDEX(Family_Map!$B$2:$B$35,
_xludf.AGGREGATE(14,6,(ROW(Family_Map!$A$2:$A$35)-ROW(Family_Map!$A$2)+1)/(ISNUMBER(SEARCH(Family_Map!$A$2:$A$35,D515))),1)
),
"Other")</f>
        <v>Other</v>
      </c>
      <c r="F515" s="1" t="s">
        <v>2872</v>
      </c>
      <c r="G515" s="1" t="e">
        <f t="shared" ca="1" si="2"/>
        <v>#NAME?</v>
      </c>
      <c r="H515" s="1" t="str">
        <f t="shared" ca="1" si="12"/>
        <v>Other</v>
      </c>
      <c r="I515" s="1" t="s">
        <v>507</v>
      </c>
      <c r="J515" s="1" t="str">
        <f t="shared" si="3"/>
        <v>4GB</v>
      </c>
      <c r="K515" s="1" t="s">
        <v>2874</v>
      </c>
      <c r="L515" s="1">
        <f t="shared" si="32"/>
        <v>8</v>
      </c>
      <c r="M515" s="1" t="s">
        <v>829</v>
      </c>
      <c r="N515" s="1" t="str">
        <f t="shared" si="5"/>
        <v>512GB</v>
      </c>
      <c r="O515" s="1" t="str">
        <f t="shared" si="6"/>
        <v>512GB</v>
      </c>
      <c r="P515" s="1" t="s">
        <v>120</v>
      </c>
      <c r="Q515" s="1" t="str">
        <f t="shared" si="7"/>
        <v>1920x1080</v>
      </c>
      <c r="R515" s="1" t="s">
        <v>39</v>
      </c>
      <c r="S515" s="1" t="str">
        <f t="shared" si="8"/>
        <v>120Hz</v>
      </c>
      <c r="T515" s="1" t="s">
        <v>101</v>
      </c>
      <c r="U515" s="1" t="str">
        <f t="shared" si="9"/>
        <v>DOS</v>
      </c>
      <c r="V515" s="1" t="s">
        <v>2878</v>
      </c>
      <c r="W515" s="1" t="str">
        <f t="shared" si="10"/>
        <v>2.2 kg</v>
      </c>
      <c r="X515" s="1" t="s">
        <v>78</v>
      </c>
      <c r="Y515" s="1" t="str">
        <f t="shared" si="11"/>
        <v>1 Year</v>
      </c>
      <c r="Z515" s="4">
        <v>22999</v>
      </c>
      <c r="AA515" s="1" t="s">
        <v>2181</v>
      </c>
    </row>
    <row r="516" spans="1:27" ht="15.75" customHeight="1" x14ac:dyDescent="0.35">
      <c r="A516" s="1" t="s">
        <v>151</v>
      </c>
      <c r="B516" s="1" t="str">
        <f t="shared" si="16"/>
        <v>Lenovo</v>
      </c>
      <c r="C516" s="1" t="s">
        <v>826</v>
      </c>
      <c r="D516" s="1" t="str">
        <f t="shared" si="1"/>
        <v>IdeaPad Gaming 3 15ACH6</v>
      </c>
      <c r="E516" s="1" t="str">
        <f t="array" aca="1" ref="E516" ca="1">IFERROR(
INDEX(Family_Map!$B$2:$B$35,
_xludf.AGGREGATE(14,6,(ROW(Family_Map!$A$2:$A$35)-ROW(Family_Map!$A$2)+1)/(ISNUMBER(SEARCH(Family_Map!$A$2:$A$35,D516))),1)
),
"Other")</f>
        <v>Other</v>
      </c>
      <c r="F516" s="1" t="s">
        <v>2142</v>
      </c>
      <c r="G516" s="1" t="e">
        <f t="shared" ca="1" si="2"/>
        <v>#NAME?</v>
      </c>
      <c r="H516" s="1" t="str">
        <f t="shared" ca="1" si="12"/>
        <v>Other</v>
      </c>
      <c r="I516" s="1" t="s">
        <v>70</v>
      </c>
      <c r="J516" s="1" t="str">
        <f t="shared" si="3"/>
        <v>6GB</v>
      </c>
      <c r="K516" s="1" t="s">
        <v>2883</v>
      </c>
      <c r="L516" s="1">
        <v>16</v>
      </c>
      <c r="M516" s="1" t="s">
        <v>829</v>
      </c>
      <c r="N516" s="1" t="str">
        <f t="shared" si="5"/>
        <v>512GB</v>
      </c>
      <c r="O516" s="1" t="str">
        <f t="shared" si="6"/>
        <v>512GB</v>
      </c>
      <c r="P516" s="1" t="s">
        <v>74</v>
      </c>
      <c r="Q516" s="1" t="str">
        <f t="shared" si="7"/>
        <v>1920x1080</v>
      </c>
      <c r="S516" s="1" t="str">
        <f t="shared" si="8"/>
        <v/>
      </c>
      <c r="T516" s="1" t="s">
        <v>121</v>
      </c>
      <c r="U516" s="1" t="str">
        <f t="shared" si="9"/>
        <v>DOS</v>
      </c>
      <c r="V516" s="1" t="s">
        <v>652</v>
      </c>
      <c r="W516" s="1" t="str">
        <f t="shared" si="10"/>
        <v>2.25 kg</v>
      </c>
      <c r="X516" s="1" t="s">
        <v>78</v>
      </c>
      <c r="Y516" s="1" t="str">
        <f t="shared" si="11"/>
        <v>1 Year</v>
      </c>
      <c r="Z516" s="4">
        <v>21649</v>
      </c>
      <c r="AA516" s="1" t="s">
        <v>5735</v>
      </c>
    </row>
    <row r="517" spans="1:27" ht="15.75" customHeight="1" x14ac:dyDescent="0.35">
      <c r="B517" s="1" t="str">
        <f t="shared" si="16"/>
        <v/>
      </c>
      <c r="C517" s="1" t="s">
        <v>2889</v>
      </c>
      <c r="D517" s="1" t="str">
        <f t="shared" si="1"/>
        <v>Tuf Dash F15</v>
      </c>
      <c r="E517" s="1" t="str">
        <f t="array" aca="1" ref="E517" ca="1">IFERROR(
INDEX(Family_Map!$B$2:$B$35,
_xludf.AGGREGATE(14,6,(ROW(Family_Map!$A$2:$A$35)-ROW(Family_Map!$A$2)+1)/(ISNUMBER(SEARCH(Family_Map!$A$2:$A$35,D517))),1)
),
"Other")</f>
        <v>Other</v>
      </c>
      <c r="F517" s="1" t="s">
        <v>2380</v>
      </c>
      <c r="G517" s="1" t="e">
        <f t="shared" ca="1" si="2"/>
        <v>#NAME?</v>
      </c>
      <c r="H517" s="1" t="str">
        <f t="shared" ca="1" si="12"/>
        <v>Other</v>
      </c>
      <c r="I517" s="1" t="s">
        <v>2342</v>
      </c>
      <c r="J517" s="1" t="str">
        <f t="shared" si="3"/>
        <v>4GB</v>
      </c>
      <c r="K517" s="1" t="s">
        <v>656</v>
      </c>
      <c r="L517" s="1">
        <f t="shared" ref="L517:L525" si="33">IFERROR(
VALUE(SUBSTITUTE(SUBSTITUTE(LEFT(UPPER(TRIM(K517)),FIND("GB",UPPER(K517)&amp;"GB")+1),"GB","")," ","")),
IFERROR(
VALUE(SUBSTITUTE(SUBSTITUTE(MID(UPPER(K517),FIND("GB",UPPER(K517)&amp;"GB")-3,3),"GB","")," ",""))
*
IF(
OR(
ISNUMBER(SEARCH("2X",UPPER(K517))),
ISNUMBER(SEARCH("X 2",UPPER(K517))),
ISNUMBER(SEARCH("*2",UPPER(K517))),
ISNUMBER(SEARCH("2*",UPPER(K517))),
ISNUMBER(SEARCH("(2 X",UPPER(K517)))
),
2,1),
"")
)</f>
        <v>16</v>
      </c>
      <c r="M517" s="1" t="s">
        <v>1604</v>
      </c>
      <c r="N517" s="1" t="str">
        <f t="shared" si="5"/>
        <v>512GB</v>
      </c>
      <c r="O517" s="1" t="str">
        <f t="shared" si="6"/>
        <v>512GB</v>
      </c>
      <c r="P517" s="1" t="s">
        <v>120</v>
      </c>
      <c r="Q517" s="1" t="str">
        <f t="shared" si="7"/>
        <v>1920x1080</v>
      </c>
      <c r="R517" s="1" t="s">
        <v>75</v>
      </c>
      <c r="S517" s="1" t="str">
        <f t="shared" si="8"/>
        <v>144Hz</v>
      </c>
      <c r="T517" s="1" t="s">
        <v>2892</v>
      </c>
      <c r="U517" s="1" t="str">
        <f t="shared" si="9"/>
        <v>Windows 10 Home</v>
      </c>
      <c r="V517" s="1" t="s">
        <v>814</v>
      </c>
      <c r="W517" s="1" t="str">
        <f t="shared" si="10"/>
        <v>2 kg</v>
      </c>
      <c r="X517" s="1" t="s">
        <v>165</v>
      </c>
      <c r="Y517" s="1" t="str">
        <f t="shared" si="11"/>
        <v>2 Years</v>
      </c>
      <c r="Z517" s="4">
        <v>31500</v>
      </c>
      <c r="AA517" s="1" t="s">
        <v>1082</v>
      </c>
    </row>
    <row r="518" spans="1:27" ht="15.75" customHeight="1" x14ac:dyDescent="0.35">
      <c r="A518" s="1" t="s">
        <v>151</v>
      </c>
      <c r="B518" s="1" t="str">
        <f t="shared" si="16"/>
        <v>Lenovo</v>
      </c>
      <c r="C518" s="1" t="s">
        <v>1074</v>
      </c>
      <c r="D518" s="1" t="str">
        <f t="shared" si="1"/>
        <v>Legion 5 15ITH6H</v>
      </c>
      <c r="E518" s="1" t="str">
        <f t="array" aca="1" ref="E518" ca="1">IFERROR(
INDEX(Family_Map!$B$2:$B$35,
_xludf.AGGREGATE(14,6,(ROW(Family_Map!$A$2:$A$35)-ROW(Family_Map!$A$2)+1)/(ISNUMBER(SEARCH(Family_Map!$A$2:$A$35,D518))),1)
),
"Other")</f>
        <v>Other</v>
      </c>
      <c r="F518" s="1" t="s">
        <v>2504</v>
      </c>
      <c r="G518" s="1" t="e">
        <f t="shared" ca="1" si="2"/>
        <v>#NAME?</v>
      </c>
      <c r="H518" s="1" t="str">
        <f t="shared" ca="1" si="12"/>
        <v>Other</v>
      </c>
      <c r="I518" s="1" t="s">
        <v>70</v>
      </c>
      <c r="J518" s="1" t="str">
        <f t="shared" si="3"/>
        <v>6GB</v>
      </c>
      <c r="K518" s="1" t="s">
        <v>1077</v>
      </c>
      <c r="L518" s="1">
        <f t="shared" si="33"/>
        <v>16</v>
      </c>
      <c r="M518" s="1" t="s">
        <v>2505</v>
      </c>
      <c r="N518" s="1" t="str">
        <f t="shared" si="5"/>
        <v>1TB</v>
      </c>
      <c r="O518" s="1" t="str">
        <f t="shared" si="6"/>
        <v>1024GB</v>
      </c>
      <c r="P518" s="1" t="s">
        <v>120</v>
      </c>
      <c r="Q518" s="1" t="str">
        <f t="shared" si="7"/>
        <v>1920x1080</v>
      </c>
      <c r="R518" s="1" t="s">
        <v>57</v>
      </c>
      <c r="S518" s="1" t="str">
        <f t="shared" si="8"/>
        <v>165Hz</v>
      </c>
      <c r="T518" s="1" t="s">
        <v>101</v>
      </c>
      <c r="U518" s="1" t="str">
        <f t="shared" si="9"/>
        <v>DOS</v>
      </c>
      <c r="V518" s="1" t="s">
        <v>63</v>
      </c>
      <c r="W518" s="1" t="str">
        <f t="shared" si="10"/>
        <v>2.4 kg</v>
      </c>
      <c r="X518" s="1" t="s">
        <v>78</v>
      </c>
      <c r="Y518" s="1" t="str">
        <f t="shared" si="11"/>
        <v>1 Year</v>
      </c>
      <c r="Z518" s="4">
        <v>34720</v>
      </c>
      <c r="AA518" s="1" t="s">
        <v>1082</v>
      </c>
    </row>
    <row r="519" spans="1:27" ht="15.75" customHeight="1" x14ac:dyDescent="0.35">
      <c r="A519" s="1" t="s">
        <v>151</v>
      </c>
      <c r="B519" s="1" t="str">
        <f t="shared" si="16"/>
        <v>Lenovo</v>
      </c>
      <c r="C519" s="1" t="s">
        <v>2746</v>
      </c>
      <c r="D519" s="1" t="str">
        <f t="shared" si="1"/>
        <v>Legion 7 16ACHg6</v>
      </c>
      <c r="E519" s="1" t="str">
        <f t="array" aca="1" ref="E519" ca="1">IFERROR(
INDEX(Family_Map!$B$2:$B$35,
_xludf.AGGREGATE(14,6,(ROW(Family_Map!$A$2:$A$35)-ROW(Family_Map!$A$2)+1)/(ISNUMBER(SEARCH(Family_Map!$A$2:$A$35,D519))),1)
),
"Other")</f>
        <v>Other</v>
      </c>
      <c r="F519" s="1" t="s">
        <v>827</v>
      </c>
      <c r="G519" s="1" t="e">
        <f t="shared" ca="1" si="2"/>
        <v>#NAME?</v>
      </c>
      <c r="H519" s="1" t="str">
        <f t="shared" ca="1" si="12"/>
        <v>Other</v>
      </c>
      <c r="I519" s="1" t="s">
        <v>410</v>
      </c>
      <c r="J519" s="1" t="str">
        <f t="shared" si="3"/>
        <v>8GB</v>
      </c>
      <c r="K519" s="1" t="s">
        <v>1077</v>
      </c>
      <c r="L519" s="1">
        <f t="shared" si="33"/>
        <v>16</v>
      </c>
      <c r="M519" s="1" t="s">
        <v>2545</v>
      </c>
      <c r="N519" s="1" t="str">
        <f t="shared" si="5"/>
        <v>1TB</v>
      </c>
      <c r="O519" s="1" t="str">
        <f t="shared" si="6"/>
        <v>1024GB</v>
      </c>
      <c r="P519" s="1" t="s">
        <v>224</v>
      </c>
      <c r="Q519" s="1" t="str">
        <f t="shared" si="7"/>
        <v>2560x1600</v>
      </c>
      <c r="R519" s="1" t="s">
        <v>57</v>
      </c>
      <c r="S519" s="1" t="str">
        <f t="shared" si="8"/>
        <v>165Hz</v>
      </c>
      <c r="T519" s="1" t="s">
        <v>2725</v>
      </c>
      <c r="U519" s="1" t="str">
        <f t="shared" si="9"/>
        <v>Windows 11 Home</v>
      </c>
      <c r="V519" s="1" t="s">
        <v>944</v>
      </c>
      <c r="W519" s="1" t="str">
        <f t="shared" si="10"/>
        <v>2.5 kg</v>
      </c>
      <c r="X519" s="1" t="s">
        <v>78</v>
      </c>
      <c r="Y519" s="1" t="str">
        <f t="shared" si="11"/>
        <v>1 Year</v>
      </c>
      <c r="Z519" s="4">
        <v>73249</v>
      </c>
      <c r="AA519" s="1" t="s">
        <v>5735</v>
      </c>
    </row>
    <row r="520" spans="1:27" ht="15.75" customHeight="1" x14ac:dyDescent="0.35">
      <c r="A520" s="1" t="s">
        <v>151</v>
      </c>
      <c r="B520" s="1" t="str">
        <f t="shared" si="16"/>
        <v>Lenovo</v>
      </c>
      <c r="C520" s="1" t="s">
        <v>1730</v>
      </c>
      <c r="D520" s="1" t="str">
        <f t="shared" si="1"/>
        <v>Legion 7 16ITHg6</v>
      </c>
      <c r="E520" s="1" t="str">
        <f t="array" aca="1" ref="E520" ca="1">IFERROR(
INDEX(Family_Map!$B$2:$B$35,
_xludf.AGGREGATE(14,6,(ROW(Family_Map!$A$2:$A$35)-ROW(Family_Map!$A$2)+1)/(ISNUMBER(SEARCH(Family_Map!$A$2:$A$35,D520))),1)
),
"Other")</f>
        <v>Other</v>
      </c>
      <c r="F520" s="1" t="s">
        <v>2504</v>
      </c>
      <c r="G520" s="1" t="e">
        <f t="shared" ca="1" si="2"/>
        <v>#NAME?</v>
      </c>
      <c r="H520" s="1" t="str">
        <f t="shared" ca="1" si="12"/>
        <v>Other</v>
      </c>
      <c r="I520" s="1" t="s">
        <v>552</v>
      </c>
      <c r="J520" s="1" t="str">
        <f t="shared" si="3"/>
        <v>16GB</v>
      </c>
      <c r="K520" s="1" t="s">
        <v>2749</v>
      </c>
      <c r="L520" s="1">
        <f t="shared" si="33"/>
        <v>32</v>
      </c>
      <c r="M520" s="1" t="s">
        <v>2900</v>
      </c>
      <c r="N520" s="1" t="str">
        <f t="shared" si="5"/>
        <v>2TB</v>
      </c>
      <c r="O520" s="1" t="str">
        <f t="shared" si="6"/>
        <v>2048GB</v>
      </c>
      <c r="P520" s="1" t="s">
        <v>224</v>
      </c>
      <c r="Q520" s="1" t="str">
        <f t="shared" si="7"/>
        <v>2560x1600</v>
      </c>
      <c r="R520" s="1" t="s">
        <v>57</v>
      </c>
      <c r="S520" s="1" t="str">
        <f t="shared" si="8"/>
        <v>165Hz</v>
      </c>
      <c r="T520" s="1" t="s">
        <v>2725</v>
      </c>
      <c r="U520" s="1" t="str">
        <f t="shared" si="9"/>
        <v>Windows 11 Home</v>
      </c>
      <c r="V520" s="1" t="s">
        <v>944</v>
      </c>
      <c r="W520" s="1" t="str">
        <f t="shared" si="10"/>
        <v>2.5 kg</v>
      </c>
      <c r="X520" s="1" t="s">
        <v>78</v>
      </c>
      <c r="Y520" s="1" t="str">
        <f t="shared" si="11"/>
        <v>1 Year</v>
      </c>
      <c r="Z520" s="4">
        <v>69500</v>
      </c>
      <c r="AA520" s="1" t="s">
        <v>1082</v>
      </c>
    </row>
    <row r="521" spans="1:27" ht="15.75" customHeight="1" x14ac:dyDescent="0.35">
      <c r="B521" s="1" t="str">
        <f t="shared" si="16"/>
        <v/>
      </c>
      <c r="C521" s="1" t="s">
        <v>2902</v>
      </c>
      <c r="D521" s="1" t="str">
        <f t="shared" si="1"/>
        <v>Tuf Gaming F15</v>
      </c>
      <c r="E521" s="1" t="str">
        <f t="array" aca="1" ref="E521" ca="1">IFERROR(
INDEX(Family_Map!$B$2:$B$35,
_xludf.AGGREGATE(14,6,(ROW(Family_Map!$A$2:$A$35)-ROW(Family_Map!$A$2)+1)/(ISNUMBER(SEARCH(Family_Map!$A$2:$A$35,D521))),1)
),
"Other")</f>
        <v>Other</v>
      </c>
      <c r="F521" s="1" t="s">
        <v>1118</v>
      </c>
      <c r="G521" s="1" t="e">
        <f t="shared" ca="1" si="2"/>
        <v>#NAME?</v>
      </c>
      <c r="H521" s="1" t="str">
        <f t="shared" ca="1" si="12"/>
        <v>Other</v>
      </c>
      <c r="I521" s="1" t="s">
        <v>2903</v>
      </c>
      <c r="J521" s="1" t="str">
        <f t="shared" si="3"/>
        <v>4GB</v>
      </c>
      <c r="K521" s="1" t="s">
        <v>656</v>
      </c>
      <c r="L521" s="1">
        <f t="shared" si="33"/>
        <v>16</v>
      </c>
      <c r="M521" s="1" t="s">
        <v>1604</v>
      </c>
      <c r="N521" s="1" t="str">
        <f t="shared" si="5"/>
        <v>512GB</v>
      </c>
      <c r="O521" s="1" t="str">
        <f t="shared" si="6"/>
        <v>512GB</v>
      </c>
      <c r="P521" s="1" t="s">
        <v>120</v>
      </c>
      <c r="Q521" s="1" t="str">
        <f t="shared" si="7"/>
        <v>1920x1080</v>
      </c>
      <c r="R521" s="1" t="s">
        <v>75</v>
      </c>
      <c r="S521" s="1" t="str">
        <f t="shared" si="8"/>
        <v>144Hz</v>
      </c>
      <c r="T521" s="1" t="s">
        <v>2425</v>
      </c>
      <c r="U521" s="1" t="str">
        <f t="shared" si="9"/>
        <v>Windows 11 Home</v>
      </c>
      <c r="V521" s="1" t="s">
        <v>300</v>
      </c>
      <c r="W521" s="1" t="str">
        <f t="shared" si="10"/>
        <v>2.2 kg</v>
      </c>
      <c r="X521" s="1" t="s">
        <v>165</v>
      </c>
      <c r="Y521" s="1" t="str">
        <f t="shared" si="11"/>
        <v>2 Years</v>
      </c>
      <c r="Z521" s="4">
        <v>42300</v>
      </c>
      <c r="AA521" s="1" t="s">
        <v>166</v>
      </c>
    </row>
    <row r="522" spans="1:27" ht="15.75" customHeight="1" x14ac:dyDescent="0.35">
      <c r="B522" s="1" t="str">
        <f t="shared" si="16"/>
        <v/>
      </c>
      <c r="C522" s="1" t="s">
        <v>2908</v>
      </c>
      <c r="D522" s="1" t="str">
        <f t="shared" si="1"/>
        <v>Tuf Gaming F17</v>
      </c>
      <c r="E522" s="1" t="str">
        <f t="array" aca="1" ref="E522" ca="1">IFERROR(
INDEX(Family_Map!$B$2:$B$35,
_xludf.AGGREGATE(14,6,(ROW(Family_Map!$A$2:$A$35)-ROW(Family_Map!$A$2)+1)/(ISNUMBER(SEARCH(Family_Map!$A$2:$A$35,D522))),1)
),
"Other")</f>
        <v>Other</v>
      </c>
      <c r="F522" s="1" t="s">
        <v>1075</v>
      </c>
      <c r="G522" s="1" t="e">
        <f t="shared" ca="1" si="2"/>
        <v>#NAME?</v>
      </c>
      <c r="H522" s="1" t="str">
        <f t="shared" ca="1" si="12"/>
        <v>Other</v>
      </c>
      <c r="I522" s="1" t="s">
        <v>2909</v>
      </c>
      <c r="J522" s="1" t="str">
        <f t="shared" si="3"/>
        <v>4GB</v>
      </c>
      <c r="K522" s="1" t="s">
        <v>2910</v>
      </c>
      <c r="L522" s="1">
        <f t="shared" si="33"/>
        <v>16</v>
      </c>
      <c r="M522" s="1" t="s">
        <v>2088</v>
      </c>
      <c r="N522" s="1" t="str">
        <f t="shared" si="5"/>
        <v>512GB</v>
      </c>
      <c r="O522" s="1" t="str">
        <f t="shared" si="6"/>
        <v>512GB</v>
      </c>
      <c r="P522" s="1" t="s">
        <v>120</v>
      </c>
      <c r="Q522" s="1" t="str">
        <f t="shared" si="7"/>
        <v>1920x1080</v>
      </c>
      <c r="R522" s="1" t="s">
        <v>75</v>
      </c>
      <c r="S522" s="1" t="str">
        <f t="shared" si="8"/>
        <v>144Hz</v>
      </c>
      <c r="T522" s="1" t="s">
        <v>2892</v>
      </c>
      <c r="U522" s="1" t="str">
        <f t="shared" si="9"/>
        <v>Windows 10 Home</v>
      </c>
      <c r="V522" s="1" t="s">
        <v>1894</v>
      </c>
      <c r="W522" s="1" t="str">
        <f t="shared" si="10"/>
        <v>2.6 kg</v>
      </c>
      <c r="X522" s="1" t="s">
        <v>165</v>
      </c>
      <c r="Y522" s="1" t="str">
        <f t="shared" si="11"/>
        <v>2 Years</v>
      </c>
      <c r="Z522" s="4">
        <v>33749</v>
      </c>
      <c r="AA522" s="1" t="s">
        <v>1082</v>
      </c>
    </row>
    <row r="523" spans="1:27" ht="15.75" customHeight="1" x14ac:dyDescent="0.35">
      <c r="A523" s="1" t="s">
        <v>30</v>
      </c>
      <c r="B523" s="1" t="str">
        <f t="shared" si="16"/>
        <v>MSI</v>
      </c>
      <c r="C523" s="1" t="s">
        <v>2915</v>
      </c>
      <c r="D523" s="1" t="str">
        <f t="shared" si="1"/>
        <v>Sword 15 A12UE-605US</v>
      </c>
      <c r="E523" s="1" t="str">
        <f t="array" aca="1" ref="E523" ca="1">IFERROR(
INDEX(Family_Map!$B$2:$B$35,
_xludf.AGGREGATE(14,6,(ROW(Family_Map!$A$2:$A$35)-ROW(Family_Map!$A$2)+1)/(ISNUMBER(SEARCH(Family_Map!$A$2:$A$35,D523))),1)
),
"Other")</f>
        <v>Other</v>
      </c>
      <c r="F523" s="1" t="s">
        <v>2137</v>
      </c>
      <c r="G523" s="1" t="e">
        <f t="shared" ca="1" si="2"/>
        <v>#NAME?</v>
      </c>
      <c r="H523" s="1" t="str">
        <f t="shared" ca="1" si="12"/>
        <v>Other</v>
      </c>
      <c r="I523" s="1" t="s">
        <v>1584</v>
      </c>
      <c r="J523" s="1" t="str">
        <f t="shared" si="3"/>
        <v>6GB</v>
      </c>
      <c r="K523" s="1" t="s">
        <v>2916</v>
      </c>
      <c r="L523" s="1">
        <f t="shared" si="33"/>
        <v>16</v>
      </c>
      <c r="M523" s="1" t="s">
        <v>2917</v>
      </c>
      <c r="N523" s="1" t="str">
        <f t="shared" si="5"/>
        <v>1TB</v>
      </c>
      <c r="O523" s="1" t="str">
        <f t="shared" si="6"/>
        <v>1024GB</v>
      </c>
      <c r="P523" s="1" t="s">
        <v>120</v>
      </c>
      <c r="Q523" s="1" t="str">
        <f t="shared" si="7"/>
        <v>1920x1080</v>
      </c>
      <c r="R523" s="1" t="s">
        <v>75</v>
      </c>
      <c r="S523" s="1" t="str">
        <f t="shared" si="8"/>
        <v>144Hz</v>
      </c>
      <c r="T523" s="1" t="s">
        <v>90</v>
      </c>
      <c r="U523" s="1" t="str">
        <f t="shared" si="9"/>
        <v>Windows 11 Home</v>
      </c>
      <c r="V523" s="1" t="s">
        <v>2922</v>
      </c>
      <c r="W523" s="1" t="str">
        <f t="shared" si="10"/>
        <v>2.25 kg</v>
      </c>
      <c r="X523" s="1" t="s">
        <v>78</v>
      </c>
      <c r="Y523" s="1" t="str">
        <f t="shared" si="11"/>
        <v>1 Year</v>
      </c>
      <c r="Z523" s="4">
        <v>32699</v>
      </c>
      <c r="AA523" s="1" t="s">
        <v>166</v>
      </c>
    </row>
    <row r="524" spans="1:27" ht="15.75" customHeight="1" x14ac:dyDescent="0.35">
      <c r="A524" s="1" t="s">
        <v>81</v>
      </c>
      <c r="B524" s="1" t="str">
        <f t="shared" si="16"/>
        <v>Dell</v>
      </c>
      <c r="C524" s="1" t="s">
        <v>2925</v>
      </c>
      <c r="D524" s="1" t="str">
        <f t="shared" si="1"/>
        <v>Dell G15-5510</v>
      </c>
      <c r="E524" s="1" t="str">
        <f t="array" aca="1" ref="E524" ca="1">IFERROR(
INDEX(Family_Map!$B$2:$B$35,
_xludf.AGGREGATE(14,6,(ROW(Family_Map!$A$2:$A$35)-ROW(Family_Map!$A$2)+1)/(ISNUMBER(SEARCH(Family_Map!$A$2:$A$35,D524))),1)
),
"Other")</f>
        <v>Other</v>
      </c>
      <c r="F524" s="1" t="s">
        <v>2616</v>
      </c>
      <c r="G524" s="1" t="e">
        <f t="shared" ca="1" si="2"/>
        <v>#NAME?</v>
      </c>
      <c r="H524" s="1" t="str">
        <f t="shared" ca="1" si="12"/>
        <v>Other</v>
      </c>
      <c r="I524" s="1" t="s">
        <v>70</v>
      </c>
      <c r="J524" s="1" t="str">
        <f t="shared" si="3"/>
        <v>6GB</v>
      </c>
      <c r="K524" s="1" t="s">
        <v>2926</v>
      </c>
      <c r="L524" s="1">
        <f t="shared" si="33"/>
        <v>16</v>
      </c>
      <c r="M524" s="1" t="s">
        <v>1120</v>
      </c>
      <c r="N524" s="1" t="str">
        <f t="shared" si="5"/>
        <v>512GB</v>
      </c>
      <c r="O524" s="1" t="str">
        <f t="shared" si="6"/>
        <v>512GB</v>
      </c>
      <c r="P524" s="1" t="s">
        <v>74</v>
      </c>
      <c r="Q524" s="1" t="str">
        <f t="shared" si="7"/>
        <v>1920x1080</v>
      </c>
      <c r="S524" s="1" t="str">
        <f t="shared" si="8"/>
        <v/>
      </c>
      <c r="T524" s="1" t="s">
        <v>121</v>
      </c>
      <c r="U524" s="1" t="str">
        <f t="shared" si="9"/>
        <v>DOS</v>
      </c>
      <c r="V524" s="1" t="s">
        <v>2696</v>
      </c>
      <c r="W524" s="1" t="str">
        <f t="shared" si="10"/>
        <v>2.65 kg</v>
      </c>
      <c r="X524" s="1" t="s">
        <v>78</v>
      </c>
      <c r="Y524" s="1" t="str">
        <f t="shared" si="11"/>
        <v>1 Year</v>
      </c>
      <c r="Z524" s="4">
        <v>32999</v>
      </c>
      <c r="AA524" s="1" t="s">
        <v>2181</v>
      </c>
    </row>
    <row r="525" spans="1:27" ht="15.75" customHeight="1" x14ac:dyDescent="0.35">
      <c r="B525" s="1" t="str">
        <f t="shared" si="16"/>
        <v/>
      </c>
      <c r="C525" s="1" t="s">
        <v>2934</v>
      </c>
      <c r="D525" s="1" t="str">
        <f t="shared" si="1"/>
        <v>ROG Flow X13 GV301QE-K6054T</v>
      </c>
      <c r="E525" s="1" t="str">
        <f t="array" aca="1" ref="E525" ca="1">IFERROR(
INDEX(Family_Map!$B$2:$B$35,
_xludf.AGGREGATE(14,6,(ROW(Family_Map!$A$2:$A$35)-ROW(Family_Map!$A$2)+1)/(ISNUMBER(SEARCH(Family_Map!$A$2:$A$35,D525))),1)
),
"Other")</f>
        <v>Other</v>
      </c>
      <c r="F525" s="1" t="s">
        <v>2935</v>
      </c>
      <c r="G525" s="1" t="e">
        <f t="shared" ca="1" si="2"/>
        <v>#NAME?</v>
      </c>
      <c r="H525" s="1" t="str">
        <f t="shared" ca="1" si="12"/>
        <v>Other</v>
      </c>
      <c r="I525" s="1" t="s">
        <v>2342</v>
      </c>
      <c r="J525" s="1" t="str">
        <f t="shared" si="3"/>
        <v>4GB</v>
      </c>
      <c r="K525" s="1" t="s">
        <v>2936</v>
      </c>
      <c r="L525" s="1">
        <f t="shared" si="33"/>
        <v>16</v>
      </c>
      <c r="M525" s="1" t="s">
        <v>1120</v>
      </c>
      <c r="N525" s="1" t="str">
        <f t="shared" si="5"/>
        <v>512GB</v>
      </c>
      <c r="O525" s="1" t="str">
        <f t="shared" si="6"/>
        <v>512GB</v>
      </c>
      <c r="P525" s="1" t="s">
        <v>275</v>
      </c>
      <c r="Q525" s="1" t="str">
        <f t="shared" si="7"/>
        <v>1920x1200</v>
      </c>
      <c r="R525" s="1" t="s">
        <v>39</v>
      </c>
      <c r="S525" s="1" t="str">
        <f t="shared" si="8"/>
        <v>120Hz</v>
      </c>
      <c r="T525" s="1" t="s">
        <v>1722</v>
      </c>
      <c r="U525" s="1" t="str">
        <f t="shared" si="9"/>
        <v>Windows 10 Home</v>
      </c>
      <c r="V525" s="1" t="s">
        <v>1963</v>
      </c>
      <c r="W525" s="1" t="str">
        <f t="shared" si="10"/>
        <v>1.3 kg</v>
      </c>
      <c r="X525" s="1" t="s">
        <v>78</v>
      </c>
      <c r="Y525" s="1" t="str">
        <f t="shared" si="11"/>
        <v>1 Year</v>
      </c>
      <c r="Z525" s="4">
        <v>52000</v>
      </c>
      <c r="AA525" s="1" t="s">
        <v>5735</v>
      </c>
    </row>
    <row r="526" spans="1:27" ht="15.75" customHeight="1" x14ac:dyDescent="0.35">
      <c r="A526" s="1" t="s">
        <v>151</v>
      </c>
      <c r="B526" s="1" t="str">
        <f t="shared" si="16"/>
        <v>Lenovo</v>
      </c>
      <c r="C526" s="1" t="s">
        <v>2941</v>
      </c>
      <c r="D526" s="1" t="str">
        <f t="shared" si="1"/>
        <v>IdeaPad Gaming 3-15IHU6</v>
      </c>
      <c r="E526" s="1" t="str">
        <f t="array" aca="1" ref="E526" ca="1">IFERROR(
INDEX(Family_Map!$B$2:$B$35,
_xludf.AGGREGATE(14,6,(ROW(Family_Map!$A$2:$A$35)-ROW(Family_Map!$A$2)+1)/(ISNUMBER(SEARCH(Family_Map!$A$2:$A$35,D526))),1)
),
"Other")</f>
        <v>Other</v>
      </c>
      <c r="F526" s="1" t="s">
        <v>2942</v>
      </c>
      <c r="G526" s="1" t="e">
        <f t="shared" ca="1" si="2"/>
        <v>#NAME?</v>
      </c>
      <c r="H526" s="1" t="str">
        <f t="shared" ca="1" si="12"/>
        <v>Other</v>
      </c>
      <c r="I526" s="1" t="s">
        <v>2342</v>
      </c>
      <c r="J526" s="1" t="str">
        <f t="shared" si="3"/>
        <v>4GB</v>
      </c>
      <c r="K526" s="1" t="s">
        <v>2943</v>
      </c>
      <c r="L526" s="1">
        <v>8</v>
      </c>
      <c r="M526" s="1" t="s">
        <v>2388</v>
      </c>
      <c r="N526" s="1" t="str">
        <f t="shared" si="5"/>
        <v>256GB</v>
      </c>
      <c r="O526" s="1" t="str">
        <f t="shared" si="6"/>
        <v>256GB</v>
      </c>
      <c r="P526" s="1" t="s">
        <v>74</v>
      </c>
      <c r="Q526" s="1" t="str">
        <f t="shared" si="7"/>
        <v>1920x1080</v>
      </c>
      <c r="R526" s="1" t="s">
        <v>39</v>
      </c>
      <c r="S526" s="1" t="str">
        <f t="shared" si="8"/>
        <v>120Hz</v>
      </c>
      <c r="T526" s="1" t="s">
        <v>90</v>
      </c>
      <c r="U526" s="1" t="str">
        <f t="shared" si="9"/>
        <v>Windows 11 Home</v>
      </c>
      <c r="V526" s="1" t="s">
        <v>2922</v>
      </c>
      <c r="W526" s="1" t="str">
        <f t="shared" si="10"/>
        <v>2.25 kg</v>
      </c>
      <c r="X526" s="1" t="s">
        <v>78</v>
      </c>
      <c r="Y526" s="1" t="str">
        <f t="shared" si="11"/>
        <v>1 Year</v>
      </c>
      <c r="Z526" s="4">
        <v>19549</v>
      </c>
      <c r="AA526" s="1" t="s">
        <v>1082</v>
      </c>
    </row>
    <row r="527" spans="1:27" ht="15.75" customHeight="1" x14ac:dyDescent="0.35">
      <c r="A527" s="1" t="s">
        <v>30</v>
      </c>
      <c r="B527" s="1" t="str">
        <f t="shared" si="16"/>
        <v>MSI</v>
      </c>
      <c r="C527" s="1" t="s">
        <v>2947</v>
      </c>
      <c r="D527" s="1" t="str">
        <f t="shared" si="1"/>
        <v>GE66 RAIDER 11UH-202US</v>
      </c>
      <c r="E527" s="1" t="str">
        <f t="array" aca="1" ref="E527" ca="1">IFERROR(
INDEX(Family_Map!$B$2:$B$35,
_xludf.AGGREGATE(14,6,(ROW(Family_Map!$A$2:$A$35)-ROW(Family_Map!$A$2)+1)/(ISNUMBER(SEARCH(Family_Map!$A$2:$A$35,D527))),1)
),
"Other")</f>
        <v>Other</v>
      </c>
      <c r="F527" s="1" t="s">
        <v>2948</v>
      </c>
      <c r="G527" s="1" t="e">
        <f t="shared" ca="1" si="2"/>
        <v>#NAME?</v>
      </c>
      <c r="H527" s="1" t="str">
        <f t="shared" ca="1" si="12"/>
        <v>Other</v>
      </c>
      <c r="I527" s="1" t="s">
        <v>656</v>
      </c>
      <c r="J527" s="1" t="str">
        <f t="shared" si="3"/>
        <v>16GB</v>
      </c>
      <c r="K527" s="1" t="s">
        <v>2950</v>
      </c>
      <c r="L527" s="1">
        <f t="shared" ref="L527:L538" si="34">IFERROR(
VALUE(SUBSTITUTE(SUBSTITUTE(LEFT(UPPER(TRIM(K527)),FIND("GB",UPPER(K527)&amp;"GB")+1),"GB","")," ","")),
IFERROR(
VALUE(SUBSTITUTE(SUBSTITUTE(MID(UPPER(K527),FIND("GB",UPPER(K527)&amp;"GB")-3,3),"GB","")," ",""))
*
IF(
OR(
ISNUMBER(SEARCH("2X",UPPER(K527))),
ISNUMBER(SEARCH("X 2",UPPER(K527))),
ISNUMBER(SEARCH("*2",UPPER(K527))),
ISNUMBER(SEARCH("2*",UPPER(K527))),
ISNUMBER(SEARCH("(2 X",UPPER(K527)))
),
2,1),
"")
)</f>
        <v>32</v>
      </c>
      <c r="M527" s="1" t="s">
        <v>322</v>
      </c>
      <c r="N527" s="1" t="str">
        <f t="shared" si="5"/>
        <v>1TB</v>
      </c>
      <c r="O527" s="1" t="str">
        <f t="shared" si="6"/>
        <v>1024GB</v>
      </c>
      <c r="P527" s="1" t="s">
        <v>1371</v>
      </c>
      <c r="Q527" s="1" t="str">
        <f t="shared" si="7"/>
        <v>2560x1440</v>
      </c>
      <c r="R527" s="1" t="s">
        <v>256</v>
      </c>
      <c r="S527" s="1" t="str">
        <f t="shared" si="8"/>
        <v>240Hz</v>
      </c>
      <c r="T527" s="1" t="s">
        <v>1722</v>
      </c>
      <c r="U527" s="1" t="str">
        <f t="shared" si="9"/>
        <v>Windows 10 Home</v>
      </c>
      <c r="V527" s="1" t="s">
        <v>398</v>
      </c>
      <c r="W527" s="1" t="str">
        <f t="shared" si="10"/>
        <v>2.38 kg</v>
      </c>
      <c r="X527" s="1" t="s">
        <v>78</v>
      </c>
      <c r="Y527" s="1" t="str">
        <f t="shared" si="11"/>
        <v>1 Year</v>
      </c>
      <c r="Z527" s="4">
        <v>69455</v>
      </c>
      <c r="AA527" s="1" t="s">
        <v>1082</v>
      </c>
    </row>
    <row r="528" spans="1:27" ht="15.75" customHeight="1" x14ac:dyDescent="0.35">
      <c r="A528" s="1" t="s">
        <v>151</v>
      </c>
      <c r="B528" s="1" t="str">
        <f t="shared" si="16"/>
        <v>Lenovo</v>
      </c>
      <c r="C528" s="1" t="s">
        <v>2954</v>
      </c>
      <c r="D528" s="1" t="str">
        <f t="shared" si="1"/>
        <v>Legion 5 15ITH6</v>
      </c>
      <c r="E528" s="1" t="str">
        <f t="array" aca="1" ref="E528" ca="1">IFERROR(
INDEX(Family_Map!$B$2:$B$35,
_xludf.AGGREGATE(14,6,(ROW(Family_Map!$A$2:$A$35)-ROW(Family_Map!$A$2)+1)/(ISNUMBER(SEARCH(Family_Map!$A$2:$A$35,D528))),1)
),
"Other")</f>
        <v>Other</v>
      </c>
      <c r="F528" s="1" t="s">
        <v>2504</v>
      </c>
      <c r="G528" s="1" t="e">
        <f t="shared" ca="1" si="2"/>
        <v>#NAME?</v>
      </c>
      <c r="H528" s="1" t="str">
        <f t="shared" ca="1" si="12"/>
        <v>Other</v>
      </c>
      <c r="I528" s="1" t="s">
        <v>507</v>
      </c>
      <c r="J528" s="1" t="str">
        <f t="shared" si="3"/>
        <v>4GB</v>
      </c>
      <c r="K528" s="1" t="s">
        <v>1077</v>
      </c>
      <c r="L528" s="1">
        <f t="shared" si="34"/>
        <v>16</v>
      </c>
      <c r="M528" s="1" t="s">
        <v>2505</v>
      </c>
      <c r="N528" s="1" t="str">
        <f t="shared" si="5"/>
        <v>1TB</v>
      </c>
      <c r="O528" s="1" t="str">
        <f t="shared" si="6"/>
        <v>1024GB</v>
      </c>
      <c r="P528" s="1" t="s">
        <v>120</v>
      </c>
      <c r="Q528" s="1" t="str">
        <f t="shared" si="7"/>
        <v>1920x1080</v>
      </c>
      <c r="R528" s="1" t="s">
        <v>57</v>
      </c>
      <c r="S528" s="1" t="str">
        <f t="shared" si="8"/>
        <v>165Hz</v>
      </c>
      <c r="T528" s="1" t="s">
        <v>101</v>
      </c>
      <c r="U528" s="1" t="str">
        <f t="shared" si="9"/>
        <v>DOS</v>
      </c>
      <c r="V528" s="1" t="s">
        <v>63</v>
      </c>
      <c r="W528" s="1" t="str">
        <f t="shared" si="10"/>
        <v>2.4 kg</v>
      </c>
      <c r="X528" s="1" t="s">
        <v>78</v>
      </c>
      <c r="Y528" s="1" t="str">
        <f t="shared" si="11"/>
        <v>1 Year</v>
      </c>
      <c r="Z528" s="4">
        <v>27699</v>
      </c>
      <c r="AA528" s="1" t="s">
        <v>1082</v>
      </c>
    </row>
    <row r="529" spans="1:27" ht="15.75" customHeight="1" x14ac:dyDescent="0.35">
      <c r="A529" s="1" t="s">
        <v>30</v>
      </c>
      <c r="B529" s="1" t="str">
        <f t="shared" si="16"/>
        <v>MSI</v>
      </c>
      <c r="C529" s="1" t="s">
        <v>2958</v>
      </c>
      <c r="D529" s="1" t="str">
        <f t="shared" si="1"/>
        <v>GE76 Raider 11UH</v>
      </c>
      <c r="E529" s="1" t="str">
        <f t="array" aca="1" ref="E529" ca="1">IFERROR(
INDEX(Family_Map!$B$2:$B$35,
_xludf.AGGREGATE(14,6,(ROW(Family_Map!$A$2:$A$35)-ROW(Family_Map!$A$2)+1)/(ISNUMBER(SEARCH(Family_Map!$A$2:$A$35,D529))),1)
),
"Other")</f>
        <v>Other</v>
      </c>
      <c r="F529" s="1" t="s">
        <v>2948</v>
      </c>
      <c r="G529" s="1" t="e">
        <f t="shared" ca="1" si="2"/>
        <v>#NAME?</v>
      </c>
      <c r="H529" s="1" t="str">
        <f t="shared" ca="1" si="12"/>
        <v>Other</v>
      </c>
      <c r="I529" s="1" t="s">
        <v>2959</v>
      </c>
      <c r="J529" s="1" t="str">
        <f t="shared" si="3"/>
        <v>16GB</v>
      </c>
      <c r="K529" s="1" t="s">
        <v>2960</v>
      </c>
      <c r="L529" s="1">
        <f t="shared" si="34"/>
        <v>32</v>
      </c>
      <c r="M529" s="1" t="s">
        <v>1575</v>
      </c>
      <c r="N529" s="1" t="str">
        <f t="shared" si="5"/>
        <v>2TB</v>
      </c>
      <c r="O529" s="1" t="str">
        <f t="shared" si="6"/>
        <v>2048GB</v>
      </c>
      <c r="P529" s="1" t="s">
        <v>120</v>
      </c>
      <c r="Q529" s="1" t="str">
        <f t="shared" si="7"/>
        <v>1920x1080</v>
      </c>
      <c r="R529" s="1" t="s">
        <v>2323</v>
      </c>
      <c r="S529" s="1" t="str">
        <f t="shared" si="8"/>
        <v>300Hz</v>
      </c>
      <c r="T529" s="1" t="s">
        <v>1722</v>
      </c>
      <c r="U529" s="1" t="str">
        <f t="shared" si="9"/>
        <v>Windows 10 Home</v>
      </c>
      <c r="V529" s="1" t="s">
        <v>2962</v>
      </c>
      <c r="W529" s="1" t="str">
        <f t="shared" si="10"/>
        <v>2.9 kg</v>
      </c>
      <c r="X529" s="1" t="s">
        <v>78</v>
      </c>
      <c r="Y529" s="1" t="str">
        <f t="shared" si="11"/>
        <v>1 Year</v>
      </c>
      <c r="Z529" s="4">
        <v>75549</v>
      </c>
      <c r="AA529" s="1" t="s">
        <v>1082</v>
      </c>
    </row>
    <row r="530" spans="1:27" ht="15.75" customHeight="1" x14ac:dyDescent="0.35">
      <c r="B530" s="1" t="str">
        <f t="shared" si="16"/>
        <v/>
      </c>
      <c r="C530" s="1" t="s">
        <v>2965</v>
      </c>
      <c r="D530" s="1" t="str">
        <f t="shared" si="1"/>
        <v>Tuf Gaming F15 FX506HC-UB74</v>
      </c>
      <c r="E530" s="1" t="str">
        <f t="array" aca="1" ref="E530" ca="1">IFERROR(
INDEX(Family_Map!$B$2:$B$35,
_xludf.AGGREGATE(14,6,(ROW(Family_Map!$A$2:$A$35)-ROW(Family_Map!$A$2)+1)/(ISNUMBER(SEARCH(Family_Map!$A$2:$A$35,D530))),1)
),
"Other")</f>
        <v>Other</v>
      </c>
      <c r="F530" s="1" t="s">
        <v>1075</v>
      </c>
      <c r="G530" s="1" t="e">
        <f t="shared" ca="1" si="2"/>
        <v>#NAME?</v>
      </c>
      <c r="H530" s="1" t="str">
        <f t="shared" ca="1" si="12"/>
        <v>Other</v>
      </c>
      <c r="I530" s="1" t="s">
        <v>2342</v>
      </c>
      <c r="J530" s="1" t="str">
        <f t="shared" si="3"/>
        <v>4GB</v>
      </c>
      <c r="K530" s="1" t="s">
        <v>2967</v>
      </c>
      <c r="L530" s="1">
        <f t="shared" si="34"/>
        <v>16</v>
      </c>
      <c r="M530" s="1" t="s">
        <v>2968</v>
      </c>
      <c r="N530" s="1" t="str">
        <f t="shared" si="5"/>
        <v>512GB</v>
      </c>
      <c r="O530" s="1" t="str">
        <f t="shared" si="6"/>
        <v>512GB</v>
      </c>
      <c r="P530" s="1" t="s">
        <v>120</v>
      </c>
      <c r="Q530" s="1" t="str">
        <f t="shared" si="7"/>
        <v>1920x1080</v>
      </c>
      <c r="R530" s="1" t="s">
        <v>75</v>
      </c>
      <c r="S530" s="1" t="str">
        <f t="shared" si="8"/>
        <v>144Hz</v>
      </c>
      <c r="T530" s="1" t="s">
        <v>2892</v>
      </c>
      <c r="U530" s="1" t="str">
        <f t="shared" si="9"/>
        <v>Windows 10 Home</v>
      </c>
      <c r="V530" s="1" t="s">
        <v>1400</v>
      </c>
      <c r="W530" s="1" t="str">
        <f t="shared" si="10"/>
        <v>2.3 kg</v>
      </c>
      <c r="X530" s="1" t="s">
        <v>1471</v>
      </c>
      <c r="Y530" s="1" t="str">
        <f t="shared" si="11"/>
        <v>1 Year</v>
      </c>
      <c r="Z530" s="4">
        <v>41199</v>
      </c>
      <c r="AA530" s="1" t="s">
        <v>1082</v>
      </c>
    </row>
    <row r="531" spans="1:27" ht="15.75" customHeight="1" x14ac:dyDescent="0.35">
      <c r="B531" s="1" t="str">
        <f t="shared" si="16"/>
        <v/>
      </c>
      <c r="C531" s="1" t="s">
        <v>2975</v>
      </c>
      <c r="D531" s="1" t="str">
        <f t="shared" si="1"/>
        <v>G713QE-HX093T</v>
      </c>
      <c r="E531" s="1" t="str">
        <f t="array" aca="1" ref="E531" ca="1">IFERROR(
INDEX(Family_Map!$B$2:$B$35,
_xludf.AGGREGATE(14,6,(ROW(Family_Map!$A$2:$A$35)-ROW(Family_Map!$A$2)+1)/(ISNUMBER(SEARCH(Family_Map!$A$2:$A$35,D531))),1)
),
"Other")</f>
        <v>Other</v>
      </c>
      <c r="F531" s="1" t="s">
        <v>2207</v>
      </c>
      <c r="G531" s="1" t="e">
        <f t="shared" ca="1" si="2"/>
        <v>#NAME?</v>
      </c>
      <c r="H531" s="1" t="str">
        <f t="shared" ca="1" si="12"/>
        <v>Other</v>
      </c>
      <c r="I531" s="1" t="s">
        <v>507</v>
      </c>
      <c r="J531" s="1" t="str">
        <f t="shared" si="3"/>
        <v>4GB</v>
      </c>
      <c r="K531" s="1" t="s">
        <v>2976</v>
      </c>
      <c r="L531" s="1">
        <f t="shared" si="34"/>
        <v>16</v>
      </c>
      <c r="M531" s="1" t="s">
        <v>1927</v>
      </c>
      <c r="N531" s="1" t="str">
        <f t="shared" si="5"/>
        <v>512 GB</v>
      </c>
      <c r="O531" s="1" t="str">
        <f t="shared" si="6"/>
        <v>512 GB</v>
      </c>
      <c r="P531" s="1" t="s">
        <v>120</v>
      </c>
      <c r="Q531" s="1" t="str">
        <f t="shared" si="7"/>
        <v>1920x1080</v>
      </c>
      <c r="S531" s="1" t="str">
        <f t="shared" si="8"/>
        <v/>
      </c>
      <c r="T531" s="1" t="s">
        <v>1722</v>
      </c>
      <c r="U531" s="1" t="str">
        <f t="shared" si="9"/>
        <v>Windows 10 Home</v>
      </c>
      <c r="V531" s="1" t="s">
        <v>2233</v>
      </c>
      <c r="W531" s="1" t="str">
        <f t="shared" si="10"/>
        <v>2.4 kg</v>
      </c>
      <c r="X531" s="1" t="s">
        <v>165</v>
      </c>
      <c r="Y531" s="1" t="str">
        <f t="shared" si="11"/>
        <v>2 Years</v>
      </c>
      <c r="Z531" s="4">
        <v>28900</v>
      </c>
      <c r="AA531" s="1" t="s">
        <v>5735</v>
      </c>
    </row>
    <row r="532" spans="1:27" ht="15.75" customHeight="1" x14ac:dyDescent="0.35">
      <c r="B532" s="1" t="str">
        <f t="shared" si="16"/>
        <v/>
      </c>
      <c r="C532" s="1" t="s">
        <v>2980</v>
      </c>
      <c r="D532" s="1" t="str">
        <f t="shared" si="1"/>
        <v>G713QE-HX090T</v>
      </c>
      <c r="E532" s="1" t="str">
        <f t="array" aca="1" ref="E532" ca="1">IFERROR(
INDEX(Family_Map!$B$2:$B$35,
_xludf.AGGREGATE(14,6,(ROW(Family_Map!$A$2:$A$35)-ROW(Family_Map!$A$2)+1)/(ISNUMBER(SEARCH(Family_Map!$A$2:$A$35,D532))),1)
),
"Other")</f>
        <v>Other</v>
      </c>
      <c r="F532" s="1" t="s">
        <v>2207</v>
      </c>
      <c r="G532" s="1" t="e">
        <f t="shared" ca="1" si="2"/>
        <v>#NAME?</v>
      </c>
      <c r="H532" s="1" t="str">
        <f t="shared" ca="1" si="12"/>
        <v>Other</v>
      </c>
      <c r="I532" s="1" t="s">
        <v>507</v>
      </c>
      <c r="J532" s="1" t="str">
        <f t="shared" si="3"/>
        <v>4GB</v>
      </c>
      <c r="K532" s="1" t="s">
        <v>2976</v>
      </c>
      <c r="L532" s="1">
        <f t="shared" si="34"/>
        <v>16</v>
      </c>
      <c r="M532" s="1" t="s">
        <v>1927</v>
      </c>
      <c r="N532" s="1" t="str">
        <f t="shared" si="5"/>
        <v>512 GB</v>
      </c>
      <c r="O532" s="1" t="str">
        <f t="shared" si="6"/>
        <v>512 GB</v>
      </c>
      <c r="P532" s="1" t="s">
        <v>120</v>
      </c>
      <c r="Q532" s="1" t="str">
        <f t="shared" si="7"/>
        <v>1920x1080</v>
      </c>
      <c r="S532" s="1" t="str">
        <f t="shared" si="8"/>
        <v/>
      </c>
      <c r="T532" s="1" t="s">
        <v>1722</v>
      </c>
      <c r="U532" s="1" t="str">
        <f t="shared" si="9"/>
        <v>Windows 10 Home</v>
      </c>
      <c r="V532" s="1" t="s">
        <v>2233</v>
      </c>
      <c r="W532" s="1" t="str">
        <f t="shared" si="10"/>
        <v>2.4 kg</v>
      </c>
      <c r="X532" s="1" t="s">
        <v>165</v>
      </c>
      <c r="Y532" s="1" t="str">
        <f t="shared" si="11"/>
        <v>2 Years</v>
      </c>
      <c r="Z532" s="4">
        <v>28900</v>
      </c>
      <c r="AA532" s="1" t="s">
        <v>5735</v>
      </c>
    </row>
    <row r="533" spans="1:27" ht="15.75" customHeight="1" x14ac:dyDescent="0.35">
      <c r="B533" s="1" t="str">
        <f t="shared" si="16"/>
        <v/>
      </c>
      <c r="C533" s="1" t="s">
        <v>2981</v>
      </c>
      <c r="D533" s="1" t="str">
        <f t="shared" si="1"/>
        <v>FX516PM-HN072W</v>
      </c>
      <c r="E533" s="1" t="str">
        <f t="array" aca="1" ref="E533" ca="1">IFERROR(
INDEX(Family_Map!$B$2:$B$35,
_xludf.AGGREGATE(14,6,(ROW(Family_Map!$A$2:$A$35)-ROW(Family_Map!$A$2)+1)/(ISNUMBER(SEARCH(Family_Map!$A$2:$A$35,D533))),1)
),
"Other")</f>
        <v>Other</v>
      </c>
      <c r="F533" s="1" t="s">
        <v>2982</v>
      </c>
      <c r="G533" s="1" t="e">
        <f t="shared" ca="1" si="2"/>
        <v>#NAME?</v>
      </c>
      <c r="H533" s="1" t="str">
        <f t="shared" ca="1" si="12"/>
        <v>Other</v>
      </c>
      <c r="I533" s="1" t="s">
        <v>70</v>
      </c>
      <c r="J533" s="1" t="str">
        <f t="shared" si="3"/>
        <v>6GB</v>
      </c>
      <c r="K533" s="1" t="s">
        <v>2983</v>
      </c>
      <c r="L533" s="1">
        <f t="shared" si="34"/>
        <v>16</v>
      </c>
      <c r="M533" s="1" t="s">
        <v>1604</v>
      </c>
      <c r="N533" s="1" t="str">
        <f t="shared" si="5"/>
        <v>512GB</v>
      </c>
      <c r="O533" s="1" t="str">
        <f t="shared" si="6"/>
        <v>512GB</v>
      </c>
      <c r="P533" s="1" t="s">
        <v>120</v>
      </c>
      <c r="Q533" s="1" t="str">
        <f t="shared" si="7"/>
        <v>1920x1080</v>
      </c>
      <c r="R533" s="1" t="s">
        <v>75</v>
      </c>
      <c r="S533" s="1" t="str">
        <f t="shared" si="8"/>
        <v>144Hz</v>
      </c>
      <c r="T533" s="1" t="s">
        <v>555</v>
      </c>
      <c r="U533" s="1" t="str">
        <f t="shared" si="9"/>
        <v>Windows 11 Home</v>
      </c>
      <c r="V533" s="1" t="s">
        <v>2078</v>
      </c>
      <c r="W533" s="1" t="str">
        <f t="shared" si="10"/>
        <v>2 kg</v>
      </c>
      <c r="X533" s="1" t="s">
        <v>165</v>
      </c>
      <c r="Y533" s="1" t="str">
        <f t="shared" si="11"/>
        <v>2 Years</v>
      </c>
      <c r="Z533" s="4">
        <v>35050</v>
      </c>
      <c r="AA533" s="1" t="s">
        <v>1082</v>
      </c>
    </row>
    <row r="534" spans="1:27" ht="15.75" customHeight="1" x14ac:dyDescent="0.35">
      <c r="B534" s="1" t="str">
        <f t="shared" si="16"/>
        <v/>
      </c>
      <c r="C534" s="1" t="s">
        <v>2987</v>
      </c>
      <c r="D534" s="1" t="str">
        <f t="shared" si="1"/>
        <v>GV301QC-K6123T</v>
      </c>
      <c r="E534" s="1" t="str">
        <f t="array" aca="1" ref="E534" ca="1">IFERROR(
INDEX(Family_Map!$B$2:$B$35,
_xludf.AGGREGATE(14,6,(ROW(Family_Map!$A$2:$A$35)-ROW(Family_Map!$A$2)+1)/(ISNUMBER(SEARCH(Family_Map!$A$2:$A$35,D534))),1)
),
"Other")</f>
        <v>Other</v>
      </c>
      <c r="F534" s="1" t="s">
        <v>2988</v>
      </c>
      <c r="G534" s="1" t="e">
        <f t="shared" ca="1" si="2"/>
        <v>#NAME?</v>
      </c>
      <c r="H534" s="1" t="str">
        <f t="shared" ca="1" si="12"/>
        <v>Other</v>
      </c>
      <c r="I534" s="1" t="s">
        <v>507</v>
      </c>
      <c r="J534" s="1" t="str">
        <f t="shared" si="3"/>
        <v>4GB</v>
      </c>
      <c r="K534" s="1" t="s">
        <v>2989</v>
      </c>
      <c r="L534" s="1">
        <f t="shared" si="34"/>
        <v>32</v>
      </c>
      <c r="M534" s="1" t="s">
        <v>2168</v>
      </c>
      <c r="N534" s="1" t="str">
        <f t="shared" si="5"/>
        <v>1TB</v>
      </c>
      <c r="O534" s="1" t="str">
        <f t="shared" si="6"/>
        <v>1024GB</v>
      </c>
      <c r="P534" s="1" t="s">
        <v>275</v>
      </c>
      <c r="Q534" s="1" t="str">
        <f t="shared" si="7"/>
        <v>1920x1200</v>
      </c>
      <c r="S534" s="1" t="str">
        <f t="shared" si="8"/>
        <v/>
      </c>
      <c r="T534" s="1" t="s">
        <v>2991</v>
      </c>
      <c r="U534" s="1" t="str">
        <f t="shared" si="9"/>
        <v>Windows 10 Pro</v>
      </c>
      <c r="V534" s="1" t="s">
        <v>1963</v>
      </c>
      <c r="W534" s="1" t="str">
        <f t="shared" si="10"/>
        <v>1.3 kg</v>
      </c>
      <c r="X534" s="1" t="s">
        <v>165</v>
      </c>
      <c r="Y534" s="1" t="str">
        <f t="shared" si="11"/>
        <v>2 Years</v>
      </c>
      <c r="Z534" s="4">
        <v>40999</v>
      </c>
      <c r="AA534" s="1" t="s">
        <v>5735</v>
      </c>
    </row>
    <row r="535" spans="1:27" ht="15.75" customHeight="1" x14ac:dyDescent="0.35">
      <c r="B535" s="1" t="str">
        <f t="shared" si="16"/>
        <v/>
      </c>
      <c r="C535" s="1" t="s">
        <v>2996</v>
      </c>
      <c r="D535" s="1" t="str">
        <f t="shared" si="1"/>
        <v>GA401QM-K2012TS</v>
      </c>
      <c r="E535" s="1" t="str">
        <f t="array" aca="1" ref="E535" ca="1">IFERROR(
INDEX(Family_Map!$B$2:$B$35,
_xludf.AGGREGATE(14,6,(ROW(Family_Map!$A$2:$A$35)-ROW(Family_Map!$A$2)+1)/(ISNUMBER(SEARCH(Family_Map!$A$2:$A$35,D535))),1)
),
"Other")</f>
        <v>Other</v>
      </c>
      <c r="F535" s="1" t="s">
        <v>1926</v>
      </c>
      <c r="G535" s="1" t="e">
        <f t="shared" ca="1" si="2"/>
        <v>#NAME?</v>
      </c>
      <c r="H535" s="1" t="str">
        <f t="shared" ca="1" si="12"/>
        <v>Other</v>
      </c>
      <c r="I535" s="1" t="s">
        <v>1584</v>
      </c>
      <c r="J535" s="1" t="str">
        <f t="shared" si="3"/>
        <v>6GB</v>
      </c>
      <c r="K535" s="1" t="s">
        <v>599</v>
      </c>
      <c r="L535" s="1">
        <f t="shared" si="34"/>
        <v>16</v>
      </c>
      <c r="M535" s="1" t="s">
        <v>1944</v>
      </c>
      <c r="N535" s="1" t="str">
        <f t="shared" si="5"/>
        <v>1TB</v>
      </c>
      <c r="O535" s="1" t="str">
        <f t="shared" si="6"/>
        <v>1024GB</v>
      </c>
      <c r="Q535" s="1" t="str">
        <f t="shared" si="7"/>
        <v/>
      </c>
      <c r="R535" s="1" t="s">
        <v>75</v>
      </c>
      <c r="S535" s="1" t="str">
        <f t="shared" si="8"/>
        <v>144Hz</v>
      </c>
      <c r="T535" s="1" t="s">
        <v>2991</v>
      </c>
      <c r="U535" s="1" t="str">
        <f t="shared" si="9"/>
        <v>Windows 10 Pro</v>
      </c>
      <c r="W535" s="1" t="str">
        <f t="shared" si="10"/>
        <v/>
      </c>
      <c r="X535" s="1" t="s">
        <v>165</v>
      </c>
      <c r="Y535" s="1" t="str">
        <f t="shared" si="11"/>
        <v>2 Years</v>
      </c>
      <c r="Z535" s="4">
        <v>61999</v>
      </c>
      <c r="AA535" s="1" t="s">
        <v>5735</v>
      </c>
    </row>
    <row r="536" spans="1:27" ht="15.75" customHeight="1" x14ac:dyDescent="0.35">
      <c r="B536" s="1" t="str">
        <f t="shared" si="16"/>
        <v/>
      </c>
      <c r="C536" s="1" t="s">
        <v>3000</v>
      </c>
      <c r="D536" s="1" t="str">
        <f t="shared" si="1"/>
        <v>GU603HM-211.ZM16</v>
      </c>
      <c r="E536" s="1" t="str">
        <f t="array" aca="1" ref="E536" ca="1">IFERROR(
INDEX(Family_Map!$B$2:$B$35,
_xludf.AGGREGATE(14,6,(ROW(Family_Map!$A$2:$A$35)-ROW(Family_Map!$A$2)+1)/(ISNUMBER(SEARCH(Family_Map!$A$2:$A$35,D536))),1)
),
"Other")</f>
        <v>Other</v>
      </c>
      <c r="F536" s="1" t="s">
        <v>1886</v>
      </c>
      <c r="G536" s="1" t="e">
        <f t="shared" ca="1" si="2"/>
        <v>#NAME?</v>
      </c>
      <c r="H536" s="1" t="str">
        <f t="shared" ca="1" si="12"/>
        <v>Other</v>
      </c>
      <c r="I536" s="1" t="s">
        <v>70</v>
      </c>
      <c r="J536" s="1" t="str">
        <f t="shared" si="3"/>
        <v>6GB</v>
      </c>
      <c r="K536" s="1" t="s">
        <v>3001</v>
      </c>
      <c r="L536" s="1">
        <f t="shared" si="34"/>
        <v>16</v>
      </c>
      <c r="M536" s="1" t="s">
        <v>1936</v>
      </c>
      <c r="N536" s="1" t="str">
        <f t="shared" si="5"/>
        <v>1TB</v>
      </c>
      <c r="O536" s="1" t="str">
        <f t="shared" si="6"/>
        <v>1024GB</v>
      </c>
      <c r="P536" s="1" t="s">
        <v>89</v>
      </c>
      <c r="Q536" s="1" t="str">
        <f t="shared" si="7"/>
        <v>2560x1600</v>
      </c>
      <c r="R536" s="1" t="s">
        <v>57</v>
      </c>
      <c r="S536" s="1" t="str">
        <f t="shared" si="8"/>
        <v>165Hz</v>
      </c>
      <c r="T536" s="1" t="s">
        <v>1722</v>
      </c>
      <c r="U536" s="1" t="str">
        <f t="shared" si="9"/>
        <v>Windows 10 Home</v>
      </c>
      <c r="V536" s="1" t="s">
        <v>1923</v>
      </c>
      <c r="W536" s="1" t="str">
        <f t="shared" si="10"/>
        <v>1.9 kg</v>
      </c>
      <c r="X536" s="1" t="s">
        <v>165</v>
      </c>
      <c r="Y536" s="1" t="str">
        <f t="shared" si="11"/>
        <v>2 Years</v>
      </c>
      <c r="Z536" s="4">
        <v>51949</v>
      </c>
      <c r="AA536" s="1" t="s">
        <v>1082</v>
      </c>
    </row>
    <row r="537" spans="1:27" ht="15.75" customHeight="1" x14ac:dyDescent="0.35">
      <c r="B537" s="1" t="str">
        <f t="shared" si="16"/>
        <v/>
      </c>
      <c r="C537" s="1" t="s">
        <v>3006</v>
      </c>
      <c r="D537" s="1" t="str">
        <f t="shared" si="1"/>
        <v>GA503QS-212.R93080</v>
      </c>
      <c r="E537" s="1" t="str">
        <f t="array" aca="1" ref="E537" ca="1">IFERROR(
INDEX(Family_Map!$B$2:$B$35,
_xludf.AGGREGATE(14,6,(ROW(Family_Map!$A$2:$A$35)-ROW(Family_Map!$A$2)+1)/(ISNUMBER(SEARCH(Family_Map!$A$2:$A$35,D537))),1)
),
"Other")</f>
        <v>Other</v>
      </c>
      <c r="F537" s="1" t="s">
        <v>2988</v>
      </c>
      <c r="G537" s="1" t="e">
        <f t="shared" ca="1" si="2"/>
        <v>#NAME?</v>
      </c>
      <c r="H537" s="1" t="str">
        <f t="shared" ca="1" si="12"/>
        <v>Other</v>
      </c>
      <c r="I537" s="1" t="s">
        <v>512</v>
      </c>
      <c r="J537" s="1" t="str">
        <f t="shared" si="3"/>
        <v>8GB</v>
      </c>
      <c r="K537" s="1" t="s">
        <v>599</v>
      </c>
      <c r="L537" s="1">
        <f t="shared" si="34"/>
        <v>16</v>
      </c>
      <c r="M537" s="1" t="s">
        <v>1944</v>
      </c>
      <c r="N537" s="1" t="str">
        <f t="shared" si="5"/>
        <v>1TB</v>
      </c>
      <c r="O537" s="1" t="str">
        <f t="shared" si="6"/>
        <v>1024GB</v>
      </c>
      <c r="Q537" s="1" t="str">
        <f t="shared" si="7"/>
        <v/>
      </c>
      <c r="R537" s="1" t="s">
        <v>57</v>
      </c>
      <c r="S537" s="1" t="str">
        <f t="shared" si="8"/>
        <v>165Hz</v>
      </c>
      <c r="T537" s="1" t="s">
        <v>2991</v>
      </c>
      <c r="U537" s="1" t="str">
        <f t="shared" si="9"/>
        <v>Windows 10 Pro</v>
      </c>
      <c r="V537" s="1" t="s">
        <v>230</v>
      </c>
      <c r="W537" s="1" t="str">
        <f t="shared" si="10"/>
        <v>1.9 kg</v>
      </c>
      <c r="X537" s="1" t="s">
        <v>78</v>
      </c>
      <c r="Y537" s="1" t="str">
        <f t="shared" si="11"/>
        <v>1 Year</v>
      </c>
      <c r="Z537" s="4">
        <v>64200</v>
      </c>
      <c r="AA537" s="1" t="s">
        <v>5735</v>
      </c>
    </row>
    <row r="538" spans="1:27" ht="15.75" customHeight="1" x14ac:dyDescent="0.35">
      <c r="A538" s="1" t="s">
        <v>2779</v>
      </c>
      <c r="B538" s="1" t="str">
        <f t="shared" si="16"/>
        <v>Razer</v>
      </c>
      <c r="C538" s="1" t="s">
        <v>2780</v>
      </c>
      <c r="D538" s="1" t="str">
        <f t="shared" si="1"/>
        <v>BLADE 15</v>
      </c>
      <c r="E538" s="1" t="str">
        <f t="array" aca="1" ref="E538" ca="1">IFERROR(
INDEX(Family_Map!$B$2:$B$35,
_xludf.AGGREGATE(14,6,(ROW(Family_Map!$A$2:$A$35)-ROW(Family_Map!$A$2)+1)/(ISNUMBER(SEARCH(Family_Map!$A$2:$A$35,D538))),1)
),
"Other")</f>
        <v>Other</v>
      </c>
      <c r="F538" s="1" t="s">
        <v>2851</v>
      </c>
      <c r="G538" s="1" t="e">
        <f t="shared" ca="1" si="2"/>
        <v>#NAME?</v>
      </c>
      <c r="H538" s="1" t="str">
        <f t="shared" ca="1" si="12"/>
        <v>Other</v>
      </c>
      <c r="I538" s="1" t="s">
        <v>3011</v>
      </c>
      <c r="J538" s="1" t="str">
        <f t="shared" si="3"/>
        <v>16 GB</v>
      </c>
      <c r="K538" s="1" t="s">
        <v>3012</v>
      </c>
      <c r="L538" s="1">
        <f t="shared" si="34"/>
        <v>32</v>
      </c>
      <c r="M538" s="1" t="s">
        <v>3013</v>
      </c>
      <c r="N538" s="1" t="str">
        <f t="shared" si="5"/>
        <v>1 TB</v>
      </c>
      <c r="O538" s="1" t="str">
        <f t="shared" si="6"/>
        <v>1024GB</v>
      </c>
      <c r="P538" s="1" t="s">
        <v>1890</v>
      </c>
      <c r="Q538" s="1" t="str">
        <f t="shared" si="7"/>
        <v>3840x2160</v>
      </c>
      <c r="R538" s="1" t="s">
        <v>971</v>
      </c>
      <c r="S538" s="1" t="str">
        <f t="shared" si="8"/>
        <v>60Hz</v>
      </c>
      <c r="T538" s="1" t="s">
        <v>1722</v>
      </c>
      <c r="U538" s="1" t="str">
        <f t="shared" si="9"/>
        <v>Windows 10 Home</v>
      </c>
      <c r="V538" s="1" t="s">
        <v>3019</v>
      </c>
      <c r="W538" s="1" t="str">
        <f t="shared" si="10"/>
        <v>2.01 kg</v>
      </c>
      <c r="X538" s="1" t="s">
        <v>78</v>
      </c>
      <c r="Y538" s="1" t="str">
        <f t="shared" si="11"/>
        <v>1 Year</v>
      </c>
      <c r="Z538" s="4">
        <v>64422</v>
      </c>
      <c r="AA538" s="1" t="s">
        <v>1082</v>
      </c>
    </row>
    <row r="539" spans="1:27" ht="15.75" customHeight="1" x14ac:dyDescent="0.35">
      <c r="A539" s="1" t="s">
        <v>151</v>
      </c>
      <c r="B539" s="1" t="str">
        <f t="shared" si="16"/>
        <v>Lenovo</v>
      </c>
      <c r="C539" s="1" t="s">
        <v>3022</v>
      </c>
      <c r="D539" s="1" t="str">
        <f t="shared" si="1"/>
        <v>Lenovo 5 15ITL05</v>
      </c>
      <c r="E539" s="1" t="str">
        <f t="array" aca="1" ref="E539" ca="1">IFERROR(
INDEX(Family_Map!$B$2:$B$35,
_xludf.AGGREGATE(14,6,(ROW(Family_Map!$A$2:$A$35)-ROW(Family_Map!$A$2)+1)/(ISNUMBER(SEARCH(Family_Map!$A$2:$A$35,D539))),1)
),
"Other")</f>
        <v>Other</v>
      </c>
      <c r="F539" s="1" t="s">
        <v>3023</v>
      </c>
      <c r="G539" s="1" t="e">
        <f t="shared" ca="1" si="2"/>
        <v>#NAME?</v>
      </c>
      <c r="H539" s="1" t="str">
        <f t="shared" ca="1" si="12"/>
        <v>Other</v>
      </c>
      <c r="I539" s="1" t="s">
        <v>2342</v>
      </c>
      <c r="J539" s="1" t="str">
        <f t="shared" si="3"/>
        <v>4GB</v>
      </c>
      <c r="K539" s="1" t="s">
        <v>2859</v>
      </c>
      <c r="L539" s="1">
        <v>16</v>
      </c>
      <c r="M539" s="1" t="s">
        <v>3024</v>
      </c>
      <c r="N539" s="1" t="str">
        <f t="shared" si="5"/>
        <v>512GB</v>
      </c>
      <c r="O539" s="1" t="str">
        <f t="shared" si="6"/>
        <v>512GB</v>
      </c>
      <c r="P539" s="1" t="s">
        <v>74</v>
      </c>
      <c r="Q539" s="1" t="str">
        <f t="shared" si="7"/>
        <v>1920x1080</v>
      </c>
      <c r="R539" s="1" t="s">
        <v>57</v>
      </c>
      <c r="S539" s="1" t="str">
        <f t="shared" si="8"/>
        <v>165Hz</v>
      </c>
      <c r="T539" s="1" t="s">
        <v>121</v>
      </c>
      <c r="U539" s="1" t="str">
        <f t="shared" si="9"/>
        <v>DOS</v>
      </c>
      <c r="V539" s="1" t="s">
        <v>63</v>
      </c>
      <c r="W539" s="1" t="str">
        <f t="shared" si="10"/>
        <v>2.4 kg</v>
      </c>
      <c r="X539" s="1" t="s">
        <v>129</v>
      </c>
      <c r="Y539" s="1" t="str">
        <f t="shared" si="11"/>
        <v>1 Year</v>
      </c>
      <c r="Z539" s="4">
        <v>30199</v>
      </c>
      <c r="AA539" s="1" t="s">
        <v>1082</v>
      </c>
    </row>
    <row r="540" spans="1:27" ht="15.75" customHeight="1" x14ac:dyDescent="0.35">
      <c r="A540" s="1" t="s">
        <v>151</v>
      </c>
      <c r="B540" s="1" t="str">
        <f t="shared" si="16"/>
        <v>Lenovo</v>
      </c>
      <c r="C540" s="1" t="s">
        <v>3029</v>
      </c>
      <c r="D540" s="1" t="str">
        <f t="shared" si="1"/>
        <v>IdeaPad Gaming 3 15ARH05</v>
      </c>
      <c r="E540" s="1" t="str">
        <f t="array" aca="1" ref="E540" ca="1">IFERROR(
INDEX(Family_Map!$B$2:$B$35,
_xludf.AGGREGATE(14,6,(ROW(Family_Map!$A$2:$A$35)-ROW(Family_Map!$A$2)+1)/(ISNUMBER(SEARCH(Family_Map!$A$2:$A$35,D540))),1)
),
"Other")</f>
        <v>Other</v>
      </c>
      <c r="F540" s="1" t="s">
        <v>2527</v>
      </c>
      <c r="G540" s="1" t="e">
        <f t="shared" ca="1" si="2"/>
        <v>#NAME?</v>
      </c>
      <c r="H540" s="1" t="str">
        <f t="shared" ca="1" si="12"/>
        <v>Other</v>
      </c>
      <c r="I540" s="1" t="s">
        <v>507</v>
      </c>
      <c r="J540" s="1" t="str">
        <f t="shared" si="3"/>
        <v>4GB</v>
      </c>
      <c r="K540" s="1" t="s">
        <v>3030</v>
      </c>
      <c r="L540" s="1">
        <f t="shared" ref="L540:L550" si="35">IFERROR(
VALUE(SUBSTITUTE(SUBSTITUTE(LEFT(UPPER(TRIM(K540)),FIND("GB",UPPER(K540)&amp;"GB")+1),"GB","")," ","")),
IFERROR(
VALUE(SUBSTITUTE(SUBSTITUTE(MID(UPPER(K540),FIND("GB",UPPER(K540)&amp;"GB")-3,3),"GB","")," ",""))
*
IF(
OR(
ISNUMBER(SEARCH("2X",UPPER(K540))),
ISNUMBER(SEARCH("X 2",UPPER(K540))),
ISNUMBER(SEARCH("*2",UPPER(K540))),
ISNUMBER(SEARCH("2*",UPPER(K540))),
ISNUMBER(SEARCH("(2 X",UPPER(K540)))
),
2,1),
"")
)</f>
        <v>16</v>
      </c>
      <c r="M540" s="1" t="s">
        <v>2573</v>
      </c>
      <c r="N540" s="1" t="str">
        <f t="shared" si="5"/>
        <v>256GB</v>
      </c>
      <c r="O540" s="1" t="str">
        <f t="shared" si="6"/>
        <v>256GB</v>
      </c>
      <c r="P540" s="1" t="s">
        <v>74</v>
      </c>
      <c r="Q540" s="1" t="str">
        <f t="shared" si="7"/>
        <v>1920x1080</v>
      </c>
      <c r="R540" s="1" t="s">
        <v>39</v>
      </c>
      <c r="S540" s="1" t="str">
        <f t="shared" si="8"/>
        <v>120Hz</v>
      </c>
      <c r="T540" s="1" t="s">
        <v>101</v>
      </c>
      <c r="U540" s="1" t="str">
        <f t="shared" si="9"/>
        <v>DOS</v>
      </c>
      <c r="V540" s="1" t="s">
        <v>2878</v>
      </c>
      <c r="W540" s="1" t="str">
        <f t="shared" si="10"/>
        <v>2.2 kg</v>
      </c>
      <c r="X540" s="1" t="s">
        <v>78</v>
      </c>
      <c r="Y540" s="1" t="str">
        <f t="shared" si="11"/>
        <v>1 Year</v>
      </c>
      <c r="Z540" s="4">
        <v>19149</v>
      </c>
      <c r="AA540" s="1" t="s">
        <v>5735</v>
      </c>
    </row>
    <row r="541" spans="1:27" ht="15.75" customHeight="1" x14ac:dyDescent="0.35">
      <c r="A541" s="1" t="s">
        <v>30</v>
      </c>
      <c r="B541" s="1" t="str">
        <f t="shared" si="16"/>
        <v>MSI</v>
      </c>
      <c r="C541" s="1" t="s">
        <v>3036</v>
      </c>
      <c r="D541" s="1" t="str">
        <f t="shared" si="1"/>
        <v>GP66 Leopard 11UH</v>
      </c>
      <c r="E541" s="1" t="str">
        <f t="array" aca="1" ref="E541" ca="1">IFERROR(
INDEX(Family_Map!$B$2:$B$35,
_xludf.AGGREGATE(14,6,(ROW(Family_Map!$A$2:$A$35)-ROW(Family_Map!$A$2)+1)/(ISNUMBER(SEARCH(Family_Map!$A$2:$A$35,D541))),1)
),
"Other")</f>
        <v>Other</v>
      </c>
      <c r="F541" s="1" t="s">
        <v>1075</v>
      </c>
      <c r="G541" s="1" t="e">
        <f t="shared" ca="1" si="2"/>
        <v>#NAME?</v>
      </c>
      <c r="H541" s="1" t="str">
        <f t="shared" ca="1" si="12"/>
        <v>Other</v>
      </c>
      <c r="I541" s="1" t="s">
        <v>512</v>
      </c>
      <c r="J541" s="1" t="str">
        <f t="shared" si="3"/>
        <v>8GB</v>
      </c>
      <c r="K541" s="1" t="s">
        <v>1698</v>
      </c>
      <c r="L541" s="1">
        <f t="shared" si="35"/>
        <v>16</v>
      </c>
      <c r="M541" s="1" t="s">
        <v>322</v>
      </c>
      <c r="N541" s="1" t="str">
        <f t="shared" si="5"/>
        <v>1TB</v>
      </c>
      <c r="O541" s="1" t="str">
        <f t="shared" si="6"/>
        <v>1024GB</v>
      </c>
      <c r="P541" s="1" t="s">
        <v>120</v>
      </c>
      <c r="Q541" s="1" t="str">
        <f t="shared" si="7"/>
        <v>1920x1080</v>
      </c>
      <c r="R541" s="1" t="s">
        <v>256</v>
      </c>
      <c r="S541" s="1" t="str">
        <f t="shared" si="8"/>
        <v>240Hz</v>
      </c>
      <c r="T541" s="1" t="s">
        <v>2892</v>
      </c>
      <c r="U541" s="1" t="str">
        <f t="shared" si="9"/>
        <v>Windows 10 Home</v>
      </c>
      <c r="V541" s="1" t="s">
        <v>398</v>
      </c>
      <c r="W541" s="1" t="str">
        <f t="shared" si="10"/>
        <v>2.38 kg</v>
      </c>
      <c r="X541" s="1" t="s">
        <v>78</v>
      </c>
      <c r="Y541" s="1" t="str">
        <f t="shared" si="11"/>
        <v>1 Year</v>
      </c>
      <c r="Z541" s="4">
        <v>45249</v>
      </c>
      <c r="AA541" s="1" t="s">
        <v>1082</v>
      </c>
    </row>
    <row r="542" spans="1:27" ht="15.75" customHeight="1" x14ac:dyDescent="0.35">
      <c r="A542" s="1" t="s">
        <v>30</v>
      </c>
      <c r="B542" s="1" t="str">
        <f t="shared" si="16"/>
        <v>MSI</v>
      </c>
      <c r="C542" s="1" t="s">
        <v>3040</v>
      </c>
      <c r="D542" s="1" t="str">
        <f t="shared" si="1"/>
        <v>GS66 Stealth 11UG</v>
      </c>
      <c r="E542" s="1" t="str">
        <f t="array" aca="1" ref="E542" ca="1">IFERROR(
INDEX(Family_Map!$B$2:$B$35,
_xludf.AGGREGATE(14,6,(ROW(Family_Map!$A$2:$A$35)-ROW(Family_Map!$A$2)+1)/(ISNUMBER(SEARCH(Family_Map!$A$2:$A$35,D542))),1)
),
"Other")</f>
        <v>Other</v>
      </c>
      <c r="F542" s="1" t="s">
        <v>1075</v>
      </c>
      <c r="G542" s="1" t="e">
        <f t="shared" ca="1" si="2"/>
        <v>#NAME?</v>
      </c>
      <c r="H542" s="1" t="str">
        <f t="shared" ca="1" si="12"/>
        <v>Other</v>
      </c>
      <c r="I542" s="1" t="s">
        <v>512</v>
      </c>
      <c r="J542" s="1" t="str">
        <f t="shared" si="3"/>
        <v>8GB</v>
      </c>
      <c r="K542" s="1" t="s">
        <v>513</v>
      </c>
      <c r="L542" s="1">
        <f t="shared" si="35"/>
        <v>16</v>
      </c>
      <c r="M542" s="1" t="s">
        <v>322</v>
      </c>
      <c r="N542" s="1" t="str">
        <f t="shared" si="5"/>
        <v>1TB</v>
      </c>
      <c r="O542" s="1" t="str">
        <f t="shared" si="6"/>
        <v>1024GB</v>
      </c>
      <c r="Q542" s="1" t="str">
        <f t="shared" si="7"/>
        <v/>
      </c>
      <c r="S542" s="1" t="str">
        <f t="shared" si="8"/>
        <v/>
      </c>
      <c r="T542" s="1" t="s">
        <v>2892</v>
      </c>
      <c r="U542" s="1" t="str">
        <f t="shared" si="9"/>
        <v>Windows 10 Home</v>
      </c>
      <c r="V542" s="1" t="s">
        <v>2045</v>
      </c>
      <c r="W542" s="1" t="str">
        <f t="shared" si="10"/>
        <v>2.1 kg</v>
      </c>
      <c r="X542" s="1" t="s">
        <v>78</v>
      </c>
      <c r="Y542" s="1" t="str">
        <f t="shared" si="11"/>
        <v>1 Year</v>
      </c>
      <c r="Z542" s="4">
        <v>65999</v>
      </c>
      <c r="AA542" s="1" t="s">
        <v>1082</v>
      </c>
    </row>
    <row r="543" spans="1:27" ht="15.75" customHeight="1" x14ac:dyDescent="0.35">
      <c r="A543" s="1" t="s">
        <v>30</v>
      </c>
      <c r="B543" s="1" t="str">
        <f t="shared" si="16"/>
        <v>MSI</v>
      </c>
      <c r="C543" s="1" t="s">
        <v>3042</v>
      </c>
      <c r="D543" s="1" t="str">
        <f t="shared" si="1"/>
        <v>Vector GP66</v>
      </c>
      <c r="E543" s="1" t="str">
        <f t="array" aca="1" ref="E543" ca="1">IFERROR(
INDEX(Family_Map!$B$2:$B$35,
_xludf.AGGREGATE(14,6,(ROW(Family_Map!$A$2:$A$35)-ROW(Family_Map!$A$2)+1)/(ISNUMBER(SEARCH(Family_Map!$A$2:$A$35,D543))),1)
),
"Other")</f>
        <v>Other</v>
      </c>
      <c r="F543" s="1" t="s">
        <v>1756</v>
      </c>
      <c r="G543" s="1" t="e">
        <f t="shared" ca="1" si="2"/>
        <v>#NAME?</v>
      </c>
      <c r="H543" s="1" t="str">
        <f t="shared" ca="1" si="12"/>
        <v>Other</v>
      </c>
      <c r="I543" s="1" t="s">
        <v>512</v>
      </c>
      <c r="J543" s="1" t="str">
        <f t="shared" si="3"/>
        <v>8GB</v>
      </c>
      <c r="K543" s="1" t="s">
        <v>3043</v>
      </c>
      <c r="L543" s="1">
        <f t="shared" si="35"/>
        <v>32</v>
      </c>
      <c r="M543" s="1" t="s">
        <v>3044</v>
      </c>
      <c r="N543" s="1" t="str">
        <f t="shared" si="5"/>
        <v>1TB</v>
      </c>
      <c r="O543" s="1" t="str">
        <f t="shared" si="6"/>
        <v>1024GB</v>
      </c>
      <c r="P543" s="1" t="s">
        <v>120</v>
      </c>
      <c r="Q543" s="1" t="str">
        <f t="shared" si="7"/>
        <v>1920x1080</v>
      </c>
      <c r="R543" s="1" t="s">
        <v>1518</v>
      </c>
      <c r="S543" s="1" t="str">
        <f t="shared" si="8"/>
        <v>360Hz</v>
      </c>
      <c r="T543" s="1" t="s">
        <v>2704</v>
      </c>
      <c r="U543" s="1" t="str">
        <f t="shared" si="9"/>
        <v>Windows 11 Home</v>
      </c>
      <c r="V543" s="1" t="s">
        <v>398</v>
      </c>
      <c r="W543" s="1" t="str">
        <f t="shared" si="10"/>
        <v>2.38 kg</v>
      </c>
      <c r="X543" s="1" t="s">
        <v>78</v>
      </c>
      <c r="Y543" s="1" t="str">
        <f t="shared" si="11"/>
        <v>1 Year</v>
      </c>
      <c r="Z543" s="4">
        <v>98000</v>
      </c>
      <c r="AA543" s="1" t="s">
        <v>166</v>
      </c>
    </row>
    <row r="544" spans="1:27" ht="15.75" customHeight="1" x14ac:dyDescent="0.35">
      <c r="A544" s="1" t="s">
        <v>30</v>
      </c>
      <c r="B544" s="1" t="str">
        <f t="shared" si="16"/>
        <v>MSI</v>
      </c>
      <c r="C544" s="1" t="s">
        <v>3051</v>
      </c>
      <c r="D544" s="1" t="str">
        <f t="shared" si="1"/>
        <v>GS66 STEALTH 11UH</v>
      </c>
      <c r="E544" s="1" t="str">
        <f t="array" aca="1" ref="E544" ca="1">IFERROR(
INDEX(Family_Map!$B$2:$B$35,
_xludf.AGGREGATE(14,6,(ROW(Family_Map!$A$2:$A$35)-ROW(Family_Map!$A$2)+1)/(ISNUMBER(SEARCH(Family_Map!$A$2:$A$35,D544))),1)
),
"Other")</f>
        <v>Other</v>
      </c>
      <c r="F544" s="1" t="s">
        <v>3052</v>
      </c>
      <c r="G544" s="1" t="e">
        <f t="shared" ca="1" si="2"/>
        <v>#NAME?</v>
      </c>
      <c r="H544" s="1" t="str">
        <f t="shared" ca="1" si="12"/>
        <v>Other</v>
      </c>
      <c r="I544" s="1" t="s">
        <v>512</v>
      </c>
      <c r="J544" s="1" t="str">
        <f t="shared" si="3"/>
        <v>8GB</v>
      </c>
      <c r="K544" s="1" t="s">
        <v>553</v>
      </c>
      <c r="L544" s="1">
        <f t="shared" si="35"/>
        <v>32</v>
      </c>
      <c r="M544" s="1" t="s">
        <v>322</v>
      </c>
      <c r="N544" s="1" t="str">
        <f t="shared" si="5"/>
        <v>1TB</v>
      </c>
      <c r="O544" s="1" t="str">
        <f t="shared" si="6"/>
        <v>1024GB</v>
      </c>
      <c r="P544" s="1" t="s">
        <v>120</v>
      </c>
      <c r="Q544" s="1" t="str">
        <f t="shared" si="7"/>
        <v>1920x1080</v>
      </c>
      <c r="R544" s="1" t="s">
        <v>1518</v>
      </c>
      <c r="S544" s="1" t="str">
        <f t="shared" si="8"/>
        <v>360Hz</v>
      </c>
      <c r="T544" s="1" t="s">
        <v>2892</v>
      </c>
      <c r="U544" s="1" t="str">
        <f t="shared" si="9"/>
        <v>Windows 10 Home</v>
      </c>
      <c r="V544" s="1" t="s">
        <v>2045</v>
      </c>
      <c r="W544" s="1" t="str">
        <f t="shared" si="10"/>
        <v>2.1 kg</v>
      </c>
      <c r="X544" s="1" t="s">
        <v>78</v>
      </c>
      <c r="Y544" s="1" t="str">
        <f t="shared" si="11"/>
        <v>1 Year</v>
      </c>
      <c r="Z544" s="4">
        <v>64899</v>
      </c>
      <c r="AA544" s="1" t="s">
        <v>1082</v>
      </c>
    </row>
    <row r="545" spans="1:27" ht="15.75" customHeight="1" x14ac:dyDescent="0.35">
      <c r="A545" s="1" t="s">
        <v>30</v>
      </c>
      <c r="B545" s="1" t="str">
        <f t="shared" si="16"/>
        <v>MSI</v>
      </c>
      <c r="C545" s="1" t="s">
        <v>3040</v>
      </c>
      <c r="D545" s="1" t="str">
        <f t="shared" si="1"/>
        <v>GS66 Stealth 11UG</v>
      </c>
      <c r="E545" s="1" t="str">
        <f t="array" aca="1" ref="E545" ca="1">IFERROR(
INDEX(Family_Map!$B$2:$B$35,
_xludf.AGGREGATE(14,6,(ROW(Family_Map!$A$2:$A$35)-ROW(Family_Map!$A$2)+1)/(ISNUMBER(SEARCH(Family_Map!$A$2:$A$35,D545))),1)
),
"Other")</f>
        <v>Other</v>
      </c>
      <c r="F545" s="1" t="s">
        <v>1075</v>
      </c>
      <c r="G545" s="1" t="e">
        <f t="shared" ca="1" si="2"/>
        <v>#NAME?</v>
      </c>
      <c r="H545" s="1" t="str">
        <f t="shared" ca="1" si="12"/>
        <v>Other</v>
      </c>
      <c r="I545" s="1" t="s">
        <v>512</v>
      </c>
      <c r="J545" s="1" t="str">
        <f t="shared" si="3"/>
        <v>8GB</v>
      </c>
      <c r="K545" s="1" t="s">
        <v>3056</v>
      </c>
      <c r="L545" s="1">
        <f t="shared" si="35"/>
        <v>8</v>
      </c>
      <c r="M545" s="1" t="s">
        <v>322</v>
      </c>
      <c r="N545" s="1" t="str">
        <f t="shared" si="5"/>
        <v>1TB</v>
      </c>
      <c r="O545" s="1" t="str">
        <f t="shared" si="6"/>
        <v>1024GB</v>
      </c>
      <c r="P545" s="1" t="s">
        <v>120</v>
      </c>
      <c r="Q545" s="1" t="str">
        <f t="shared" si="7"/>
        <v>1920x1080</v>
      </c>
      <c r="R545" s="1" t="s">
        <v>2323</v>
      </c>
      <c r="S545" s="1" t="str">
        <f t="shared" si="8"/>
        <v>300Hz</v>
      </c>
      <c r="T545" s="1" t="s">
        <v>1722</v>
      </c>
      <c r="U545" s="1" t="str">
        <f t="shared" si="9"/>
        <v>Windows 10 Home</v>
      </c>
      <c r="V545" s="1" t="s">
        <v>2045</v>
      </c>
      <c r="W545" s="1" t="str">
        <f t="shared" si="10"/>
        <v>2.1 kg</v>
      </c>
      <c r="X545" s="1" t="s">
        <v>78</v>
      </c>
      <c r="Y545" s="1" t="str">
        <f t="shared" si="11"/>
        <v>1 Year</v>
      </c>
      <c r="Z545" s="4">
        <v>54499</v>
      </c>
      <c r="AA545" s="1" t="s">
        <v>1082</v>
      </c>
    </row>
    <row r="546" spans="1:27" ht="15.75" customHeight="1" x14ac:dyDescent="0.35">
      <c r="A546" s="1" t="s">
        <v>30</v>
      </c>
      <c r="B546" s="1" t="str">
        <f t="shared" si="16"/>
        <v>MSI</v>
      </c>
      <c r="C546" s="1" t="s">
        <v>3061</v>
      </c>
      <c r="D546" s="1" t="str">
        <f t="shared" si="1"/>
        <v>GP66 Leopard 11UG</v>
      </c>
      <c r="E546" s="1" t="str">
        <f t="array" aca="1" ref="E546" ca="1">IFERROR(
INDEX(Family_Map!$B$2:$B$35,
_xludf.AGGREGATE(14,6,(ROW(Family_Map!$A$2:$A$35)-ROW(Family_Map!$A$2)+1)/(ISNUMBER(SEARCH(Family_Map!$A$2:$A$35,D546))),1)
),
"Other")</f>
        <v>Other</v>
      </c>
      <c r="F546" s="1" t="s">
        <v>3062</v>
      </c>
      <c r="G546" s="1" t="e">
        <f t="shared" ca="1" si="2"/>
        <v>#NAME?</v>
      </c>
      <c r="H546" s="1" t="str">
        <f t="shared" ca="1" si="12"/>
        <v>Other</v>
      </c>
      <c r="I546" s="1" t="s">
        <v>512</v>
      </c>
      <c r="J546" s="1" t="str">
        <f t="shared" si="3"/>
        <v>8GB</v>
      </c>
      <c r="K546" s="1" t="s">
        <v>3056</v>
      </c>
      <c r="L546" s="1">
        <f t="shared" si="35"/>
        <v>8</v>
      </c>
      <c r="M546" s="1" t="s">
        <v>322</v>
      </c>
      <c r="N546" s="1" t="str">
        <f t="shared" si="5"/>
        <v>1TB</v>
      </c>
      <c r="O546" s="1" t="str">
        <f t="shared" si="6"/>
        <v>1024GB</v>
      </c>
      <c r="P546" s="1" t="s">
        <v>120</v>
      </c>
      <c r="Q546" s="1" t="str">
        <f t="shared" si="7"/>
        <v>1920x1080</v>
      </c>
      <c r="R546" s="1" t="s">
        <v>75</v>
      </c>
      <c r="S546" s="1" t="str">
        <f t="shared" si="8"/>
        <v>144Hz</v>
      </c>
      <c r="T546" s="1" t="s">
        <v>1722</v>
      </c>
      <c r="U546" s="1" t="str">
        <f t="shared" si="9"/>
        <v>Windows 10 Home</v>
      </c>
      <c r="V546" s="1" t="s">
        <v>398</v>
      </c>
      <c r="W546" s="1" t="str">
        <f t="shared" si="10"/>
        <v>2.38 kg</v>
      </c>
      <c r="X546" s="1" t="s">
        <v>78</v>
      </c>
      <c r="Y546" s="1" t="str">
        <f t="shared" si="11"/>
        <v>1 Year</v>
      </c>
      <c r="Z546" s="4">
        <v>48365</v>
      </c>
      <c r="AA546" s="1" t="s">
        <v>1082</v>
      </c>
    </row>
    <row r="547" spans="1:27" ht="15.75" customHeight="1" x14ac:dyDescent="0.35">
      <c r="A547" s="1" t="s">
        <v>30</v>
      </c>
      <c r="B547" s="1" t="str">
        <f t="shared" si="16"/>
        <v>MSI</v>
      </c>
      <c r="C547" s="1" t="s">
        <v>2958</v>
      </c>
      <c r="D547" s="1" t="str">
        <f t="shared" si="1"/>
        <v>GE76 Raider 11UH</v>
      </c>
      <c r="E547" s="1" t="str">
        <f t="array" aca="1" ref="E547" ca="1">IFERROR(
INDEX(Family_Map!$B$2:$B$35,
_xludf.AGGREGATE(14,6,(ROW(Family_Map!$A$2:$A$35)-ROW(Family_Map!$A$2)+1)/(ISNUMBER(SEARCH(Family_Map!$A$2:$A$35,D547))),1)
),
"Other")</f>
        <v>Other</v>
      </c>
      <c r="F547" s="1" t="s">
        <v>2948</v>
      </c>
      <c r="G547" s="1" t="e">
        <f t="shared" ca="1" si="2"/>
        <v>#NAME?</v>
      </c>
      <c r="H547" s="1" t="str">
        <f t="shared" ca="1" si="12"/>
        <v>Other</v>
      </c>
      <c r="I547" s="1" t="s">
        <v>2959</v>
      </c>
      <c r="J547" s="1" t="str">
        <f t="shared" si="3"/>
        <v>16GB</v>
      </c>
      <c r="K547" s="1" t="s">
        <v>3065</v>
      </c>
      <c r="L547" s="1">
        <f t="shared" si="35"/>
        <v>64</v>
      </c>
      <c r="M547" s="1" t="s">
        <v>1575</v>
      </c>
      <c r="N547" s="1" t="str">
        <f t="shared" si="5"/>
        <v>2TB</v>
      </c>
      <c r="O547" s="1" t="str">
        <f t="shared" si="6"/>
        <v>2048GB</v>
      </c>
      <c r="P547" s="1" t="s">
        <v>120</v>
      </c>
      <c r="Q547" s="1" t="str">
        <f t="shared" si="7"/>
        <v>1920x1080</v>
      </c>
      <c r="R547" s="1" t="s">
        <v>2323</v>
      </c>
      <c r="S547" s="1" t="str">
        <f t="shared" si="8"/>
        <v>300Hz</v>
      </c>
      <c r="T547" s="1" t="s">
        <v>1722</v>
      </c>
      <c r="U547" s="1" t="str">
        <f t="shared" si="9"/>
        <v>Windows 10 Home</v>
      </c>
      <c r="V547" s="1" t="s">
        <v>2962</v>
      </c>
      <c r="W547" s="1" t="str">
        <f t="shared" si="10"/>
        <v>2.9 kg</v>
      </c>
      <c r="X547" s="1" t="s">
        <v>78</v>
      </c>
      <c r="Y547" s="1" t="str">
        <f t="shared" si="11"/>
        <v>1 Year</v>
      </c>
      <c r="Z547" s="4">
        <v>82699</v>
      </c>
      <c r="AA547" s="1" t="s">
        <v>1082</v>
      </c>
    </row>
    <row r="548" spans="1:27" ht="15.75" customHeight="1" x14ac:dyDescent="0.35">
      <c r="A548" s="1" t="s">
        <v>112</v>
      </c>
      <c r="B548" s="1" t="str">
        <f t="shared" si="16"/>
        <v>HP</v>
      </c>
      <c r="C548" s="1" t="s">
        <v>3066</v>
      </c>
      <c r="D548" s="1" t="str">
        <f t="shared" si="1"/>
        <v>Victus 16-D0023DX</v>
      </c>
      <c r="E548" s="1" t="str">
        <f t="array" aca="1" ref="E548" ca="1">IFERROR(
INDEX(Family_Map!$B$2:$B$35,
_xludf.AGGREGATE(14,6,(ROW(Family_Map!$A$2:$A$35)-ROW(Family_Map!$A$2)+1)/(ISNUMBER(SEARCH(Family_Map!$A$2:$A$35,D548))),1)
),
"Other")</f>
        <v>Other</v>
      </c>
      <c r="F548" s="1" t="s">
        <v>1613</v>
      </c>
      <c r="G548" s="1" t="e">
        <f t="shared" ca="1" si="2"/>
        <v>#NAME?</v>
      </c>
      <c r="H548" s="1" t="str">
        <f t="shared" ca="1" si="12"/>
        <v>Other</v>
      </c>
      <c r="I548" s="1" t="s">
        <v>2342</v>
      </c>
      <c r="J548" s="1" t="str">
        <f t="shared" si="3"/>
        <v>4GB</v>
      </c>
      <c r="K548" s="1" t="s">
        <v>3067</v>
      </c>
      <c r="L548" s="1">
        <f t="shared" si="35"/>
        <v>8</v>
      </c>
      <c r="M548" s="1" t="s">
        <v>3068</v>
      </c>
      <c r="N548" s="1" t="str">
        <f t="shared" si="5"/>
        <v>256GB</v>
      </c>
      <c r="O548" s="1" t="str">
        <f t="shared" si="6"/>
        <v>256GB</v>
      </c>
      <c r="P548" s="1" t="s">
        <v>120</v>
      </c>
      <c r="Q548" s="1" t="str">
        <f t="shared" si="7"/>
        <v>1920x1080</v>
      </c>
      <c r="S548" s="1" t="str">
        <f t="shared" si="8"/>
        <v/>
      </c>
      <c r="T548" s="1" t="s">
        <v>3070</v>
      </c>
      <c r="U548" s="1" t="str">
        <f t="shared" si="9"/>
        <v>Windows 11 Home</v>
      </c>
      <c r="V548" s="1" t="s">
        <v>1899</v>
      </c>
      <c r="W548" s="1" t="str">
        <f t="shared" si="10"/>
        <v>2.46 kg</v>
      </c>
      <c r="X548" s="1" t="s">
        <v>78</v>
      </c>
      <c r="Y548" s="1" t="str">
        <f t="shared" si="11"/>
        <v>1 Year</v>
      </c>
      <c r="Z548" s="4">
        <v>21000</v>
      </c>
      <c r="AA548" s="1" t="s">
        <v>1082</v>
      </c>
    </row>
    <row r="549" spans="1:27" ht="15.75" customHeight="1" x14ac:dyDescent="0.35">
      <c r="B549" s="1" t="str">
        <f t="shared" si="16"/>
        <v/>
      </c>
      <c r="C549" s="1" t="s">
        <v>3073</v>
      </c>
      <c r="D549" s="1" t="str">
        <f t="shared" si="1"/>
        <v>D3500QC-OLED007T</v>
      </c>
      <c r="E549" s="1" t="str">
        <f t="array" aca="1" ref="E549" ca="1">IFERROR(
INDEX(Family_Map!$B$2:$B$35,
_xludf.AGGREGATE(14,6,(ROW(Family_Map!$A$2:$A$35)-ROW(Family_Map!$A$2)+1)/(ISNUMBER(SEARCH(Family_Map!$A$2:$A$35,D549))),1)
),
"Other")</f>
        <v>Other</v>
      </c>
      <c r="F549" s="1" t="s">
        <v>2207</v>
      </c>
      <c r="G549" s="1" t="e">
        <f t="shared" ca="1" si="2"/>
        <v>#NAME?</v>
      </c>
      <c r="H549" s="1" t="str">
        <f t="shared" ca="1" si="12"/>
        <v>Other</v>
      </c>
      <c r="I549" s="1" t="s">
        <v>507</v>
      </c>
      <c r="J549" s="1" t="str">
        <f t="shared" si="3"/>
        <v>4GB</v>
      </c>
      <c r="K549" s="1" t="s">
        <v>3075</v>
      </c>
      <c r="L549" s="1">
        <f t="shared" si="35"/>
        <v>16</v>
      </c>
      <c r="M549" s="1" t="s">
        <v>3076</v>
      </c>
      <c r="N549" s="1" t="str">
        <f t="shared" si="5"/>
        <v>512GB</v>
      </c>
      <c r="O549" s="1" t="str">
        <f t="shared" si="6"/>
        <v>512GB</v>
      </c>
      <c r="P549" s="1" t="s">
        <v>120</v>
      </c>
      <c r="Q549" s="1" t="str">
        <f t="shared" si="7"/>
        <v>1920x1080</v>
      </c>
      <c r="S549" s="1" t="str">
        <f t="shared" si="8"/>
        <v/>
      </c>
      <c r="T549" s="1" t="s">
        <v>90</v>
      </c>
      <c r="U549" s="1" t="str">
        <f t="shared" si="9"/>
        <v>Windows 11 Home</v>
      </c>
      <c r="V549" s="1" t="s">
        <v>1879</v>
      </c>
      <c r="W549" s="1" t="str">
        <f t="shared" si="10"/>
        <v>1.65 kg</v>
      </c>
      <c r="X549" s="1" t="s">
        <v>165</v>
      </c>
      <c r="Y549" s="1" t="str">
        <f t="shared" si="11"/>
        <v>2 Years</v>
      </c>
      <c r="Z549" s="4">
        <v>48999</v>
      </c>
      <c r="AA549" s="1" t="s">
        <v>5735</v>
      </c>
    </row>
    <row r="550" spans="1:27" ht="15.75" customHeight="1" x14ac:dyDescent="0.35">
      <c r="B550" s="1" t="str">
        <f t="shared" si="16"/>
        <v/>
      </c>
      <c r="C550" s="1" t="s">
        <v>3083</v>
      </c>
      <c r="D550" s="1" t="str">
        <f t="shared" si="1"/>
        <v>GV301QC-K6024T</v>
      </c>
      <c r="E550" s="1" t="str">
        <f t="array" aca="1" ref="E550" ca="1">IFERROR(
INDEX(Family_Map!$B$2:$B$35,
_xludf.AGGREGATE(14,6,(ROW(Family_Map!$A$2:$A$35)-ROW(Family_Map!$A$2)+1)/(ISNUMBER(SEARCH(Family_Map!$A$2:$A$35,D550))),1)
),
"Other")</f>
        <v>Other</v>
      </c>
      <c r="F550" s="1" t="s">
        <v>2988</v>
      </c>
      <c r="G550" s="1" t="e">
        <f t="shared" ca="1" si="2"/>
        <v>#NAME?</v>
      </c>
      <c r="H550" s="1" t="str">
        <f t="shared" ca="1" si="12"/>
        <v>Other</v>
      </c>
      <c r="I550" s="1" t="s">
        <v>507</v>
      </c>
      <c r="J550" s="1" t="str">
        <f t="shared" si="3"/>
        <v>4GB</v>
      </c>
      <c r="K550" s="1" t="s">
        <v>3084</v>
      </c>
      <c r="L550" s="1">
        <f t="shared" si="35"/>
        <v>16</v>
      </c>
      <c r="M550" s="1" t="s">
        <v>3085</v>
      </c>
      <c r="N550" s="1" t="str">
        <f t="shared" si="5"/>
        <v>1TB</v>
      </c>
      <c r="O550" s="1" t="str">
        <f t="shared" si="6"/>
        <v>1024GB</v>
      </c>
      <c r="P550" s="1" t="s">
        <v>345</v>
      </c>
      <c r="Q550" s="1" t="str">
        <f t="shared" si="7"/>
        <v>3840x2400</v>
      </c>
      <c r="R550" s="1" t="s">
        <v>39</v>
      </c>
      <c r="S550" s="1" t="str">
        <f t="shared" si="8"/>
        <v>120Hz</v>
      </c>
      <c r="T550" s="1" t="s">
        <v>121</v>
      </c>
      <c r="U550" s="1" t="str">
        <f t="shared" si="9"/>
        <v>DOS</v>
      </c>
      <c r="V550" s="1" t="s">
        <v>3088</v>
      </c>
      <c r="W550" s="1" t="str">
        <f t="shared" si="10"/>
        <v>1.3 kg</v>
      </c>
      <c r="X550" s="1" t="s">
        <v>165</v>
      </c>
      <c r="Y550" s="1" t="str">
        <f t="shared" si="11"/>
        <v>2 Years</v>
      </c>
      <c r="Z550" s="4">
        <v>45200</v>
      </c>
      <c r="AA550" s="1" t="s">
        <v>5735</v>
      </c>
    </row>
    <row r="551" spans="1:27" ht="15.75" customHeight="1" x14ac:dyDescent="0.35">
      <c r="A551" s="1" t="s">
        <v>151</v>
      </c>
      <c r="B551" s="1" t="str">
        <f t="shared" si="16"/>
        <v>Lenovo</v>
      </c>
      <c r="C551" s="1" t="s">
        <v>3091</v>
      </c>
      <c r="D551" s="1" t="str">
        <f t="shared" si="1"/>
        <v>IDEAPAD GAMING 3</v>
      </c>
      <c r="E551" s="1" t="str">
        <f t="array" aca="1" ref="E551" ca="1">IFERROR(
INDEX(Family_Map!$B$2:$B$35,
_xludf.AGGREGATE(14,6,(ROW(Family_Map!$A$2:$A$35)-ROW(Family_Map!$A$2)+1)/(ISNUMBER(SEARCH(Family_Map!$A$2:$A$35,D551))),1)
),
"Other")</f>
        <v>Other</v>
      </c>
      <c r="F551" s="1" t="s">
        <v>3092</v>
      </c>
      <c r="G551" s="1" t="e">
        <f t="shared" ca="1" si="2"/>
        <v>#NAME?</v>
      </c>
      <c r="H551" s="1" t="str">
        <f t="shared" ca="1" si="12"/>
        <v>Other</v>
      </c>
      <c r="I551" s="1" t="s">
        <v>3093</v>
      </c>
      <c r="J551" s="1" t="str">
        <f t="shared" si="3"/>
        <v>4GB</v>
      </c>
      <c r="K551" s="1" t="s">
        <v>1448</v>
      </c>
      <c r="L551" s="1">
        <v>8</v>
      </c>
      <c r="M551" s="1" t="s">
        <v>1604</v>
      </c>
      <c r="N551" s="1" t="str">
        <f t="shared" si="5"/>
        <v>512GB</v>
      </c>
      <c r="O551" s="1" t="str">
        <f t="shared" si="6"/>
        <v>512GB</v>
      </c>
      <c r="P551" s="1" t="s">
        <v>120</v>
      </c>
      <c r="Q551" s="1" t="str">
        <f t="shared" si="7"/>
        <v>1920x1080</v>
      </c>
      <c r="R551" s="1" t="s">
        <v>39</v>
      </c>
      <c r="S551" s="1" t="str">
        <f t="shared" si="8"/>
        <v>120Hz</v>
      </c>
      <c r="T551" s="1" t="s">
        <v>121</v>
      </c>
      <c r="U551" s="1" t="str">
        <f t="shared" si="9"/>
        <v>DOS</v>
      </c>
      <c r="V551" s="1" t="s">
        <v>2922</v>
      </c>
      <c r="W551" s="1" t="str">
        <f t="shared" si="10"/>
        <v>2.25 kg</v>
      </c>
      <c r="X551" s="1" t="s">
        <v>78</v>
      </c>
      <c r="Y551" s="1" t="str">
        <f t="shared" si="11"/>
        <v>1 Year</v>
      </c>
      <c r="Z551" s="4">
        <v>27999</v>
      </c>
      <c r="AA551" s="1" t="s">
        <v>5735</v>
      </c>
    </row>
    <row r="552" spans="1:27" ht="15.75" customHeight="1" x14ac:dyDescent="0.35">
      <c r="B552" s="1" t="str">
        <f t="shared" si="16"/>
        <v/>
      </c>
      <c r="C552" s="1" t="s">
        <v>3097</v>
      </c>
      <c r="D552" s="1" t="str">
        <f t="shared" si="1"/>
        <v>FX506HM-HN004T</v>
      </c>
      <c r="E552" s="1" t="str">
        <f t="array" aca="1" ref="E552" ca="1">IFERROR(
INDEX(Family_Map!$B$2:$B$35,
_xludf.AGGREGATE(14,6,(ROW(Family_Map!$A$2:$A$35)-ROW(Family_Map!$A$2)+1)/(ISNUMBER(SEARCH(Family_Map!$A$2:$A$35,D552))),1)
),
"Other")</f>
        <v>Other</v>
      </c>
      <c r="F552" s="1" t="s">
        <v>1075</v>
      </c>
      <c r="G552" s="1" t="e">
        <f t="shared" ca="1" si="2"/>
        <v>#NAME?</v>
      </c>
      <c r="H552" s="1" t="str">
        <f t="shared" ca="1" si="12"/>
        <v>Other</v>
      </c>
      <c r="I552" s="1" t="s">
        <v>1584</v>
      </c>
      <c r="J552" s="1" t="str">
        <f t="shared" si="3"/>
        <v>6GB</v>
      </c>
      <c r="K552" s="1" t="s">
        <v>3098</v>
      </c>
      <c r="L552" s="1">
        <f t="shared" ref="L552:L561" si="36">IFERROR(
VALUE(SUBSTITUTE(SUBSTITUTE(LEFT(UPPER(TRIM(K552)),FIND("GB",UPPER(K552)&amp;"GB")+1),"GB","")," ","")),
IFERROR(
VALUE(SUBSTITUTE(SUBSTITUTE(MID(UPPER(K552),FIND("GB",UPPER(K552)&amp;"GB")-3,3),"GB","")," ",""))
*
IF(
OR(
ISNUMBER(SEARCH("2X",UPPER(K552))),
ISNUMBER(SEARCH("X 2",UPPER(K552))),
ISNUMBER(SEARCH("*2",UPPER(K552))),
ISNUMBER(SEARCH("2*",UPPER(K552))),
ISNUMBER(SEARCH("(2 X",UPPER(K552)))
),
2,1),
"")
)</f>
        <v>8</v>
      </c>
      <c r="M552" s="1" t="s">
        <v>3076</v>
      </c>
      <c r="N552" s="1" t="str">
        <f t="shared" si="5"/>
        <v>512GB</v>
      </c>
      <c r="O552" s="1" t="str">
        <f t="shared" si="6"/>
        <v>512GB</v>
      </c>
      <c r="P552" s="1" t="s">
        <v>120</v>
      </c>
      <c r="Q552" s="1" t="str">
        <f t="shared" si="7"/>
        <v>1920x1080</v>
      </c>
      <c r="R552" s="1" t="s">
        <v>75</v>
      </c>
      <c r="S552" s="1" t="str">
        <f t="shared" si="8"/>
        <v>144Hz</v>
      </c>
      <c r="T552" s="1" t="s">
        <v>121</v>
      </c>
      <c r="U552" s="1" t="str">
        <f t="shared" si="9"/>
        <v>DOS</v>
      </c>
      <c r="V552" s="1" t="s">
        <v>2868</v>
      </c>
      <c r="W552" s="1" t="str">
        <f t="shared" si="10"/>
        <v>2.3 kg</v>
      </c>
      <c r="X552" s="1" t="s">
        <v>165</v>
      </c>
      <c r="Y552" s="1" t="str">
        <f t="shared" si="11"/>
        <v>2 Years</v>
      </c>
      <c r="Z552" s="4">
        <v>35050</v>
      </c>
      <c r="AA552" s="1" t="s">
        <v>1082</v>
      </c>
    </row>
    <row r="553" spans="1:27" ht="15.75" customHeight="1" x14ac:dyDescent="0.35">
      <c r="B553" s="1" t="str">
        <f t="shared" si="16"/>
        <v/>
      </c>
      <c r="C553" s="1" t="s">
        <v>3102</v>
      </c>
      <c r="D553" s="1" t="str">
        <f t="shared" si="1"/>
        <v>G713QR-K4170T</v>
      </c>
      <c r="E553" s="1" t="str">
        <f t="array" aca="1" ref="E553" ca="1">IFERROR(
INDEX(Family_Map!$B$2:$B$35,
_xludf.AGGREGATE(14,6,(ROW(Family_Map!$A$2:$A$35)-ROW(Family_Map!$A$2)+1)/(ISNUMBER(SEARCH(Family_Map!$A$2:$A$35,D553))),1)
),
"Other")</f>
        <v>Other</v>
      </c>
      <c r="F553" s="1" t="s">
        <v>2238</v>
      </c>
      <c r="G553" s="1" t="e">
        <f t="shared" ca="1" si="2"/>
        <v>#NAME?</v>
      </c>
      <c r="H553" s="1" t="str">
        <f t="shared" ca="1" si="12"/>
        <v>Other</v>
      </c>
      <c r="I553" s="1" t="s">
        <v>410</v>
      </c>
      <c r="J553" s="1" t="str">
        <f t="shared" si="3"/>
        <v>8GB</v>
      </c>
      <c r="K553" s="1" t="s">
        <v>3104</v>
      </c>
      <c r="L553" s="1">
        <f t="shared" si="36"/>
        <v>32</v>
      </c>
      <c r="M553" s="1" t="s">
        <v>3105</v>
      </c>
      <c r="N553" s="1" t="str">
        <f t="shared" si="5"/>
        <v>1TB</v>
      </c>
      <c r="O553" s="1" t="str">
        <f t="shared" si="6"/>
        <v>1024GB</v>
      </c>
      <c r="P553" s="1" t="s">
        <v>1493</v>
      </c>
      <c r="Q553" s="1" t="str">
        <f t="shared" si="7"/>
        <v>2560x1440</v>
      </c>
      <c r="R553" s="1" t="s">
        <v>57</v>
      </c>
      <c r="S553" s="1" t="str">
        <f t="shared" si="8"/>
        <v>165Hz</v>
      </c>
      <c r="T553" s="1" t="s">
        <v>1722</v>
      </c>
      <c r="U553" s="1" t="str">
        <f t="shared" si="9"/>
        <v>Windows 10 Home</v>
      </c>
      <c r="V553" s="1" t="s">
        <v>3108</v>
      </c>
      <c r="W553" s="1" t="str">
        <f t="shared" si="10"/>
        <v>2.7 kg</v>
      </c>
      <c r="X553" s="1" t="s">
        <v>165</v>
      </c>
      <c r="Y553" s="1" t="str">
        <f t="shared" si="11"/>
        <v>2 Years</v>
      </c>
      <c r="Z553" s="4">
        <v>52000</v>
      </c>
      <c r="AA553" s="1" t="s">
        <v>5735</v>
      </c>
    </row>
    <row r="554" spans="1:27" ht="15.75" customHeight="1" x14ac:dyDescent="0.35">
      <c r="B554" s="1" t="str">
        <f t="shared" si="16"/>
        <v/>
      </c>
      <c r="C554" s="1" t="s">
        <v>3111</v>
      </c>
      <c r="D554" s="1" t="str">
        <f t="shared" si="1"/>
        <v>G513QR-HF168T</v>
      </c>
      <c r="E554" s="1" t="str">
        <f t="array" aca="1" ref="E554" ca="1">IFERROR(
INDEX(Family_Map!$B$2:$B$35,
_xludf.AGGREGATE(14,6,(ROW(Family_Map!$A$2:$A$35)-ROW(Family_Map!$A$2)+1)/(ISNUMBER(SEARCH(Family_Map!$A$2:$A$35,D554))),1)
),
"Other")</f>
        <v>Other</v>
      </c>
      <c r="F554" s="1" t="s">
        <v>2238</v>
      </c>
      <c r="G554" s="1" t="e">
        <f t="shared" ca="1" si="2"/>
        <v>#NAME?</v>
      </c>
      <c r="H554" s="1" t="str">
        <f t="shared" ca="1" si="12"/>
        <v>Other</v>
      </c>
      <c r="I554" s="1" t="s">
        <v>552</v>
      </c>
      <c r="J554" s="1" t="str">
        <f t="shared" si="3"/>
        <v>16GB</v>
      </c>
      <c r="K554" s="1" t="s">
        <v>3112</v>
      </c>
      <c r="L554" s="1">
        <f t="shared" si="36"/>
        <v>16</v>
      </c>
      <c r="M554" s="1" t="s">
        <v>1944</v>
      </c>
      <c r="N554" s="1" t="str">
        <f t="shared" si="5"/>
        <v>1TB</v>
      </c>
      <c r="O554" s="1" t="str">
        <f t="shared" si="6"/>
        <v>1024GB</v>
      </c>
      <c r="P554" s="1" t="s">
        <v>120</v>
      </c>
      <c r="Q554" s="1" t="str">
        <f t="shared" si="7"/>
        <v>1920x1080</v>
      </c>
      <c r="R554" s="1" t="s">
        <v>2323</v>
      </c>
      <c r="S554" s="1" t="str">
        <f t="shared" si="8"/>
        <v>300Hz</v>
      </c>
      <c r="T554" s="1" t="s">
        <v>1722</v>
      </c>
      <c r="U554" s="1" t="str">
        <f t="shared" si="9"/>
        <v>Windows 10 Home</v>
      </c>
      <c r="V554" s="1" t="s">
        <v>2868</v>
      </c>
      <c r="W554" s="1" t="str">
        <f t="shared" si="10"/>
        <v>2.3 kg</v>
      </c>
      <c r="X554" s="1" t="s">
        <v>165</v>
      </c>
      <c r="Y554" s="1" t="str">
        <f t="shared" si="11"/>
        <v>2 Years</v>
      </c>
      <c r="Z554" s="4">
        <v>48649</v>
      </c>
      <c r="AA554" s="1" t="s">
        <v>5735</v>
      </c>
    </row>
    <row r="555" spans="1:27" ht="15.75" customHeight="1" x14ac:dyDescent="0.35">
      <c r="B555" s="1" t="str">
        <f t="shared" si="16"/>
        <v/>
      </c>
      <c r="C555" s="1" t="s">
        <v>3116</v>
      </c>
      <c r="D555" s="1" t="str">
        <f t="shared" si="1"/>
        <v>FX516PM-HN024W</v>
      </c>
      <c r="E555" s="1" t="str">
        <f t="array" aca="1" ref="E555" ca="1">IFERROR(
INDEX(Family_Map!$B$2:$B$35,
_xludf.AGGREGATE(14,6,(ROW(Family_Map!$A$2:$A$35)-ROW(Family_Map!$A$2)+1)/(ISNUMBER(SEARCH(Family_Map!$A$2:$A$35,D555))),1)
),
"Other")</f>
        <v>Other</v>
      </c>
      <c r="F555" s="1" t="s">
        <v>2380</v>
      </c>
      <c r="G555" s="1" t="e">
        <f t="shared" ca="1" si="2"/>
        <v>#NAME?</v>
      </c>
      <c r="H555" s="1" t="str">
        <f t="shared" ca="1" si="12"/>
        <v>Other</v>
      </c>
      <c r="I555" s="1" t="s">
        <v>1584</v>
      </c>
      <c r="J555" s="1" t="str">
        <f t="shared" si="3"/>
        <v>6GB</v>
      </c>
      <c r="K555" s="1" t="s">
        <v>3118</v>
      </c>
      <c r="L555" s="1">
        <f t="shared" si="36"/>
        <v>16</v>
      </c>
      <c r="M555" s="1" t="s">
        <v>3105</v>
      </c>
      <c r="N555" s="1" t="str">
        <f t="shared" si="5"/>
        <v>1TB</v>
      </c>
      <c r="O555" s="1" t="str">
        <f t="shared" si="6"/>
        <v>1024GB</v>
      </c>
      <c r="P555" s="1" t="s">
        <v>120</v>
      </c>
      <c r="Q555" s="1" t="str">
        <f t="shared" si="7"/>
        <v>1920x1080</v>
      </c>
      <c r="R555" s="1" t="s">
        <v>75</v>
      </c>
      <c r="S555" s="1" t="str">
        <f t="shared" si="8"/>
        <v>144Hz</v>
      </c>
      <c r="T555" s="1" t="s">
        <v>121</v>
      </c>
      <c r="U555" s="1" t="str">
        <f t="shared" si="9"/>
        <v>DOS</v>
      </c>
      <c r="V555" s="1" t="s">
        <v>2078</v>
      </c>
      <c r="W555" s="1" t="str">
        <f t="shared" si="10"/>
        <v>2 kg</v>
      </c>
      <c r="X555" s="1" t="s">
        <v>165</v>
      </c>
      <c r="Y555" s="1" t="str">
        <f t="shared" si="11"/>
        <v>2 Years</v>
      </c>
      <c r="Z555" s="4">
        <v>36999</v>
      </c>
      <c r="AA555" s="1" t="s">
        <v>1082</v>
      </c>
    </row>
    <row r="556" spans="1:27" ht="15.75" customHeight="1" x14ac:dyDescent="0.35">
      <c r="B556" s="1" t="str">
        <f t="shared" si="16"/>
        <v/>
      </c>
      <c r="C556" s="1" t="s">
        <v>3123</v>
      </c>
      <c r="D556" s="1" t="str">
        <f t="shared" si="1"/>
        <v>FX506HEB-BQ229T</v>
      </c>
      <c r="E556" s="1" t="str">
        <f t="array" aca="1" ref="E556" ca="1">IFERROR(
INDEX(Family_Map!$B$2:$B$35,
_xludf.AGGREGATE(14,6,(ROW(Family_Map!$A$2:$A$35)-ROW(Family_Map!$A$2)+1)/(ISNUMBER(SEARCH(Family_Map!$A$2:$A$35,D556))),1)
),
"Other")</f>
        <v>Other</v>
      </c>
      <c r="F556" s="1" t="s">
        <v>1731</v>
      </c>
      <c r="G556" s="1" t="e">
        <f t="shared" ca="1" si="2"/>
        <v>#NAME?</v>
      </c>
      <c r="H556" s="1" t="str">
        <f t="shared" ca="1" si="12"/>
        <v>Other</v>
      </c>
      <c r="I556" s="1" t="s">
        <v>507</v>
      </c>
      <c r="J556" s="1" t="str">
        <f t="shared" si="3"/>
        <v>4GB</v>
      </c>
      <c r="K556" s="1" t="s">
        <v>1138</v>
      </c>
      <c r="L556" s="1">
        <f t="shared" si="36"/>
        <v>16</v>
      </c>
      <c r="M556" s="1" t="s">
        <v>1604</v>
      </c>
      <c r="N556" s="1" t="str">
        <f t="shared" si="5"/>
        <v>512GB</v>
      </c>
      <c r="O556" s="1" t="str">
        <f t="shared" si="6"/>
        <v>512GB</v>
      </c>
      <c r="P556" s="1" t="s">
        <v>120</v>
      </c>
      <c r="Q556" s="1" t="str">
        <f t="shared" si="7"/>
        <v>1920x1080</v>
      </c>
      <c r="R556" s="1" t="s">
        <v>971</v>
      </c>
      <c r="S556" s="1" t="str">
        <f t="shared" si="8"/>
        <v>60Hz</v>
      </c>
      <c r="T556" s="1" t="s">
        <v>3126</v>
      </c>
      <c r="U556" s="1" t="str">
        <f t="shared" si="9"/>
        <v>Windows 11 Home</v>
      </c>
      <c r="V556" s="1" t="s">
        <v>2868</v>
      </c>
      <c r="W556" s="1" t="str">
        <f t="shared" si="10"/>
        <v>2.3 kg</v>
      </c>
      <c r="X556" s="1" t="s">
        <v>165</v>
      </c>
      <c r="Y556" s="1" t="str">
        <f t="shared" si="11"/>
        <v>2 Years</v>
      </c>
      <c r="Z556" s="4">
        <v>32450</v>
      </c>
      <c r="AA556" s="1" t="s">
        <v>1082</v>
      </c>
    </row>
    <row r="557" spans="1:27" ht="15.75" customHeight="1" x14ac:dyDescent="0.35">
      <c r="B557" s="1" t="str">
        <f t="shared" si="16"/>
        <v/>
      </c>
      <c r="C557" s="1" t="s">
        <v>3130</v>
      </c>
      <c r="D557" s="1" t="str">
        <f t="shared" si="1"/>
        <v>Rog Zephyrus S17 GX703HS-K4048T</v>
      </c>
      <c r="E557" s="1" t="str">
        <f t="array" aca="1" ref="E557" ca="1">IFERROR(
INDEX(Family_Map!$B$2:$B$35,
_xludf.AGGREGATE(14,6,(ROW(Family_Map!$A$2:$A$35)-ROW(Family_Map!$A$2)+1)/(ISNUMBER(SEARCH(Family_Map!$A$2:$A$35,D557))),1)
),
"Other")</f>
        <v>Other</v>
      </c>
      <c r="F557" s="1" t="s">
        <v>3131</v>
      </c>
      <c r="G557" s="1" t="e">
        <f t="shared" ca="1" si="2"/>
        <v>#NAME?</v>
      </c>
      <c r="H557" s="1" t="str">
        <f t="shared" ca="1" si="12"/>
        <v>Other</v>
      </c>
      <c r="I557" s="1" t="s">
        <v>599</v>
      </c>
      <c r="J557" s="1" t="str">
        <f t="shared" si="3"/>
        <v>16 GB</v>
      </c>
      <c r="K557" s="1" t="s">
        <v>3133</v>
      </c>
      <c r="L557" s="1">
        <f t="shared" si="36"/>
        <v>32</v>
      </c>
      <c r="M557" s="1" t="s">
        <v>1156</v>
      </c>
      <c r="N557" s="1" t="str">
        <f t="shared" si="5"/>
        <v>2TB</v>
      </c>
      <c r="O557" s="1" t="str">
        <f t="shared" si="6"/>
        <v>2048GB</v>
      </c>
      <c r="P557" s="1" t="s">
        <v>1493</v>
      </c>
      <c r="Q557" s="1" t="str">
        <f t="shared" si="7"/>
        <v>2560x1440</v>
      </c>
      <c r="R557" s="1" t="s">
        <v>57</v>
      </c>
      <c r="S557" s="1" t="str">
        <f t="shared" si="8"/>
        <v>165Hz</v>
      </c>
      <c r="T557" s="1" t="s">
        <v>1722</v>
      </c>
      <c r="U557" s="1" t="str">
        <f t="shared" si="9"/>
        <v>Windows 10 Home</v>
      </c>
      <c r="V557" s="1" t="s">
        <v>1894</v>
      </c>
      <c r="W557" s="1" t="str">
        <f t="shared" si="10"/>
        <v>2.6 kg</v>
      </c>
      <c r="X557" s="1" t="s">
        <v>165</v>
      </c>
      <c r="Y557" s="1" t="str">
        <f t="shared" si="11"/>
        <v>2 Years</v>
      </c>
      <c r="Z557" s="4">
        <v>95800</v>
      </c>
      <c r="AA557" s="1" t="s">
        <v>1082</v>
      </c>
    </row>
    <row r="558" spans="1:27" ht="15.75" customHeight="1" x14ac:dyDescent="0.35">
      <c r="A558" s="1" t="s">
        <v>30</v>
      </c>
      <c r="B558" s="1" t="str">
        <f t="shared" si="16"/>
        <v>MSI</v>
      </c>
      <c r="C558" s="1" t="s">
        <v>2345</v>
      </c>
      <c r="D558" s="1" t="str">
        <f t="shared" si="1"/>
        <v>Katana GF66 11UE</v>
      </c>
      <c r="E558" s="1" t="str">
        <f t="array" aca="1" ref="E558" ca="1">IFERROR(
INDEX(Family_Map!$B$2:$B$35,
_xludf.AGGREGATE(14,6,(ROW(Family_Map!$A$2:$A$35)-ROW(Family_Map!$A$2)+1)/(ISNUMBER(SEARCH(Family_Map!$A$2:$A$35,D558))),1)
),
"Other")</f>
        <v>Other</v>
      </c>
      <c r="F558" s="1" t="s">
        <v>1731</v>
      </c>
      <c r="G558" s="1" t="e">
        <f t="shared" ca="1" si="2"/>
        <v>#NAME?</v>
      </c>
      <c r="H558" s="1" t="str">
        <f t="shared" ca="1" si="12"/>
        <v>Other</v>
      </c>
      <c r="I558" s="1" t="s">
        <v>3137</v>
      </c>
      <c r="J558" s="1" t="str">
        <f t="shared" si="3"/>
        <v>6 GB</v>
      </c>
      <c r="K558" s="1" t="s">
        <v>3138</v>
      </c>
      <c r="L558" s="1">
        <f t="shared" si="36"/>
        <v>16</v>
      </c>
      <c r="M558" s="1" t="s">
        <v>1721</v>
      </c>
      <c r="N558" s="1" t="str">
        <f t="shared" si="5"/>
        <v>1 TB</v>
      </c>
      <c r="O558" s="1" t="str">
        <f t="shared" si="6"/>
        <v>1024GB</v>
      </c>
      <c r="P558" s="1" t="s">
        <v>120</v>
      </c>
      <c r="Q558" s="1" t="str">
        <f t="shared" si="7"/>
        <v>1920x1080</v>
      </c>
      <c r="R558" s="1" t="s">
        <v>75</v>
      </c>
      <c r="S558" s="1" t="str">
        <f t="shared" si="8"/>
        <v>144Hz</v>
      </c>
      <c r="T558" s="1" t="s">
        <v>3140</v>
      </c>
      <c r="U558" s="1" t="str">
        <f t="shared" si="9"/>
        <v>Windows 11 Home</v>
      </c>
      <c r="V558" s="1" t="s">
        <v>652</v>
      </c>
      <c r="W558" s="1" t="str">
        <f t="shared" si="10"/>
        <v>2.25 kg</v>
      </c>
      <c r="X558" s="1" t="s">
        <v>78</v>
      </c>
      <c r="Y558" s="1" t="str">
        <f t="shared" si="11"/>
        <v>1 Year</v>
      </c>
      <c r="Z558" s="4">
        <v>31949</v>
      </c>
      <c r="AA558" s="1" t="s">
        <v>1082</v>
      </c>
    </row>
    <row r="559" spans="1:27" ht="15.75" customHeight="1" x14ac:dyDescent="0.35">
      <c r="A559" s="1" t="s">
        <v>30</v>
      </c>
      <c r="B559" s="1" t="str">
        <f t="shared" si="16"/>
        <v>MSI</v>
      </c>
      <c r="C559" s="1" t="s">
        <v>3142</v>
      </c>
      <c r="D559" s="1" t="str">
        <f t="shared" si="1"/>
        <v>Katana GF66</v>
      </c>
      <c r="E559" s="1" t="str">
        <f t="array" aca="1" ref="E559" ca="1">IFERROR(
INDEX(Family_Map!$B$2:$B$35,
_xludf.AGGREGATE(14,6,(ROW(Family_Map!$A$2:$A$35)-ROW(Family_Map!$A$2)+1)/(ISNUMBER(SEARCH(Family_Map!$A$2:$A$35,D559))),1)
),
"Other")</f>
        <v>Other</v>
      </c>
      <c r="F559" s="1" t="s">
        <v>1075</v>
      </c>
      <c r="G559" s="1" t="e">
        <f t="shared" ca="1" si="2"/>
        <v>#NAME?</v>
      </c>
      <c r="H559" s="1" t="str">
        <f t="shared" ca="1" si="12"/>
        <v>Other</v>
      </c>
      <c r="I559" s="1" t="s">
        <v>70</v>
      </c>
      <c r="J559" s="1" t="str">
        <f t="shared" si="3"/>
        <v>6GB</v>
      </c>
      <c r="K559" s="1" t="s">
        <v>2110</v>
      </c>
      <c r="L559" s="1">
        <f t="shared" si="36"/>
        <v>8</v>
      </c>
      <c r="M559" s="1" t="s">
        <v>1120</v>
      </c>
      <c r="N559" s="1" t="str">
        <f t="shared" si="5"/>
        <v>512GB</v>
      </c>
      <c r="O559" s="1" t="str">
        <f t="shared" si="6"/>
        <v>512GB</v>
      </c>
      <c r="P559" s="1" t="s">
        <v>120</v>
      </c>
      <c r="Q559" s="1" t="str">
        <f t="shared" si="7"/>
        <v>1920x1080</v>
      </c>
      <c r="S559" s="1" t="str">
        <f t="shared" si="8"/>
        <v/>
      </c>
      <c r="T559" s="1" t="s">
        <v>101</v>
      </c>
      <c r="U559" s="1" t="str">
        <f t="shared" si="9"/>
        <v>DOS</v>
      </c>
      <c r="V559" s="1" t="s">
        <v>652</v>
      </c>
      <c r="W559" s="1" t="str">
        <f t="shared" si="10"/>
        <v>2.25 kg</v>
      </c>
      <c r="X559" s="1" t="s">
        <v>129</v>
      </c>
      <c r="Y559" s="1" t="str">
        <f t="shared" si="11"/>
        <v>1 Year</v>
      </c>
      <c r="Z559" s="4">
        <v>27999</v>
      </c>
      <c r="AA559" s="1" t="s">
        <v>1082</v>
      </c>
    </row>
    <row r="560" spans="1:27" ht="15.75" customHeight="1" x14ac:dyDescent="0.35">
      <c r="B560" s="1" t="str">
        <f t="shared" si="16"/>
        <v/>
      </c>
      <c r="C560" s="1" t="s">
        <v>3143</v>
      </c>
      <c r="D560" s="1" t="str">
        <f t="shared" si="1"/>
        <v>ROG Strix SCAR 15 G533 G533QS-HF242T</v>
      </c>
      <c r="E560" s="1" t="str">
        <f t="array" aca="1" ref="E560" ca="1">IFERROR(
INDEX(Family_Map!$B$2:$B$35,
_xludf.AGGREGATE(14,6,(ROW(Family_Map!$A$2:$A$35)-ROW(Family_Map!$A$2)+1)/(ISNUMBER(SEARCH(Family_Map!$A$2:$A$35,D560))),1)
),
"Other")</f>
        <v>Other</v>
      </c>
      <c r="F560" s="1" t="s">
        <v>3144</v>
      </c>
      <c r="G560" s="1" t="e">
        <f t="shared" ca="1" si="2"/>
        <v>#NAME?</v>
      </c>
      <c r="H560" s="1" t="str">
        <f t="shared" ca="1" si="12"/>
        <v>Other</v>
      </c>
      <c r="I560" s="1" t="s">
        <v>3146</v>
      </c>
      <c r="J560" s="1" t="str">
        <f t="shared" si="3"/>
        <v>8GB</v>
      </c>
      <c r="K560" s="1" t="s">
        <v>2950</v>
      </c>
      <c r="L560" s="1">
        <f t="shared" si="36"/>
        <v>32</v>
      </c>
      <c r="M560" s="1" t="s">
        <v>1944</v>
      </c>
      <c r="N560" s="1" t="str">
        <f t="shared" si="5"/>
        <v>1TB</v>
      </c>
      <c r="O560" s="1" t="str">
        <f t="shared" si="6"/>
        <v>1024GB</v>
      </c>
      <c r="P560" s="1" t="s">
        <v>1493</v>
      </c>
      <c r="Q560" s="1" t="str">
        <f t="shared" si="7"/>
        <v>2560x1440</v>
      </c>
      <c r="R560" s="1" t="s">
        <v>57</v>
      </c>
      <c r="S560" s="1" t="str">
        <f t="shared" si="8"/>
        <v>165Hz</v>
      </c>
      <c r="T560" s="1" t="s">
        <v>3149</v>
      </c>
      <c r="U560" s="1" t="str">
        <f t="shared" si="9"/>
        <v>Windows 11 Home</v>
      </c>
      <c r="V560" s="1" t="s">
        <v>1400</v>
      </c>
      <c r="W560" s="1" t="str">
        <f t="shared" si="10"/>
        <v>2.3 kg</v>
      </c>
      <c r="X560" s="1" t="s">
        <v>165</v>
      </c>
      <c r="Y560" s="1" t="str">
        <f t="shared" si="11"/>
        <v>2 Years</v>
      </c>
      <c r="Z560" s="4">
        <v>72280</v>
      </c>
      <c r="AA560" s="1" t="s">
        <v>5735</v>
      </c>
    </row>
    <row r="561" spans="1:27" ht="15.75" customHeight="1" x14ac:dyDescent="0.35">
      <c r="B561" s="1" t="str">
        <f t="shared" si="16"/>
        <v/>
      </c>
      <c r="C561" s="1" t="s">
        <v>3155</v>
      </c>
      <c r="D561" s="1" t="str">
        <f t="shared" si="1"/>
        <v>FX706HC-212.TI53050</v>
      </c>
      <c r="E561" s="1" t="str">
        <f t="array" aca="1" ref="E561" ca="1">IFERROR(
INDEX(Family_Map!$B$2:$B$35,
_xludf.AGGREGATE(14,6,(ROW(Family_Map!$A$2:$A$35)-ROW(Family_Map!$A$2)+1)/(ISNUMBER(SEARCH(Family_Map!$A$2:$A$35,D561))),1)
),
"Other")</f>
        <v>Other</v>
      </c>
      <c r="F561" s="1" t="s">
        <v>3156</v>
      </c>
      <c r="G561" s="1" t="e">
        <f t="shared" ca="1" si="2"/>
        <v>#NAME?</v>
      </c>
      <c r="H561" s="1" t="str">
        <f t="shared" ca="1" si="12"/>
        <v>Other</v>
      </c>
      <c r="I561" s="1" t="s">
        <v>507</v>
      </c>
      <c r="J561" s="1" t="str">
        <f t="shared" si="3"/>
        <v>4GB</v>
      </c>
      <c r="K561" s="1" t="s">
        <v>462</v>
      </c>
      <c r="L561" s="1">
        <f t="shared" si="36"/>
        <v>8</v>
      </c>
      <c r="M561" s="1" t="s">
        <v>1604</v>
      </c>
      <c r="N561" s="1" t="str">
        <f t="shared" si="5"/>
        <v>512GB</v>
      </c>
      <c r="O561" s="1" t="str">
        <f t="shared" si="6"/>
        <v>512GB</v>
      </c>
      <c r="P561" s="1" t="s">
        <v>120</v>
      </c>
      <c r="Q561" s="1" t="str">
        <f t="shared" si="7"/>
        <v>1920x1080</v>
      </c>
      <c r="R561" s="1" t="s">
        <v>75</v>
      </c>
      <c r="S561" s="1" t="str">
        <f t="shared" si="8"/>
        <v>144Hz</v>
      </c>
      <c r="T561" s="1" t="s">
        <v>3159</v>
      </c>
      <c r="U561" s="1" t="str">
        <f t="shared" si="9"/>
        <v>Windows 11 Home</v>
      </c>
      <c r="W561" s="1" t="str">
        <f t="shared" si="10"/>
        <v/>
      </c>
      <c r="X561" s="1" t="s">
        <v>78</v>
      </c>
      <c r="Y561" s="1" t="str">
        <f t="shared" si="11"/>
        <v>1 Year</v>
      </c>
      <c r="Z561" s="4">
        <v>24100</v>
      </c>
      <c r="AA561" s="1" t="s">
        <v>1082</v>
      </c>
    </row>
    <row r="562" spans="1:27" ht="15.75" customHeight="1" x14ac:dyDescent="0.35">
      <c r="B562" s="1" t="str">
        <f t="shared" si="16"/>
        <v/>
      </c>
      <c r="C562" s="1" t="s">
        <v>3161</v>
      </c>
      <c r="D562" s="1" t="str">
        <f t="shared" si="1"/>
        <v>F15 FX506HM-HN002T</v>
      </c>
      <c r="E562" s="1" t="str">
        <f t="array" aca="1" ref="E562" ca="1">IFERROR(
INDEX(Family_Map!$B$2:$B$35,
_xludf.AGGREGATE(14,6,(ROW(Family_Map!$A$2:$A$35)-ROW(Family_Map!$A$2)+1)/(ISNUMBER(SEARCH(Family_Map!$A$2:$A$35,D562))),1)
),
"Other")</f>
        <v>Other</v>
      </c>
      <c r="F562" s="1" t="s">
        <v>2504</v>
      </c>
      <c r="G562" s="1" t="e">
        <f t="shared" ca="1" si="2"/>
        <v>#NAME?</v>
      </c>
      <c r="H562" s="1" t="str">
        <f t="shared" ca="1" si="12"/>
        <v>Other</v>
      </c>
      <c r="I562" s="1" t="s">
        <v>70</v>
      </c>
      <c r="J562" s="1" t="str">
        <f t="shared" si="3"/>
        <v>6GB</v>
      </c>
      <c r="K562" s="1" t="s">
        <v>3162</v>
      </c>
      <c r="L562" s="1">
        <v>16</v>
      </c>
      <c r="M562" s="1" t="s">
        <v>322</v>
      </c>
      <c r="N562" s="1" t="str">
        <f t="shared" si="5"/>
        <v>1TB</v>
      </c>
      <c r="O562" s="1" t="str">
        <f t="shared" si="6"/>
        <v>1024GB</v>
      </c>
      <c r="P562" s="1" t="s">
        <v>120</v>
      </c>
      <c r="Q562" s="1" t="str">
        <f t="shared" si="7"/>
        <v>1920x1080</v>
      </c>
      <c r="R562" s="1" t="s">
        <v>75</v>
      </c>
      <c r="S562" s="1" t="str">
        <f t="shared" si="8"/>
        <v>144Hz</v>
      </c>
      <c r="T562" s="1" t="s">
        <v>3164</v>
      </c>
      <c r="U562" s="1" t="str">
        <f t="shared" si="9"/>
        <v>Windows 10 Home</v>
      </c>
      <c r="V562" s="1" t="s">
        <v>1400</v>
      </c>
      <c r="W562" s="1" t="str">
        <f t="shared" si="10"/>
        <v>2.3 kg</v>
      </c>
      <c r="X562" s="1" t="s">
        <v>78</v>
      </c>
      <c r="Y562" s="1" t="str">
        <f t="shared" si="11"/>
        <v>1 Year</v>
      </c>
      <c r="Z562" s="4">
        <v>36550</v>
      </c>
      <c r="AA562" s="1" t="s">
        <v>1082</v>
      </c>
    </row>
    <row r="563" spans="1:27" ht="15.75" customHeight="1" x14ac:dyDescent="0.35">
      <c r="B563" s="1" t="str">
        <f t="shared" si="16"/>
        <v/>
      </c>
      <c r="C563" s="1" t="s">
        <v>3170</v>
      </c>
      <c r="D563" s="1" t="str">
        <f t="shared" si="1"/>
        <v>GU603HR-K8008T</v>
      </c>
      <c r="E563" s="1" t="str">
        <f t="array" aca="1" ref="E563" ca="1">IFERROR(
INDEX(Family_Map!$B$2:$B$35,
_xludf.AGGREGATE(14,6,(ROW(Family_Map!$A$2:$A$35)-ROW(Family_Map!$A$2)+1)/(ISNUMBER(SEARCH(Family_Map!$A$2:$A$35,D563))),1)
),
"Other")</f>
        <v>Other</v>
      </c>
      <c r="F563" s="1" t="s">
        <v>3131</v>
      </c>
      <c r="G563" s="1" t="e">
        <f t="shared" ca="1" si="2"/>
        <v>#NAME?</v>
      </c>
      <c r="H563" s="1" t="str">
        <f t="shared" ca="1" si="12"/>
        <v>Other</v>
      </c>
      <c r="I563" s="1" t="s">
        <v>410</v>
      </c>
      <c r="J563" s="1" t="str">
        <f t="shared" si="3"/>
        <v>8GB</v>
      </c>
      <c r="K563" s="1" t="s">
        <v>3172</v>
      </c>
      <c r="L563" s="1">
        <f t="shared" ref="L563:L576" si="37">IFERROR(
VALUE(SUBSTITUTE(SUBSTITUTE(LEFT(UPPER(TRIM(K563)),FIND("GB",UPPER(K563)&amp;"GB")+1),"GB","")," ","")),
IFERROR(
VALUE(SUBSTITUTE(SUBSTITUTE(MID(UPPER(K563),FIND("GB",UPPER(K563)&amp;"GB")-3,3),"GB","")," ",""))
*
IF(
OR(
ISNUMBER(SEARCH("2X",UPPER(K563))),
ISNUMBER(SEARCH("X 2",UPPER(K563))),
ISNUMBER(SEARCH("*2",UPPER(K563))),
ISNUMBER(SEARCH("2*",UPPER(K563))),
ISNUMBER(SEARCH("(2 X",UPPER(K563)))
),
2,1),
"")
)</f>
        <v>32</v>
      </c>
      <c r="M563" s="1" t="s">
        <v>1936</v>
      </c>
      <c r="N563" s="1" t="str">
        <f t="shared" si="5"/>
        <v>1TB</v>
      </c>
      <c r="O563" s="1" t="str">
        <f t="shared" si="6"/>
        <v>1024GB</v>
      </c>
      <c r="P563" s="1" t="s">
        <v>120</v>
      </c>
      <c r="Q563" s="1" t="str">
        <f t="shared" si="7"/>
        <v>1920x1080</v>
      </c>
      <c r="R563" s="1" t="s">
        <v>57</v>
      </c>
      <c r="S563" s="1" t="str">
        <f t="shared" si="8"/>
        <v>165Hz</v>
      </c>
      <c r="T563" s="1" t="s">
        <v>1722</v>
      </c>
      <c r="U563" s="1" t="str">
        <f t="shared" si="9"/>
        <v>Windows 10 Home</v>
      </c>
      <c r="V563" s="1" t="s">
        <v>2078</v>
      </c>
      <c r="W563" s="1" t="str">
        <f t="shared" si="10"/>
        <v>2 kg</v>
      </c>
      <c r="X563" s="1" t="s">
        <v>165</v>
      </c>
      <c r="Y563" s="1" t="str">
        <f t="shared" si="11"/>
        <v>2 Years</v>
      </c>
      <c r="Z563" s="4">
        <v>99000</v>
      </c>
      <c r="AA563" s="1" t="s">
        <v>1082</v>
      </c>
    </row>
    <row r="564" spans="1:27" ht="15.75" customHeight="1" x14ac:dyDescent="0.35">
      <c r="A564" s="1" t="s">
        <v>30</v>
      </c>
      <c r="B564" s="1" t="str">
        <f t="shared" si="16"/>
        <v>MSI</v>
      </c>
      <c r="C564" s="1" t="s">
        <v>3177</v>
      </c>
      <c r="D564" s="1" t="str">
        <f t="shared" si="1"/>
        <v>GE66 RAIDER 11UH-227US</v>
      </c>
      <c r="E564" s="1" t="str">
        <f t="array" aca="1" ref="E564" ca="1">IFERROR(
INDEX(Family_Map!$B$2:$B$35,
_xludf.AGGREGATE(14,6,(ROW(Family_Map!$A$2:$A$35)-ROW(Family_Map!$A$2)+1)/(ISNUMBER(SEARCH(Family_Map!$A$2:$A$35,D564))),1)
),
"Other")</f>
        <v>Other</v>
      </c>
      <c r="F564" s="1" t="s">
        <v>3178</v>
      </c>
      <c r="G564" s="1" t="e">
        <f t="shared" ca="1" si="2"/>
        <v>#NAME?</v>
      </c>
      <c r="H564" s="1" t="str">
        <f t="shared" ca="1" si="12"/>
        <v>Other</v>
      </c>
      <c r="I564" s="1" t="s">
        <v>552</v>
      </c>
      <c r="J564" s="1" t="str">
        <f t="shared" si="3"/>
        <v>16GB</v>
      </c>
      <c r="K564" s="1" t="s">
        <v>2950</v>
      </c>
      <c r="L564" s="1">
        <f t="shared" si="37"/>
        <v>32</v>
      </c>
      <c r="M564" s="1" t="s">
        <v>3179</v>
      </c>
      <c r="N564" s="1" t="str">
        <f t="shared" si="5"/>
        <v>2TB</v>
      </c>
      <c r="O564" s="1" t="str">
        <f t="shared" si="6"/>
        <v>2048GB</v>
      </c>
      <c r="P564" s="1" t="s">
        <v>1890</v>
      </c>
      <c r="Q564" s="1" t="str">
        <f t="shared" si="7"/>
        <v>3840x2160</v>
      </c>
      <c r="S564" s="1" t="str">
        <f t="shared" si="8"/>
        <v/>
      </c>
      <c r="T564" s="1" t="s">
        <v>1722</v>
      </c>
      <c r="U564" s="1" t="str">
        <f t="shared" si="9"/>
        <v>Windows 10 Home</v>
      </c>
      <c r="V564" s="1" t="s">
        <v>398</v>
      </c>
      <c r="W564" s="1" t="str">
        <f t="shared" si="10"/>
        <v>2.38 kg</v>
      </c>
      <c r="X564" s="1" t="s">
        <v>129</v>
      </c>
      <c r="Y564" s="1" t="str">
        <f t="shared" si="11"/>
        <v>1 Year</v>
      </c>
      <c r="Z564" s="4">
        <v>105000</v>
      </c>
      <c r="AA564" s="1" t="s">
        <v>1082</v>
      </c>
    </row>
    <row r="565" spans="1:27" ht="15.75" customHeight="1" x14ac:dyDescent="0.35">
      <c r="B565" s="1" t="str">
        <f t="shared" si="16"/>
        <v/>
      </c>
      <c r="C565" s="1" t="s">
        <v>3182</v>
      </c>
      <c r="D565" s="1" t="str">
        <f t="shared" si="1"/>
        <v>GA503QS-HQ004T</v>
      </c>
      <c r="E565" s="1" t="str">
        <f t="array" aca="1" ref="E565" ca="1">IFERROR(
INDEX(Family_Map!$B$2:$B$35,
_xludf.AGGREGATE(14,6,(ROW(Family_Map!$A$2:$A$35)-ROW(Family_Map!$A$2)+1)/(ISNUMBER(SEARCH(Family_Map!$A$2:$A$35,D565))),1)
),
"Other")</f>
        <v>Other</v>
      </c>
      <c r="F565" s="1" t="s">
        <v>3183</v>
      </c>
      <c r="G565" s="1" t="e">
        <f t="shared" ca="1" si="2"/>
        <v>#NAME?</v>
      </c>
      <c r="H565" s="1" t="str">
        <f t="shared" ca="1" si="12"/>
        <v>Other</v>
      </c>
      <c r="I565" s="1" t="s">
        <v>410</v>
      </c>
      <c r="J565" s="1" t="str">
        <f t="shared" si="3"/>
        <v>8GB</v>
      </c>
      <c r="K565" s="1" t="s">
        <v>3185</v>
      </c>
      <c r="L565" s="1">
        <f t="shared" si="37"/>
        <v>16</v>
      </c>
      <c r="M565" s="1" t="s">
        <v>1936</v>
      </c>
      <c r="N565" s="1" t="str">
        <f t="shared" si="5"/>
        <v>1TB</v>
      </c>
      <c r="O565" s="1" t="str">
        <f t="shared" si="6"/>
        <v>1024GB</v>
      </c>
      <c r="P565" s="1" t="s">
        <v>1493</v>
      </c>
      <c r="Q565" s="1" t="str">
        <f t="shared" si="7"/>
        <v>2560x1440</v>
      </c>
      <c r="R565" s="1" t="s">
        <v>57</v>
      </c>
      <c r="S565" s="1" t="str">
        <f t="shared" si="8"/>
        <v>165Hz</v>
      </c>
      <c r="T565" s="1" t="s">
        <v>1722</v>
      </c>
      <c r="U565" s="1" t="str">
        <f t="shared" si="9"/>
        <v>Windows 10 Home</v>
      </c>
      <c r="V565" s="1" t="s">
        <v>814</v>
      </c>
      <c r="W565" s="1" t="str">
        <f t="shared" si="10"/>
        <v>2 kg</v>
      </c>
      <c r="X565" s="1" t="s">
        <v>165</v>
      </c>
      <c r="Y565" s="1" t="str">
        <f t="shared" si="11"/>
        <v>2 Years</v>
      </c>
      <c r="Z565" s="4">
        <v>100000</v>
      </c>
      <c r="AA565" s="1" t="s">
        <v>5735</v>
      </c>
    </row>
    <row r="566" spans="1:27" ht="15.75" customHeight="1" x14ac:dyDescent="0.35">
      <c r="B566" s="1" t="str">
        <f t="shared" si="16"/>
        <v/>
      </c>
      <c r="C566" s="1" t="s">
        <v>3190</v>
      </c>
      <c r="D566" s="1" t="str">
        <f t="shared" si="1"/>
        <v>FX516PM-HN023W</v>
      </c>
      <c r="E566" s="1" t="str">
        <f t="array" aca="1" ref="E566" ca="1">IFERROR(
INDEX(Family_Map!$B$2:$B$35,
_xludf.AGGREGATE(14,6,(ROW(Family_Map!$A$2:$A$35)-ROW(Family_Map!$A$2)+1)/(ISNUMBER(SEARCH(Family_Map!$A$2:$A$35,D566))),1)
),
"Other")</f>
        <v>Other</v>
      </c>
      <c r="F566" s="1" t="s">
        <v>3191</v>
      </c>
      <c r="G566" s="1" t="e">
        <f t="shared" ca="1" si="2"/>
        <v>#NAME?</v>
      </c>
      <c r="H566" s="1" t="str">
        <f t="shared" ca="1" si="12"/>
        <v>Other</v>
      </c>
      <c r="I566" s="1" t="s">
        <v>70</v>
      </c>
      <c r="J566" s="1" t="str">
        <f t="shared" si="3"/>
        <v>6GB</v>
      </c>
      <c r="K566" s="1" t="s">
        <v>3193</v>
      </c>
      <c r="L566" s="1">
        <f t="shared" si="37"/>
        <v>8</v>
      </c>
      <c r="M566" s="1" t="s">
        <v>1604</v>
      </c>
      <c r="N566" s="1" t="str">
        <f t="shared" si="5"/>
        <v>512GB</v>
      </c>
      <c r="O566" s="1" t="str">
        <f t="shared" si="6"/>
        <v>512GB</v>
      </c>
      <c r="P566" s="1" t="s">
        <v>120</v>
      </c>
      <c r="Q566" s="1" t="str">
        <f t="shared" si="7"/>
        <v>1920x1080</v>
      </c>
      <c r="R566" s="1" t="s">
        <v>75</v>
      </c>
      <c r="S566" s="1" t="str">
        <f t="shared" si="8"/>
        <v>144Hz</v>
      </c>
      <c r="T566" s="1" t="s">
        <v>1722</v>
      </c>
      <c r="U566" s="1" t="str">
        <f t="shared" si="9"/>
        <v>Windows 10 Home</v>
      </c>
      <c r="V566" s="1" t="s">
        <v>2078</v>
      </c>
      <c r="W566" s="1" t="str">
        <f t="shared" si="10"/>
        <v>2 kg</v>
      </c>
      <c r="X566" s="1" t="s">
        <v>48</v>
      </c>
      <c r="Y566" s="1" t="str">
        <f t="shared" si="11"/>
        <v>2 Years</v>
      </c>
      <c r="Z566" s="4">
        <v>48000</v>
      </c>
      <c r="AA566" s="1" t="s">
        <v>1082</v>
      </c>
    </row>
    <row r="567" spans="1:27" ht="15.75" customHeight="1" x14ac:dyDescent="0.35">
      <c r="B567" s="1" t="str">
        <f t="shared" si="16"/>
        <v/>
      </c>
      <c r="C567" s="1" t="s">
        <v>3198</v>
      </c>
      <c r="D567" s="1" t="str">
        <f t="shared" si="1"/>
        <v>FX516PC-HN558T</v>
      </c>
      <c r="E567" s="1" t="str">
        <f t="array" aca="1" ref="E567" ca="1">IFERROR(
INDEX(Family_Map!$B$2:$B$35,
_xludf.AGGREGATE(14,6,(ROW(Family_Map!$A$2:$A$35)-ROW(Family_Map!$A$2)+1)/(ISNUMBER(SEARCH(Family_Map!$A$2:$A$35,D567))),1)
),
"Other")</f>
        <v>Other</v>
      </c>
      <c r="F567" s="1" t="s">
        <v>2623</v>
      </c>
      <c r="G567" s="1" t="e">
        <f t="shared" ca="1" si="2"/>
        <v>#NAME?</v>
      </c>
      <c r="H567" s="1" t="str">
        <f t="shared" ca="1" si="12"/>
        <v>Other</v>
      </c>
      <c r="I567" s="1" t="s">
        <v>507</v>
      </c>
      <c r="J567" s="1" t="str">
        <f t="shared" si="3"/>
        <v>4GB</v>
      </c>
      <c r="K567" s="1" t="s">
        <v>3200</v>
      </c>
      <c r="L567" s="1">
        <f t="shared" si="37"/>
        <v>8</v>
      </c>
      <c r="M567" s="1" t="s">
        <v>1604</v>
      </c>
      <c r="N567" s="1" t="str">
        <f t="shared" si="5"/>
        <v>512GB</v>
      </c>
      <c r="O567" s="1" t="str">
        <f t="shared" si="6"/>
        <v>512GB</v>
      </c>
      <c r="P567" s="1" t="s">
        <v>120</v>
      </c>
      <c r="Q567" s="1" t="str">
        <f t="shared" si="7"/>
        <v>1920x1080</v>
      </c>
      <c r="R567" s="1" t="s">
        <v>75</v>
      </c>
      <c r="S567" s="1" t="str">
        <f t="shared" si="8"/>
        <v>144Hz</v>
      </c>
      <c r="T567" s="1" t="s">
        <v>3164</v>
      </c>
      <c r="U567" s="1" t="str">
        <f t="shared" si="9"/>
        <v>Windows 10 Home</v>
      </c>
      <c r="V567" s="1" t="s">
        <v>1400</v>
      </c>
      <c r="W567" s="1" t="str">
        <f t="shared" si="10"/>
        <v>2.3 kg</v>
      </c>
      <c r="X567" s="1" t="s">
        <v>48</v>
      </c>
      <c r="Y567" s="1" t="str">
        <f t="shared" si="11"/>
        <v>2 Years</v>
      </c>
      <c r="Z567" s="4">
        <v>38000</v>
      </c>
      <c r="AA567" s="1" t="s">
        <v>1082</v>
      </c>
    </row>
    <row r="568" spans="1:27" ht="15.75" customHeight="1" x14ac:dyDescent="0.35">
      <c r="B568" s="1" t="str">
        <f t="shared" si="16"/>
        <v/>
      </c>
      <c r="C568" s="1" t="s">
        <v>3207</v>
      </c>
      <c r="D568" s="1" t="str">
        <f t="shared" si="1"/>
        <v>FX516PC-HN001T</v>
      </c>
      <c r="E568" s="1" t="str">
        <f t="array" aca="1" ref="E568" ca="1">IFERROR(
INDEX(Family_Map!$B$2:$B$35,
_xludf.AGGREGATE(14,6,(ROW(Family_Map!$A$2:$A$35)-ROW(Family_Map!$A$2)+1)/(ISNUMBER(SEARCH(Family_Map!$A$2:$A$35,D568))),1)
),
"Other")</f>
        <v>Other</v>
      </c>
      <c r="F568" s="1" t="s">
        <v>3191</v>
      </c>
      <c r="G568" s="1" t="e">
        <f t="shared" ca="1" si="2"/>
        <v>#NAME?</v>
      </c>
      <c r="H568" s="1" t="str">
        <f t="shared" ca="1" si="12"/>
        <v>Other</v>
      </c>
      <c r="I568" s="1" t="s">
        <v>507</v>
      </c>
      <c r="J568" s="1" t="str">
        <f t="shared" si="3"/>
        <v>4GB</v>
      </c>
      <c r="K568" s="1" t="s">
        <v>3208</v>
      </c>
      <c r="L568" s="1">
        <f t="shared" si="37"/>
        <v>8</v>
      </c>
      <c r="M568" s="1" t="s">
        <v>1604</v>
      </c>
      <c r="N568" s="1" t="str">
        <f t="shared" si="5"/>
        <v>512GB</v>
      </c>
      <c r="O568" s="1" t="str">
        <f t="shared" si="6"/>
        <v>512GB</v>
      </c>
      <c r="P568" s="1" t="s">
        <v>120</v>
      </c>
      <c r="Q568" s="1" t="str">
        <f t="shared" si="7"/>
        <v>1920x1080</v>
      </c>
      <c r="R568" s="1" t="s">
        <v>75</v>
      </c>
      <c r="S568" s="1" t="str">
        <f t="shared" si="8"/>
        <v>144Hz</v>
      </c>
      <c r="T568" s="1" t="s">
        <v>1722</v>
      </c>
      <c r="U568" s="1" t="str">
        <f t="shared" si="9"/>
        <v>Windows 10 Home</v>
      </c>
      <c r="V568" s="1" t="s">
        <v>2078</v>
      </c>
      <c r="W568" s="1" t="str">
        <f t="shared" si="10"/>
        <v>2 kg</v>
      </c>
      <c r="X568" s="1" t="s">
        <v>48</v>
      </c>
      <c r="Y568" s="1" t="str">
        <f t="shared" si="11"/>
        <v>2 Years</v>
      </c>
      <c r="Z568" s="4">
        <v>42000</v>
      </c>
      <c r="AA568" s="1" t="s">
        <v>1082</v>
      </c>
    </row>
    <row r="569" spans="1:27" ht="15.75" customHeight="1" x14ac:dyDescent="0.35">
      <c r="B569" s="1" t="str">
        <f t="shared" si="16"/>
        <v/>
      </c>
      <c r="C569" s="1" t="s">
        <v>3212</v>
      </c>
      <c r="D569" s="1" t="str">
        <f t="shared" si="1"/>
        <v>A15 FA506IC-HN018T</v>
      </c>
      <c r="E569" s="1" t="str">
        <f t="array" aca="1" ref="E569" ca="1">IFERROR(
INDEX(Family_Map!$B$2:$B$35,
_xludf.AGGREGATE(14,6,(ROW(Family_Map!$A$2:$A$35)-ROW(Family_Map!$A$2)+1)/(ISNUMBER(SEARCH(Family_Map!$A$2:$A$35,D569))),1)
),
"Other")</f>
        <v>Other</v>
      </c>
      <c r="F569" s="1" t="s">
        <v>3213</v>
      </c>
      <c r="G569" s="1" t="e">
        <f t="shared" ca="1" si="2"/>
        <v>#NAME?</v>
      </c>
      <c r="H569" s="1" t="str">
        <f t="shared" ca="1" si="12"/>
        <v>Other</v>
      </c>
      <c r="I569" s="1" t="s">
        <v>507</v>
      </c>
      <c r="J569" s="1" t="str">
        <f t="shared" si="3"/>
        <v>4GB</v>
      </c>
      <c r="K569" s="1" t="s">
        <v>1119</v>
      </c>
      <c r="L569" s="1">
        <f t="shared" si="37"/>
        <v>16</v>
      </c>
      <c r="M569" s="1" t="s">
        <v>1604</v>
      </c>
      <c r="N569" s="1" t="str">
        <f t="shared" si="5"/>
        <v>512GB</v>
      </c>
      <c r="O569" s="1" t="str">
        <f t="shared" si="6"/>
        <v>512GB</v>
      </c>
      <c r="P569" s="1" t="s">
        <v>120</v>
      </c>
      <c r="Q569" s="1" t="str">
        <f t="shared" si="7"/>
        <v>1920x1080</v>
      </c>
      <c r="R569" s="1" t="s">
        <v>75</v>
      </c>
      <c r="S569" s="1" t="str">
        <f t="shared" si="8"/>
        <v>144Hz</v>
      </c>
      <c r="T569" s="1" t="s">
        <v>1722</v>
      </c>
      <c r="U569" s="1" t="str">
        <f t="shared" si="9"/>
        <v>Windows 10 Home</v>
      </c>
      <c r="V569" s="1" t="s">
        <v>1400</v>
      </c>
      <c r="W569" s="1" t="str">
        <f t="shared" si="10"/>
        <v>2.3 kg</v>
      </c>
      <c r="X569" s="1" t="s">
        <v>165</v>
      </c>
      <c r="Y569" s="1" t="str">
        <f t="shared" si="11"/>
        <v>2 Years</v>
      </c>
      <c r="Z569" s="4">
        <v>40000</v>
      </c>
      <c r="AA569" s="1" t="s">
        <v>5735</v>
      </c>
    </row>
    <row r="570" spans="1:27" ht="15.75" customHeight="1" x14ac:dyDescent="0.35">
      <c r="A570" s="1" t="s">
        <v>81</v>
      </c>
      <c r="B570" s="1" t="str">
        <f t="shared" si="16"/>
        <v>Dell</v>
      </c>
      <c r="C570" s="1" t="s">
        <v>2148</v>
      </c>
      <c r="D570" s="1" t="str">
        <f t="shared" si="1"/>
        <v>G15 5515</v>
      </c>
      <c r="E570" s="1" t="str">
        <f t="array" aca="1" ref="E570" ca="1">IFERROR(
INDEX(Family_Map!$B$2:$B$35,
_xludf.AGGREGATE(14,6,(ROW(Family_Map!$A$2:$A$35)-ROW(Family_Map!$A$2)+1)/(ISNUMBER(SEARCH(Family_Map!$A$2:$A$35,D570))),1)
),
"Other")</f>
        <v>Other</v>
      </c>
      <c r="F570" s="1" t="s">
        <v>3218</v>
      </c>
      <c r="G570" s="1" t="e">
        <f t="shared" ca="1" si="2"/>
        <v>#NAME?</v>
      </c>
      <c r="H570" s="1" t="str">
        <f t="shared" ca="1" si="12"/>
        <v>Other</v>
      </c>
      <c r="I570" s="1" t="s">
        <v>507</v>
      </c>
      <c r="J570" s="1" t="str">
        <f t="shared" si="3"/>
        <v>4GB</v>
      </c>
      <c r="K570" s="1" t="s">
        <v>2316</v>
      </c>
      <c r="L570" s="1">
        <f t="shared" si="37"/>
        <v>8</v>
      </c>
      <c r="M570" s="1" t="s">
        <v>2521</v>
      </c>
      <c r="N570" s="1" t="str">
        <f t="shared" si="5"/>
        <v>512GB</v>
      </c>
      <c r="O570" s="1" t="str">
        <f t="shared" si="6"/>
        <v>512GB</v>
      </c>
      <c r="P570" s="1" t="s">
        <v>616</v>
      </c>
      <c r="Q570" s="1" t="str">
        <f t="shared" si="7"/>
        <v>1920x1080</v>
      </c>
      <c r="R570" s="1" t="s">
        <v>39</v>
      </c>
      <c r="S570" s="1" t="str">
        <f t="shared" si="8"/>
        <v>120Hz</v>
      </c>
      <c r="T570" s="1" t="s">
        <v>1735</v>
      </c>
      <c r="U570" s="1" t="str">
        <f t="shared" si="9"/>
        <v>Windows 11 Home</v>
      </c>
      <c r="V570" s="1" t="s">
        <v>262</v>
      </c>
      <c r="W570" s="1" t="str">
        <f t="shared" si="10"/>
        <v>2.57 kg</v>
      </c>
      <c r="X570" s="1" t="s">
        <v>78</v>
      </c>
      <c r="Y570" s="1" t="str">
        <f t="shared" si="11"/>
        <v>1 Year</v>
      </c>
      <c r="Z570" s="4">
        <v>40500</v>
      </c>
      <c r="AA570" s="1" t="s">
        <v>5735</v>
      </c>
    </row>
    <row r="571" spans="1:27" ht="15.75" customHeight="1" x14ac:dyDescent="0.35">
      <c r="A571" s="1" t="s">
        <v>151</v>
      </c>
      <c r="B571" s="1" t="str">
        <f t="shared" si="16"/>
        <v>Lenovo</v>
      </c>
      <c r="C571" s="1" t="s">
        <v>3091</v>
      </c>
      <c r="D571" s="1" t="str">
        <f t="shared" si="1"/>
        <v>IDEAPAD GAMING 3</v>
      </c>
      <c r="E571" s="1" t="str">
        <f t="array" aca="1" ref="E571" ca="1">IFERROR(
INDEX(Family_Map!$B$2:$B$35,
_xludf.AGGREGATE(14,6,(ROW(Family_Map!$A$2:$A$35)-ROW(Family_Map!$A$2)+1)/(ISNUMBER(SEARCH(Family_Map!$A$2:$A$35,D571))),1)
),
"Other")</f>
        <v>Other</v>
      </c>
      <c r="F571" s="1" t="s">
        <v>3220</v>
      </c>
      <c r="G571" s="1" t="e">
        <f t="shared" ca="1" si="2"/>
        <v>#NAME?</v>
      </c>
      <c r="H571" s="1" t="str">
        <f t="shared" ca="1" si="12"/>
        <v>Other</v>
      </c>
      <c r="I571" s="1" t="s">
        <v>2342</v>
      </c>
      <c r="J571" s="1" t="str">
        <f t="shared" si="3"/>
        <v>4GB</v>
      </c>
      <c r="K571" s="1" t="s">
        <v>3222</v>
      </c>
      <c r="L571" s="1">
        <f t="shared" si="37"/>
        <v>16</v>
      </c>
      <c r="M571" s="1" t="s">
        <v>3223</v>
      </c>
      <c r="N571" s="1" t="str">
        <f t="shared" si="5"/>
        <v>512GB</v>
      </c>
      <c r="O571" s="1" t="str">
        <f t="shared" si="6"/>
        <v>512GB</v>
      </c>
      <c r="P571" s="1" t="s">
        <v>616</v>
      </c>
      <c r="Q571" s="1" t="str">
        <f t="shared" si="7"/>
        <v>1920x1080</v>
      </c>
      <c r="R571" s="1" t="s">
        <v>39</v>
      </c>
      <c r="S571" s="1" t="str">
        <f t="shared" si="8"/>
        <v>120Hz</v>
      </c>
      <c r="T571" s="1" t="s">
        <v>3224</v>
      </c>
      <c r="U571" s="1" t="str">
        <f t="shared" si="9"/>
        <v>Windows 10 Home</v>
      </c>
      <c r="V571" s="1" t="s">
        <v>2878</v>
      </c>
      <c r="W571" s="1" t="str">
        <f t="shared" si="10"/>
        <v>2.2 kg</v>
      </c>
      <c r="X571" s="1" t="s">
        <v>78</v>
      </c>
      <c r="Y571" s="1" t="str">
        <f t="shared" si="11"/>
        <v>1 Year</v>
      </c>
      <c r="Z571" s="4">
        <v>40000</v>
      </c>
      <c r="AA571" s="1" t="s">
        <v>2181</v>
      </c>
    </row>
    <row r="572" spans="1:27" ht="15.75" customHeight="1" x14ac:dyDescent="0.35">
      <c r="A572" s="1" t="s">
        <v>81</v>
      </c>
      <c r="B572" s="1" t="str">
        <f t="shared" si="16"/>
        <v>Dell</v>
      </c>
      <c r="C572" s="1" t="s">
        <v>2698</v>
      </c>
      <c r="D572" s="1" t="str">
        <f t="shared" si="1"/>
        <v>Dell G15 5511</v>
      </c>
      <c r="E572" s="1" t="str">
        <f t="array" aca="1" ref="E572" ca="1">IFERROR(
INDEX(Family_Map!$B$2:$B$35,
_xludf.AGGREGATE(14,6,(ROW(Family_Map!$A$2:$A$35)-ROW(Family_Map!$A$2)+1)/(ISNUMBER(SEARCH(Family_Map!$A$2:$A$35,D572))),1)
),
"Other")</f>
        <v>Other</v>
      </c>
      <c r="F572" s="1" t="s">
        <v>2504</v>
      </c>
      <c r="G572" s="1" t="e">
        <f t="shared" ca="1" si="2"/>
        <v>#NAME?</v>
      </c>
      <c r="H572" s="1" t="str">
        <f t="shared" ca="1" si="12"/>
        <v>Other</v>
      </c>
      <c r="I572" s="1" t="s">
        <v>116</v>
      </c>
      <c r="J572" s="1" t="str">
        <f t="shared" si="3"/>
        <v>6 GB</v>
      </c>
      <c r="K572" s="1" t="s">
        <v>2690</v>
      </c>
      <c r="L572" s="1">
        <f t="shared" si="37"/>
        <v>16</v>
      </c>
      <c r="M572" s="1" t="s">
        <v>3227</v>
      </c>
      <c r="N572" s="1" t="str">
        <f t="shared" si="5"/>
        <v/>
      </c>
      <c r="O572" s="1" t="str">
        <f t="shared" si="6"/>
        <v/>
      </c>
      <c r="P572" s="1" t="s">
        <v>616</v>
      </c>
      <c r="Q572" s="1" t="str">
        <f t="shared" si="7"/>
        <v>1920x1080</v>
      </c>
      <c r="R572" s="1" t="s">
        <v>39</v>
      </c>
      <c r="S572" s="1" t="str">
        <f t="shared" si="8"/>
        <v>120Hz</v>
      </c>
      <c r="T572" s="1" t="s">
        <v>121</v>
      </c>
      <c r="U572" s="1" t="str">
        <f t="shared" si="9"/>
        <v>DOS</v>
      </c>
      <c r="V572" s="1" t="s">
        <v>2696</v>
      </c>
      <c r="W572" s="1" t="str">
        <f t="shared" si="10"/>
        <v>2.65 kg</v>
      </c>
      <c r="X572" s="1" t="s">
        <v>129</v>
      </c>
      <c r="Y572" s="1" t="str">
        <f t="shared" si="11"/>
        <v>1 Year</v>
      </c>
      <c r="Z572" s="4">
        <v>48000</v>
      </c>
      <c r="AA572" s="1" t="s">
        <v>1082</v>
      </c>
    </row>
    <row r="573" spans="1:27" ht="15.75" customHeight="1" x14ac:dyDescent="0.35">
      <c r="A573" s="1" t="s">
        <v>151</v>
      </c>
      <c r="B573" s="1" t="str">
        <f t="shared" si="16"/>
        <v>Lenovo</v>
      </c>
      <c r="C573" s="1" t="s">
        <v>2379</v>
      </c>
      <c r="D573" s="1" t="str">
        <f t="shared" si="1"/>
        <v>IdeaPad Gaming 3 15IHU6</v>
      </c>
      <c r="E573" s="1" t="str">
        <f t="array" aca="1" ref="E573" ca="1">IFERROR(
INDEX(Family_Map!$B$2:$B$35,
_xludf.AGGREGATE(14,6,(ROW(Family_Map!$A$2:$A$35)-ROW(Family_Map!$A$2)+1)/(ISNUMBER(SEARCH(Family_Map!$A$2:$A$35,D573))),1)
),
"Other")</f>
        <v>Other</v>
      </c>
      <c r="F573" s="1" t="s">
        <v>2623</v>
      </c>
      <c r="G573" s="1" t="e">
        <f t="shared" ca="1" si="2"/>
        <v>#NAME?</v>
      </c>
      <c r="H573" s="1" t="str">
        <f t="shared" ca="1" si="12"/>
        <v>Other</v>
      </c>
      <c r="I573" s="1" t="s">
        <v>3231</v>
      </c>
      <c r="J573" s="1" t="str">
        <f t="shared" si="3"/>
        <v>4 GB</v>
      </c>
      <c r="K573" s="1" t="s">
        <v>1674</v>
      </c>
      <c r="L573" s="1">
        <f t="shared" si="37"/>
        <v>32</v>
      </c>
      <c r="M573" s="1" t="s">
        <v>3232</v>
      </c>
      <c r="N573" s="1" t="str">
        <f t="shared" si="5"/>
        <v>512GB</v>
      </c>
      <c r="O573" s="1" t="str">
        <f t="shared" si="6"/>
        <v>512GB</v>
      </c>
      <c r="P573" s="1" t="s">
        <v>616</v>
      </c>
      <c r="Q573" s="1" t="str">
        <f t="shared" si="7"/>
        <v>1920x1080</v>
      </c>
      <c r="R573" s="1" t="s">
        <v>39</v>
      </c>
      <c r="S573" s="1" t="str">
        <f t="shared" si="8"/>
        <v>120Hz</v>
      </c>
      <c r="T573" s="1" t="s">
        <v>121</v>
      </c>
      <c r="U573" s="1" t="str">
        <f t="shared" si="9"/>
        <v>DOS</v>
      </c>
      <c r="V573" s="1" t="s">
        <v>652</v>
      </c>
      <c r="W573" s="1" t="str">
        <f t="shared" si="10"/>
        <v>2.25 kg</v>
      </c>
      <c r="X573" s="1" t="s">
        <v>78</v>
      </c>
      <c r="Y573" s="1" t="str">
        <f t="shared" si="11"/>
        <v>1 Year</v>
      </c>
      <c r="Z573" s="4">
        <v>33000</v>
      </c>
      <c r="AA573" s="1" t="s">
        <v>1082</v>
      </c>
    </row>
    <row r="574" spans="1:27" ht="15.75" customHeight="1" x14ac:dyDescent="0.35">
      <c r="A574" s="1" t="s">
        <v>81</v>
      </c>
      <c r="B574" s="1" t="str">
        <f t="shared" si="16"/>
        <v>Dell</v>
      </c>
      <c r="C574" s="1" t="s">
        <v>2698</v>
      </c>
      <c r="D574" s="1" t="str">
        <f t="shared" si="1"/>
        <v>Dell G15 5511</v>
      </c>
      <c r="E574" s="1" t="str">
        <f t="array" aca="1" ref="E574" ca="1">IFERROR(
INDEX(Family_Map!$B$2:$B$35,
_xludf.AGGREGATE(14,6,(ROW(Family_Map!$A$2:$A$35)-ROW(Family_Map!$A$2)+1)/(ISNUMBER(SEARCH(Family_Map!$A$2:$A$35,D574))),1)
),
"Other")</f>
        <v>Other</v>
      </c>
      <c r="F574" s="1" t="s">
        <v>2504</v>
      </c>
      <c r="G574" s="1" t="e">
        <f t="shared" ca="1" si="2"/>
        <v>#NAME?</v>
      </c>
      <c r="H574" s="1" t="str">
        <f t="shared" ca="1" si="12"/>
        <v>Other</v>
      </c>
      <c r="I574" s="1" t="s">
        <v>439</v>
      </c>
      <c r="J574" s="1" t="str">
        <f t="shared" si="3"/>
        <v>4 GB</v>
      </c>
      <c r="K574" s="1" t="s">
        <v>2690</v>
      </c>
      <c r="L574" s="1">
        <f t="shared" si="37"/>
        <v>16</v>
      </c>
      <c r="M574" s="1" t="s">
        <v>1604</v>
      </c>
      <c r="N574" s="1" t="str">
        <f t="shared" si="5"/>
        <v>512GB</v>
      </c>
      <c r="O574" s="1" t="str">
        <f t="shared" si="6"/>
        <v>512GB</v>
      </c>
      <c r="P574" s="1" t="s">
        <v>120</v>
      </c>
      <c r="Q574" s="1" t="str">
        <f t="shared" si="7"/>
        <v>1920x1080</v>
      </c>
      <c r="R574" s="1" t="s">
        <v>39</v>
      </c>
      <c r="S574" s="1" t="str">
        <f t="shared" si="8"/>
        <v>120Hz</v>
      </c>
      <c r="T574" s="1" t="s">
        <v>121</v>
      </c>
      <c r="U574" s="1" t="str">
        <f t="shared" si="9"/>
        <v>DOS</v>
      </c>
      <c r="V574" s="1" t="s">
        <v>2696</v>
      </c>
      <c r="W574" s="1" t="str">
        <f t="shared" si="10"/>
        <v>2.65 kg</v>
      </c>
      <c r="X574" s="1" t="s">
        <v>129</v>
      </c>
      <c r="Y574" s="1" t="str">
        <f t="shared" si="11"/>
        <v>1 Year</v>
      </c>
      <c r="Z574" s="4">
        <v>45149</v>
      </c>
      <c r="AA574" s="1" t="s">
        <v>1082</v>
      </c>
    </row>
    <row r="575" spans="1:27" ht="15.75" customHeight="1" x14ac:dyDescent="0.35">
      <c r="A575" s="1" t="s">
        <v>112</v>
      </c>
      <c r="B575" s="1" t="str">
        <f t="shared" si="16"/>
        <v>HP</v>
      </c>
      <c r="C575" s="1" t="s">
        <v>3238</v>
      </c>
      <c r="D575" s="1" t="str">
        <f t="shared" si="1"/>
        <v>15-ec1011nia</v>
      </c>
      <c r="E575" s="1" t="str">
        <f t="array" aca="1" ref="E575" ca="1">IFERROR(
INDEX(Family_Map!$B$2:$B$35,
_xludf.AGGREGATE(14,6,(ROW(Family_Map!$A$2:$A$35)-ROW(Family_Map!$A$2)+1)/(ISNUMBER(SEARCH(Family_Map!$A$2:$A$35,D575))),1)
),
"Other")</f>
        <v>Other</v>
      </c>
      <c r="F575" s="1" t="s">
        <v>3239</v>
      </c>
      <c r="G575" s="1" t="e">
        <f t="shared" ca="1" si="2"/>
        <v>#NAME?</v>
      </c>
      <c r="H575" s="1" t="str">
        <f t="shared" ca="1" si="12"/>
        <v>Other</v>
      </c>
      <c r="I575" s="1" t="s">
        <v>439</v>
      </c>
      <c r="J575" s="1" t="str">
        <f t="shared" si="3"/>
        <v>4 GB</v>
      </c>
      <c r="K575" s="1" t="s">
        <v>3241</v>
      </c>
      <c r="L575" s="1">
        <f t="shared" si="37"/>
        <v>8</v>
      </c>
      <c r="M575" s="1" t="s">
        <v>3242</v>
      </c>
      <c r="N575" s="1" t="str">
        <f t="shared" si="5"/>
        <v>1TB</v>
      </c>
      <c r="O575" s="1" t="str">
        <f t="shared" si="6"/>
        <v>1024GB</v>
      </c>
      <c r="P575" s="1" t="s">
        <v>120</v>
      </c>
      <c r="Q575" s="1" t="str">
        <f t="shared" si="7"/>
        <v>1920x1080</v>
      </c>
      <c r="R575" s="1" t="s">
        <v>971</v>
      </c>
      <c r="S575" s="1" t="str">
        <f t="shared" si="8"/>
        <v>60Hz</v>
      </c>
      <c r="T575" s="1" t="s">
        <v>101</v>
      </c>
      <c r="U575" s="1" t="str">
        <f t="shared" si="9"/>
        <v>DOS</v>
      </c>
      <c r="V575" s="1" t="s">
        <v>976</v>
      </c>
      <c r="W575" s="1" t="str">
        <f t="shared" si="10"/>
        <v>1.85 kg</v>
      </c>
      <c r="X575" s="1" t="s">
        <v>78</v>
      </c>
      <c r="Y575" s="1" t="str">
        <f t="shared" si="11"/>
        <v>1 Year</v>
      </c>
      <c r="Z575" s="4">
        <v>39000</v>
      </c>
      <c r="AA575" s="1" t="s">
        <v>5735</v>
      </c>
    </row>
    <row r="576" spans="1:27" ht="15.75" customHeight="1" x14ac:dyDescent="0.35">
      <c r="A576" s="1" t="s">
        <v>30</v>
      </c>
      <c r="B576" s="1" t="str">
        <f t="shared" si="16"/>
        <v>MSI</v>
      </c>
      <c r="C576" s="1" t="s">
        <v>3248</v>
      </c>
      <c r="D576" s="1" t="str">
        <f t="shared" si="1"/>
        <v>Creator 15M A10SE</v>
      </c>
      <c r="E576" s="1" t="str">
        <f t="array" aca="1" ref="E576" ca="1">IFERROR(
INDEX(Family_Map!$B$2:$B$35,
_xludf.AGGREGATE(14,6,(ROW(Family_Map!$A$2:$A$35)-ROW(Family_Map!$A$2)+1)/(ISNUMBER(SEARCH(Family_Map!$A$2:$A$35,D576))),1)
),
"Other")</f>
        <v>Other</v>
      </c>
      <c r="F576" s="1" t="s">
        <v>3249</v>
      </c>
      <c r="G576" s="1" t="e">
        <f t="shared" ca="1" si="2"/>
        <v>#NAME?</v>
      </c>
      <c r="H576" s="1" t="str">
        <f t="shared" ca="1" si="12"/>
        <v>Other</v>
      </c>
      <c r="I576" s="1" t="s">
        <v>3251</v>
      </c>
      <c r="J576" s="1" t="str">
        <f t="shared" si="3"/>
        <v>6GB</v>
      </c>
      <c r="K576" s="1" t="s">
        <v>3252</v>
      </c>
      <c r="L576" s="1">
        <f t="shared" si="37"/>
        <v>32</v>
      </c>
      <c r="M576" s="1" t="s">
        <v>3253</v>
      </c>
      <c r="N576" s="1" t="str">
        <f t="shared" si="5"/>
        <v>1TB</v>
      </c>
      <c r="O576" s="1" t="str">
        <f t="shared" si="6"/>
        <v>1024GB</v>
      </c>
      <c r="P576" s="1" t="s">
        <v>1890</v>
      </c>
      <c r="Q576" s="1" t="str">
        <f t="shared" si="7"/>
        <v>3840x2160</v>
      </c>
      <c r="R576" s="1" t="s">
        <v>75</v>
      </c>
      <c r="S576" s="1" t="str">
        <f t="shared" si="8"/>
        <v>144Hz</v>
      </c>
      <c r="T576" s="1" t="s">
        <v>3255</v>
      </c>
      <c r="U576" s="1" t="str">
        <f t="shared" si="9"/>
        <v>Windows 11 Home</v>
      </c>
      <c r="V576" s="1" t="s">
        <v>376</v>
      </c>
      <c r="W576" s="1" t="str">
        <f t="shared" si="10"/>
        <v>1.86 kg</v>
      </c>
      <c r="X576" s="1" t="s">
        <v>129</v>
      </c>
      <c r="Y576" s="1" t="str">
        <f t="shared" si="11"/>
        <v>1 Year</v>
      </c>
      <c r="Z576" s="4">
        <v>60000</v>
      </c>
      <c r="AA576" s="1" t="s">
        <v>2181</v>
      </c>
    </row>
    <row r="577" spans="1:27" ht="15.75" customHeight="1" x14ac:dyDescent="0.35">
      <c r="A577" s="1" t="s">
        <v>151</v>
      </c>
      <c r="B577" s="1" t="str">
        <f t="shared" si="16"/>
        <v>Lenovo</v>
      </c>
      <c r="C577" s="1" t="s">
        <v>2871</v>
      </c>
      <c r="D577" s="1" t="str">
        <f t="shared" si="1"/>
        <v>IdeaPad GAMING 3 15IMH05</v>
      </c>
      <c r="E577" s="1" t="str">
        <f t="array" aca="1" ref="E577" ca="1">IFERROR(
INDEX(Family_Map!$B$2:$B$35,
_xludf.AGGREGATE(14,6,(ROW(Family_Map!$A$2:$A$35)-ROW(Family_Map!$A$2)+1)/(ISNUMBER(SEARCH(Family_Map!$A$2:$A$35,D577))),1)
),
"Other")</f>
        <v>Other</v>
      </c>
      <c r="F577" s="1" t="s">
        <v>3220</v>
      </c>
      <c r="G577" s="1" t="e">
        <f t="shared" ca="1" si="2"/>
        <v>#NAME?</v>
      </c>
      <c r="H577" s="1" t="str">
        <f t="shared" ca="1" si="12"/>
        <v>Other</v>
      </c>
      <c r="I577" s="1" t="s">
        <v>1836</v>
      </c>
      <c r="J577" s="1" t="str">
        <f t="shared" si="3"/>
        <v>4 GB</v>
      </c>
      <c r="K577" s="1" t="s">
        <v>3260</v>
      </c>
      <c r="L577" s="1">
        <v>16</v>
      </c>
      <c r="M577" s="1" t="s">
        <v>2573</v>
      </c>
      <c r="N577" s="1" t="str">
        <f t="shared" si="5"/>
        <v>256GB</v>
      </c>
      <c r="O577" s="1" t="str">
        <f t="shared" si="6"/>
        <v>256GB</v>
      </c>
      <c r="P577" s="1" t="s">
        <v>120</v>
      </c>
      <c r="Q577" s="1" t="str">
        <f t="shared" si="7"/>
        <v>1920x1080</v>
      </c>
      <c r="R577" s="1" t="s">
        <v>39</v>
      </c>
      <c r="S577" s="1" t="str">
        <f t="shared" si="8"/>
        <v>120Hz</v>
      </c>
      <c r="T577" s="1" t="s">
        <v>3262</v>
      </c>
      <c r="U577" s="1" t="str">
        <f t="shared" si="9"/>
        <v>DOS</v>
      </c>
      <c r="V577" s="1" t="s">
        <v>2878</v>
      </c>
      <c r="W577" s="1" t="str">
        <f t="shared" si="10"/>
        <v>2.2 kg</v>
      </c>
      <c r="X577" s="1" t="s">
        <v>78</v>
      </c>
      <c r="Y577" s="1" t="str">
        <f t="shared" si="11"/>
        <v>1 Year</v>
      </c>
      <c r="Z577" s="4">
        <v>28888</v>
      </c>
      <c r="AA577" s="1" t="s">
        <v>2181</v>
      </c>
    </row>
    <row r="578" spans="1:27" ht="15.75" customHeight="1" x14ac:dyDescent="0.35">
      <c r="A578" s="1" t="s">
        <v>81</v>
      </c>
      <c r="B578" s="1" t="str">
        <f t="shared" si="16"/>
        <v>Dell</v>
      </c>
      <c r="C578" s="1" t="s">
        <v>3268</v>
      </c>
      <c r="D578" s="1" t="str">
        <f t="shared" si="1"/>
        <v>inspiron 14 7440</v>
      </c>
      <c r="E578" s="1" t="str">
        <f t="array" aca="1" ref="E578" ca="1">IFERROR(
INDEX(Family_Map!$B$2:$B$35,
_xludf.AGGREGATE(14,6,(ROW(Family_Map!$A$2:$A$35)-ROW(Family_Map!$A$2)+1)/(ISNUMBER(SEARCH(Family_Map!$A$2:$A$35,D578))),1)
),
"Other")</f>
        <v>Other</v>
      </c>
      <c r="F578" s="1" t="s">
        <v>3269</v>
      </c>
      <c r="G578" s="1" t="e">
        <f t="shared" ca="1" si="2"/>
        <v>#NAME?</v>
      </c>
      <c r="H578" s="1" t="str">
        <f t="shared" ca="1" si="12"/>
        <v>Other</v>
      </c>
      <c r="J578" s="1" t="str">
        <f t="shared" si="3"/>
        <v/>
      </c>
      <c r="K578" s="1" t="s">
        <v>3271</v>
      </c>
      <c r="L578" s="1">
        <v>16</v>
      </c>
      <c r="M578" s="1" t="s">
        <v>1120</v>
      </c>
      <c r="N578" s="1" t="str">
        <f t="shared" si="5"/>
        <v>512GB</v>
      </c>
      <c r="O578" s="1" t="str">
        <f t="shared" si="6"/>
        <v>512GB</v>
      </c>
      <c r="P578" s="1" t="s">
        <v>275</v>
      </c>
      <c r="Q578" s="1" t="str">
        <f t="shared" si="7"/>
        <v>1920x1200</v>
      </c>
      <c r="R578" s="1" t="s">
        <v>971</v>
      </c>
      <c r="S578" s="1" t="str">
        <f t="shared" si="8"/>
        <v>60Hz</v>
      </c>
      <c r="T578" s="1" t="s">
        <v>90</v>
      </c>
      <c r="U578" s="1" t="str">
        <f t="shared" si="9"/>
        <v>Windows 11 Home</v>
      </c>
      <c r="V578" s="1" t="s">
        <v>3276</v>
      </c>
      <c r="W578" s="1" t="str">
        <f t="shared" si="10"/>
        <v>1.75 kg</v>
      </c>
      <c r="X578" s="1" t="s">
        <v>78</v>
      </c>
      <c r="Y578" s="1" t="str">
        <f t="shared" si="11"/>
        <v>1 Year</v>
      </c>
      <c r="Z578" s="4">
        <v>40999</v>
      </c>
      <c r="AA578" s="1" t="s">
        <v>5735</v>
      </c>
    </row>
    <row r="579" spans="1:27" ht="15.75" customHeight="1" x14ac:dyDescent="0.35">
      <c r="A579" s="1" t="s">
        <v>151</v>
      </c>
      <c r="B579" s="1" t="str">
        <f t="shared" si="16"/>
        <v>Lenovo</v>
      </c>
      <c r="C579" s="1" t="s">
        <v>3279</v>
      </c>
      <c r="D579" s="1" t="str">
        <f t="shared" si="1"/>
        <v>IdeaPad Slim 3 15IRH10</v>
      </c>
      <c r="E579" s="1" t="str">
        <f t="array" aca="1" ref="E579" ca="1">IFERROR(
INDEX(Family_Map!$B$2:$B$35,
_xludf.AGGREGATE(14,6,(ROW(Family_Map!$A$2:$A$35)-ROW(Family_Map!$A$2)+1)/(ISNUMBER(SEARCH(Family_Map!$A$2:$A$35,D579))),1)
),
"Other")</f>
        <v>Other</v>
      </c>
      <c r="F579" s="1" t="s">
        <v>3280</v>
      </c>
      <c r="G579" s="1" t="e">
        <f t="shared" ca="1" si="2"/>
        <v>#NAME?</v>
      </c>
      <c r="H579" s="1" t="str">
        <f t="shared" ca="1" si="12"/>
        <v>Other</v>
      </c>
      <c r="J579" s="1" t="str">
        <f t="shared" si="3"/>
        <v/>
      </c>
      <c r="K579" s="1" t="s">
        <v>3282</v>
      </c>
      <c r="L579" s="1">
        <f t="shared" ref="L579:L705" si="38">IFERROR(
VALUE(SUBSTITUTE(SUBSTITUTE(LEFT(UPPER(TRIM(K579)),FIND("GB",UPPER(K579)&amp;"GB")+1),"GB","")," ","")),
IFERROR(
VALUE(SUBSTITUTE(SUBSTITUTE(MID(UPPER(K579),FIND("GB",UPPER(K579)&amp;"GB")-3,3),"GB","")," ",""))
*
IF(
OR(
ISNUMBER(SEARCH("2X",UPPER(K579))),
ISNUMBER(SEARCH("X 2",UPPER(K579))),
ISNUMBER(SEARCH("*2",UPPER(K579))),
ISNUMBER(SEARCH("2*",UPPER(K579))),
ISNUMBER(SEARCH("(2 X",UPPER(K579)))
),
2,1),
"")
)</f>
        <v>8</v>
      </c>
      <c r="M579" s="1" t="s">
        <v>156</v>
      </c>
      <c r="N579" s="1" t="str">
        <f t="shared" si="5"/>
        <v>512GB</v>
      </c>
      <c r="O579" s="1" t="str">
        <f t="shared" si="6"/>
        <v>512GB</v>
      </c>
      <c r="P579" s="1" t="s">
        <v>1015</v>
      </c>
      <c r="Q579" s="1" t="str">
        <f t="shared" si="7"/>
        <v>1920x1200</v>
      </c>
      <c r="R579" s="1" t="s">
        <v>971</v>
      </c>
      <c r="S579" s="1" t="str">
        <f t="shared" si="8"/>
        <v>60Hz</v>
      </c>
      <c r="T579" s="1" t="s">
        <v>90</v>
      </c>
      <c r="U579" s="1" t="str">
        <f t="shared" si="9"/>
        <v>Windows 11 Home</v>
      </c>
      <c r="V579" s="1" t="s">
        <v>3288</v>
      </c>
      <c r="W579" s="1" t="str">
        <f t="shared" si="10"/>
        <v>1.59 kg</v>
      </c>
      <c r="X579" s="1" t="s">
        <v>165</v>
      </c>
      <c r="Y579" s="1" t="str">
        <f t="shared" si="11"/>
        <v>2 Years</v>
      </c>
      <c r="Z579" s="4">
        <v>30999</v>
      </c>
      <c r="AA579" s="1" t="s">
        <v>79</v>
      </c>
    </row>
    <row r="580" spans="1:27" ht="15.75" customHeight="1" x14ac:dyDescent="0.35">
      <c r="A580" s="1" t="s">
        <v>151</v>
      </c>
      <c r="B580" s="1" t="str">
        <f t="shared" si="16"/>
        <v>Lenovo</v>
      </c>
      <c r="C580" s="1" t="s">
        <v>3279</v>
      </c>
      <c r="D580" s="1" t="str">
        <f t="shared" si="1"/>
        <v>IdeaPad Slim 3 15IRH10</v>
      </c>
      <c r="E580" s="1" t="str">
        <f t="array" aca="1" ref="E580" ca="1">IFERROR(
INDEX(Family_Map!$B$2:$B$35,
_xludf.AGGREGATE(14,6,(ROW(Family_Map!$A$2:$A$35)-ROW(Family_Map!$A$2)+1)/(ISNUMBER(SEARCH(Family_Map!$A$2:$A$35,D580))),1)
),
"Other")</f>
        <v>Other</v>
      </c>
      <c r="F580" s="1" t="s">
        <v>3290</v>
      </c>
      <c r="G580" s="1" t="e">
        <f t="shared" ca="1" si="2"/>
        <v>#NAME?</v>
      </c>
      <c r="H580" s="1" t="str">
        <f t="shared" ca="1" si="12"/>
        <v>Other</v>
      </c>
      <c r="J580" s="1" t="str">
        <f t="shared" si="3"/>
        <v/>
      </c>
      <c r="K580" s="1" t="s">
        <v>3282</v>
      </c>
      <c r="L580" s="1">
        <f t="shared" si="38"/>
        <v>8</v>
      </c>
      <c r="M580" s="1" t="s">
        <v>156</v>
      </c>
      <c r="N580" s="1" t="str">
        <f t="shared" si="5"/>
        <v>512GB</v>
      </c>
      <c r="O580" s="1" t="str">
        <f t="shared" si="6"/>
        <v>512GB</v>
      </c>
      <c r="P580" s="1" t="s">
        <v>1015</v>
      </c>
      <c r="Q580" s="1" t="str">
        <f t="shared" si="7"/>
        <v>1920x1200</v>
      </c>
      <c r="R580" s="1" t="s">
        <v>971</v>
      </c>
      <c r="S580" s="1" t="str">
        <f t="shared" si="8"/>
        <v>60Hz</v>
      </c>
      <c r="T580" s="1" t="s">
        <v>101</v>
      </c>
      <c r="U580" s="1" t="str">
        <f t="shared" si="9"/>
        <v>DOS</v>
      </c>
      <c r="V580" s="1" t="s">
        <v>3288</v>
      </c>
      <c r="W580" s="1" t="str">
        <f t="shared" si="10"/>
        <v>1.59 kg</v>
      </c>
      <c r="X580" s="1" t="s">
        <v>78</v>
      </c>
      <c r="Y580" s="1" t="str">
        <f t="shared" si="11"/>
        <v>1 Year</v>
      </c>
      <c r="Z580" s="4">
        <v>26199</v>
      </c>
      <c r="AA580" s="1" t="s">
        <v>79</v>
      </c>
    </row>
    <row r="581" spans="1:27" ht="15.75" customHeight="1" x14ac:dyDescent="0.35">
      <c r="A581" s="1" t="s">
        <v>151</v>
      </c>
      <c r="B581" s="1" t="str">
        <f t="shared" si="16"/>
        <v>Lenovo</v>
      </c>
      <c r="C581" s="1" t="s">
        <v>3293</v>
      </c>
      <c r="D581" s="1" t="str">
        <f t="shared" si="1"/>
        <v>Yoga 7 14AHP9</v>
      </c>
      <c r="E581" s="1" t="str">
        <f t="array" aca="1" ref="E581" ca="1">IFERROR(
INDEX(Family_Map!$B$2:$B$35,
_xludf.AGGREGATE(14,6,(ROW(Family_Map!$A$2:$A$35)-ROW(Family_Map!$A$2)+1)/(ISNUMBER(SEARCH(Family_Map!$A$2:$A$35,D581))),1)
),
"Other")</f>
        <v>Other</v>
      </c>
      <c r="F581" s="1" t="s">
        <v>3294</v>
      </c>
      <c r="G581" s="1" t="e">
        <f t="shared" ca="1" si="2"/>
        <v>#NAME?</v>
      </c>
      <c r="H581" s="1" t="str">
        <f t="shared" ca="1" si="12"/>
        <v>Other</v>
      </c>
      <c r="J581" s="1" t="str">
        <f t="shared" si="3"/>
        <v/>
      </c>
      <c r="K581" s="1" t="s">
        <v>3296</v>
      </c>
      <c r="L581" s="1">
        <f t="shared" si="38"/>
        <v>8</v>
      </c>
      <c r="M581" s="1" t="s">
        <v>156</v>
      </c>
      <c r="N581" s="1" t="str">
        <f t="shared" si="5"/>
        <v>512GB</v>
      </c>
      <c r="O581" s="1" t="str">
        <f t="shared" si="6"/>
        <v>512GB</v>
      </c>
      <c r="P581" s="1" t="s">
        <v>1015</v>
      </c>
      <c r="Q581" s="1" t="str">
        <f t="shared" si="7"/>
        <v>1920x1200</v>
      </c>
      <c r="R581" s="1" t="s">
        <v>971</v>
      </c>
      <c r="S581" s="1" t="str">
        <f t="shared" si="8"/>
        <v>60Hz</v>
      </c>
      <c r="T581" s="1" t="s">
        <v>90</v>
      </c>
      <c r="U581" s="1" t="str">
        <f t="shared" si="9"/>
        <v>Windows 11 Home</v>
      </c>
      <c r="V581" s="1" t="s">
        <v>3302</v>
      </c>
      <c r="W581" s="1" t="str">
        <f t="shared" si="10"/>
        <v>1.61 kg</v>
      </c>
      <c r="X581" s="1" t="s">
        <v>78</v>
      </c>
      <c r="Y581" s="1" t="str">
        <f t="shared" si="11"/>
        <v>1 Year</v>
      </c>
      <c r="Z581" s="4">
        <v>38888</v>
      </c>
      <c r="AA581" s="1" t="s">
        <v>5735</v>
      </c>
    </row>
    <row r="582" spans="1:27" ht="15.75" customHeight="1" x14ac:dyDescent="0.35">
      <c r="A582" s="1" t="s">
        <v>151</v>
      </c>
      <c r="B582" s="1" t="str">
        <f t="shared" si="16"/>
        <v>Lenovo</v>
      </c>
      <c r="C582" s="1" t="s">
        <v>3305</v>
      </c>
      <c r="D582" s="1" t="str">
        <f t="shared" si="1"/>
        <v>IdeaPad 5 14IRH9</v>
      </c>
      <c r="E582" s="1" t="str">
        <f t="array" aca="1" ref="E582" ca="1">IFERROR(
INDEX(Family_Map!$B$2:$B$35,
_xludf.AGGREGATE(14,6,(ROW(Family_Map!$A$2:$A$35)-ROW(Family_Map!$A$2)+1)/(ISNUMBER(SEARCH(Family_Map!$A$2:$A$35,D582))),1)
),
"Other")</f>
        <v>Other</v>
      </c>
      <c r="F582" s="1" t="s">
        <v>3280</v>
      </c>
      <c r="G582" s="1" t="e">
        <f t="shared" ca="1" si="2"/>
        <v>#NAME?</v>
      </c>
      <c r="H582" s="1" t="str">
        <f t="shared" ca="1" si="12"/>
        <v>Other</v>
      </c>
      <c r="J582" s="1" t="str">
        <f t="shared" si="3"/>
        <v/>
      </c>
      <c r="K582" s="1" t="s">
        <v>3307</v>
      </c>
      <c r="L582" s="1">
        <f t="shared" si="38"/>
        <v>16</v>
      </c>
      <c r="M582" s="1" t="s">
        <v>156</v>
      </c>
      <c r="N582" s="1" t="str">
        <f t="shared" si="5"/>
        <v>512GB</v>
      </c>
      <c r="O582" s="1" t="str">
        <f t="shared" si="6"/>
        <v>512GB</v>
      </c>
      <c r="P582" s="1" t="s">
        <v>1015</v>
      </c>
      <c r="Q582" s="1" t="str">
        <f t="shared" si="7"/>
        <v>1920x1200</v>
      </c>
      <c r="R582" s="1" t="s">
        <v>971</v>
      </c>
      <c r="S582" s="1" t="str">
        <f t="shared" si="8"/>
        <v>60Hz</v>
      </c>
      <c r="T582" s="1" t="s">
        <v>90</v>
      </c>
      <c r="U582" s="1" t="str">
        <f t="shared" si="9"/>
        <v>Windows 11 Home</v>
      </c>
      <c r="V582" s="1" t="s">
        <v>2584</v>
      </c>
      <c r="W582" s="1" t="str">
        <f t="shared" si="10"/>
        <v>1.5 kg</v>
      </c>
      <c r="X582" s="1" t="s">
        <v>165</v>
      </c>
      <c r="Y582" s="1" t="str">
        <f t="shared" si="11"/>
        <v>2 Years</v>
      </c>
      <c r="Z582" s="4">
        <v>37777</v>
      </c>
      <c r="AA582" s="1" t="s">
        <v>79</v>
      </c>
    </row>
    <row r="583" spans="1:27" ht="15.75" customHeight="1" x14ac:dyDescent="0.35">
      <c r="A583" s="1" t="s">
        <v>151</v>
      </c>
      <c r="B583" s="1" t="str">
        <f t="shared" si="16"/>
        <v>Lenovo</v>
      </c>
      <c r="C583" s="1" t="s">
        <v>3279</v>
      </c>
      <c r="D583" s="1" t="str">
        <f t="shared" si="1"/>
        <v>IdeaPad Slim 3 15IRH10</v>
      </c>
      <c r="E583" s="1" t="str">
        <f t="array" aca="1" ref="E583" ca="1">IFERROR(
INDEX(Family_Map!$B$2:$B$35,
_xludf.AGGREGATE(14,6,(ROW(Family_Map!$A$2:$A$35)-ROW(Family_Map!$A$2)+1)/(ISNUMBER(SEARCH(Family_Map!$A$2:$A$35,D583))),1)
),
"Other")</f>
        <v>Other</v>
      </c>
      <c r="F583" s="1" t="s">
        <v>3280</v>
      </c>
      <c r="G583" s="1" t="e">
        <f t="shared" ca="1" si="2"/>
        <v>#NAME?</v>
      </c>
      <c r="H583" s="1" t="str">
        <f t="shared" ca="1" si="12"/>
        <v>Other</v>
      </c>
      <c r="J583" s="1" t="str">
        <f t="shared" si="3"/>
        <v/>
      </c>
      <c r="K583" s="1" t="s">
        <v>3282</v>
      </c>
      <c r="L583" s="1">
        <f t="shared" si="38"/>
        <v>8</v>
      </c>
      <c r="M583" s="1" t="s">
        <v>156</v>
      </c>
      <c r="N583" s="1" t="str">
        <f t="shared" si="5"/>
        <v>512GB</v>
      </c>
      <c r="O583" s="1" t="str">
        <f t="shared" si="6"/>
        <v>512GB</v>
      </c>
      <c r="P583" s="1" t="s">
        <v>1015</v>
      </c>
      <c r="Q583" s="1" t="str">
        <f t="shared" si="7"/>
        <v>1920x1200</v>
      </c>
      <c r="R583" s="1" t="s">
        <v>971</v>
      </c>
      <c r="S583" s="1" t="str">
        <f t="shared" si="8"/>
        <v>60Hz</v>
      </c>
      <c r="T583" s="1" t="s">
        <v>101</v>
      </c>
      <c r="U583" s="1" t="str">
        <f t="shared" si="9"/>
        <v>DOS</v>
      </c>
      <c r="V583" s="1" t="s">
        <v>3288</v>
      </c>
      <c r="W583" s="1" t="str">
        <f t="shared" si="10"/>
        <v>1.59 kg</v>
      </c>
      <c r="X583" s="1" t="s">
        <v>78</v>
      </c>
      <c r="Y583" s="1" t="str">
        <f t="shared" si="11"/>
        <v>1 Year</v>
      </c>
      <c r="Z583" s="4">
        <v>29999</v>
      </c>
      <c r="AA583" s="1" t="s">
        <v>79</v>
      </c>
    </row>
    <row r="584" spans="1:27" ht="15.75" customHeight="1" x14ac:dyDescent="0.35">
      <c r="A584" s="1" t="s">
        <v>30</v>
      </c>
      <c r="B584" s="1" t="str">
        <f t="shared" si="16"/>
        <v>MSI</v>
      </c>
      <c r="C584" s="1" t="s">
        <v>3313</v>
      </c>
      <c r="D584" s="1" t="str">
        <f t="shared" si="1"/>
        <v>Modern 15 F13MG</v>
      </c>
      <c r="E584" s="1" t="str">
        <f t="array" aca="1" ref="E584" ca="1">IFERROR(
INDEX(Family_Map!$B$2:$B$35,
_xludf.AGGREGATE(14,6,(ROW(Family_Map!$A$2:$A$35)-ROW(Family_Map!$A$2)+1)/(ISNUMBER(SEARCH(Family_Map!$A$2:$A$35,D584))),1)
),
"Other")</f>
        <v>Other</v>
      </c>
      <c r="F584" s="1" t="s">
        <v>3314</v>
      </c>
      <c r="G584" s="1" t="e">
        <f t="shared" ca="1" si="2"/>
        <v>#NAME?</v>
      </c>
      <c r="H584" s="1" t="str">
        <f t="shared" ca="1" si="12"/>
        <v>Other</v>
      </c>
      <c r="J584" s="1" t="str">
        <f t="shared" si="3"/>
        <v/>
      </c>
      <c r="K584" s="1" t="s">
        <v>2110</v>
      </c>
      <c r="L584" s="1">
        <f t="shared" si="38"/>
        <v>8</v>
      </c>
      <c r="M584" s="1" t="s">
        <v>1120</v>
      </c>
      <c r="N584" s="1" t="str">
        <f t="shared" si="5"/>
        <v>512GB</v>
      </c>
      <c r="O584" s="1" t="str">
        <f t="shared" si="6"/>
        <v>512GB</v>
      </c>
      <c r="P584" s="1" t="s">
        <v>120</v>
      </c>
      <c r="Q584" s="1" t="str">
        <f t="shared" si="7"/>
        <v>1920x1080</v>
      </c>
      <c r="S584" s="1" t="str">
        <f t="shared" si="8"/>
        <v/>
      </c>
      <c r="T584" s="1" t="s">
        <v>101</v>
      </c>
      <c r="U584" s="1" t="str">
        <f t="shared" si="9"/>
        <v>DOS</v>
      </c>
      <c r="V584" s="1" t="s">
        <v>3321</v>
      </c>
      <c r="W584" s="1" t="str">
        <f t="shared" si="10"/>
        <v>1.7 kg</v>
      </c>
      <c r="X584" s="1" t="s">
        <v>129</v>
      </c>
      <c r="Y584" s="1" t="str">
        <f t="shared" si="11"/>
        <v>1 Year</v>
      </c>
      <c r="Z584" s="4">
        <v>19999</v>
      </c>
      <c r="AA584" s="1" t="s">
        <v>79</v>
      </c>
    </row>
    <row r="585" spans="1:27" ht="15.75" customHeight="1" x14ac:dyDescent="0.35">
      <c r="A585" s="1" t="s">
        <v>151</v>
      </c>
      <c r="B585" s="1" t="str">
        <f t="shared" si="16"/>
        <v>Lenovo</v>
      </c>
      <c r="C585" s="1" t="s">
        <v>3324</v>
      </c>
      <c r="D585" s="1" t="str">
        <f t="shared" si="1"/>
        <v>IdeaPad 1 15ALC7</v>
      </c>
      <c r="E585" s="1" t="str">
        <f t="array" aca="1" ref="E585" ca="1">IFERROR(
INDEX(Family_Map!$B$2:$B$35,
_xludf.AGGREGATE(14,6,(ROW(Family_Map!$A$2:$A$35)-ROW(Family_Map!$A$2)+1)/(ISNUMBER(SEARCH(Family_Map!$A$2:$A$35,D585))),1)
),
"Other")</f>
        <v>Other</v>
      </c>
      <c r="F585" s="1" t="s">
        <v>3325</v>
      </c>
      <c r="G585" s="1" t="e">
        <f t="shared" ca="1" si="2"/>
        <v>#NAME?</v>
      </c>
      <c r="H585" s="1" t="str">
        <f t="shared" ca="1" si="12"/>
        <v>Other</v>
      </c>
      <c r="J585" s="1" t="str">
        <f t="shared" si="3"/>
        <v/>
      </c>
      <c r="K585" s="1" t="s">
        <v>3327</v>
      </c>
      <c r="L585" s="1">
        <f t="shared" si="38"/>
        <v>8</v>
      </c>
      <c r="M585" s="1" t="s">
        <v>156</v>
      </c>
      <c r="N585" s="1" t="str">
        <f t="shared" si="5"/>
        <v>512GB</v>
      </c>
      <c r="O585" s="1" t="str">
        <f t="shared" si="6"/>
        <v>512GB</v>
      </c>
      <c r="P585" s="1" t="s">
        <v>120</v>
      </c>
      <c r="Q585" s="1" t="str">
        <f t="shared" si="7"/>
        <v>1920x1080</v>
      </c>
      <c r="S585" s="1" t="str">
        <f t="shared" si="8"/>
        <v/>
      </c>
      <c r="T585" s="1" t="s">
        <v>101</v>
      </c>
      <c r="U585" s="1" t="str">
        <f t="shared" si="9"/>
        <v>DOS</v>
      </c>
      <c r="V585" s="1" t="s">
        <v>3302</v>
      </c>
      <c r="W585" s="1" t="str">
        <f t="shared" si="10"/>
        <v>1.61 kg</v>
      </c>
      <c r="X585" s="1" t="s">
        <v>129</v>
      </c>
      <c r="Y585" s="1" t="str">
        <f t="shared" si="11"/>
        <v>1 Year</v>
      </c>
      <c r="Z585" s="4">
        <v>17999</v>
      </c>
      <c r="AA585" s="1" t="s">
        <v>5735</v>
      </c>
    </row>
    <row r="586" spans="1:27" ht="15.75" customHeight="1" x14ac:dyDescent="0.35">
      <c r="A586" s="1" t="s">
        <v>151</v>
      </c>
      <c r="B586" s="1" t="str">
        <f t="shared" si="16"/>
        <v>Lenovo</v>
      </c>
      <c r="C586" s="1" t="s">
        <v>3305</v>
      </c>
      <c r="D586" s="1" t="str">
        <f t="shared" si="1"/>
        <v>IdeaPad 5 14IRH9</v>
      </c>
      <c r="E586" s="1" t="str">
        <f t="array" aca="1" ref="E586" ca="1">IFERROR(
INDEX(Family_Map!$B$2:$B$35,
_xludf.AGGREGATE(14,6,(ROW(Family_Map!$A$2:$A$35)-ROW(Family_Map!$A$2)+1)/(ISNUMBER(SEARCH(Family_Map!$A$2:$A$35,D586))),1)
),
"Other")</f>
        <v>Other</v>
      </c>
      <c r="F586" s="1" t="s">
        <v>687</v>
      </c>
      <c r="G586" s="1" t="e">
        <f t="shared" ca="1" si="2"/>
        <v>#NAME?</v>
      </c>
      <c r="H586" s="1" t="str">
        <f t="shared" ca="1" si="12"/>
        <v>Other</v>
      </c>
      <c r="J586" s="1" t="str">
        <f t="shared" si="3"/>
        <v/>
      </c>
      <c r="K586" s="1" t="s">
        <v>3336</v>
      </c>
      <c r="L586" s="1">
        <f t="shared" si="38"/>
        <v>16</v>
      </c>
      <c r="M586" s="1" t="s">
        <v>156</v>
      </c>
      <c r="N586" s="1" t="str">
        <f t="shared" si="5"/>
        <v>512GB</v>
      </c>
      <c r="O586" s="1" t="str">
        <f t="shared" si="6"/>
        <v>512GB</v>
      </c>
      <c r="P586" s="1" t="s">
        <v>1015</v>
      </c>
      <c r="Q586" s="1" t="str">
        <f t="shared" si="7"/>
        <v>1920x1200</v>
      </c>
      <c r="R586" s="1" t="s">
        <v>971</v>
      </c>
      <c r="S586" s="1" t="str">
        <f t="shared" si="8"/>
        <v>60Hz</v>
      </c>
      <c r="T586" s="1" t="s">
        <v>90</v>
      </c>
      <c r="U586" s="1" t="str">
        <f t="shared" si="9"/>
        <v>Windows 11 Home</v>
      </c>
      <c r="V586" s="1" t="s">
        <v>3338</v>
      </c>
      <c r="W586" s="1" t="str">
        <f t="shared" si="10"/>
        <v>1.6 kg</v>
      </c>
      <c r="X586" s="1" t="s">
        <v>78</v>
      </c>
      <c r="Y586" s="1" t="str">
        <f t="shared" si="11"/>
        <v>1 Year</v>
      </c>
      <c r="Z586" s="4">
        <v>31999</v>
      </c>
      <c r="AA586" s="1" t="s">
        <v>79</v>
      </c>
    </row>
    <row r="587" spans="1:27" ht="15.75" customHeight="1" x14ac:dyDescent="0.35">
      <c r="A587" s="1" t="s">
        <v>151</v>
      </c>
      <c r="B587" s="1" t="str">
        <f t="shared" si="16"/>
        <v>Lenovo</v>
      </c>
      <c r="C587" s="1" t="s">
        <v>3340</v>
      </c>
      <c r="D587" s="1" t="str">
        <f t="shared" si="1"/>
        <v>IdeaPad 3 15IAU7</v>
      </c>
      <c r="E587" s="1" t="str">
        <f t="array" aca="1" ref="E587" ca="1">IFERROR(
INDEX(Family_Map!$B$2:$B$35,
_xludf.AGGREGATE(14,6,(ROW(Family_Map!$A$2:$A$35)-ROW(Family_Map!$A$2)+1)/(ISNUMBER(SEARCH(Family_Map!$A$2:$A$35,D587))),1)
),
"Other")</f>
        <v>Other</v>
      </c>
      <c r="F587" s="1" t="s">
        <v>349</v>
      </c>
      <c r="G587" s="1" t="e">
        <f t="shared" ca="1" si="2"/>
        <v>#NAME?</v>
      </c>
      <c r="H587" s="1" t="str">
        <f t="shared" ca="1" si="12"/>
        <v>Other</v>
      </c>
      <c r="J587" s="1" t="str">
        <f t="shared" si="3"/>
        <v/>
      </c>
      <c r="K587" s="1" t="s">
        <v>3327</v>
      </c>
      <c r="L587" s="1">
        <f t="shared" si="38"/>
        <v>8</v>
      </c>
      <c r="M587" s="1" t="s">
        <v>156</v>
      </c>
      <c r="N587" s="1" t="str">
        <f t="shared" si="5"/>
        <v>512GB</v>
      </c>
      <c r="O587" s="1" t="str">
        <f t="shared" si="6"/>
        <v>512GB</v>
      </c>
      <c r="P587" s="1" t="s">
        <v>74</v>
      </c>
      <c r="Q587" s="1" t="str">
        <f t="shared" si="7"/>
        <v>1920x1080</v>
      </c>
      <c r="S587" s="1" t="str">
        <f t="shared" si="8"/>
        <v/>
      </c>
      <c r="T587" s="1" t="s">
        <v>101</v>
      </c>
      <c r="U587" s="1" t="str">
        <f t="shared" si="9"/>
        <v>DOS</v>
      </c>
      <c r="V587" s="1" t="s">
        <v>3346</v>
      </c>
      <c r="W587" s="1" t="str">
        <f t="shared" si="10"/>
        <v>1.63 kg</v>
      </c>
      <c r="X587" s="1" t="s">
        <v>339</v>
      </c>
      <c r="Y587" s="1" t="str">
        <f t="shared" si="11"/>
        <v>2 Years</v>
      </c>
      <c r="Z587" s="4">
        <v>18888</v>
      </c>
      <c r="AA587" s="1" t="s">
        <v>166</v>
      </c>
    </row>
    <row r="588" spans="1:27" ht="15.75" customHeight="1" x14ac:dyDescent="0.35">
      <c r="A588" s="1" t="s">
        <v>112</v>
      </c>
      <c r="B588" s="1" t="str">
        <f t="shared" si="16"/>
        <v>HP</v>
      </c>
      <c r="C588" s="1" t="s">
        <v>3349</v>
      </c>
      <c r="D588" s="1" t="str">
        <f t="shared" si="1"/>
        <v>15-fd0021nx</v>
      </c>
      <c r="E588" s="1" t="str">
        <f t="array" aca="1" ref="E588" ca="1">IFERROR(
INDEX(Family_Map!$B$2:$B$35,
_xludf.AGGREGATE(14,6,(ROW(Family_Map!$A$2:$A$35)-ROW(Family_Map!$A$2)+1)/(ISNUMBER(SEARCH(Family_Map!$A$2:$A$35,D588))),1)
),
"Other")</f>
        <v>Other</v>
      </c>
      <c r="F588" s="1" t="s">
        <v>3350</v>
      </c>
      <c r="G588" s="1" t="e">
        <f t="shared" ca="1" si="2"/>
        <v>#NAME?</v>
      </c>
      <c r="H588" s="1" t="str">
        <f t="shared" ca="1" si="12"/>
        <v>Other</v>
      </c>
      <c r="J588" s="1" t="str">
        <f t="shared" si="3"/>
        <v/>
      </c>
      <c r="K588" s="1" t="s">
        <v>3351</v>
      </c>
      <c r="L588" s="1">
        <f t="shared" si="38"/>
        <v>4</v>
      </c>
      <c r="M588" s="1" t="s">
        <v>3352</v>
      </c>
      <c r="N588" s="1" t="str">
        <f t="shared" si="5"/>
        <v>256GB</v>
      </c>
      <c r="O588" s="1" t="str">
        <f t="shared" si="6"/>
        <v>256GB</v>
      </c>
      <c r="P588" s="1" t="s">
        <v>120</v>
      </c>
      <c r="Q588" s="1" t="str">
        <f t="shared" si="7"/>
        <v>1920x1080</v>
      </c>
      <c r="S588" s="1" t="str">
        <f t="shared" si="8"/>
        <v/>
      </c>
      <c r="T588" s="1" t="s">
        <v>101</v>
      </c>
      <c r="U588" s="1" t="str">
        <f t="shared" si="9"/>
        <v>DOS</v>
      </c>
      <c r="V588" s="1" t="s">
        <v>3288</v>
      </c>
      <c r="W588" s="1" t="str">
        <f t="shared" si="10"/>
        <v>1.59 kg</v>
      </c>
      <c r="X588" s="1" t="s">
        <v>78</v>
      </c>
      <c r="Y588" s="1" t="str">
        <f t="shared" si="11"/>
        <v>1 Year</v>
      </c>
      <c r="Z588" s="4">
        <v>15999</v>
      </c>
      <c r="AA588" s="1" t="s">
        <v>79</v>
      </c>
    </row>
    <row r="589" spans="1:27" ht="15.75" customHeight="1" x14ac:dyDescent="0.35">
      <c r="A589" s="1" t="s">
        <v>151</v>
      </c>
      <c r="B589" s="1" t="str">
        <f t="shared" si="16"/>
        <v>Lenovo</v>
      </c>
      <c r="C589" s="1" t="s">
        <v>3361</v>
      </c>
      <c r="D589" s="1" t="str">
        <f t="shared" si="1"/>
        <v>Lenovo IdeaPad Slim 3 15IRH10</v>
      </c>
      <c r="E589" s="1" t="str">
        <f t="array" aca="1" ref="E589" ca="1">IFERROR(
INDEX(Family_Map!$B$2:$B$35,
_xludf.AGGREGATE(14,6,(ROW(Family_Map!$A$2:$A$35)-ROW(Family_Map!$A$2)+1)/(ISNUMBER(SEARCH(Family_Map!$A$2:$A$35,D589))),1)
),
"Other")</f>
        <v>Other</v>
      </c>
      <c r="F589" s="1" t="s">
        <v>3280</v>
      </c>
      <c r="G589" s="1" t="e">
        <f t="shared" ca="1" si="2"/>
        <v>#NAME?</v>
      </c>
      <c r="H589" s="1" t="str">
        <f t="shared" ca="1" si="12"/>
        <v>Other</v>
      </c>
      <c r="J589" s="1" t="str">
        <f t="shared" si="3"/>
        <v/>
      </c>
      <c r="K589" s="1" t="s">
        <v>3282</v>
      </c>
      <c r="L589" s="1">
        <f t="shared" si="38"/>
        <v>8</v>
      </c>
      <c r="M589" s="1" t="s">
        <v>156</v>
      </c>
      <c r="N589" s="1" t="str">
        <f t="shared" si="5"/>
        <v>512GB</v>
      </c>
      <c r="O589" s="1" t="str">
        <f t="shared" si="6"/>
        <v>512GB</v>
      </c>
      <c r="P589" s="1" t="s">
        <v>1015</v>
      </c>
      <c r="Q589" s="1" t="str">
        <f t="shared" si="7"/>
        <v>1920x1200</v>
      </c>
      <c r="R589" s="1" t="s">
        <v>971</v>
      </c>
      <c r="S589" s="1" t="str">
        <f t="shared" si="8"/>
        <v>60Hz</v>
      </c>
      <c r="T589" s="1" t="s">
        <v>101</v>
      </c>
      <c r="U589" s="1" t="str">
        <f t="shared" si="9"/>
        <v>DOS</v>
      </c>
      <c r="V589" s="1" t="s">
        <v>3288</v>
      </c>
      <c r="W589" s="1" t="str">
        <f t="shared" si="10"/>
        <v>1.59 kg</v>
      </c>
      <c r="X589" s="1" t="s">
        <v>165</v>
      </c>
      <c r="Y589" s="1" t="str">
        <f t="shared" si="11"/>
        <v>2 Years</v>
      </c>
      <c r="Z589" s="4">
        <v>28888</v>
      </c>
      <c r="AA589" s="1" t="s">
        <v>79</v>
      </c>
    </row>
    <row r="590" spans="1:27" ht="15.75" customHeight="1" x14ac:dyDescent="0.35">
      <c r="A590" s="1" t="s">
        <v>66</v>
      </c>
      <c r="B590" s="1" t="str">
        <f t="shared" si="16"/>
        <v>Acer</v>
      </c>
      <c r="C590" s="1" t="s">
        <v>3362</v>
      </c>
      <c r="D590" s="1" t="str">
        <f t="shared" si="1"/>
        <v>Aspire 3 A315-44P-R4GH</v>
      </c>
      <c r="E590" s="1" t="str">
        <f t="array" aca="1" ref="E590" ca="1">IFERROR(
INDEX(Family_Map!$B$2:$B$35,
_xludf.AGGREGATE(14,6,(ROW(Family_Map!$A$2:$A$35)-ROW(Family_Map!$A$2)+1)/(ISNUMBER(SEARCH(Family_Map!$A$2:$A$35,D590))),1)
),
"Other")</f>
        <v>Other</v>
      </c>
      <c r="F590" s="1" t="s">
        <v>3325</v>
      </c>
      <c r="G590" s="1" t="e">
        <f t="shared" ca="1" si="2"/>
        <v>#NAME?</v>
      </c>
      <c r="H590" s="1" t="str">
        <f t="shared" ca="1" si="12"/>
        <v>Other</v>
      </c>
      <c r="J590" s="1" t="str">
        <f t="shared" si="3"/>
        <v/>
      </c>
      <c r="K590" s="1" t="s">
        <v>462</v>
      </c>
      <c r="L590" s="1">
        <f t="shared" si="38"/>
        <v>8</v>
      </c>
      <c r="M590" s="1" t="s">
        <v>3364</v>
      </c>
      <c r="N590" s="1" t="str">
        <f t="shared" si="5"/>
        <v>512 GB</v>
      </c>
      <c r="O590" s="1" t="str">
        <f t="shared" si="6"/>
        <v>512 GB</v>
      </c>
      <c r="P590" s="1" t="s">
        <v>120</v>
      </c>
      <c r="Q590" s="1" t="str">
        <f t="shared" si="7"/>
        <v>1920x1080</v>
      </c>
      <c r="R590" s="1" t="s">
        <v>971</v>
      </c>
      <c r="S590" s="1" t="str">
        <f t="shared" si="8"/>
        <v>60Hz</v>
      </c>
      <c r="T590" s="1" t="s">
        <v>101</v>
      </c>
      <c r="U590" s="1" t="str">
        <f t="shared" si="9"/>
        <v>DOS</v>
      </c>
      <c r="V590" s="1" t="s">
        <v>3367</v>
      </c>
      <c r="W590" s="1" t="str">
        <f t="shared" si="10"/>
        <v>1.78 kg</v>
      </c>
      <c r="X590" s="1" t="s">
        <v>165</v>
      </c>
      <c r="Y590" s="1" t="str">
        <f t="shared" si="11"/>
        <v>2 Years</v>
      </c>
      <c r="Z590" s="4">
        <v>16777</v>
      </c>
      <c r="AA590" s="1" t="s">
        <v>5735</v>
      </c>
    </row>
    <row r="591" spans="1:27" ht="15.75" customHeight="1" x14ac:dyDescent="0.35">
      <c r="A591" s="1" t="s">
        <v>151</v>
      </c>
      <c r="B591" s="1" t="str">
        <f t="shared" si="16"/>
        <v>Lenovo</v>
      </c>
      <c r="C591" s="1" t="s">
        <v>3361</v>
      </c>
      <c r="D591" s="1" t="str">
        <f t="shared" si="1"/>
        <v>Lenovo IdeaPad Slim 3 15IRH10</v>
      </c>
      <c r="E591" s="1" t="str">
        <f t="array" aca="1" ref="E591" ca="1">IFERROR(
INDEX(Family_Map!$B$2:$B$35,
_xludf.AGGREGATE(14,6,(ROW(Family_Map!$A$2:$A$35)-ROW(Family_Map!$A$2)+1)/(ISNUMBER(SEARCH(Family_Map!$A$2:$A$35,D591))),1)
),
"Other")</f>
        <v>Other</v>
      </c>
      <c r="F591" s="1" t="s">
        <v>687</v>
      </c>
      <c r="G591" s="1" t="e">
        <f t="shared" ca="1" si="2"/>
        <v>#NAME?</v>
      </c>
      <c r="H591" s="1" t="str">
        <f t="shared" ca="1" si="12"/>
        <v>Other</v>
      </c>
      <c r="J591" s="1" t="str">
        <f t="shared" si="3"/>
        <v/>
      </c>
      <c r="K591" s="1" t="s">
        <v>3370</v>
      </c>
      <c r="L591" s="1">
        <f t="shared" si="38"/>
        <v>16</v>
      </c>
      <c r="M591" s="1" t="s">
        <v>3371</v>
      </c>
      <c r="N591" s="1" t="str">
        <f t="shared" si="5"/>
        <v>512GB</v>
      </c>
      <c r="O591" s="1" t="str">
        <f t="shared" si="6"/>
        <v>512GB</v>
      </c>
      <c r="P591" s="1" t="s">
        <v>1015</v>
      </c>
      <c r="Q591" s="1" t="str">
        <f t="shared" si="7"/>
        <v>1920x1200</v>
      </c>
      <c r="R591" s="1" t="s">
        <v>971</v>
      </c>
      <c r="S591" s="1" t="str">
        <f t="shared" si="8"/>
        <v>60Hz</v>
      </c>
      <c r="T591" s="1" t="s">
        <v>90</v>
      </c>
      <c r="U591" s="1" t="str">
        <f t="shared" si="9"/>
        <v>Windows 11 Home</v>
      </c>
      <c r="V591" s="1" t="s">
        <v>3288</v>
      </c>
      <c r="W591" s="1" t="str">
        <f t="shared" si="10"/>
        <v>1.59 kg</v>
      </c>
      <c r="X591" s="1" t="s">
        <v>2139</v>
      </c>
      <c r="Y591" s="1" t="str">
        <f t="shared" si="11"/>
        <v>2 Years</v>
      </c>
      <c r="Z591" s="4">
        <v>25999</v>
      </c>
      <c r="AA591" s="1" t="s">
        <v>79</v>
      </c>
    </row>
    <row r="592" spans="1:27" ht="15.75" customHeight="1" x14ac:dyDescent="0.35">
      <c r="A592" s="1" t="s">
        <v>112</v>
      </c>
      <c r="B592" s="1" t="str">
        <f t="shared" si="16"/>
        <v>HP</v>
      </c>
      <c r="C592" s="1" t="s">
        <v>3375</v>
      </c>
      <c r="D592" s="1" t="str">
        <f t="shared" si="1"/>
        <v>OmniBook 5 Flip 14-FP0013DX</v>
      </c>
      <c r="E592" s="1" t="str">
        <f t="array" aca="1" ref="E592" ca="1">IFERROR(
INDEX(Family_Map!$B$2:$B$35,
_xludf.AGGREGATE(14,6,(ROW(Family_Map!$A$2:$A$35)-ROW(Family_Map!$A$2)+1)/(ISNUMBER(SEARCH(Family_Map!$A$2:$A$35,D592))),1)
),
"Other")</f>
        <v>Other</v>
      </c>
      <c r="F592" s="1" t="s">
        <v>3376</v>
      </c>
      <c r="G592" s="1" t="e">
        <f t="shared" ca="1" si="2"/>
        <v>#NAME?</v>
      </c>
      <c r="H592" s="1" t="str">
        <f t="shared" ca="1" si="12"/>
        <v>Other</v>
      </c>
      <c r="J592" s="1" t="str">
        <f t="shared" si="3"/>
        <v/>
      </c>
      <c r="K592" s="1" t="s">
        <v>3377</v>
      </c>
      <c r="L592" s="1">
        <f t="shared" si="38"/>
        <v>8</v>
      </c>
      <c r="M592" s="1" t="s">
        <v>118</v>
      </c>
      <c r="N592" s="1" t="str">
        <f t="shared" si="5"/>
        <v>512 GB</v>
      </c>
      <c r="O592" s="1" t="str">
        <f t="shared" si="6"/>
        <v>512 GB</v>
      </c>
      <c r="Q592" s="1" t="str">
        <f t="shared" si="7"/>
        <v/>
      </c>
      <c r="S592" s="1" t="str">
        <f t="shared" si="8"/>
        <v/>
      </c>
      <c r="T592" s="1" t="s">
        <v>40</v>
      </c>
      <c r="U592" s="1" t="str">
        <f t="shared" si="9"/>
        <v>Windows 11 Home</v>
      </c>
      <c r="V592" s="1" t="s">
        <v>3383</v>
      </c>
      <c r="W592" s="1" t="str">
        <f t="shared" si="10"/>
        <v>1.62 kg</v>
      </c>
      <c r="X592" s="1" t="s">
        <v>129</v>
      </c>
      <c r="Y592" s="1" t="str">
        <f t="shared" si="11"/>
        <v>1 Year</v>
      </c>
      <c r="Z592" s="4">
        <v>32999</v>
      </c>
      <c r="AA592" s="1" t="s">
        <v>5735</v>
      </c>
    </row>
    <row r="593" spans="1:27" ht="15.75" customHeight="1" x14ac:dyDescent="0.35">
      <c r="A593" s="1" t="s">
        <v>112</v>
      </c>
      <c r="B593" s="1" t="str">
        <f t="shared" si="16"/>
        <v>HP</v>
      </c>
      <c r="C593" s="1" t="s">
        <v>3387</v>
      </c>
      <c r="D593" s="1" t="str">
        <f t="shared" si="1"/>
        <v>OmniBook 5 Flip 14-FP0023DX</v>
      </c>
      <c r="E593" s="1" t="str">
        <f t="array" aca="1" ref="E593" ca="1">IFERROR(
INDEX(Family_Map!$B$2:$B$35,
_xludf.AGGREGATE(14,6,(ROW(Family_Map!$A$2:$A$35)-ROW(Family_Map!$A$2)+1)/(ISNUMBER(SEARCH(Family_Map!$A$2:$A$35,D593))),1)
),
"Other")</f>
        <v>Other</v>
      </c>
      <c r="F593" s="1" t="s">
        <v>3269</v>
      </c>
      <c r="G593" s="1" t="e">
        <f t="shared" ca="1" si="2"/>
        <v>#NAME?</v>
      </c>
      <c r="H593" s="1" t="str">
        <f t="shared" ca="1" si="12"/>
        <v>Other</v>
      </c>
      <c r="J593" s="1" t="str">
        <f t="shared" si="3"/>
        <v/>
      </c>
      <c r="K593" s="1" t="s">
        <v>3388</v>
      </c>
      <c r="L593" s="1">
        <f t="shared" si="38"/>
        <v>16</v>
      </c>
      <c r="M593" s="1" t="s">
        <v>118</v>
      </c>
      <c r="N593" s="1" t="str">
        <f t="shared" si="5"/>
        <v>512 GB</v>
      </c>
      <c r="O593" s="1" t="str">
        <f t="shared" si="6"/>
        <v>512 GB</v>
      </c>
      <c r="Q593" s="1" t="str">
        <f t="shared" si="7"/>
        <v/>
      </c>
      <c r="S593" s="1" t="str">
        <f t="shared" si="8"/>
        <v/>
      </c>
      <c r="T593" s="1" t="s">
        <v>40</v>
      </c>
      <c r="U593" s="1" t="str">
        <f t="shared" si="9"/>
        <v>Windows 11 Home</v>
      </c>
      <c r="V593" s="1" t="s">
        <v>3383</v>
      </c>
      <c r="W593" s="1" t="str">
        <f t="shared" si="10"/>
        <v>1.62 kg</v>
      </c>
      <c r="X593" s="1" t="s">
        <v>129</v>
      </c>
      <c r="Y593" s="1" t="str">
        <f t="shared" si="11"/>
        <v>1 Year</v>
      </c>
      <c r="Z593" s="4">
        <v>42999</v>
      </c>
      <c r="AA593" s="1" t="s">
        <v>5735</v>
      </c>
    </row>
    <row r="594" spans="1:27" ht="15.75" customHeight="1" x14ac:dyDescent="0.35">
      <c r="A594" s="1" t="s">
        <v>234</v>
      </c>
      <c r="B594" s="1" t="str">
        <f t="shared" si="16"/>
        <v>ASUS</v>
      </c>
      <c r="C594" s="1" t="s">
        <v>3391</v>
      </c>
      <c r="D594" s="1" t="str">
        <f t="shared" si="1"/>
        <v>Vivobook 16 X1607QA-MB054W</v>
      </c>
      <c r="E594" s="1" t="str">
        <f t="array" aca="1" ref="E594" ca="1">IFERROR(
INDEX(Family_Map!$B$2:$B$35,
_xludf.AGGREGATE(14,6,(ROW(Family_Map!$A$2:$A$35)-ROW(Family_Map!$A$2)+1)/(ISNUMBER(SEARCH(Family_Map!$A$2:$A$35,D594))),1)
),
"Other")</f>
        <v>Other</v>
      </c>
      <c r="F594" s="1" t="s">
        <v>3392</v>
      </c>
      <c r="G594" s="1" t="e">
        <f t="shared" ca="1" si="2"/>
        <v>#NAME?</v>
      </c>
      <c r="H594" s="1" t="str">
        <f t="shared" ca="1" si="12"/>
        <v>Other</v>
      </c>
      <c r="J594" s="1" t="str">
        <f t="shared" si="3"/>
        <v/>
      </c>
      <c r="K594" s="1" t="s">
        <v>3394</v>
      </c>
      <c r="L594" s="1">
        <f t="shared" si="38"/>
        <v>16</v>
      </c>
      <c r="M594" s="1" t="s">
        <v>3395</v>
      </c>
      <c r="N594" s="1" t="str">
        <f t="shared" si="5"/>
        <v>1TB</v>
      </c>
      <c r="O594" s="1" t="str">
        <f t="shared" si="6"/>
        <v>1024GB</v>
      </c>
      <c r="P594" s="1" t="s">
        <v>275</v>
      </c>
      <c r="Q594" s="1" t="str">
        <f t="shared" si="7"/>
        <v>1920x1200</v>
      </c>
      <c r="R594" s="1" t="s">
        <v>971</v>
      </c>
      <c r="S594" s="1" t="str">
        <f t="shared" si="8"/>
        <v>60Hz</v>
      </c>
      <c r="T594" s="1" t="s">
        <v>40</v>
      </c>
      <c r="U594" s="1" t="str">
        <f t="shared" si="9"/>
        <v>Windows 11 Home</v>
      </c>
      <c r="V594" s="1" t="s">
        <v>3401</v>
      </c>
      <c r="W594" s="1" t="str">
        <f t="shared" si="10"/>
        <v>1.88 kg</v>
      </c>
      <c r="X594" s="1" t="s">
        <v>129</v>
      </c>
      <c r="Y594" s="1" t="str">
        <f t="shared" si="11"/>
        <v>1 Year</v>
      </c>
      <c r="Z594" s="4">
        <v>36999</v>
      </c>
      <c r="AA594" s="1" t="s">
        <v>5735</v>
      </c>
    </row>
    <row r="595" spans="1:27" ht="15.75" customHeight="1" x14ac:dyDescent="0.35">
      <c r="A595" s="1" t="s">
        <v>234</v>
      </c>
      <c r="B595" s="1" t="str">
        <f t="shared" si="16"/>
        <v>ASUS</v>
      </c>
      <c r="C595" s="1" t="s">
        <v>3405</v>
      </c>
      <c r="D595" s="1" t="str">
        <f t="shared" si="1"/>
        <v>Vivobook S15 S5507QA-MA037W</v>
      </c>
      <c r="E595" s="1" t="str">
        <f t="array" aca="1" ref="E595" ca="1">IFERROR(
INDEX(Family_Map!$B$2:$B$35,
_xludf.AGGREGATE(14,6,(ROW(Family_Map!$A$2:$A$35)-ROW(Family_Map!$A$2)+1)/(ISNUMBER(SEARCH(Family_Map!$A$2:$A$35,D595))),1)
),
"Other")</f>
        <v>Other</v>
      </c>
      <c r="F595" s="1" t="s">
        <v>3406</v>
      </c>
      <c r="G595" s="1" t="e">
        <f t="shared" ca="1" si="2"/>
        <v>#NAME?</v>
      </c>
      <c r="H595" s="1" t="str">
        <f t="shared" ca="1" si="12"/>
        <v>Other</v>
      </c>
      <c r="J595" s="1" t="str">
        <f t="shared" si="3"/>
        <v/>
      </c>
      <c r="K595" s="1" t="s">
        <v>3394</v>
      </c>
      <c r="L595" s="1">
        <f t="shared" si="38"/>
        <v>16</v>
      </c>
      <c r="M595" s="1" t="s">
        <v>629</v>
      </c>
      <c r="N595" s="1" t="str">
        <f t="shared" si="5"/>
        <v>512GB</v>
      </c>
      <c r="O595" s="1" t="str">
        <f t="shared" si="6"/>
        <v>512GB</v>
      </c>
      <c r="P595" s="1" t="s">
        <v>2201</v>
      </c>
      <c r="Q595" s="1" t="str">
        <f t="shared" si="7"/>
        <v>2880x1620</v>
      </c>
      <c r="R595" s="1" t="s">
        <v>39</v>
      </c>
      <c r="S595" s="1" t="str">
        <f t="shared" si="8"/>
        <v>120Hz</v>
      </c>
      <c r="T595" s="1" t="s">
        <v>40</v>
      </c>
      <c r="U595" s="1" t="str">
        <f t="shared" si="9"/>
        <v>Windows 11 Home</v>
      </c>
      <c r="V595" s="1" t="s">
        <v>3411</v>
      </c>
      <c r="W595" s="1" t="str">
        <f t="shared" si="10"/>
        <v>1.42 kg</v>
      </c>
      <c r="X595" s="1" t="s">
        <v>129</v>
      </c>
      <c r="Y595" s="1" t="str">
        <f t="shared" si="11"/>
        <v>1 Year</v>
      </c>
      <c r="Z595" s="4">
        <v>50999</v>
      </c>
      <c r="AA595" s="1" t="s">
        <v>5735</v>
      </c>
    </row>
    <row r="596" spans="1:27" ht="15.75" customHeight="1" x14ac:dyDescent="0.35">
      <c r="A596" s="1" t="s">
        <v>234</v>
      </c>
      <c r="B596" s="1" t="str">
        <f t="shared" si="16"/>
        <v>ASUS</v>
      </c>
      <c r="C596" s="1" t="s">
        <v>3414</v>
      </c>
      <c r="D596" s="1" t="str">
        <f t="shared" si="1"/>
        <v>Vivobook S14 M5406UA-QD055W</v>
      </c>
      <c r="E596" s="1" t="str">
        <f t="array" aca="1" ref="E596" ca="1">IFERROR(
INDEX(Family_Map!$B$2:$B$35,
_xludf.AGGREGATE(14,6,(ROW(Family_Map!$A$2:$A$35)-ROW(Family_Map!$A$2)+1)/(ISNUMBER(SEARCH(Family_Map!$A$2:$A$35,D596))),1)
),
"Other")</f>
        <v>Other</v>
      </c>
      <c r="F596" s="1" t="s">
        <v>648</v>
      </c>
      <c r="G596" s="1" t="e">
        <f t="shared" ca="1" si="2"/>
        <v>#NAME?</v>
      </c>
      <c r="H596" s="1" t="str">
        <f t="shared" ca="1" si="12"/>
        <v>Other</v>
      </c>
      <c r="J596" s="1" t="str">
        <f t="shared" si="3"/>
        <v/>
      </c>
      <c r="K596" s="1" t="s">
        <v>3394</v>
      </c>
      <c r="L596" s="1">
        <f t="shared" si="38"/>
        <v>16</v>
      </c>
      <c r="M596" s="1" t="s">
        <v>629</v>
      </c>
      <c r="N596" s="1" t="str">
        <f t="shared" si="5"/>
        <v>512GB</v>
      </c>
      <c r="O596" s="1" t="str">
        <f t="shared" si="6"/>
        <v>512GB</v>
      </c>
      <c r="P596" s="1" t="s">
        <v>275</v>
      </c>
      <c r="Q596" s="1" t="str">
        <f t="shared" si="7"/>
        <v>1920x1200</v>
      </c>
      <c r="R596" s="1" t="s">
        <v>971</v>
      </c>
      <c r="S596" s="1" t="str">
        <f t="shared" si="8"/>
        <v>60Hz</v>
      </c>
      <c r="T596" s="1" t="s">
        <v>40</v>
      </c>
      <c r="U596" s="1" t="str">
        <f t="shared" si="9"/>
        <v>Windows 11 Home</v>
      </c>
      <c r="V596" s="1" t="s">
        <v>3420</v>
      </c>
      <c r="W596" s="1" t="str">
        <f t="shared" si="10"/>
        <v>1.3 kg</v>
      </c>
      <c r="X596" s="1" t="s">
        <v>129</v>
      </c>
      <c r="Y596" s="1" t="str">
        <f t="shared" si="11"/>
        <v>1 Year</v>
      </c>
      <c r="Z596" s="4">
        <v>53777</v>
      </c>
      <c r="AA596" s="1" t="s">
        <v>5735</v>
      </c>
    </row>
    <row r="597" spans="1:27" ht="15.75" customHeight="1" x14ac:dyDescent="0.35">
      <c r="A597" s="1" t="s">
        <v>151</v>
      </c>
      <c r="B597" s="1" t="str">
        <f t="shared" si="16"/>
        <v>Lenovo</v>
      </c>
      <c r="C597" s="1" t="s">
        <v>3423</v>
      </c>
      <c r="D597" s="1" t="str">
        <f t="shared" si="1"/>
        <v>V15 G4 IRU</v>
      </c>
      <c r="E597" s="1" t="str">
        <f t="array" aca="1" ref="E597" ca="1">IFERROR(
INDEX(Family_Map!$B$2:$B$35,
_xludf.AGGREGATE(14,6,(ROW(Family_Map!$A$2:$A$35)-ROW(Family_Map!$A$2)+1)/(ISNUMBER(SEARCH(Family_Map!$A$2:$A$35,D597))),1)
),
"Other")</f>
        <v>Other</v>
      </c>
      <c r="F597" s="1" t="s">
        <v>687</v>
      </c>
      <c r="G597" s="1" t="e">
        <f t="shared" ca="1" si="2"/>
        <v>#NAME?</v>
      </c>
      <c r="H597" s="1" t="str">
        <f t="shared" ca="1" si="12"/>
        <v>Other</v>
      </c>
      <c r="J597" s="1" t="str">
        <f t="shared" si="3"/>
        <v/>
      </c>
      <c r="K597" s="1" t="s">
        <v>3327</v>
      </c>
      <c r="L597" s="1">
        <f t="shared" si="38"/>
        <v>8</v>
      </c>
      <c r="M597" s="1" t="s">
        <v>156</v>
      </c>
      <c r="N597" s="1" t="str">
        <f t="shared" si="5"/>
        <v>512GB</v>
      </c>
      <c r="O597" s="1" t="str">
        <f t="shared" si="6"/>
        <v>512GB</v>
      </c>
      <c r="P597" s="1" t="s">
        <v>120</v>
      </c>
      <c r="Q597" s="1" t="str">
        <f t="shared" si="7"/>
        <v>1920x1080</v>
      </c>
      <c r="S597" s="1" t="str">
        <f t="shared" si="8"/>
        <v/>
      </c>
      <c r="T597" s="1" t="s">
        <v>101</v>
      </c>
      <c r="U597" s="1" t="str">
        <f t="shared" si="9"/>
        <v>DOS</v>
      </c>
      <c r="V597" s="1" t="s">
        <v>1609</v>
      </c>
      <c r="W597" s="1" t="str">
        <f t="shared" si="10"/>
        <v>1.65 kg</v>
      </c>
      <c r="X597" s="1" t="s">
        <v>129</v>
      </c>
      <c r="Y597" s="1" t="str">
        <f t="shared" si="11"/>
        <v>1 Year</v>
      </c>
      <c r="Z597" s="4">
        <v>23999</v>
      </c>
      <c r="AA597" s="1" t="s">
        <v>79</v>
      </c>
    </row>
    <row r="598" spans="1:27" ht="15.75" customHeight="1" x14ac:dyDescent="0.35">
      <c r="A598" s="1" t="s">
        <v>151</v>
      </c>
      <c r="B598" s="1" t="str">
        <f t="shared" si="16"/>
        <v>Lenovo</v>
      </c>
      <c r="C598" s="1" t="s">
        <v>3430</v>
      </c>
      <c r="D598" s="1" t="str">
        <f t="shared" si="1"/>
        <v>IdeaPad Slim 3 15IRH8</v>
      </c>
      <c r="E598" s="1" t="str">
        <f t="array" aca="1" ref="E598" ca="1">IFERROR(
INDEX(Family_Map!$B$2:$B$35,
_xludf.AGGREGATE(14,6,(ROW(Family_Map!$A$2:$A$35)-ROW(Family_Map!$A$2)+1)/(ISNUMBER(SEARCH(Family_Map!$A$2:$A$35,D598))),1)
),
"Other")</f>
        <v>Other</v>
      </c>
      <c r="F598" s="1" t="s">
        <v>114</v>
      </c>
      <c r="G598" s="1" t="e">
        <f t="shared" ca="1" si="2"/>
        <v>#NAME?</v>
      </c>
      <c r="H598" s="1" t="str">
        <f t="shared" ca="1" si="12"/>
        <v>Other</v>
      </c>
      <c r="J598" s="1" t="str">
        <f t="shared" si="3"/>
        <v/>
      </c>
      <c r="K598" s="1" t="s">
        <v>3431</v>
      </c>
      <c r="L598" s="1">
        <f t="shared" si="38"/>
        <v>16</v>
      </c>
      <c r="M598" s="1" t="s">
        <v>156</v>
      </c>
      <c r="N598" s="1" t="str">
        <f t="shared" si="5"/>
        <v>512GB</v>
      </c>
      <c r="O598" s="1" t="str">
        <f t="shared" si="6"/>
        <v>512GB</v>
      </c>
      <c r="P598" s="1" t="s">
        <v>74</v>
      </c>
      <c r="Q598" s="1" t="str">
        <f t="shared" si="7"/>
        <v>1920x1080</v>
      </c>
      <c r="S598" s="1" t="str">
        <f t="shared" si="8"/>
        <v/>
      </c>
      <c r="T598" s="1" t="s">
        <v>101</v>
      </c>
      <c r="U598" s="1" t="str">
        <f t="shared" si="9"/>
        <v>DOS</v>
      </c>
      <c r="V598" s="1" t="s">
        <v>3383</v>
      </c>
      <c r="W598" s="1" t="str">
        <f t="shared" si="10"/>
        <v>1.62 kg</v>
      </c>
      <c r="X598" s="1" t="s">
        <v>165</v>
      </c>
      <c r="Y598" s="1" t="str">
        <f t="shared" si="11"/>
        <v>2 Years</v>
      </c>
      <c r="Z598" s="4">
        <v>29999</v>
      </c>
      <c r="AA598" s="1" t="s">
        <v>79</v>
      </c>
    </row>
    <row r="599" spans="1:27" ht="15.75" customHeight="1" x14ac:dyDescent="0.35">
      <c r="A599" s="1" t="s">
        <v>234</v>
      </c>
      <c r="B599" s="1" t="str">
        <f t="shared" si="16"/>
        <v>ASUS</v>
      </c>
      <c r="C599" s="1" t="s">
        <v>3436</v>
      </c>
      <c r="D599" s="1" t="str">
        <f t="shared" si="1"/>
        <v>Zenbook DUO UX8406CA-PZ062W</v>
      </c>
      <c r="E599" s="1" t="str">
        <f t="array" aca="1" ref="E599" ca="1">IFERROR(
INDEX(Family_Map!$B$2:$B$35,
_xludf.AGGREGATE(14,6,(ROW(Family_Map!$A$2:$A$35)-ROW(Family_Map!$A$2)+1)/(ISNUMBER(SEARCH(Family_Map!$A$2:$A$35,D599))),1)
),
"Other")</f>
        <v>Other</v>
      </c>
      <c r="F599" s="1" t="s">
        <v>3437</v>
      </c>
      <c r="G599" s="1" t="e">
        <f t="shared" ca="1" si="2"/>
        <v>#NAME?</v>
      </c>
      <c r="H599" s="1" t="str">
        <f t="shared" ca="1" si="12"/>
        <v>Other</v>
      </c>
      <c r="J599" s="1" t="str">
        <f t="shared" si="3"/>
        <v/>
      </c>
      <c r="K599" s="1" t="s">
        <v>3439</v>
      </c>
      <c r="L599" s="1">
        <f t="shared" si="38"/>
        <v>32</v>
      </c>
      <c r="M599" s="1" t="s">
        <v>3395</v>
      </c>
      <c r="N599" s="1" t="str">
        <f t="shared" si="5"/>
        <v>1TB</v>
      </c>
      <c r="O599" s="1" t="str">
        <f t="shared" si="6"/>
        <v>1024GB</v>
      </c>
      <c r="P599" s="1" t="s">
        <v>1021</v>
      </c>
      <c r="Q599" s="1" t="str">
        <f t="shared" si="7"/>
        <v>2880x1800</v>
      </c>
      <c r="R599" s="1" t="s">
        <v>39</v>
      </c>
      <c r="S599" s="1" t="str">
        <f t="shared" si="8"/>
        <v>120Hz</v>
      </c>
      <c r="T599" s="1" t="s">
        <v>40</v>
      </c>
      <c r="U599" s="1" t="str">
        <f t="shared" si="9"/>
        <v>Windows 11 Home</v>
      </c>
      <c r="V599" s="1" t="s">
        <v>1609</v>
      </c>
      <c r="W599" s="1" t="str">
        <f t="shared" si="10"/>
        <v>1.65 kg</v>
      </c>
      <c r="X599" s="1" t="s">
        <v>129</v>
      </c>
      <c r="Y599" s="1" t="str">
        <f t="shared" si="11"/>
        <v>1 Year</v>
      </c>
      <c r="Z599" s="4">
        <v>89999</v>
      </c>
      <c r="AA599" s="1" t="s">
        <v>5735</v>
      </c>
    </row>
    <row r="600" spans="1:27" ht="15.75" customHeight="1" x14ac:dyDescent="0.35">
      <c r="A600" s="1" t="s">
        <v>234</v>
      </c>
      <c r="B600" s="1" t="str">
        <f t="shared" si="16"/>
        <v>ASUS</v>
      </c>
      <c r="C600" s="1" t="s">
        <v>3447</v>
      </c>
      <c r="D600" s="1" t="str">
        <f t="shared" si="1"/>
        <v>ProArt P16 H7606WI-ME139W</v>
      </c>
      <c r="E600" s="1" t="str">
        <f t="array" aca="1" ref="E600" ca="1">IFERROR(
INDEX(Family_Map!$B$2:$B$35,
_xludf.AGGREGATE(14,6,(ROW(Family_Map!$A$2:$A$35)-ROW(Family_Map!$A$2)+1)/(ISNUMBER(SEARCH(Family_Map!$A$2:$A$35,D600))),1)
),
"Other")</f>
        <v>Other</v>
      </c>
      <c r="F600" s="1" t="s">
        <v>1018</v>
      </c>
      <c r="G600" s="1" t="e">
        <f t="shared" ca="1" si="2"/>
        <v>#NAME?</v>
      </c>
      <c r="H600" s="1" t="str">
        <f t="shared" ca="1" si="12"/>
        <v>Other</v>
      </c>
      <c r="I600" s="1" t="s">
        <v>410</v>
      </c>
      <c r="J600" s="1" t="str">
        <f t="shared" si="3"/>
        <v>8GB</v>
      </c>
      <c r="K600" s="1" t="s">
        <v>968</v>
      </c>
      <c r="L600" s="1">
        <f t="shared" si="38"/>
        <v>64</v>
      </c>
      <c r="M600" s="1" t="s">
        <v>1156</v>
      </c>
      <c r="N600" s="1" t="str">
        <f t="shared" si="5"/>
        <v>2TB</v>
      </c>
      <c r="O600" s="1" t="str">
        <f t="shared" si="6"/>
        <v>2048GB</v>
      </c>
      <c r="P600" s="1" t="s">
        <v>345</v>
      </c>
      <c r="Q600" s="1" t="str">
        <f t="shared" si="7"/>
        <v>3840x2400</v>
      </c>
      <c r="R600" s="1" t="s">
        <v>971</v>
      </c>
      <c r="S600" s="1" t="str">
        <f t="shared" si="8"/>
        <v>60Hz</v>
      </c>
      <c r="T600" s="1" t="s">
        <v>201</v>
      </c>
      <c r="U600" s="1" t="str">
        <f t="shared" si="9"/>
        <v>Windows 11 Home</v>
      </c>
      <c r="V600" s="1" t="s">
        <v>976</v>
      </c>
      <c r="W600" s="1" t="str">
        <f t="shared" si="10"/>
        <v>1.85 kg</v>
      </c>
      <c r="X600" s="1" t="s">
        <v>78</v>
      </c>
      <c r="Y600" s="1" t="str">
        <f t="shared" si="11"/>
        <v>1 Year</v>
      </c>
      <c r="Z600" s="4">
        <v>136666</v>
      </c>
      <c r="AA600" s="1" t="s">
        <v>5735</v>
      </c>
    </row>
    <row r="601" spans="1:27" ht="15.75" customHeight="1" x14ac:dyDescent="0.35">
      <c r="A601" s="1" t="s">
        <v>81</v>
      </c>
      <c r="B601" s="1" t="str">
        <f t="shared" si="16"/>
        <v>Dell</v>
      </c>
      <c r="C601" s="1" t="s">
        <v>3452</v>
      </c>
      <c r="D601" s="1" t="str">
        <f t="shared" si="1"/>
        <v>Vostro 15 3530</v>
      </c>
      <c r="E601" s="1" t="str">
        <f t="array" aca="1" ref="E601" ca="1">IFERROR(
INDEX(Family_Map!$B$2:$B$35,
_xludf.AGGREGATE(14,6,(ROW(Family_Map!$A$2:$A$35)-ROW(Family_Map!$A$2)+1)/(ISNUMBER(SEARCH(Family_Map!$A$2:$A$35,D601))),1)
),
"Other")</f>
        <v>Other</v>
      </c>
      <c r="F601" s="1" t="s">
        <v>3314</v>
      </c>
      <c r="G601" s="1" t="e">
        <f t="shared" ca="1" si="2"/>
        <v>#NAME?</v>
      </c>
      <c r="H601" s="1" t="str">
        <f t="shared" ca="1" si="12"/>
        <v>Other</v>
      </c>
      <c r="J601" s="1" t="str">
        <f t="shared" si="3"/>
        <v/>
      </c>
      <c r="K601" s="1" t="s">
        <v>3453</v>
      </c>
      <c r="L601" s="1">
        <f t="shared" si="38"/>
        <v>8</v>
      </c>
      <c r="M601" s="1" t="s">
        <v>2521</v>
      </c>
      <c r="N601" s="1" t="str">
        <f t="shared" si="5"/>
        <v>512GB</v>
      </c>
      <c r="O601" s="1" t="str">
        <f t="shared" si="6"/>
        <v>512GB</v>
      </c>
      <c r="P601" s="1" t="s">
        <v>120</v>
      </c>
      <c r="Q601" s="1" t="str">
        <f t="shared" si="7"/>
        <v>1920x1080</v>
      </c>
      <c r="R601" s="1" t="s">
        <v>39</v>
      </c>
      <c r="S601" s="1" t="str">
        <f t="shared" si="8"/>
        <v>120Hz</v>
      </c>
      <c r="T601" s="1" t="s">
        <v>101</v>
      </c>
      <c r="U601" s="1" t="str">
        <f t="shared" si="9"/>
        <v>DOS</v>
      </c>
      <c r="V601" s="1" t="s">
        <v>3458</v>
      </c>
      <c r="W601" s="1" t="str">
        <f t="shared" si="10"/>
        <v>1.66 kg</v>
      </c>
      <c r="X601" s="1" t="s">
        <v>78</v>
      </c>
      <c r="Y601" s="1" t="str">
        <f t="shared" si="11"/>
        <v>1 Year</v>
      </c>
      <c r="Z601" s="4">
        <v>21499</v>
      </c>
      <c r="AA601" s="1" t="s">
        <v>79</v>
      </c>
    </row>
    <row r="602" spans="1:27" ht="15.75" customHeight="1" x14ac:dyDescent="0.35">
      <c r="A602" s="1" t="s">
        <v>81</v>
      </c>
      <c r="B602" s="1" t="str">
        <f t="shared" si="16"/>
        <v>Dell</v>
      </c>
      <c r="C602" s="1" t="s">
        <v>3268</v>
      </c>
      <c r="D602" s="1" t="str">
        <f t="shared" si="1"/>
        <v>inspiron 14 7440</v>
      </c>
      <c r="E602" s="1" t="str">
        <f t="array" aca="1" ref="E602" ca="1">IFERROR(
INDEX(Family_Map!$B$2:$B$35,
_xludf.AGGREGATE(14,6,(ROW(Family_Map!$A$2:$A$35)-ROW(Family_Map!$A$2)+1)/(ISNUMBER(SEARCH(Family_Map!$A$2:$A$35,D602))),1)
),
"Other")</f>
        <v>Other</v>
      </c>
      <c r="F602" s="1" t="s">
        <v>3269</v>
      </c>
      <c r="G602" s="1" t="e">
        <f t="shared" ca="1" si="2"/>
        <v>#NAME?</v>
      </c>
      <c r="H602" s="1" t="str">
        <f t="shared" ca="1" si="12"/>
        <v>Other</v>
      </c>
      <c r="J602" s="1" t="str">
        <f t="shared" si="3"/>
        <v/>
      </c>
      <c r="K602" s="1" t="s">
        <v>1436</v>
      </c>
      <c r="L602" s="1">
        <f t="shared" si="38"/>
        <v>16</v>
      </c>
      <c r="M602" s="1" t="s">
        <v>322</v>
      </c>
      <c r="N602" s="1" t="str">
        <f t="shared" si="5"/>
        <v>1TB</v>
      </c>
      <c r="O602" s="1" t="str">
        <f t="shared" si="6"/>
        <v>1024GB</v>
      </c>
      <c r="P602" s="1" t="s">
        <v>275</v>
      </c>
      <c r="Q602" s="1" t="str">
        <f t="shared" si="7"/>
        <v>1920x1200</v>
      </c>
      <c r="R602" s="1" t="s">
        <v>971</v>
      </c>
      <c r="S602" s="1" t="str">
        <f t="shared" si="8"/>
        <v>60Hz</v>
      </c>
      <c r="T602" s="1" t="s">
        <v>90</v>
      </c>
      <c r="U602" s="1" t="str">
        <f t="shared" si="9"/>
        <v>Windows 11 Home</v>
      </c>
      <c r="V602" s="1" t="s">
        <v>3276</v>
      </c>
      <c r="W602" s="1" t="str">
        <f t="shared" si="10"/>
        <v>1.75 kg</v>
      </c>
      <c r="X602" s="1" t="s">
        <v>78</v>
      </c>
      <c r="Y602" s="1" t="str">
        <f t="shared" si="11"/>
        <v>1 Year</v>
      </c>
      <c r="Z602" s="4">
        <v>44444</v>
      </c>
      <c r="AA602" s="1" t="s">
        <v>5735</v>
      </c>
    </row>
    <row r="603" spans="1:27" ht="15.75" customHeight="1" x14ac:dyDescent="0.35">
      <c r="A603" s="1" t="s">
        <v>234</v>
      </c>
      <c r="B603" s="1" t="str">
        <f t="shared" si="16"/>
        <v>ASUS</v>
      </c>
      <c r="C603" s="1" t="s">
        <v>3461</v>
      </c>
      <c r="D603" s="1" t="str">
        <f t="shared" si="1"/>
        <v>Asus Zenbook S16</v>
      </c>
      <c r="E603" s="1" t="str">
        <f t="array" aca="1" ref="E603" ca="1">IFERROR(
INDEX(Family_Map!$B$2:$B$35,
_xludf.AGGREGATE(14,6,(ROW(Family_Map!$A$2:$A$35)-ROW(Family_Map!$A$2)+1)/(ISNUMBER(SEARCH(Family_Map!$A$2:$A$35,D603))),1)
),
"Other")</f>
        <v>Other</v>
      </c>
      <c r="F603" s="1" t="s">
        <v>1018</v>
      </c>
      <c r="G603" s="1" t="e">
        <f t="shared" ca="1" si="2"/>
        <v>#NAME?</v>
      </c>
      <c r="H603" s="1" t="str">
        <f t="shared" ca="1" si="12"/>
        <v>Other</v>
      </c>
      <c r="J603" s="1" t="str">
        <f t="shared" si="3"/>
        <v/>
      </c>
      <c r="K603" s="1" t="s">
        <v>3463</v>
      </c>
      <c r="L603" s="1">
        <f t="shared" si="38"/>
        <v>32</v>
      </c>
      <c r="M603" s="1" t="s">
        <v>1156</v>
      </c>
      <c r="N603" s="1" t="str">
        <f t="shared" si="5"/>
        <v>2TB</v>
      </c>
      <c r="O603" s="1" t="str">
        <f t="shared" si="6"/>
        <v>2048GB</v>
      </c>
      <c r="P603" s="1" t="s">
        <v>1021</v>
      </c>
      <c r="Q603" s="1" t="str">
        <f t="shared" si="7"/>
        <v>2880x1800</v>
      </c>
      <c r="R603" s="1" t="s">
        <v>39</v>
      </c>
      <c r="S603" s="1" t="str">
        <f t="shared" si="8"/>
        <v>120Hz</v>
      </c>
      <c r="T603" s="1" t="s">
        <v>201</v>
      </c>
      <c r="U603" s="1" t="str">
        <f t="shared" si="9"/>
        <v>Windows 11 Home</v>
      </c>
      <c r="V603" s="1" t="s">
        <v>3468</v>
      </c>
      <c r="W603" s="1" t="str">
        <f t="shared" si="10"/>
        <v>1.5 kg</v>
      </c>
      <c r="X603" s="1" t="s">
        <v>78</v>
      </c>
      <c r="Y603" s="1" t="str">
        <f t="shared" si="11"/>
        <v>1 Year</v>
      </c>
      <c r="Z603" s="4">
        <v>95999</v>
      </c>
      <c r="AA603" s="1" t="s">
        <v>5735</v>
      </c>
    </row>
    <row r="604" spans="1:27" ht="15.75" customHeight="1" x14ac:dyDescent="0.35">
      <c r="A604" s="1" t="s">
        <v>234</v>
      </c>
      <c r="B604" s="1" t="str">
        <f t="shared" si="16"/>
        <v>ASUS</v>
      </c>
      <c r="C604" s="1" t="s">
        <v>3471</v>
      </c>
      <c r="D604" s="1" t="str">
        <f t="shared" si="1"/>
        <v>UX8406CA-OLED009WS</v>
      </c>
      <c r="E604" s="1" t="str">
        <f t="array" aca="1" ref="E604" ca="1">IFERROR(
INDEX(Family_Map!$B$2:$B$35,
_xludf.AGGREGATE(14,6,(ROW(Family_Map!$A$2:$A$35)-ROW(Family_Map!$A$2)+1)/(ISNUMBER(SEARCH(Family_Map!$A$2:$A$35,D604))),1)
),
"Other")</f>
        <v>Other</v>
      </c>
      <c r="F604" s="1" t="s">
        <v>586</v>
      </c>
      <c r="G604" s="1" t="e">
        <f t="shared" ca="1" si="2"/>
        <v>#NAME?</v>
      </c>
      <c r="H604" s="1" t="str">
        <f t="shared" ca="1" si="12"/>
        <v>Other</v>
      </c>
      <c r="J604" s="1" t="str">
        <f t="shared" si="3"/>
        <v/>
      </c>
      <c r="K604" s="1" t="s">
        <v>3439</v>
      </c>
      <c r="L604" s="1">
        <f t="shared" si="38"/>
        <v>32</v>
      </c>
      <c r="M604" s="1" t="s">
        <v>1156</v>
      </c>
      <c r="N604" s="1" t="str">
        <f t="shared" si="5"/>
        <v>2TB</v>
      </c>
      <c r="O604" s="1" t="str">
        <f t="shared" si="6"/>
        <v>2048GB</v>
      </c>
      <c r="P604" s="1" t="s">
        <v>1021</v>
      </c>
      <c r="Q604" s="1" t="str">
        <f t="shared" si="7"/>
        <v>2880x1800</v>
      </c>
      <c r="R604" s="1" t="s">
        <v>39</v>
      </c>
      <c r="S604" s="1" t="str">
        <f t="shared" si="8"/>
        <v>120Hz</v>
      </c>
      <c r="T604" s="1" t="s">
        <v>201</v>
      </c>
      <c r="U604" s="1" t="str">
        <f t="shared" si="9"/>
        <v>Windows 11 Home</v>
      </c>
      <c r="V604" s="1" t="s">
        <v>1609</v>
      </c>
      <c r="W604" s="1" t="str">
        <f t="shared" si="10"/>
        <v>1.65 kg</v>
      </c>
      <c r="X604" s="1" t="s">
        <v>78</v>
      </c>
      <c r="Y604" s="1" t="str">
        <f t="shared" si="11"/>
        <v>1 Year</v>
      </c>
      <c r="Z604" s="4">
        <v>109000</v>
      </c>
      <c r="AA604" s="1" t="s">
        <v>5735</v>
      </c>
    </row>
    <row r="605" spans="1:27" ht="15.75" customHeight="1" x14ac:dyDescent="0.35">
      <c r="A605" s="1" t="s">
        <v>81</v>
      </c>
      <c r="B605" s="1" t="str">
        <f t="shared" si="16"/>
        <v>Dell</v>
      </c>
      <c r="C605" s="1" t="s">
        <v>3475</v>
      </c>
      <c r="D605" s="1" t="str">
        <f t="shared" si="1"/>
        <v>Vostro 3530</v>
      </c>
      <c r="E605" s="1" t="str">
        <f t="array" aca="1" ref="E605" ca="1">IFERROR(
INDEX(Family_Map!$B$2:$B$35,
_xludf.AGGREGATE(14,6,(ROW(Family_Map!$A$2:$A$35)-ROW(Family_Map!$A$2)+1)/(ISNUMBER(SEARCH(Family_Map!$A$2:$A$35,D605))),1)
),
"Other")</f>
        <v>Other</v>
      </c>
      <c r="F605" s="1" t="s">
        <v>3476</v>
      </c>
      <c r="G605" s="1" t="e">
        <f t="shared" ca="1" si="2"/>
        <v>#NAME?</v>
      </c>
      <c r="H605" s="1" t="str">
        <f t="shared" ca="1" si="12"/>
        <v>Other</v>
      </c>
      <c r="J605" s="1" t="str">
        <f t="shared" si="3"/>
        <v/>
      </c>
      <c r="K605" s="1" t="s">
        <v>3453</v>
      </c>
      <c r="L605" s="1">
        <f t="shared" si="38"/>
        <v>8</v>
      </c>
      <c r="M605" s="1" t="s">
        <v>2521</v>
      </c>
      <c r="N605" s="1" t="str">
        <f t="shared" si="5"/>
        <v>512GB</v>
      </c>
      <c r="O605" s="1" t="str">
        <f t="shared" si="6"/>
        <v>512GB</v>
      </c>
      <c r="P605" s="1" t="s">
        <v>120</v>
      </c>
      <c r="Q605" s="1" t="str">
        <f t="shared" si="7"/>
        <v>1920x1080</v>
      </c>
      <c r="R605" s="1" t="s">
        <v>39</v>
      </c>
      <c r="S605" s="1" t="str">
        <f t="shared" si="8"/>
        <v>120Hz</v>
      </c>
      <c r="T605" s="1" t="s">
        <v>101</v>
      </c>
      <c r="U605" s="1" t="str">
        <f t="shared" si="9"/>
        <v>DOS</v>
      </c>
      <c r="V605" s="1" t="s">
        <v>3458</v>
      </c>
      <c r="W605" s="1" t="str">
        <f t="shared" si="10"/>
        <v>1.66 kg</v>
      </c>
      <c r="X605" s="1" t="s">
        <v>78</v>
      </c>
      <c r="Y605" s="1" t="str">
        <f t="shared" si="11"/>
        <v>1 Year</v>
      </c>
      <c r="Z605" s="4">
        <v>25499</v>
      </c>
      <c r="AA605" s="1" t="s">
        <v>79</v>
      </c>
    </row>
    <row r="606" spans="1:27" ht="15.75" customHeight="1" x14ac:dyDescent="0.35">
      <c r="A606" s="1" t="s">
        <v>81</v>
      </c>
      <c r="B606" s="1" t="str">
        <f t="shared" si="16"/>
        <v>Dell</v>
      </c>
      <c r="C606" s="1" t="s">
        <v>3268</v>
      </c>
      <c r="D606" s="1" t="str">
        <f t="shared" si="1"/>
        <v>inspiron 14 7440</v>
      </c>
      <c r="E606" s="1" t="str">
        <f t="array" aca="1" ref="E606" ca="1">IFERROR(
INDEX(Family_Map!$B$2:$B$35,
_xludf.AGGREGATE(14,6,(ROW(Family_Map!$A$2:$A$35)-ROW(Family_Map!$A$2)+1)/(ISNUMBER(SEARCH(Family_Map!$A$2:$A$35,D606))),1)
),
"Other")</f>
        <v>Other</v>
      </c>
      <c r="F606" s="1" t="s">
        <v>3376</v>
      </c>
      <c r="G606" s="1" t="e">
        <f t="shared" ca="1" si="2"/>
        <v>#NAME?</v>
      </c>
      <c r="H606" s="1" t="str">
        <f t="shared" ca="1" si="12"/>
        <v>Other</v>
      </c>
      <c r="J606" s="1" t="str">
        <f t="shared" si="3"/>
        <v/>
      </c>
      <c r="K606" s="1" t="s">
        <v>3479</v>
      </c>
      <c r="L606" s="1">
        <f t="shared" si="38"/>
        <v>8</v>
      </c>
      <c r="M606" s="1" t="s">
        <v>2521</v>
      </c>
      <c r="N606" s="1" t="str">
        <f t="shared" si="5"/>
        <v>512GB</v>
      </c>
      <c r="O606" s="1" t="str">
        <f t="shared" si="6"/>
        <v>512GB</v>
      </c>
      <c r="P606" s="1" t="s">
        <v>275</v>
      </c>
      <c r="Q606" s="1" t="str">
        <f t="shared" si="7"/>
        <v>1920x1200</v>
      </c>
      <c r="R606" s="1" t="s">
        <v>971</v>
      </c>
      <c r="S606" s="1" t="str">
        <f t="shared" si="8"/>
        <v>60Hz</v>
      </c>
      <c r="T606" s="1" t="s">
        <v>90</v>
      </c>
      <c r="U606" s="1" t="str">
        <f t="shared" si="9"/>
        <v>Windows 11 Home</v>
      </c>
      <c r="V606" s="1" t="s">
        <v>3276</v>
      </c>
      <c r="W606" s="1" t="str">
        <f t="shared" si="10"/>
        <v>1.75 kg</v>
      </c>
      <c r="X606" s="1" t="s">
        <v>78</v>
      </c>
      <c r="Y606" s="1" t="str">
        <f t="shared" si="11"/>
        <v>1 Year</v>
      </c>
      <c r="Z606" s="4">
        <v>33999</v>
      </c>
      <c r="AA606" s="1" t="s">
        <v>5735</v>
      </c>
    </row>
    <row r="607" spans="1:27" ht="15.75" customHeight="1" x14ac:dyDescent="0.35">
      <c r="A607" s="1" t="s">
        <v>112</v>
      </c>
      <c r="B607" s="1" t="str">
        <f t="shared" si="16"/>
        <v>HP</v>
      </c>
      <c r="C607" s="1" t="s">
        <v>3482</v>
      </c>
      <c r="D607" s="1" t="str">
        <f t="shared" si="1"/>
        <v>15-fd0362nia</v>
      </c>
      <c r="E607" s="1" t="str">
        <f t="array" aca="1" ref="E607" ca="1">IFERROR(
INDEX(Family_Map!$B$2:$B$35,
_xludf.AGGREGATE(14,6,(ROW(Family_Map!$A$2:$A$35)-ROW(Family_Map!$A$2)+1)/(ISNUMBER(SEARCH(Family_Map!$A$2:$A$35,D607))),1)
),
"Other")</f>
        <v>Other</v>
      </c>
      <c r="F607" s="1" t="s">
        <v>3314</v>
      </c>
      <c r="G607" s="1" t="e">
        <f t="shared" ca="1" si="2"/>
        <v>#NAME?</v>
      </c>
      <c r="H607" s="1" t="str">
        <f t="shared" ca="1" si="12"/>
        <v>Other</v>
      </c>
      <c r="I607" s="1" t="s">
        <v>3484</v>
      </c>
      <c r="J607" s="1" t="str">
        <f t="shared" si="3"/>
        <v>2 GB</v>
      </c>
      <c r="K607" s="1" t="s">
        <v>3485</v>
      </c>
      <c r="L607" s="1">
        <f t="shared" si="38"/>
        <v>8</v>
      </c>
      <c r="M607" s="1" t="s">
        <v>2718</v>
      </c>
      <c r="N607" s="1" t="str">
        <f t="shared" si="5"/>
        <v>512 GB</v>
      </c>
      <c r="O607" s="1" t="str">
        <f t="shared" si="6"/>
        <v>512 GB</v>
      </c>
      <c r="P607" s="1" t="s">
        <v>120</v>
      </c>
      <c r="Q607" s="1" t="str">
        <f t="shared" si="7"/>
        <v>1920x1080</v>
      </c>
      <c r="S607" s="1" t="str">
        <f t="shared" si="8"/>
        <v/>
      </c>
      <c r="T607" s="1" t="s">
        <v>101</v>
      </c>
      <c r="U607" s="1" t="str">
        <f t="shared" si="9"/>
        <v>DOS</v>
      </c>
      <c r="V607" s="1" t="s">
        <v>3288</v>
      </c>
      <c r="W607" s="1" t="str">
        <f t="shared" si="10"/>
        <v>1.59 kg</v>
      </c>
      <c r="X607" s="1" t="s">
        <v>78</v>
      </c>
      <c r="Y607" s="1" t="str">
        <f t="shared" si="11"/>
        <v>1 Year</v>
      </c>
      <c r="Z607" s="4">
        <v>24499</v>
      </c>
      <c r="AA607" s="1" t="s">
        <v>79</v>
      </c>
    </row>
    <row r="608" spans="1:27" ht="15.75" customHeight="1" x14ac:dyDescent="0.35">
      <c r="A608" s="1" t="s">
        <v>81</v>
      </c>
      <c r="B608" s="1" t="str">
        <f t="shared" si="16"/>
        <v>Dell</v>
      </c>
      <c r="C608" s="1" t="s">
        <v>3491</v>
      </c>
      <c r="D608" s="1" t="str">
        <f t="shared" si="1"/>
        <v>Vostro 3515</v>
      </c>
      <c r="E608" s="1" t="str">
        <f t="array" aca="1" ref="E608" ca="1">IFERROR(
INDEX(Family_Map!$B$2:$B$35,
_xludf.AGGREGATE(14,6,(ROW(Family_Map!$A$2:$A$35)-ROW(Family_Map!$A$2)+1)/(ISNUMBER(SEARCH(Family_Map!$A$2:$A$35,D608))),1)
),
"Other")</f>
        <v>Other</v>
      </c>
      <c r="F608" s="1" t="s">
        <v>3492</v>
      </c>
      <c r="G608" s="1" t="e">
        <f t="shared" ca="1" si="2"/>
        <v>#NAME?</v>
      </c>
      <c r="H608" s="1" t="str">
        <f t="shared" ca="1" si="12"/>
        <v>Other</v>
      </c>
      <c r="J608" s="1" t="str">
        <f t="shared" si="3"/>
        <v/>
      </c>
      <c r="K608" s="1" t="s">
        <v>3494</v>
      </c>
      <c r="L608" s="1">
        <f t="shared" si="38"/>
        <v>8</v>
      </c>
      <c r="M608" s="1" t="s">
        <v>3495</v>
      </c>
      <c r="N608" s="1" t="str">
        <f t="shared" si="5"/>
        <v>256GB</v>
      </c>
      <c r="O608" s="1" t="str">
        <f t="shared" si="6"/>
        <v>256GB</v>
      </c>
      <c r="P608" s="1" t="s">
        <v>616</v>
      </c>
      <c r="Q608" s="1" t="str">
        <f t="shared" si="7"/>
        <v>1920x1080</v>
      </c>
      <c r="S608" s="1" t="str">
        <f t="shared" si="8"/>
        <v/>
      </c>
      <c r="T608" s="1" t="s">
        <v>101</v>
      </c>
      <c r="U608" s="1" t="str">
        <f t="shared" si="9"/>
        <v>DOS</v>
      </c>
      <c r="V608" s="1" t="s">
        <v>3500</v>
      </c>
      <c r="W608" s="1" t="str">
        <f t="shared" si="10"/>
        <v>1.7 kg</v>
      </c>
      <c r="X608" s="1" t="s">
        <v>129</v>
      </c>
      <c r="Y608" s="1" t="str">
        <f t="shared" si="11"/>
        <v>1 Year</v>
      </c>
      <c r="Z608" s="4">
        <v>17777</v>
      </c>
      <c r="AA608" s="1" t="s">
        <v>5735</v>
      </c>
    </row>
    <row r="609" spans="1:27" ht="15.75" customHeight="1" x14ac:dyDescent="0.35">
      <c r="A609" s="1" t="s">
        <v>151</v>
      </c>
      <c r="B609" s="1" t="str">
        <f t="shared" si="16"/>
        <v>Lenovo</v>
      </c>
      <c r="C609" s="1" t="s">
        <v>3430</v>
      </c>
      <c r="D609" s="1" t="str">
        <f t="shared" si="1"/>
        <v>IdeaPad Slim 3 15IRH8</v>
      </c>
      <c r="E609" s="1" t="str">
        <f t="array" aca="1" ref="E609" ca="1">IFERROR(
INDEX(Family_Map!$B$2:$B$35,
_xludf.AGGREGATE(14,6,(ROW(Family_Map!$A$2:$A$35)-ROW(Family_Map!$A$2)+1)/(ISNUMBER(SEARCH(Family_Map!$A$2:$A$35,D609))),1)
),
"Other")</f>
        <v>Other</v>
      </c>
      <c r="F609" s="1" t="s">
        <v>183</v>
      </c>
      <c r="G609" s="1" t="e">
        <f t="shared" ca="1" si="2"/>
        <v>#NAME?</v>
      </c>
      <c r="H609" s="1" t="str">
        <f t="shared" ca="1" si="12"/>
        <v>Other</v>
      </c>
      <c r="J609" s="1" t="str">
        <f t="shared" si="3"/>
        <v/>
      </c>
      <c r="K609" s="1" t="s">
        <v>3502</v>
      </c>
      <c r="L609" s="1">
        <f t="shared" si="38"/>
        <v>8</v>
      </c>
      <c r="M609" s="1" t="s">
        <v>156</v>
      </c>
      <c r="N609" s="1" t="str">
        <f t="shared" si="5"/>
        <v>512GB</v>
      </c>
      <c r="O609" s="1" t="str">
        <f t="shared" si="6"/>
        <v>512GB</v>
      </c>
      <c r="P609" s="1" t="s">
        <v>74</v>
      </c>
      <c r="Q609" s="1" t="str">
        <f t="shared" si="7"/>
        <v>1920x1080</v>
      </c>
      <c r="S609" s="1" t="str">
        <f t="shared" si="8"/>
        <v/>
      </c>
      <c r="T609" s="1" t="s">
        <v>101</v>
      </c>
      <c r="U609" s="1" t="str">
        <f t="shared" si="9"/>
        <v>DOS</v>
      </c>
      <c r="V609" s="1" t="s">
        <v>3383</v>
      </c>
      <c r="W609" s="1" t="str">
        <f t="shared" si="10"/>
        <v>1.62 kg</v>
      </c>
      <c r="X609" s="1" t="s">
        <v>78</v>
      </c>
      <c r="Y609" s="1" t="str">
        <f t="shared" si="11"/>
        <v>1 Year</v>
      </c>
      <c r="Z609" s="4">
        <v>20999</v>
      </c>
      <c r="AA609" s="1" t="s">
        <v>79</v>
      </c>
    </row>
    <row r="610" spans="1:27" ht="15.75" customHeight="1" x14ac:dyDescent="0.35">
      <c r="A610" s="1" t="s">
        <v>151</v>
      </c>
      <c r="B610" s="1" t="str">
        <f t="shared" si="16"/>
        <v>Lenovo</v>
      </c>
      <c r="C610" s="1" t="s">
        <v>3430</v>
      </c>
      <c r="D610" s="1" t="str">
        <f t="shared" si="1"/>
        <v>IdeaPad Slim 3 15IRH8</v>
      </c>
      <c r="E610" s="1" t="str">
        <f t="array" aca="1" ref="E610" ca="1">IFERROR(
INDEX(Family_Map!$B$2:$B$35,
_xludf.AGGREGATE(14,6,(ROW(Family_Map!$A$2:$A$35)-ROW(Family_Map!$A$2)+1)/(ISNUMBER(SEARCH(Family_Map!$A$2:$A$35,D610))),1)
),
"Other")</f>
        <v>Other</v>
      </c>
      <c r="F610" s="1" t="s">
        <v>183</v>
      </c>
      <c r="G610" s="1" t="e">
        <f t="shared" ca="1" si="2"/>
        <v>#NAME?</v>
      </c>
      <c r="H610" s="1" t="str">
        <f t="shared" ca="1" si="12"/>
        <v>Other</v>
      </c>
      <c r="J610" s="1" t="str">
        <f t="shared" si="3"/>
        <v/>
      </c>
      <c r="K610" s="1" t="s">
        <v>3282</v>
      </c>
      <c r="L610" s="1">
        <f t="shared" si="38"/>
        <v>8</v>
      </c>
      <c r="M610" s="1" t="s">
        <v>156</v>
      </c>
      <c r="N610" s="1" t="str">
        <f t="shared" si="5"/>
        <v>512GB</v>
      </c>
      <c r="O610" s="1" t="str">
        <f t="shared" si="6"/>
        <v>512GB</v>
      </c>
      <c r="P610" s="1" t="s">
        <v>74</v>
      </c>
      <c r="Q610" s="1" t="str">
        <f t="shared" si="7"/>
        <v>1920x1080</v>
      </c>
      <c r="S610" s="1" t="str">
        <f t="shared" si="8"/>
        <v/>
      </c>
      <c r="T610" s="1" t="s">
        <v>101</v>
      </c>
      <c r="U610" s="1" t="str">
        <f t="shared" si="9"/>
        <v>DOS</v>
      </c>
      <c r="V610" s="1" t="s">
        <v>3383</v>
      </c>
      <c r="W610" s="1" t="str">
        <f t="shared" si="10"/>
        <v>1.62 kg</v>
      </c>
      <c r="X610" s="1" t="s">
        <v>165</v>
      </c>
      <c r="Y610" s="1" t="str">
        <f t="shared" si="11"/>
        <v>2 Years</v>
      </c>
      <c r="Z610" s="4">
        <v>25499</v>
      </c>
      <c r="AA610" s="1" t="s">
        <v>79</v>
      </c>
    </row>
    <row r="611" spans="1:27" ht="15.75" customHeight="1" x14ac:dyDescent="0.35">
      <c r="A611" s="1" t="s">
        <v>112</v>
      </c>
      <c r="B611" s="1" t="str">
        <f t="shared" si="16"/>
        <v>HP</v>
      </c>
      <c r="C611" s="1" t="s">
        <v>3506</v>
      </c>
      <c r="D611" s="1" t="str">
        <f t="shared" si="1"/>
        <v>​HP Envy x360 14-es1013dx</v>
      </c>
      <c r="E611" s="1" t="str">
        <f t="array" aca="1" ref="E611" ca="1">IFERROR(
INDEX(Family_Map!$B$2:$B$35,
_xludf.AGGREGATE(14,6,(ROW(Family_Map!$A$2:$A$35)-ROW(Family_Map!$A$2)+1)/(ISNUMBER(SEARCH(Family_Map!$A$2:$A$35,D611))),1)
),
"Other")</f>
        <v>Other</v>
      </c>
      <c r="F611" s="1" t="s">
        <v>3376</v>
      </c>
      <c r="G611" s="1" t="e">
        <f t="shared" ca="1" si="2"/>
        <v>#NAME?</v>
      </c>
      <c r="H611" s="1" t="str">
        <f t="shared" ca="1" si="12"/>
        <v>Other</v>
      </c>
      <c r="J611" s="1" t="str">
        <f t="shared" si="3"/>
        <v/>
      </c>
      <c r="K611" s="1" t="s">
        <v>3507</v>
      </c>
      <c r="L611" s="1">
        <f t="shared" si="38"/>
        <v>8</v>
      </c>
      <c r="M611" s="1" t="s">
        <v>118</v>
      </c>
      <c r="N611" s="1" t="str">
        <f t="shared" si="5"/>
        <v>512 GB</v>
      </c>
      <c r="O611" s="1" t="str">
        <f t="shared" si="6"/>
        <v>512 GB</v>
      </c>
      <c r="P611" s="1" t="s">
        <v>275</v>
      </c>
      <c r="Q611" s="1" t="str">
        <f t="shared" si="7"/>
        <v>1920x1200</v>
      </c>
      <c r="S611" s="1" t="str">
        <f t="shared" si="8"/>
        <v/>
      </c>
      <c r="T611" s="1" t="s">
        <v>201</v>
      </c>
      <c r="U611" s="1" t="str">
        <f t="shared" si="9"/>
        <v>Windows 11 Home</v>
      </c>
      <c r="W611" s="1" t="str">
        <f t="shared" si="10"/>
        <v/>
      </c>
      <c r="X611" s="1" t="s">
        <v>78</v>
      </c>
      <c r="Y611" s="1" t="str">
        <f t="shared" si="11"/>
        <v>1 Year</v>
      </c>
      <c r="Z611" s="4">
        <v>32999</v>
      </c>
      <c r="AA611" s="1" t="s">
        <v>5735</v>
      </c>
    </row>
    <row r="612" spans="1:27" ht="15.75" customHeight="1" x14ac:dyDescent="0.35">
      <c r="A612" s="1" t="s">
        <v>81</v>
      </c>
      <c r="B612" s="1" t="str">
        <f t="shared" si="16"/>
        <v>Dell</v>
      </c>
      <c r="C612" s="1" t="s">
        <v>3515</v>
      </c>
      <c r="D612" s="1" t="str">
        <f t="shared" si="1"/>
        <v>Vostro 3520</v>
      </c>
      <c r="E612" s="1" t="str">
        <f t="array" aca="1" ref="E612" ca="1">IFERROR(
INDEX(Family_Map!$B$2:$B$35,
_xludf.AGGREGATE(14,6,(ROW(Family_Map!$A$2:$A$35)-ROW(Family_Map!$A$2)+1)/(ISNUMBER(SEARCH(Family_Map!$A$2:$A$35,D612))),1)
),
"Other")</f>
        <v>Other</v>
      </c>
      <c r="F612" s="1" t="s">
        <v>3516</v>
      </c>
      <c r="G612" s="1" t="e">
        <f t="shared" ca="1" si="2"/>
        <v>#NAME?</v>
      </c>
      <c r="H612" s="1" t="str">
        <f t="shared" ca="1" si="12"/>
        <v>Other</v>
      </c>
      <c r="J612" s="1" t="str">
        <f t="shared" si="3"/>
        <v/>
      </c>
      <c r="K612" s="1" t="s">
        <v>3517</v>
      </c>
      <c r="L612" s="1">
        <f t="shared" si="38"/>
        <v>4</v>
      </c>
      <c r="M612" s="1" t="s">
        <v>3495</v>
      </c>
      <c r="N612" s="1" t="str">
        <f t="shared" si="5"/>
        <v>256GB</v>
      </c>
      <c r="O612" s="1" t="str">
        <f t="shared" si="6"/>
        <v>256GB</v>
      </c>
      <c r="P612" s="1" t="s">
        <v>120</v>
      </c>
      <c r="Q612" s="1" t="str">
        <f t="shared" si="7"/>
        <v>1920x1080</v>
      </c>
      <c r="R612" s="1" t="s">
        <v>39</v>
      </c>
      <c r="S612" s="1" t="str">
        <f t="shared" si="8"/>
        <v>120Hz</v>
      </c>
      <c r="T612" s="1" t="s">
        <v>101</v>
      </c>
      <c r="U612" s="1" t="str">
        <f t="shared" si="9"/>
        <v>DOS</v>
      </c>
      <c r="V612" s="1" t="s">
        <v>3458</v>
      </c>
      <c r="W612" s="1" t="str">
        <f t="shared" si="10"/>
        <v>1.66 kg</v>
      </c>
      <c r="X612" s="1" t="s">
        <v>78</v>
      </c>
      <c r="Y612" s="1" t="str">
        <f t="shared" si="11"/>
        <v>1 Year</v>
      </c>
      <c r="Z612" s="4">
        <v>19499</v>
      </c>
      <c r="AA612" s="1" t="s">
        <v>166</v>
      </c>
    </row>
    <row r="613" spans="1:27" ht="15.75" customHeight="1" x14ac:dyDescent="0.35">
      <c r="A613" s="1" t="s">
        <v>30</v>
      </c>
      <c r="B613" s="1" t="str">
        <f t="shared" si="16"/>
        <v>MSI</v>
      </c>
      <c r="C613" s="1" t="s">
        <v>3521</v>
      </c>
      <c r="D613" s="1" t="str">
        <f t="shared" si="1"/>
        <v>Modern 15H B13M</v>
      </c>
      <c r="E613" s="1" t="str">
        <f t="array" aca="1" ref="E613" ca="1">IFERROR(
INDEX(Family_Map!$B$2:$B$35,
_xludf.AGGREGATE(14,6,(ROW(Family_Map!$A$2:$A$35)-ROW(Family_Map!$A$2)+1)/(ISNUMBER(SEARCH(Family_Map!$A$2:$A$35,D613))),1)
),
"Other")</f>
        <v>Other</v>
      </c>
      <c r="F613" s="1" t="s">
        <v>806</v>
      </c>
      <c r="G613" s="1" t="e">
        <f t="shared" ca="1" si="2"/>
        <v>#NAME?</v>
      </c>
      <c r="H613" s="1" t="str">
        <f t="shared" ca="1" si="12"/>
        <v>Other</v>
      </c>
      <c r="J613" s="1" t="str">
        <f t="shared" si="3"/>
        <v/>
      </c>
      <c r="K613" s="1" t="s">
        <v>1134</v>
      </c>
      <c r="L613" s="1">
        <f t="shared" si="38"/>
        <v>8</v>
      </c>
      <c r="M613" s="1" t="s">
        <v>1437</v>
      </c>
      <c r="N613" s="1" t="str">
        <f t="shared" si="5"/>
        <v>512GB</v>
      </c>
      <c r="O613" s="1" t="str">
        <f t="shared" si="6"/>
        <v>512GB</v>
      </c>
      <c r="P613" s="1" t="s">
        <v>120</v>
      </c>
      <c r="Q613" s="1" t="str">
        <f t="shared" si="7"/>
        <v>1920x1080</v>
      </c>
      <c r="S613" s="1" t="str">
        <f t="shared" si="8"/>
        <v/>
      </c>
      <c r="T613" s="1" t="s">
        <v>101</v>
      </c>
      <c r="U613" s="1" t="str">
        <f t="shared" si="9"/>
        <v>DOS</v>
      </c>
      <c r="V613" s="1" t="s">
        <v>230</v>
      </c>
      <c r="W613" s="1" t="str">
        <f t="shared" si="10"/>
        <v>1.9 kg</v>
      </c>
      <c r="X613" s="1" t="s">
        <v>78</v>
      </c>
      <c r="Y613" s="1" t="str">
        <f t="shared" si="11"/>
        <v>1 Year</v>
      </c>
      <c r="Z613" s="4">
        <v>30499</v>
      </c>
      <c r="AA613" s="1" t="s">
        <v>79</v>
      </c>
    </row>
    <row r="614" spans="1:27" ht="15.75" customHeight="1" x14ac:dyDescent="0.35">
      <c r="A614" s="1" t="s">
        <v>112</v>
      </c>
      <c r="B614" s="1" t="str">
        <f t="shared" si="16"/>
        <v>HP</v>
      </c>
      <c r="C614" s="1" t="s">
        <v>3528</v>
      </c>
      <c r="D614" s="1" t="str">
        <f t="shared" si="1"/>
        <v>Envy x360 14-ES1023DX</v>
      </c>
      <c r="E614" s="1" t="str">
        <f t="array" aca="1" ref="E614" ca="1">IFERROR(
INDEX(Family_Map!$B$2:$B$35,
_xludf.AGGREGATE(14,6,(ROW(Family_Map!$A$2:$A$35)-ROW(Family_Map!$A$2)+1)/(ISNUMBER(SEARCH(Family_Map!$A$2:$A$35,D614))),1)
),
"Other")</f>
        <v>Other</v>
      </c>
      <c r="F614" s="1" t="s">
        <v>3269</v>
      </c>
      <c r="G614" s="1" t="e">
        <f t="shared" ca="1" si="2"/>
        <v>#NAME?</v>
      </c>
      <c r="H614" s="1" t="str">
        <f t="shared" ca="1" si="12"/>
        <v>Other</v>
      </c>
      <c r="J614" s="1" t="str">
        <f t="shared" si="3"/>
        <v/>
      </c>
      <c r="K614" s="1" t="s">
        <v>3529</v>
      </c>
      <c r="L614" s="1">
        <f t="shared" si="38"/>
        <v>16</v>
      </c>
      <c r="M614" s="1" t="s">
        <v>118</v>
      </c>
      <c r="N614" s="1" t="str">
        <f t="shared" si="5"/>
        <v>512 GB</v>
      </c>
      <c r="O614" s="1" t="str">
        <f t="shared" si="6"/>
        <v>512 GB</v>
      </c>
      <c r="P614" s="1" t="s">
        <v>120</v>
      </c>
      <c r="Q614" s="1" t="str">
        <f t="shared" si="7"/>
        <v>1920x1080</v>
      </c>
      <c r="S614" s="1" t="str">
        <f t="shared" si="8"/>
        <v/>
      </c>
      <c r="T614" s="1" t="s">
        <v>90</v>
      </c>
      <c r="U614" s="1" t="str">
        <f t="shared" si="9"/>
        <v>Windows 11 Home</v>
      </c>
      <c r="V614" s="1" t="s">
        <v>3532</v>
      </c>
      <c r="W614" s="1" t="str">
        <f t="shared" si="10"/>
        <v>1.51 kg</v>
      </c>
      <c r="X614" s="1" t="s">
        <v>78</v>
      </c>
      <c r="Y614" s="1" t="str">
        <f t="shared" si="11"/>
        <v>1 Year</v>
      </c>
      <c r="Z614" s="4">
        <v>42888</v>
      </c>
      <c r="AA614" s="1" t="s">
        <v>5735</v>
      </c>
    </row>
    <row r="615" spans="1:27" ht="15.75" customHeight="1" x14ac:dyDescent="0.35">
      <c r="A615" s="1" t="s">
        <v>81</v>
      </c>
      <c r="B615" s="1" t="str">
        <f t="shared" si="16"/>
        <v>Dell</v>
      </c>
      <c r="C615" s="1" t="s">
        <v>3515</v>
      </c>
      <c r="D615" s="1" t="str">
        <f t="shared" si="1"/>
        <v>Vostro 3520</v>
      </c>
      <c r="E615" s="1" t="str">
        <f t="array" aca="1" ref="E615" ca="1">IFERROR(
INDEX(Family_Map!$B$2:$B$35,
_xludf.AGGREGATE(14,6,(ROW(Family_Map!$A$2:$A$35)-ROW(Family_Map!$A$2)+1)/(ISNUMBER(SEARCH(Family_Map!$A$2:$A$35,D615))),1)
),
"Other")</f>
        <v>Other</v>
      </c>
      <c r="F615" s="1" t="s">
        <v>3534</v>
      </c>
      <c r="G615" s="1" t="e">
        <f t="shared" ca="1" si="2"/>
        <v>#NAME?</v>
      </c>
      <c r="H615" s="1" t="str">
        <f t="shared" ca="1" si="12"/>
        <v>Other</v>
      </c>
      <c r="J615" s="1" t="str">
        <f t="shared" si="3"/>
        <v/>
      </c>
      <c r="K615" s="1" t="s">
        <v>3453</v>
      </c>
      <c r="L615" s="1">
        <f t="shared" si="38"/>
        <v>8</v>
      </c>
      <c r="M615" s="1" t="s">
        <v>3535</v>
      </c>
      <c r="N615" s="1" t="str">
        <f t="shared" si="5"/>
        <v>512GB</v>
      </c>
      <c r="O615" s="1" t="str">
        <f t="shared" si="6"/>
        <v>512GB</v>
      </c>
      <c r="P615" s="1" t="s">
        <v>120</v>
      </c>
      <c r="Q615" s="1" t="str">
        <f t="shared" si="7"/>
        <v>1920x1080</v>
      </c>
      <c r="R615" s="1" t="s">
        <v>39</v>
      </c>
      <c r="S615" s="1" t="str">
        <f t="shared" si="8"/>
        <v>120Hz</v>
      </c>
      <c r="T615" s="1" t="s">
        <v>101</v>
      </c>
      <c r="U615" s="1" t="str">
        <f t="shared" si="9"/>
        <v>DOS</v>
      </c>
      <c r="V615" s="1" t="s">
        <v>3458</v>
      </c>
      <c r="W615" s="1" t="str">
        <f t="shared" si="10"/>
        <v>1.66 kg</v>
      </c>
      <c r="X615" s="1" t="s">
        <v>78</v>
      </c>
      <c r="Y615" s="1" t="str">
        <f t="shared" si="11"/>
        <v>1 Year</v>
      </c>
      <c r="Z615" s="4">
        <v>15999</v>
      </c>
      <c r="AA615" s="1" t="s">
        <v>166</v>
      </c>
    </row>
    <row r="616" spans="1:27" ht="15.75" customHeight="1" x14ac:dyDescent="0.35">
      <c r="A616" s="1" t="s">
        <v>112</v>
      </c>
      <c r="B616" s="1" t="str">
        <f t="shared" si="16"/>
        <v>HP</v>
      </c>
      <c r="C616" s="1" t="s">
        <v>3539</v>
      </c>
      <c r="D616" s="1" t="str">
        <f t="shared" si="1"/>
        <v>Envy x360 15-EW1058WM</v>
      </c>
      <c r="E616" s="1" t="str">
        <f t="array" aca="1" ref="E616" ca="1">IFERROR(
INDEX(Family_Map!$B$2:$B$35,
_xludf.AGGREGATE(14,6,(ROW(Family_Map!$A$2:$A$35)-ROW(Family_Map!$A$2)+1)/(ISNUMBER(SEARCH(Family_Map!$A$2:$A$35,D616))),1)
),
"Other")</f>
        <v>Other</v>
      </c>
      <c r="F616" s="1" t="s">
        <v>3540</v>
      </c>
      <c r="G616" s="1" t="e">
        <f t="shared" ca="1" si="2"/>
        <v>#NAME?</v>
      </c>
      <c r="H616" s="1" t="str">
        <f t="shared" ca="1" si="12"/>
        <v>Other</v>
      </c>
      <c r="J616" s="1" t="str">
        <f t="shared" si="3"/>
        <v/>
      </c>
      <c r="K616" s="1" t="s">
        <v>1429</v>
      </c>
      <c r="L616" s="1">
        <f t="shared" si="38"/>
        <v>8</v>
      </c>
      <c r="M616" s="1" t="s">
        <v>2718</v>
      </c>
      <c r="N616" s="1" t="str">
        <f t="shared" si="5"/>
        <v>512 GB</v>
      </c>
      <c r="O616" s="1" t="str">
        <f t="shared" si="6"/>
        <v>512 GB</v>
      </c>
      <c r="P616" s="1" t="s">
        <v>120</v>
      </c>
      <c r="Q616" s="1" t="str">
        <f t="shared" si="7"/>
        <v>1920x1080</v>
      </c>
      <c r="S616" s="1" t="str">
        <f t="shared" si="8"/>
        <v/>
      </c>
      <c r="T616" s="1" t="s">
        <v>201</v>
      </c>
      <c r="U616" s="1" t="str">
        <f t="shared" si="9"/>
        <v>Windows 11 Home</v>
      </c>
      <c r="V616" s="1" t="s">
        <v>3547</v>
      </c>
      <c r="W616" s="1" t="str">
        <f t="shared" si="10"/>
        <v>1.81 kg</v>
      </c>
      <c r="X616" s="1" t="s">
        <v>78</v>
      </c>
      <c r="Y616" s="1" t="str">
        <f t="shared" si="11"/>
        <v>1 Year</v>
      </c>
      <c r="Z616" s="4">
        <v>29999</v>
      </c>
      <c r="AA616" s="1" t="s">
        <v>79</v>
      </c>
    </row>
    <row r="617" spans="1:27" ht="15.75" customHeight="1" x14ac:dyDescent="0.35">
      <c r="A617" s="1" t="s">
        <v>81</v>
      </c>
      <c r="B617" s="1" t="str">
        <f t="shared" si="16"/>
        <v>Dell</v>
      </c>
      <c r="C617" s="1" t="s">
        <v>3515</v>
      </c>
      <c r="D617" s="1" t="str">
        <f t="shared" si="1"/>
        <v>Vostro 3520</v>
      </c>
      <c r="E617" s="1" t="str">
        <f t="array" aca="1" ref="E617" ca="1">IFERROR(
INDEX(Family_Map!$B$2:$B$35,
_xludf.AGGREGATE(14,6,(ROW(Family_Map!$A$2:$A$35)-ROW(Family_Map!$A$2)+1)/(ISNUMBER(SEARCH(Family_Map!$A$2:$A$35,D617))),1)
),
"Other")</f>
        <v>Other</v>
      </c>
      <c r="F617" s="1" t="s">
        <v>3516</v>
      </c>
      <c r="G617" s="1" t="e">
        <f t="shared" ca="1" si="2"/>
        <v>#NAME?</v>
      </c>
      <c r="H617" s="1" t="str">
        <f t="shared" ca="1" si="12"/>
        <v>Other</v>
      </c>
      <c r="J617" s="1" t="str">
        <f t="shared" si="3"/>
        <v/>
      </c>
      <c r="K617" s="1" t="s">
        <v>3453</v>
      </c>
      <c r="L617" s="1">
        <f t="shared" si="38"/>
        <v>8</v>
      </c>
      <c r="M617" s="1" t="s">
        <v>3495</v>
      </c>
      <c r="N617" s="1" t="str">
        <f t="shared" si="5"/>
        <v>256GB</v>
      </c>
      <c r="O617" s="1" t="str">
        <f t="shared" si="6"/>
        <v>256GB</v>
      </c>
      <c r="P617" s="1" t="s">
        <v>120</v>
      </c>
      <c r="Q617" s="1" t="str">
        <f t="shared" si="7"/>
        <v>1920x1080</v>
      </c>
      <c r="R617" s="1" t="s">
        <v>39</v>
      </c>
      <c r="S617" s="1" t="str">
        <f t="shared" si="8"/>
        <v>120Hz</v>
      </c>
      <c r="T617" s="1" t="s">
        <v>101</v>
      </c>
      <c r="U617" s="1" t="str">
        <f t="shared" si="9"/>
        <v>DOS</v>
      </c>
      <c r="V617" s="1" t="s">
        <v>3458</v>
      </c>
      <c r="W617" s="1" t="str">
        <f t="shared" si="10"/>
        <v>1.66 kg</v>
      </c>
      <c r="X617" s="1" t="s">
        <v>78</v>
      </c>
      <c r="Y617" s="1" t="str">
        <f t="shared" si="11"/>
        <v>1 Year</v>
      </c>
      <c r="Z617" s="4">
        <v>19999</v>
      </c>
      <c r="AA617" s="1" t="s">
        <v>166</v>
      </c>
    </row>
    <row r="618" spans="1:27" ht="15.75" customHeight="1" x14ac:dyDescent="0.35">
      <c r="A618" s="1" t="s">
        <v>30</v>
      </c>
      <c r="B618" s="1" t="str">
        <f t="shared" si="16"/>
        <v>MSI</v>
      </c>
      <c r="C618" s="1" t="s">
        <v>3551</v>
      </c>
      <c r="D618" s="1" t="str">
        <f t="shared" si="1"/>
        <v>Prestige 13 AI Evo A1MG</v>
      </c>
      <c r="E618" s="1" t="str">
        <f t="array" aca="1" ref="E618" ca="1">IFERROR(
INDEX(Family_Map!$B$2:$B$35,
_xludf.AGGREGATE(14,6,(ROW(Family_Map!$A$2:$A$35)-ROW(Family_Map!$A$2)+1)/(ISNUMBER(SEARCH(Family_Map!$A$2:$A$35,D618))),1)
),
"Other")</f>
        <v>Other</v>
      </c>
      <c r="F618" s="1" t="s">
        <v>1095</v>
      </c>
      <c r="G618" s="1" t="e">
        <f t="shared" ca="1" si="2"/>
        <v>#NAME?</v>
      </c>
      <c r="H618" s="1" t="str">
        <f t="shared" ca="1" si="12"/>
        <v>Other</v>
      </c>
      <c r="J618" s="1" t="str">
        <f t="shared" si="3"/>
        <v/>
      </c>
      <c r="K618" s="1" t="s">
        <v>3552</v>
      </c>
      <c r="L618" s="1">
        <f t="shared" si="38"/>
        <v>16</v>
      </c>
      <c r="M618" s="1" t="s">
        <v>644</v>
      </c>
      <c r="N618" s="1" t="str">
        <f t="shared" si="5"/>
        <v>512GB</v>
      </c>
      <c r="O618" s="1" t="str">
        <f t="shared" si="6"/>
        <v>512GB</v>
      </c>
      <c r="P618" s="1" t="s">
        <v>1021</v>
      </c>
      <c r="Q618" s="1" t="str">
        <f t="shared" si="7"/>
        <v>2880x1800</v>
      </c>
      <c r="S618" s="1" t="str">
        <f t="shared" si="8"/>
        <v/>
      </c>
      <c r="T618" s="1" t="s">
        <v>90</v>
      </c>
      <c r="U618" s="1" t="str">
        <f t="shared" si="9"/>
        <v>Windows 11 Home</v>
      </c>
      <c r="V618" s="1" t="s">
        <v>3556</v>
      </c>
      <c r="W618" s="1" t="str">
        <f t="shared" si="10"/>
        <v>0.99 kg</v>
      </c>
      <c r="X618" s="1" t="s">
        <v>165</v>
      </c>
      <c r="Y618" s="1" t="str">
        <f t="shared" si="11"/>
        <v>2 Years</v>
      </c>
      <c r="Z618" s="4">
        <v>44999</v>
      </c>
      <c r="AA618" s="1" t="s">
        <v>5735</v>
      </c>
    </row>
    <row r="619" spans="1:27" ht="15.75" customHeight="1" x14ac:dyDescent="0.35">
      <c r="A619" s="1" t="s">
        <v>234</v>
      </c>
      <c r="B619" s="1" t="str">
        <f t="shared" si="16"/>
        <v>ASUS</v>
      </c>
      <c r="C619" s="1" t="s">
        <v>3558</v>
      </c>
      <c r="D619" s="1" t="str">
        <f t="shared" si="1"/>
        <v>Vivobook 15 X1504ZA-NJ005W</v>
      </c>
      <c r="E619" s="1" t="str">
        <f t="array" aca="1" ref="E619" ca="1">IFERROR(
INDEX(Family_Map!$B$2:$B$35,
_xludf.AGGREGATE(14,6,(ROW(Family_Map!$A$2:$A$35)-ROW(Family_Map!$A$2)+1)/(ISNUMBER(SEARCH(Family_Map!$A$2:$A$35,D619))),1)
),
"Other")</f>
        <v>Other</v>
      </c>
      <c r="F619" s="1" t="s">
        <v>349</v>
      </c>
      <c r="G619" s="1" t="e">
        <f t="shared" ca="1" si="2"/>
        <v>#NAME?</v>
      </c>
      <c r="H619" s="1" t="str">
        <f t="shared" ca="1" si="12"/>
        <v>Other</v>
      </c>
      <c r="J619" s="1" t="str">
        <f t="shared" si="3"/>
        <v/>
      </c>
      <c r="K619" s="1" t="s">
        <v>628</v>
      </c>
      <c r="L619" s="1">
        <f t="shared" si="38"/>
        <v>8</v>
      </c>
      <c r="M619" s="1" t="s">
        <v>629</v>
      </c>
      <c r="N619" s="1" t="str">
        <f t="shared" si="5"/>
        <v>512GB</v>
      </c>
      <c r="O619" s="1" t="str">
        <f t="shared" si="6"/>
        <v>512GB</v>
      </c>
      <c r="P619" s="1" t="s">
        <v>616</v>
      </c>
      <c r="Q619" s="1" t="str">
        <f t="shared" si="7"/>
        <v>1920x1080</v>
      </c>
      <c r="S619" s="1" t="str">
        <f t="shared" si="8"/>
        <v/>
      </c>
      <c r="T619" s="1" t="s">
        <v>90</v>
      </c>
      <c r="U619" s="1" t="str">
        <f t="shared" si="9"/>
        <v>Windows 11 Home</v>
      </c>
      <c r="V619" s="1" t="s">
        <v>3500</v>
      </c>
      <c r="W619" s="1" t="str">
        <f t="shared" si="10"/>
        <v>1.7 kg</v>
      </c>
      <c r="X619" s="1" t="s">
        <v>165</v>
      </c>
      <c r="Y619" s="1" t="str">
        <f t="shared" si="11"/>
        <v>2 Years</v>
      </c>
      <c r="Z619" s="4">
        <v>24499</v>
      </c>
      <c r="AA619" s="1" t="s">
        <v>166</v>
      </c>
    </row>
    <row r="620" spans="1:27" ht="15.75" customHeight="1" x14ac:dyDescent="0.35">
      <c r="A620" s="1" t="s">
        <v>234</v>
      </c>
      <c r="B620" s="1" t="str">
        <f t="shared" si="16"/>
        <v>ASUS</v>
      </c>
      <c r="C620" s="1" t="s">
        <v>3566</v>
      </c>
      <c r="D620" s="1" t="str">
        <f t="shared" si="1"/>
        <v>ROG Flow X13 GV301RA-LI064W</v>
      </c>
      <c r="E620" s="1" t="str">
        <f t="array" aca="1" ref="E620" ca="1">IFERROR(
INDEX(Family_Map!$B$2:$B$35,
_xludf.AGGREGATE(14,6,(ROW(Family_Map!$A$2:$A$35)-ROW(Family_Map!$A$2)+1)/(ISNUMBER(SEARCH(Family_Map!$A$2:$A$35,D620))),1)
),
"Other")</f>
        <v>Other</v>
      </c>
      <c r="F620" s="1" t="s">
        <v>1798</v>
      </c>
      <c r="G620" s="1" t="e">
        <f t="shared" ca="1" si="2"/>
        <v>#NAME?</v>
      </c>
      <c r="H620" s="1" t="str">
        <f t="shared" ca="1" si="12"/>
        <v>Other</v>
      </c>
      <c r="J620" s="1" t="str">
        <f t="shared" si="3"/>
        <v/>
      </c>
      <c r="K620" s="1" t="s">
        <v>3552</v>
      </c>
      <c r="L620" s="1">
        <f t="shared" si="38"/>
        <v>16</v>
      </c>
      <c r="M620" s="1" t="s">
        <v>295</v>
      </c>
      <c r="N620" s="1" t="str">
        <f t="shared" si="5"/>
        <v>512GB</v>
      </c>
      <c r="O620" s="1" t="str">
        <f t="shared" si="6"/>
        <v>512GB</v>
      </c>
      <c r="P620" s="1" t="s">
        <v>345</v>
      </c>
      <c r="Q620" s="1" t="str">
        <f t="shared" si="7"/>
        <v>3840x2400</v>
      </c>
      <c r="S620" s="1" t="str">
        <f t="shared" si="8"/>
        <v/>
      </c>
      <c r="T620" s="1" t="s">
        <v>90</v>
      </c>
      <c r="U620" s="1" t="str">
        <f t="shared" si="9"/>
        <v>Windows 11 Home</v>
      </c>
      <c r="V620" s="1" t="s">
        <v>3420</v>
      </c>
      <c r="W620" s="1" t="str">
        <f t="shared" si="10"/>
        <v>1.3 kg</v>
      </c>
      <c r="X620" s="1" t="s">
        <v>165</v>
      </c>
      <c r="Y620" s="1" t="str">
        <f t="shared" si="11"/>
        <v>2 Years</v>
      </c>
      <c r="Z620" s="4">
        <v>50999</v>
      </c>
      <c r="AA620" s="1" t="s">
        <v>5735</v>
      </c>
    </row>
    <row r="621" spans="1:27" ht="15.75" customHeight="1" x14ac:dyDescent="0.35">
      <c r="A621" s="1" t="s">
        <v>151</v>
      </c>
      <c r="B621" s="1" t="str">
        <f t="shared" si="16"/>
        <v>Lenovo</v>
      </c>
      <c r="C621" s="1" t="s">
        <v>3571</v>
      </c>
      <c r="D621" s="1" t="str">
        <f t="shared" si="1"/>
        <v>IdeaPad Slim 3 15IRU8</v>
      </c>
      <c r="E621" s="1" t="str">
        <f t="array" aca="1" ref="E621" ca="1">IFERROR(
INDEX(Family_Map!$B$2:$B$35,
_xludf.AGGREGATE(14,6,(ROW(Family_Map!$A$2:$A$35)-ROW(Family_Map!$A$2)+1)/(ISNUMBER(SEARCH(Family_Map!$A$2:$A$35,D621))),1)
),
"Other")</f>
        <v>Other</v>
      </c>
      <c r="F621" s="1" t="s">
        <v>3572</v>
      </c>
      <c r="G621" s="1" t="e">
        <f t="shared" ca="1" si="2"/>
        <v>#NAME?</v>
      </c>
      <c r="H621" s="1" t="str">
        <f t="shared" ca="1" si="12"/>
        <v>Other</v>
      </c>
      <c r="J621" s="1" t="str">
        <f t="shared" si="3"/>
        <v/>
      </c>
      <c r="K621" s="1" t="s">
        <v>3573</v>
      </c>
      <c r="L621" s="1">
        <f t="shared" si="38"/>
        <v>8</v>
      </c>
      <c r="M621" s="1" t="s">
        <v>156</v>
      </c>
      <c r="N621" s="1" t="str">
        <f t="shared" si="5"/>
        <v>512GB</v>
      </c>
      <c r="O621" s="1" t="str">
        <f t="shared" si="6"/>
        <v>512GB</v>
      </c>
      <c r="P621" s="1" t="s">
        <v>74</v>
      </c>
      <c r="Q621" s="1" t="str">
        <f t="shared" si="7"/>
        <v>1920x1080</v>
      </c>
      <c r="S621" s="1" t="str">
        <f t="shared" si="8"/>
        <v/>
      </c>
      <c r="T621" s="1" t="s">
        <v>101</v>
      </c>
      <c r="U621" s="1" t="str">
        <f t="shared" si="9"/>
        <v>DOS</v>
      </c>
      <c r="V621" s="1" t="s">
        <v>3383</v>
      </c>
      <c r="W621" s="1" t="str">
        <f t="shared" si="10"/>
        <v>1.62 kg</v>
      </c>
      <c r="X621" s="1" t="s">
        <v>78</v>
      </c>
      <c r="Y621" s="1" t="str">
        <f t="shared" si="11"/>
        <v>1 Year</v>
      </c>
      <c r="Z621" s="4">
        <v>16999</v>
      </c>
      <c r="AA621" s="1" t="s">
        <v>79</v>
      </c>
    </row>
    <row r="622" spans="1:27" ht="15.75" customHeight="1" x14ac:dyDescent="0.35">
      <c r="A622" s="1" t="s">
        <v>151</v>
      </c>
      <c r="B622" s="1" t="str">
        <f t="shared" si="16"/>
        <v>Lenovo</v>
      </c>
      <c r="C622" s="1" t="s">
        <v>3578</v>
      </c>
      <c r="D622" s="1" t="str">
        <f t="shared" si="1"/>
        <v>IdeaPad Flex 5 14IAU7</v>
      </c>
      <c r="E622" s="1" t="str">
        <f t="array" aca="1" ref="E622" ca="1">IFERROR(
INDEX(Family_Map!$B$2:$B$35,
_xludf.AGGREGATE(14,6,(ROW(Family_Map!$A$2:$A$35)-ROW(Family_Map!$A$2)+1)/(ISNUMBER(SEARCH(Family_Map!$A$2:$A$35,D622))),1)
),
"Other")</f>
        <v>Other</v>
      </c>
      <c r="F622" s="1" t="s">
        <v>3534</v>
      </c>
      <c r="G622" s="1" t="e">
        <f t="shared" ca="1" si="2"/>
        <v>#NAME?</v>
      </c>
      <c r="H622" s="1" t="str">
        <f t="shared" ca="1" si="12"/>
        <v>Other</v>
      </c>
      <c r="J622" s="1" t="str">
        <f t="shared" si="3"/>
        <v/>
      </c>
      <c r="K622" s="1" t="s">
        <v>3579</v>
      </c>
      <c r="L622" s="1">
        <f t="shared" si="38"/>
        <v>8</v>
      </c>
      <c r="M622" s="1" t="s">
        <v>3580</v>
      </c>
      <c r="N622" s="1" t="str">
        <f t="shared" si="5"/>
        <v>256GB</v>
      </c>
      <c r="O622" s="1" t="str">
        <f t="shared" si="6"/>
        <v>256GB</v>
      </c>
      <c r="P622" s="1" t="s">
        <v>1015</v>
      </c>
      <c r="Q622" s="1" t="str">
        <f t="shared" si="7"/>
        <v>1920x1200</v>
      </c>
      <c r="R622" s="1" t="s">
        <v>971</v>
      </c>
      <c r="S622" s="1" t="str">
        <f t="shared" si="8"/>
        <v>60Hz</v>
      </c>
      <c r="T622" s="1" t="s">
        <v>40</v>
      </c>
      <c r="U622" s="1" t="str">
        <f t="shared" si="9"/>
        <v>Windows 11 Home</v>
      </c>
      <c r="V622" s="1" t="s">
        <v>3584</v>
      </c>
      <c r="W622" s="1" t="str">
        <f t="shared" si="10"/>
        <v>1.55 kg</v>
      </c>
      <c r="X622" s="1" t="s">
        <v>78</v>
      </c>
      <c r="Y622" s="1" t="str">
        <f t="shared" si="11"/>
        <v>1 Year</v>
      </c>
      <c r="Z622" s="4">
        <v>19999</v>
      </c>
      <c r="AA622" s="1" t="s">
        <v>79</v>
      </c>
    </row>
    <row r="623" spans="1:27" ht="15.75" customHeight="1" x14ac:dyDescent="0.35">
      <c r="A623" s="1" t="s">
        <v>112</v>
      </c>
      <c r="B623" s="1" t="str">
        <f t="shared" si="16"/>
        <v>HP</v>
      </c>
      <c r="C623" s="1" t="s">
        <v>3587</v>
      </c>
      <c r="D623" s="1" t="str">
        <f t="shared" si="1"/>
        <v>15-fd0033nx</v>
      </c>
      <c r="E623" s="1" t="str">
        <f t="array" aca="1" ref="E623" ca="1">IFERROR(
INDEX(Family_Map!$B$2:$B$35,
_xludf.AGGREGATE(14,6,(ROW(Family_Map!$A$2:$A$35)-ROW(Family_Map!$A$2)+1)/(ISNUMBER(SEARCH(Family_Map!$A$2:$A$35,D623))),1)
),
"Other")</f>
        <v>Other</v>
      </c>
      <c r="F623" s="1" t="s">
        <v>3588</v>
      </c>
      <c r="G623" s="1" t="e">
        <f t="shared" ca="1" si="2"/>
        <v>#NAME?</v>
      </c>
      <c r="H623" s="1" t="str">
        <f t="shared" ca="1" si="12"/>
        <v>Other</v>
      </c>
      <c r="J623" s="1" t="str">
        <f t="shared" si="3"/>
        <v/>
      </c>
      <c r="K623" s="1" t="s">
        <v>1429</v>
      </c>
      <c r="L623" s="1">
        <f t="shared" si="38"/>
        <v>8</v>
      </c>
      <c r="M623" s="1" t="s">
        <v>2718</v>
      </c>
      <c r="N623" s="1" t="str">
        <f t="shared" si="5"/>
        <v>512 GB</v>
      </c>
      <c r="O623" s="1" t="str">
        <f t="shared" si="6"/>
        <v>512 GB</v>
      </c>
      <c r="P623" s="1" t="s">
        <v>120</v>
      </c>
      <c r="Q623" s="1" t="str">
        <f t="shared" si="7"/>
        <v>1920x1080</v>
      </c>
      <c r="S623" s="1" t="str">
        <f t="shared" si="8"/>
        <v/>
      </c>
      <c r="T623" s="1" t="s">
        <v>101</v>
      </c>
      <c r="U623" s="1" t="str">
        <f t="shared" si="9"/>
        <v>DOS</v>
      </c>
      <c r="V623" s="1" t="s">
        <v>3288</v>
      </c>
      <c r="W623" s="1" t="str">
        <f t="shared" si="10"/>
        <v>1.59 kg</v>
      </c>
      <c r="X623" s="1" t="s">
        <v>78</v>
      </c>
      <c r="Y623" s="1" t="str">
        <f t="shared" si="11"/>
        <v>1 Year</v>
      </c>
      <c r="Z623" s="4">
        <v>21888</v>
      </c>
      <c r="AA623" s="1" t="s">
        <v>79</v>
      </c>
    </row>
    <row r="624" spans="1:27" ht="15.75" customHeight="1" x14ac:dyDescent="0.35">
      <c r="A624" s="1" t="s">
        <v>81</v>
      </c>
      <c r="B624" s="1" t="str">
        <f t="shared" si="16"/>
        <v>Dell</v>
      </c>
      <c r="C624" s="1" t="s">
        <v>3268</v>
      </c>
      <c r="D624" s="1" t="str">
        <f t="shared" si="1"/>
        <v>inspiron 14 7440</v>
      </c>
      <c r="E624" s="1" t="str">
        <f t="array" aca="1" ref="E624" ca="1">IFERROR(
INDEX(Family_Map!$B$2:$B$35,
_xludf.AGGREGATE(14,6,(ROW(Family_Map!$A$2:$A$35)-ROW(Family_Map!$A$2)+1)/(ISNUMBER(SEARCH(Family_Map!$A$2:$A$35,D624))),1)
),
"Other")</f>
        <v>Other</v>
      </c>
      <c r="F624" s="1" t="s">
        <v>3376</v>
      </c>
      <c r="G624" s="1" t="e">
        <f t="shared" ca="1" si="2"/>
        <v>#NAME?</v>
      </c>
      <c r="H624" s="1" t="str">
        <f t="shared" ca="1" si="12"/>
        <v>Other</v>
      </c>
      <c r="J624" s="1" t="str">
        <f t="shared" si="3"/>
        <v/>
      </c>
      <c r="K624" s="1" t="s">
        <v>491</v>
      </c>
      <c r="L624" s="1">
        <f t="shared" si="38"/>
        <v>16</v>
      </c>
      <c r="M624" s="1" t="s">
        <v>2521</v>
      </c>
      <c r="N624" s="1" t="str">
        <f t="shared" si="5"/>
        <v>512GB</v>
      </c>
      <c r="O624" s="1" t="str">
        <f t="shared" si="6"/>
        <v>512GB</v>
      </c>
      <c r="P624" s="1" t="s">
        <v>1015</v>
      </c>
      <c r="Q624" s="1" t="str">
        <f t="shared" si="7"/>
        <v>1920x1200</v>
      </c>
      <c r="R624" s="1" t="s">
        <v>971</v>
      </c>
      <c r="S624" s="1" t="str">
        <f t="shared" si="8"/>
        <v>60Hz</v>
      </c>
      <c r="T624" s="1" t="s">
        <v>90</v>
      </c>
      <c r="U624" s="1" t="str">
        <f t="shared" si="9"/>
        <v>Windows 11 Home</v>
      </c>
      <c r="V624" s="1" t="s">
        <v>3276</v>
      </c>
      <c r="W624" s="1" t="str">
        <f t="shared" si="10"/>
        <v>1.75 kg</v>
      </c>
      <c r="X624" s="1" t="s">
        <v>78</v>
      </c>
      <c r="Y624" s="1" t="str">
        <f t="shared" si="11"/>
        <v>1 Year</v>
      </c>
      <c r="Z624" s="4">
        <v>34999</v>
      </c>
      <c r="AA624" s="1" t="s">
        <v>5735</v>
      </c>
    </row>
    <row r="625" spans="1:27" ht="15.75" customHeight="1" x14ac:dyDescent="0.35">
      <c r="A625" s="1" t="s">
        <v>112</v>
      </c>
      <c r="B625" s="1" t="str">
        <f t="shared" si="16"/>
        <v>HP</v>
      </c>
      <c r="C625" s="1" t="s">
        <v>3593</v>
      </c>
      <c r="D625" s="1" t="str">
        <f t="shared" si="1"/>
        <v>Envy x360 15-FE1082WM</v>
      </c>
      <c r="E625" s="1" t="str">
        <f t="array" aca="1" ref="E625" ca="1">IFERROR(
INDEX(Family_Map!$B$2:$B$35,
_xludf.AGGREGATE(14,6,(ROW(Family_Map!$A$2:$A$35)-ROW(Family_Map!$A$2)+1)/(ISNUMBER(SEARCH(Family_Map!$A$2:$A$35,D625))),1)
),
"Other")</f>
        <v>Other</v>
      </c>
      <c r="F625" s="1" t="s">
        <v>3594</v>
      </c>
      <c r="G625" s="1" t="e">
        <f t="shared" ca="1" si="2"/>
        <v>#NAME?</v>
      </c>
      <c r="H625" s="1" t="str">
        <f t="shared" ca="1" si="12"/>
        <v>Other</v>
      </c>
      <c r="J625" s="1" t="str">
        <f t="shared" si="3"/>
        <v/>
      </c>
      <c r="K625" s="1" t="s">
        <v>3595</v>
      </c>
      <c r="L625" s="1">
        <f t="shared" si="38"/>
        <v>16</v>
      </c>
      <c r="M625" s="1" t="s">
        <v>2718</v>
      </c>
      <c r="N625" s="1" t="str">
        <f t="shared" si="5"/>
        <v>512 GB</v>
      </c>
      <c r="O625" s="1" t="str">
        <f t="shared" si="6"/>
        <v>512 GB</v>
      </c>
      <c r="P625" s="1" t="s">
        <v>120</v>
      </c>
      <c r="Q625" s="1" t="str">
        <f t="shared" si="7"/>
        <v>1920x1080</v>
      </c>
      <c r="S625" s="1" t="str">
        <f t="shared" si="8"/>
        <v/>
      </c>
      <c r="T625" s="1" t="s">
        <v>40</v>
      </c>
      <c r="U625" s="1" t="str">
        <f t="shared" si="9"/>
        <v>Windows 11 Home</v>
      </c>
      <c r="V625" s="1" t="s">
        <v>3601</v>
      </c>
      <c r="W625" s="1" t="str">
        <f t="shared" si="10"/>
        <v>1.87 kg</v>
      </c>
      <c r="X625" s="1" t="s">
        <v>129</v>
      </c>
      <c r="Y625" s="1" t="str">
        <f t="shared" si="11"/>
        <v>1 Year</v>
      </c>
      <c r="Z625" s="4">
        <v>43999</v>
      </c>
      <c r="AA625" s="1" t="s">
        <v>5735</v>
      </c>
    </row>
    <row r="626" spans="1:27" ht="15.75" customHeight="1" x14ac:dyDescent="0.35">
      <c r="A626" s="1" t="s">
        <v>151</v>
      </c>
      <c r="B626" s="1" t="str">
        <f t="shared" si="16"/>
        <v>Lenovo</v>
      </c>
      <c r="C626" s="1" t="s">
        <v>3604</v>
      </c>
      <c r="D626" s="1" t="str">
        <f t="shared" si="1"/>
        <v>IdeaPad 5 14IRU9</v>
      </c>
      <c r="E626" s="1" t="str">
        <f t="array" aca="1" ref="E626" ca="1">IFERROR(
INDEX(Family_Map!$B$2:$B$35,
_xludf.AGGREGATE(14,6,(ROW(Family_Map!$A$2:$A$35)-ROW(Family_Map!$A$2)+1)/(ISNUMBER(SEARCH(Family_Map!$A$2:$A$35,D626))),1)
),
"Other")</f>
        <v>Other</v>
      </c>
      <c r="F626" s="1" t="s">
        <v>3376</v>
      </c>
      <c r="G626" s="1" t="e">
        <f t="shared" ca="1" si="2"/>
        <v>#NAME?</v>
      </c>
      <c r="H626" s="1" t="str">
        <f t="shared" ca="1" si="12"/>
        <v>Other</v>
      </c>
      <c r="J626" s="1" t="str">
        <f t="shared" si="3"/>
        <v/>
      </c>
      <c r="K626" s="1" t="s">
        <v>3605</v>
      </c>
      <c r="L626" s="1">
        <f t="shared" si="38"/>
        <v>8</v>
      </c>
      <c r="M626" s="1" t="s">
        <v>156</v>
      </c>
      <c r="N626" s="1" t="str">
        <f t="shared" si="5"/>
        <v>512GB</v>
      </c>
      <c r="O626" s="1" t="str">
        <f t="shared" si="6"/>
        <v>512GB</v>
      </c>
      <c r="P626" s="1" t="s">
        <v>275</v>
      </c>
      <c r="Q626" s="1" t="str">
        <f t="shared" si="7"/>
        <v>1920x1200</v>
      </c>
      <c r="R626" s="1" t="s">
        <v>971</v>
      </c>
      <c r="S626" s="1" t="str">
        <f t="shared" si="8"/>
        <v>60Hz</v>
      </c>
      <c r="T626" s="1" t="s">
        <v>40</v>
      </c>
      <c r="U626" s="1" t="str">
        <f t="shared" si="9"/>
        <v>Windows 11 Home</v>
      </c>
      <c r="V626" s="1" t="s">
        <v>3338</v>
      </c>
      <c r="W626" s="1" t="str">
        <f t="shared" si="10"/>
        <v>1.6 kg</v>
      </c>
      <c r="X626" s="1" t="s">
        <v>129</v>
      </c>
      <c r="Y626" s="1" t="str">
        <f t="shared" si="11"/>
        <v>1 Year</v>
      </c>
      <c r="Z626" s="4">
        <v>29999</v>
      </c>
      <c r="AA626" s="1" t="s">
        <v>5735</v>
      </c>
    </row>
    <row r="627" spans="1:27" ht="15.75" customHeight="1" x14ac:dyDescent="0.35">
      <c r="A627" s="1" t="s">
        <v>30</v>
      </c>
      <c r="B627" s="1" t="str">
        <f t="shared" si="16"/>
        <v>MSI</v>
      </c>
      <c r="C627" s="1" t="s">
        <v>3608</v>
      </c>
      <c r="D627" s="1" t="str">
        <f t="shared" si="1"/>
        <v>Modern 15 H AI C2HMG</v>
      </c>
      <c r="E627" s="1" t="str">
        <f t="array" aca="1" ref="E627" ca="1">IFERROR(
INDEX(Family_Map!$B$2:$B$35,
_xludf.AGGREGATE(14,6,(ROW(Family_Map!$A$2:$A$35)-ROW(Family_Map!$A$2)+1)/(ISNUMBER(SEARCH(Family_Map!$A$2:$A$35,D627))),1)
),
"Other")</f>
        <v>Other</v>
      </c>
      <c r="F627" s="1" t="s">
        <v>3609</v>
      </c>
      <c r="G627" s="1" t="e">
        <f t="shared" ca="1" si="2"/>
        <v>#NAME?</v>
      </c>
      <c r="H627" s="1" t="str">
        <f t="shared" ca="1" si="12"/>
        <v>Other</v>
      </c>
      <c r="J627" s="1" t="str">
        <f t="shared" si="3"/>
        <v/>
      </c>
      <c r="K627" s="1" t="s">
        <v>53</v>
      </c>
      <c r="L627" s="1">
        <f t="shared" si="38"/>
        <v>16</v>
      </c>
      <c r="M627" s="1" t="s">
        <v>644</v>
      </c>
      <c r="N627" s="1" t="str">
        <f t="shared" si="5"/>
        <v>512GB</v>
      </c>
      <c r="O627" s="1" t="str">
        <f t="shared" si="6"/>
        <v>512GB</v>
      </c>
      <c r="P627" s="1" t="s">
        <v>120</v>
      </c>
      <c r="Q627" s="1" t="str">
        <f t="shared" si="7"/>
        <v>1920x1080</v>
      </c>
      <c r="R627" s="1" t="s">
        <v>971</v>
      </c>
      <c r="S627" s="1" t="str">
        <f t="shared" si="8"/>
        <v>60Hz</v>
      </c>
      <c r="T627" s="1" t="s">
        <v>40</v>
      </c>
      <c r="U627" s="1" t="str">
        <f t="shared" si="9"/>
        <v>Windows 11 Home</v>
      </c>
      <c r="V627" s="1" t="s">
        <v>230</v>
      </c>
      <c r="W627" s="1" t="str">
        <f t="shared" si="10"/>
        <v>1.9 kg</v>
      </c>
      <c r="X627" s="1" t="s">
        <v>129</v>
      </c>
      <c r="Y627" s="1" t="str">
        <f t="shared" si="11"/>
        <v>1 Year</v>
      </c>
      <c r="Z627" s="4">
        <v>36850</v>
      </c>
      <c r="AA627" s="1" t="s">
        <v>5735</v>
      </c>
    </row>
    <row r="628" spans="1:27" ht="15.75" customHeight="1" x14ac:dyDescent="0.35">
      <c r="A628" s="1" t="s">
        <v>30</v>
      </c>
      <c r="B628" s="1" t="str">
        <f t="shared" si="16"/>
        <v>MSI</v>
      </c>
      <c r="C628" s="1" t="s">
        <v>3608</v>
      </c>
      <c r="D628" s="1" t="str">
        <f t="shared" si="1"/>
        <v>Modern 15 H AI C2HMG</v>
      </c>
      <c r="E628" s="1" t="str">
        <f t="array" aca="1" ref="E628" ca="1">IFERROR(
INDEX(Family_Map!$B$2:$B$35,
_xludf.AGGREGATE(14,6,(ROW(Family_Map!$A$2:$A$35)-ROW(Family_Map!$A$2)+1)/(ISNUMBER(SEARCH(Family_Map!$A$2:$A$35,D628))),1)
),
"Other")</f>
        <v>Other</v>
      </c>
      <c r="F628" s="1" t="s">
        <v>3437</v>
      </c>
      <c r="G628" s="1" t="e">
        <f t="shared" ca="1" si="2"/>
        <v>#NAME?</v>
      </c>
      <c r="H628" s="1" t="str">
        <f t="shared" ca="1" si="12"/>
        <v>Other</v>
      </c>
      <c r="J628" s="1" t="str">
        <f t="shared" si="3"/>
        <v/>
      </c>
      <c r="K628" s="1" t="s">
        <v>53</v>
      </c>
      <c r="L628" s="1">
        <f t="shared" si="38"/>
        <v>16</v>
      </c>
      <c r="M628" s="1" t="s">
        <v>644</v>
      </c>
      <c r="N628" s="1" t="str">
        <f t="shared" si="5"/>
        <v>512GB</v>
      </c>
      <c r="O628" s="1" t="str">
        <f t="shared" si="6"/>
        <v>512GB</v>
      </c>
      <c r="P628" s="1" t="s">
        <v>120</v>
      </c>
      <c r="Q628" s="1" t="str">
        <f t="shared" si="7"/>
        <v>1920x1080</v>
      </c>
      <c r="R628" s="1" t="s">
        <v>971</v>
      </c>
      <c r="S628" s="1" t="str">
        <f t="shared" si="8"/>
        <v>60Hz</v>
      </c>
      <c r="T628" s="1" t="s">
        <v>40</v>
      </c>
      <c r="U628" s="1" t="str">
        <f t="shared" si="9"/>
        <v>Windows 11 Home</v>
      </c>
      <c r="V628" s="1" t="s">
        <v>230</v>
      </c>
      <c r="W628" s="1" t="str">
        <f t="shared" si="10"/>
        <v>1.9 kg</v>
      </c>
      <c r="X628" s="1" t="s">
        <v>129</v>
      </c>
      <c r="Y628" s="1" t="str">
        <f t="shared" si="11"/>
        <v>1 Year</v>
      </c>
      <c r="Z628" s="4">
        <v>41850</v>
      </c>
      <c r="AA628" s="1" t="s">
        <v>5735</v>
      </c>
    </row>
    <row r="629" spans="1:27" ht="15.75" customHeight="1" x14ac:dyDescent="0.35">
      <c r="A629" s="1" t="s">
        <v>30</v>
      </c>
      <c r="B629" s="1" t="str">
        <f t="shared" si="16"/>
        <v>MSI</v>
      </c>
      <c r="C629" s="1" t="s">
        <v>3608</v>
      </c>
      <c r="D629" s="1" t="str">
        <f t="shared" si="1"/>
        <v>Modern 15 H AI C2HMG</v>
      </c>
      <c r="E629" s="1" t="str">
        <f t="array" aca="1" ref="E629" ca="1">IFERROR(
INDEX(Family_Map!$B$2:$B$35,
_xludf.AGGREGATE(14,6,(ROW(Family_Map!$A$2:$A$35)-ROW(Family_Map!$A$2)+1)/(ISNUMBER(SEARCH(Family_Map!$A$2:$A$35,D629))),1)
),
"Other")</f>
        <v>Other</v>
      </c>
      <c r="F629" s="1" t="s">
        <v>586</v>
      </c>
      <c r="G629" s="1" t="e">
        <f t="shared" ca="1" si="2"/>
        <v>#NAME?</v>
      </c>
      <c r="H629" s="1" t="str">
        <f t="shared" ca="1" si="12"/>
        <v>Other</v>
      </c>
      <c r="J629" s="1" t="str">
        <f t="shared" si="3"/>
        <v/>
      </c>
      <c r="K629" s="1" t="s">
        <v>53</v>
      </c>
      <c r="L629" s="1">
        <f t="shared" si="38"/>
        <v>16</v>
      </c>
      <c r="M629" s="1" t="s">
        <v>54</v>
      </c>
      <c r="N629" s="1" t="str">
        <f t="shared" si="5"/>
        <v>1TB</v>
      </c>
      <c r="O629" s="1" t="str">
        <f t="shared" si="6"/>
        <v>1024GB</v>
      </c>
      <c r="P629" s="1" t="s">
        <v>120</v>
      </c>
      <c r="Q629" s="1" t="str">
        <f t="shared" si="7"/>
        <v>1920x1080</v>
      </c>
      <c r="R629" s="1" t="s">
        <v>971</v>
      </c>
      <c r="S629" s="1" t="str">
        <f t="shared" si="8"/>
        <v>60Hz</v>
      </c>
      <c r="T629" s="1" t="s">
        <v>40</v>
      </c>
      <c r="U629" s="1" t="str">
        <f t="shared" si="9"/>
        <v>Windows 11 Home</v>
      </c>
      <c r="V629" s="1" t="s">
        <v>230</v>
      </c>
      <c r="W629" s="1" t="str">
        <f t="shared" si="10"/>
        <v>1.9 kg</v>
      </c>
      <c r="X629" s="1" t="s">
        <v>129</v>
      </c>
      <c r="Y629" s="1" t="str">
        <f t="shared" si="11"/>
        <v>1 Year</v>
      </c>
      <c r="Z629" s="4">
        <v>48950</v>
      </c>
      <c r="AA629" s="1" t="s">
        <v>5735</v>
      </c>
    </row>
    <row r="630" spans="1:27" ht="15.75" customHeight="1" x14ac:dyDescent="0.35">
      <c r="A630" s="1" t="s">
        <v>234</v>
      </c>
      <c r="B630" s="1" t="str">
        <f t="shared" si="16"/>
        <v>ASUS</v>
      </c>
      <c r="C630" s="1" t="s">
        <v>3614</v>
      </c>
      <c r="D630" s="1" t="str">
        <f t="shared" si="1"/>
        <v>Vivobook S16 M5606KA-RI417W</v>
      </c>
      <c r="E630" s="1" t="str">
        <f t="array" aca="1" ref="E630" ca="1">IFERROR(
INDEX(Family_Map!$B$2:$B$35,
_xludf.AGGREGATE(14,6,(ROW(Family_Map!$A$2:$A$35)-ROW(Family_Map!$A$2)+1)/(ISNUMBER(SEARCH(Family_Map!$A$2:$A$35,D630))),1)
),
"Other")</f>
        <v>Other</v>
      </c>
      <c r="F630" s="1" t="s">
        <v>3615</v>
      </c>
      <c r="G630" s="1" t="e">
        <f t="shared" ca="1" si="2"/>
        <v>#NAME?</v>
      </c>
      <c r="H630" s="1" t="str">
        <f t="shared" ca="1" si="12"/>
        <v>Other</v>
      </c>
      <c r="J630" s="1" t="str">
        <f t="shared" si="3"/>
        <v/>
      </c>
      <c r="K630" s="1" t="s">
        <v>3616</v>
      </c>
      <c r="L630" s="1">
        <f t="shared" si="38"/>
        <v>24</v>
      </c>
      <c r="M630" s="1" t="s">
        <v>3395</v>
      </c>
      <c r="N630" s="1" t="str">
        <f t="shared" si="5"/>
        <v>1TB</v>
      </c>
      <c r="O630" s="1" t="str">
        <f t="shared" si="6"/>
        <v>1024GB</v>
      </c>
      <c r="P630" s="1" t="s">
        <v>1021</v>
      </c>
      <c r="Q630" s="1" t="str">
        <f t="shared" si="7"/>
        <v>2880x1800</v>
      </c>
      <c r="R630" s="1" t="s">
        <v>111</v>
      </c>
      <c r="S630" s="1" t="str">
        <f t="shared" si="8"/>
        <v>120Hz</v>
      </c>
      <c r="T630" s="1" t="s">
        <v>40</v>
      </c>
      <c r="U630" s="1" t="str">
        <f t="shared" si="9"/>
        <v>Windows 11 Home</v>
      </c>
      <c r="V630" s="1" t="s">
        <v>3468</v>
      </c>
      <c r="W630" s="1" t="str">
        <f t="shared" si="10"/>
        <v>1.5 kg</v>
      </c>
      <c r="X630" s="1" t="s">
        <v>129</v>
      </c>
      <c r="Y630" s="1" t="str">
        <f t="shared" si="11"/>
        <v>1 Year</v>
      </c>
      <c r="Z630" s="4">
        <v>61999</v>
      </c>
      <c r="AA630" s="1" t="s">
        <v>5735</v>
      </c>
    </row>
    <row r="631" spans="1:27" ht="15.75" customHeight="1" x14ac:dyDescent="0.35">
      <c r="A631" s="1" t="s">
        <v>234</v>
      </c>
      <c r="B631" s="1" t="str">
        <f t="shared" si="16"/>
        <v>ASUS</v>
      </c>
      <c r="C631" s="1" t="s">
        <v>3620</v>
      </c>
      <c r="D631" s="1" t="str">
        <f t="shared" si="1"/>
        <v>Zenbook S16 ​UM5606WA-RJ288W</v>
      </c>
      <c r="E631" s="1" t="str">
        <f t="array" aca="1" ref="E631" ca="1">IFERROR(
INDEX(Family_Map!$B$2:$B$35,
_xludf.AGGREGATE(14,6,(ROW(Family_Map!$A$2:$A$35)-ROW(Family_Map!$A$2)+1)/(ISNUMBER(SEARCH(Family_Map!$A$2:$A$35,D631))),1)
),
"Other")</f>
        <v>Other</v>
      </c>
      <c r="F631" s="1" t="s">
        <v>668</v>
      </c>
      <c r="G631" s="1" t="e">
        <f t="shared" ca="1" si="2"/>
        <v>#NAME?</v>
      </c>
      <c r="H631" s="1" t="str">
        <f t="shared" ca="1" si="12"/>
        <v>Other</v>
      </c>
      <c r="J631" s="1" t="str">
        <f t="shared" si="3"/>
        <v/>
      </c>
      <c r="K631" s="1" t="s">
        <v>3439</v>
      </c>
      <c r="L631" s="1">
        <f t="shared" si="38"/>
        <v>32</v>
      </c>
      <c r="M631" s="1" t="s">
        <v>1156</v>
      </c>
      <c r="N631" s="1" t="str">
        <f t="shared" si="5"/>
        <v>2TB</v>
      </c>
      <c r="O631" s="1" t="str">
        <f t="shared" si="6"/>
        <v>2048GB</v>
      </c>
      <c r="P631" s="1" t="s">
        <v>1021</v>
      </c>
      <c r="Q631" s="1" t="str">
        <f t="shared" si="7"/>
        <v>2880x1800</v>
      </c>
      <c r="R631" s="1" t="s">
        <v>39</v>
      </c>
      <c r="S631" s="1" t="str">
        <f t="shared" si="8"/>
        <v>120Hz</v>
      </c>
      <c r="T631" s="1" t="s">
        <v>40</v>
      </c>
      <c r="U631" s="1" t="str">
        <f t="shared" si="9"/>
        <v>Windows 11 Home</v>
      </c>
      <c r="V631" s="1" t="s">
        <v>3468</v>
      </c>
      <c r="W631" s="1" t="str">
        <f t="shared" si="10"/>
        <v>1.5 kg</v>
      </c>
      <c r="X631" s="1" t="s">
        <v>129</v>
      </c>
      <c r="Y631" s="1" t="str">
        <f t="shared" si="11"/>
        <v>1 Year</v>
      </c>
      <c r="Z631" s="4">
        <v>97777</v>
      </c>
      <c r="AA631" s="1" t="s">
        <v>5735</v>
      </c>
    </row>
    <row r="632" spans="1:27" ht="15.75" customHeight="1" x14ac:dyDescent="0.35">
      <c r="A632" s="1" t="s">
        <v>234</v>
      </c>
      <c r="B632" s="1" t="str">
        <f t="shared" si="16"/>
        <v>ASUS</v>
      </c>
      <c r="C632" s="1" t="s">
        <v>3626</v>
      </c>
      <c r="D632" s="1" t="str">
        <f t="shared" si="1"/>
        <v>Vivobook Go 15 E1504FA-NJ083W</v>
      </c>
      <c r="E632" s="1" t="str">
        <f t="array" aca="1" ref="E632" ca="1">IFERROR(
INDEX(Family_Map!$B$2:$B$35,
_xludf.AGGREGATE(14,6,(ROW(Family_Map!$A$2:$A$35)-ROW(Family_Map!$A$2)+1)/(ISNUMBER(SEARCH(Family_Map!$A$2:$A$35,D632))),1)
),
"Other")</f>
        <v>Other</v>
      </c>
      <c r="F632" s="1" t="s">
        <v>3627</v>
      </c>
      <c r="G632" s="1" t="e">
        <f t="shared" ca="1" si="2"/>
        <v>#NAME?</v>
      </c>
      <c r="H632" s="1" t="str">
        <f t="shared" ca="1" si="12"/>
        <v>Other</v>
      </c>
      <c r="J632" s="1" t="str">
        <f t="shared" si="3"/>
        <v/>
      </c>
      <c r="K632" s="1" t="s">
        <v>3628</v>
      </c>
      <c r="L632" s="1">
        <f t="shared" si="38"/>
        <v>8</v>
      </c>
      <c r="M632" s="1" t="s">
        <v>3629</v>
      </c>
      <c r="N632" s="1" t="str">
        <f t="shared" si="5"/>
        <v>256GB</v>
      </c>
      <c r="O632" s="1" t="str">
        <f t="shared" si="6"/>
        <v>256GB</v>
      </c>
      <c r="P632" s="1" t="s">
        <v>120</v>
      </c>
      <c r="Q632" s="1" t="str">
        <f t="shared" si="7"/>
        <v>1920x1080</v>
      </c>
      <c r="R632" s="1" t="s">
        <v>971</v>
      </c>
      <c r="S632" s="1" t="str">
        <f t="shared" si="8"/>
        <v>60Hz</v>
      </c>
      <c r="T632" s="1" t="s">
        <v>40</v>
      </c>
      <c r="U632" s="1" t="str">
        <f t="shared" si="9"/>
        <v>Windows 11 Home</v>
      </c>
      <c r="V632" s="1" t="s">
        <v>3346</v>
      </c>
      <c r="W632" s="1" t="str">
        <f t="shared" si="10"/>
        <v>1.63 kg</v>
      </c>
      <c r="X632" s="1" t="s">
        <v>165</v>
      </c>
      <c r="Y632" s="1" t="str">
        <f t="shared" si="11"/>
        <v>2 Years</v>
      </c>
      <c r="Z632" s="4">
        <v>13499</v>
      </c>
      <c r="AA632" s="1" t="s">
        <v>5735</v>
      </c>
    </row>
    <row r="633" spans="1:27" ht="15.75" customHeight="1" x14ac:dyDescent="0.35">
      <c r="A633" s="1" t="s">
        <v>234</v>
      </c>
      <c r="B633" s="1" t="str">
        <f t="shared" si="16"/>
        <v>ASUS</v>
      </c>
      <c r="C633" s="1" t="s">
        <v>3637</v>
      </c>
      <c r="D633" s="1" t="str">
        <f t="shared" si="1"/>
        <v>Vivobook S 14 Flip TP3402VA-EG009W</v>
      </c>
      <c r="E633" s="1" t="str">
        <f t="array" aca="1" ref="E633" ca="1">IFERROR(
INDEX(Family_Map!$B$2:$B$35,
_xludf.AGGREGATE(14,6,(ROW(Family_Map!$A$2:$A$35)-ROW(Family_Map!$A$2)+1)/(ISNUMBER(SEARCH(Family_Map!$A$2:$A$35,D633))),1)
),
"Other")</f>
        <v>Other</v>
      </c>
      <c r="F633" s="1" t="s">
        <v>3638</v>
      </c>
      <c r="G633" s="1" t="e">
        <f t="shared" ca="1" si="2"/>
        <v>#NAME?</v>
      </c>
      <c r="H633" s="1" t="str">
        <f t="shared" ca="1" si="12"/>
        <v>Other</v>
      </c>
      <c r="J633" s="1" t="str">
        <f t="shared" si="3"/>
        <v/>
      </c>
      <c r="K633" s="1" t="s">
        <v>983</v>
      </c>
      <c r="L633" s="1">
        <f t="shared" si="38"/>
        <v>16</v>
      </c>
      <c r="M633" s="1" t="s">
        <v>629</v>
      </c>
      <c r="N633" s="1" t="str">
        <f t="shared" si="5"/>
        <v>512GB</v>
      </c>
      <c r="O633" s="1" t="str">
        <f t="shared" si="6"/>
        <v>512GB</v>
      </c>
      <c r="P633" s="1" t="s">
        <v>275</v>
      </c>
      <c r="Q633" s="1" t="str">
        <f t="shared" si="7"/>
        <v>1920x1200</v>
      </c>
      <c r="R633" s="1" t="s">
        <v>971</v>
      </c>
      <c r="S633" s="1" t="str">
        <f t="shared" si="8"/>
        <v>60Hz</v>
      </c>
      <c r="T633" s="1" t="s">
        <v>40</v>
      </c>
      <c r="U633" s="1" t="str">
        <f t="shared" si="9"/>
        <v>Windows 11 Home</v>
      </c>
      <c r="V633" s="1" t="s">
        <v>3468</v>
      </c>
      <c r="W633" s="1" t="str">
        <f t="shared" si="10"/>
        <v>1.5 kg</v>
      </c>
      <c r="X633" s="1" t="s">
        <v>165</v>
      </c>
      <c r="Y633" s="1" t="str">
        <f t="shared" si="11"/>
        <v>2 Years</v>
      </c>
      <c r="Z633" s="4">
        <v>42777</v>
      </c>
      <c r="AA633" s="1" t="s">
        <v>79</v>
      </c>
    </row>
    <row r="634" spans="1:27" ht="15.75" customHeight="1" x14ac:dyDescent="0.35">
      <c r="A634" s="1" t="s">
        <v>151</v>
      </c>
      <c r="B634" s="1" t="str">
        <f t="shared" si="16"/>
        <v>Lenovo</v>
      </c>
      <c r="C634" s="1" t="s">
        <v>3430</v>
      </c>
      <c r="D634" s="1" t="str">
        <f t="shared" si="1"/>
        <v>IdeaPad Slim 3 15IRH8</v>
      </c>
      <c r="E634" s="1" t="str">
        <f t="array" aca="1" ref="E634" ca="1">IFERROR(
INDEX(Family_Map!$B$2:$B$35,
_xludf.AGGREGATE(14,6,(ROW(Family_Map!$A$2:$A$35)-ROW(Family_Map!$A$2)+1)/(ISNUMBER(SEARCH(Family_Map!$A$2:$A$35,D634))),1)
),
"Other")</f>
        <v>Other</v>
      </c>
      <c r="F634" s="1" t="s">
        <v>3290</v>
      </c>
      <c r="G634" s="1" t="e">
        <f t="shared" ca="1" si="2"/>
        <v>#NAME?</v>
      </c>
      <c r="H634" s="1" t="str">
        <f t="shared" ca="1" si="12"/>
        <v>Other</v>
      </c>
      <c r="J634" s="1" t="str">
        <f t="shared" si="3"/>
        <v/>
      </c>
      <c r="K634" s="1" t="s">
        <v>3644</v>
      </c>
      <c r="L634" s="1">
        <f t="shared" si="38"/>
        <v>16</v>
      </c>
      <c r="M634" s="1" t="s">
        <v>156</v>
      </c>
      <c r="N634" s="1" t="str">
        <f t="shared" si="5"/>
        <v>512GB</v>
      </c>
      <c r="O634" s="1" t="str">
        <f t="shared" si="6"/>
        <v>512GB</v>
      </c>
      <c r="P634" s="1" t="s">
        <v>74</v>
      </c>
      <c r="Q634" s="1" t="str">
        <f t="shared" si="7"/>
        <v>1920x1080</v>
      </c>
      <c r="S634" s="1" t="str">
        <f t="shared" si="8"/>
        <v/>
      </c>
      <c r="T634" s="1" t="s">
        <v>101</v>
      </c>
      <c r="U634" s="1" t="str">
        <f t="shared" si="9"/>
        <v>DOS</v>
      </c>
      <c r="V634" s="1" t="s">
        <v>3383</v>
      </c>
      <c r="W634" s="1" t="str">
        <f t="shared" si="10"/>
        <v>1.62 kg</v>
      </c>
      <c r="X634" s="1" t="s">
        <v>78</v>
      </c>
      <c r="Y634" s="1" t="str">
        <f t="shared" si="11"/>
        <v>1 Year</v>
      </c>
      <c r="Z634" s="4">
        <v>24444</v>
      </c>
      <c r="AA634" s="1" t="s">
        <v>79</v>
      </c>
    </row>
    <row r="635" spans="1:27" ht="15.75" customHeight="1" x14ac:dyDescent="0.35">
      <c r="A635" s="1" t="s">
        <v>112</v>
      </c>
      <c r="B635" s="1" t="str">
        <f t="shared" si="16"/>
        <v>HP</v>
      </c>
      <c r="C635" s="1" t="s">
        <v>3645</v>
      </c>
      <c r="D635" s="1" t="str">
        <f t="shared" si="1"/>
        <v>15-FD0022NE</v>
      </c>
      <c r="E635" s="1" t="str">
        <f t="array" aca="1" ref="E635" ca="1">IFERROR(
INDEX(Family_Map!$B$2:$B$35,
_xludf.AGGREGATE(14,6,(ROW(Family_Map!$A$2:$A$35)-ROW(Family_Map!$A$2)+1)/(ISNUMBER(SEARCH(Family_Map!$A$2:$A$35,D635))),1)
),
"Other")</f>
        <v>Other</v>
      </c>
      <c r="F635" s="1" t="s">
        <v>3476</v>
      </c>
      <c r="G635" s="1" t="e">
        <f t="shared" ca="1" si="2"/>
        <v>#NAME?</v>
      </c>
      <c r="H635" s="1" t="str">
        <f t="shared" ca="1" si="12"/>
        <v>Other</v>
      </c>
      <c r="J635" s="1" t="str">
        <f t="shared" si="3"/>
        <v/>
      </c>
      <c r="K635" s="1" t="s">
        <v>363</v>
      </c>
      <c r="L635" s="1">
        <f t="shared" si="38"/>
        <v>8</v>
      </c>
      <c r="M635" s="1" t="s">
        <v>2718</v>
      </c>
      <c r="N635" s="1" t="str">
        <f t="shared" si="5"/>
        <v>512 GB</v>
      </c>
      <c r="O635" s="1" t="str">
        <f t="shared" si="6"/>
        <v>512 GB</v>
      </c>
      <c r="P635" s="1" t="s">
        <v>120</v>
      </c>
      <c r="Q635" s="1" t="str">
        <f t="shared" si="7"/>
        <v>1920x1080</v>
      </c>
      <c r="S635" s="1" t="str">
        <f t="shared" si="8"/>
        <v/>
      </c>
      <c r="T635" s="1" t="s">
        <v>101</v>
      </c>
      <c r="U635" s="1" t="str">
        <f t="shared" si="9"/>
        <v>DOS</v>
      </c>
      <c r="V635" s="1" t="s">
        <v>3288</v>
      </c>
      <c r="W635" s="1" t="str">
        <f t="shared" si="10"/>
        <v>1.59 kg</v>
      </c>
      <c r="X635" s="1" t="s">
        <v>129</v>
      </c>
      <c r="Y635" s="1" t="str">
        <f t="shared" si="11"/>
        <v>1 Year</v>
      </c>
      <c r="Z635" s="4">
        <v>27777</v>
      </c>
      <c r="AA635" s="1" t="s">
        <v>79</v>
      </c>
    </row>
    <row r="636" spans="1:27" ht="15.75" customHeight="1" x14ac:dyDescent="0.35">
      <c r="A636" s="1" t="s">
        <v>234</v>
      </c>
      <c r="B636" s="1" t="str">
        <f t="shared" si="16"/>
        <v>ASUS</v>
      </c>
      <c r="C636" s="1" t="s">
        <v>3648</v>
      </c>
      <c r="D636" s="1" t="str">
        <f t="shared" si="1"/>
        <v>Vivobook E410 E1400MA-BV1182W</v>
      </c>
      <c r="E636" s="1" t="str">
        <f t="array" aca="1" ref="E636" ca="1">IFERROR(
INDEX(Family_Map!$B$2:$B$35,
_xludf.AGGREGATE(14,6,(ROW(Family_Map!$A$2:$A$35)-ROW(Family_Map!$A$2)+1)/(ISNUMBER(SEARCH(Family_Map!$A$2:$A$35,D636))),1)
),
"Other")</f>
        <v>Other</v>
      </c>
      <c r="F636" s="1" t="s">
        <v>3649</v>
      </c>
      <c r="G636" s="1" t="e">
        <f t="shared" ca="1" si="2"/>
        <v>#NAME?</v>
      </c>
      <c r="H636" s="1" t="str">
        <f t="shared" ca="1" si="12"/>
        <v>Other</v>
      </c>
      <c r="J636" s="1" t="str">
        <f t="shared" si="3"/>
        <v/>
      </c>
      <c r="K636" s="1" t="s">
        <v>3650</v>
      </c>
      <c r="L636" s="1">
        <f t="shared" si="38"/>
        <v>4</v>
      </c>
      <c r="M636" s="1" t="s">
        <v>3651</v>
      </c>
      <c r="N636" s="1" t="str">
        <f t="shared" si="5"/>
        <v>128GB</v>
      </c>
      <c r="O636" s="1" t="str">
        <f t="shared" si="6"/>
        <v>128GB</v>
      </c>
      <c r="P636" s="1" t="s">
        <v>3653</v>
      </c>
      <c r="Q636" s="1" t="str">
        <f t="shared" si="7"/>
        <v>1366x768</v>
      </c>
      <c r="R636" s="1" t="s">
        <v>971</v>
      </c>
      <c r="S636" s="1" t="str">
        <f t="shared" si="8"/>
        <v>60Hz</v>
      </c>
      <c r="T636" s="1" t="s">
        <v>40</v>
      </c>
      <c r="U636" s="1" t="str">
        <f t="shared" si="9"/>
        <v>Windows 11 Home</v>
      </c>
      <c r="V636" s="1" t="s">
        <v>3420</v>
      </c>
      <c r="W636" s="1" t="str">
        <f t="shared" si="10"/>
        <v>1.3 kg</v>
      </c>
      <c r="X636" s="1" t="s">
        <v>129</v>
      </c>
      <c r="Y636" s="1" t="str">
        <f t="shared" si="11"/>
        <v>1 Year</v>
      </c>
      <c r="Z636" s="4">
        <v>8888</v>
      </c>
      <c r="AA636" s="1" t="s">
        <v>5735</v>
      </c>
    </row>
    <row r="637" spans="1:27" ht="15.75" customHeight="1" x14ac:dyDescent="0.35">
      <c r="A637" s="1" t="s">
        <v>151</v>
      </c>
      <c r="B637" s="1" t="str">
        <f t="shared" si="16"/>
        <v>Lenovo</v>
      </c>
      <c r="C637" s="1" t="s">
        <v>3660</v>
      </c>
      <c r="D637" s="1" t="str">
        <f t="shared" si="1"/>
        <v>IdeaPad 1 15IAU7</v>
      </c>
      <c r="E637" s="1" t="str">
        <f t="array" aca="1" ref="E637" ca="1">IFERROR(
INDEX(Family_Map!$B$2:$B$35,
_xludf.AGGREGATE(14,6,(ROW(Family_Map!$A$2:$A$35)-ROW(Family_Map!$A$2)+1)/(ISNUMBER(SEARCH(Family_Map!$A$2:$A$35,D637))),1)
),
"Other")</f>
        <v>Other</v>
      </c>
      <c r="F637" s="1" t="s">
        <v>3661</v>
      </c>
      <c r="G637" s="1" t="e">
        <f t="shared" ca="1" si="2"/>
        <v>#NAME?</v>
      </c>
      <c r="H637" s="1" t="str">
        <f t="shared" ca="1" si="12"/>
        <v>Other</v>
      </c>
      <c r="J637" s="1" t="str">
        <f t="shared" si="3"/>
        <v/>
      </c>
      <c r="K637" s="1" t="s">
        <v>3327</v>
      </c>
      <c r="L637" s="1">
        <f t="shared" si="38"/>
        <v>8</v>
      </c>
      <c r="M637" s="1" t="s">
        <v>156</v>
      </c>
      <c r="N637" s="1" t="str">
        <f t="shared" si="5"/>
        <v>512GB</v>
      </c>
      <c r="O637" s="1" t="str">
        <f t="shared" si="6"/>
        <v>512GB</v>
      </c>
      <c r="P637" s="1" t="s">
        <v>120</v>
      </c>
      <c r="Q637" s="1" t="str">
        <f t="shared" si="7"/>
        <v>1920x1080</v>
      </c>
      <c r="S637" s="1" t="str">
        <f t="shared" si="8"/>
        <v/>
      </c>
      <c r="T637" s="1" t="s">
        <v>40</v>
      </c>
      <c r="U637" s="1" t="str">
        <f t="shared" si="9"/>
        <v>Windows 11 Home</v>
      </c>
      <c r="V637" s="1" t="s">
        <v>3346</v>
      </c>
      <c r="W637" s="1" t="str">
        <f t="shared" si="10"/>
        <v>1.63 kg</v>
      </c>
      <c r="X637" s="1" t="s">
        <v>165</v>
      </c>
      <c r="Y637" s="1" t="str">
        <f t="shared" si="11"/>
        <v>2 Years</v>
      </c>
      <c r="Z637" s="4">
        <v>26666</v>
      </c>
      <c r="AA637" s="1" t="s">
        <v>166</v>
      </c>
    </row>
    <row r="638" spans="1:27" ht="15.75" customHeight="1" x14ac:dyDescent="0.35">
      <c r="A638" s="1" t="s">
        <v>151</v>
      </c>
      <c r="B638" s="1" t="str">
        <f t="shared" si="16"/>
        <v>Lenovo</v>
      </c>
      <c r="C638" s="1" t="s">
        <v>3660</v>
      </c>
      <c r="D638" s="1" t="str">
        <f t="shared" si="1"/>
        <v>IdeaPad 1 15IAU7</v>
      </c>
      <c r="E638" s="1" t="str">
        <f t="array" aca="1" ref="E638" ca="1">IFERROR(
INDEX(Family_Map!$B$2:$B$35,
_xludf.AGGREGATE(14,6,(ROW(Family_Map!$A$2:$A$35)-ROW(Family_Map!$A$2)+1)/(ISNUMBER(SEARCH(Family_Map!$A$2:$A$35,D638))),1)
),
"Other")</f>
        <v>Other</v>
      </c>
      <c r="F638" s="1" t="s">
        <v>3661</v>
      </c>
      <c r="G638" s="1" t="e">
        <f t="shared" ca="1" si="2"/>
        <v>#NAME?</v>
      </c>
      <c r="H638" s="1" t="str">
        <f t="shared" ca="1" si="12"/>
        <v>Other</v>
      </c>
      <c r="J638" s="1" t="str">
        <f t="shared" si="3"/>
        <v/>
      </c>
      <c r="K638" s="1" t="s">
        <v>3327</v>
      </c>
      <c r="L638" s="1">
        <f t="shared" si="38"/>
        <v>8</v>
      </c>
      <c r="M638" s="1" t="s">
        <v>829</v>
      </c>
      <c r="N638" s="1" t="str">
        <f t="shared" si="5"/>
        <v>512GB</v>
      </c>
      <c r="O638" s="1" t="str">
        <f t="shared" si="6"/>
        <v>512GB</v>
      </c>
      <c r="P638" s="1" t="s">
        <v>120</v>
      </c>
      <c r="Q638" s="1" t="str">
        <f t="shared" si="7"/>
        <v>1920x1080</v>
      </c>
      <c r="S638" s="1" t="str">
        <f t="shared" si="8"/>
        <v/>
      </c>
      <c r="T638" s="1" t="s">
        <v>40</v>
      </c>
      <c r="U638" s="1" t="str">
        <f t="shared" si="9"/>
        <v>Windows 11 Home</v>
      </c>
      <c r="V638" s="1" t="s">
        <v>3346</v>
      </c>
      <c r="W638" s="1" t="str">
        <f t="shared" si="10"/>
        <v>1.63 kg</v>
      </c>
      <c r="X638" s="1" t="s">
        <v>339</v>
      </c>
      <c r="Y638" s="1" t="str">
        <f t="shared" si="11"/>
        <v>2 Years</v>
      </c>
      <c r="Z638" s="4">
        <v>24999</v>
      </c>
      <c r="AA638" s="1" t="s">
        <v>166</v>
      </c>
    </row>
    <row r="639" spans="1:27" ht="15.75" customHeight="1" x14ac:dyDescent="0.35">
      <c r="A639" s="1" t="s">
        <v>151</v>
      </c>
      <c r="B639" s="1" t="str">
        <f t="shared" si="16"/>
        <v>Lenovo</v>
      </c>
      <c r="C639" s="1" t="s">
        <v>3667</v>
      </c>
      <c r="D639" s="1" t="str">
        <f t="shared" si="1"/>
        <v>ideapad 5 15ITL05</v>
      </c>
      <c r="E639" s="1" t="str">
        <f t="array" aca="1" ref="E639" ca="1">IFERROR(
INDEX(Family_Map!$B$2:$B$35,
_xludf.AGGREGATE(14,6,(ROW(Family_Map!$A$2:$A$35)-ROW(Family_Map!$A$2)+1)/(ISNUMBER(SEARCH(Family_Map!$A$2:$A$35,D639))),1)
),
"Other")</f>
        <v>Other</v>
      </c>
      <c r="F639" s="1" t="s">
        <v>3668</v>
      </c>
      <c r="G639" s="1" t="e">
        <f t="shared" ca="1" si="2"/>
        <v>#NAME?</v>
      </c>
      <c r="H639" s="1" t="str">
        <f t="shared" ca="1" si="12"/>
        <v>Other</v>
      </c>
      <c r="I639" s="1" t="s">
        <v>3670</v>
      </c>
      <c r="J639" s="1" t="str">
        <f t="shared" si="3"/>
        <v>2GB</v>
      </c>
      <c r="K639" s="1" t="s">
        <v>3296</v>
      </c>
      <c r="L639" s="1">
        <f t="shared" si="38"/>
        <v>8</v>
      </c>
      <c r="M639" s="1" t="s">
        <v>1506</v>
      </c>
      <c r="N639" s="1" t="str">
        <f t="shared" si="5"/>
        <v>512GB</v>
      </c>
      <c r="O639" s="1" t="str">
        <f t="shared" si="6"/>
        <v>512GB</v>
      </c>
      <c r="P639" s="1" t="s">
        <v>120</v>
      </c>
      <c r="Q639" s="1" t="str">
        <f t="shared" si="7"/>
        <v>1920x1080</v>
      </c>
      <c r="S639" s="1" t="str">
        <f t="shared" si="8"/>
        <v/>
      </c>
      <c r="T639" s="1" t="s">
        <v>101</v>
      </c>
      <c r="U639" s="1" t="str">
        <f t="shared" si="9"/>
        <v>DOS</v>
      </c>
      <c r="V639" s="1" t="s">
        <v>3458</v>
      </c>
      <c r="W639" s="1" t="str">
        <f t="shared" si="10"/>
        <v>1.66 kg</v>
      </c>
      <c r="X639" s="1" t="s">
        <v>129</v>
      </c>
      <c r="Y639" s="1" t="str">
        <f t="shared" si="11"/>
        <v>1 Year</v>
      </c>
      <c r="Z639" s="4">
        <v>28999</v>
      </c>
      <c r="AA639" s="1" t="s">
        <v>1082</v>
      </c>
    </row>
    <row r="640" spans="1:27" ht="15.75" customHeight="1" x14ac:dyDescent="0.35">
      <c r="A640" s="1" t="s">
        <v>112</v>
      </c>
      <c r="B640" s="1" t="str">
        <f t="shared" si="16"/>
        <v>HP</v>
      </c>
      <c r="C640" s="1" t="s">
        <v>3677</v>
      </c>
      <c r="D640" s="1" t="str">
        <f t="shared" si="1"/>
        <v>Envy 16-h1023dx</v>
      </c>
      <c r="E640" s="1" t="str">
        <f t="array" aca="1" ref="E640" ca="1">IFERROR(
INDEX(Family_Map!$B$2:$B$35,
_xludf.AGGREGATE(14,6,(ROW(Family_Map!$A$2:$A$35)-ROW(Family_Map!$A$2)+1)/(ISNUMBER(SEARCH(Family_Map!$A$2:$A$35,D640))),1)
),
"Other")</f>
        <v>Other</v>
      </c>
      <c r="F640" s="1" t="s">
        <v>3678</v>
      </c>
      <c r="G640" s="1" t="e">
        <f t="shared" ca="1" si="2"/>
        <v>#NAME?</v>
      </c>
      <c r="H640" s="1" t="str">
        <f t="shared" ca="1" si="12"/>
        <v>Other</v>
      </c>
      <c r="I640" s="1" t="s">
        <v>540</v>
      </c>
      <c r="J640" s="1" t="str">
        <f t="shared" si="3"/>
        <v>8 GB</v>
      </c>
      <c r="K640" s="1" t="s">
        <v>3679</v>
      </c>
      <c r="L640" s="1">
        <f t="shared" si="38"/>
        <v>16</v>
      </c>
      <c r="M640" s="1" t="s">
        <v>735</v>
      </c>
      <c r="N640" s="1" t="str">
        <f t="shared" si="5"/>
        <v>1 TB</v>
      </c>
      <c r="O640" s="1" t="str">
        <f t="shared" si="6"/>
        <v>1024GB</v>
      </c>
      <c r="P640" s="1" t="s">
        <v>224</v>
      </c>
      <c r="Q640" s="1" t="str">
        <f t="shared" si="7"/>
        <v>2560x1600</v>
      </c>
      <c r="R640" s="1" t="s">
        <v>39</v>
      </c>
      <c r="S640" s="1" t="str">
        <f t="shared" si="8"/>
        <v>120Hz</v>
      </c>
      <c r="T640" s="1" t="s">
        <v>201</v>
      </c>
      <c r="U640" s="1" t="str">
        <f t="shared" si="9"/>
        <v>Windows 11 Home</v>
      </c>
      <c r="V640" s="1" t="s">
        <v>3681</v>
      </c>
      <c r="W640" s="1" t="str">
        <f t="shared" si="10"/>
        <v>3.71 kg</v>
      </c>
      <c r="X640" s="1" t="s">
        <v>78</v>
      </c>
      <c r="Y640" s="1" t="str">
        <f t="shared" si="11"/>
        <v>1 Year</v>
      </c>
      <c r="Z640" s="4">
        <v>89999</v>
      </c>
      <c r="AA640" s="1" t="s">
        <v>79</v>
      </c>
    </row>
    <row r="641" spans="1:27" ht="15.75" customHeight="1" x14ac:dyDescent="0.35">
      <c r="A641" s="1" t="s">
        <v>234</v>
      </c>
      <c r="B641" s="1" t="str">
        <f t="shared" si="16"/>
        <v>ASUS</v>
      </c>
      <c r="C641" s="1" t="s">
        <v>3684</v>
      </c>
      <c r="D641" s="1" t="str">
        <f t="shared" si="1"/>
        <v>Zenbook A14 UX3407QA-QD232W</v>
      </c>
      <c r="E641" s="1" t="str">
        <f t="array" aca="1" ref="E641" ca="1">IFERROR(
INDEX(Family_Map!$B$2:$B$35,
_xludf.AGGREGATE(14,6,(ROW(Family_Map!$A$2:$A$35)-ROW(Family_Map!$A$2)+1)/(ISNUMBER(SEARCH(Family_Map!$A$2:$A$35,D641))),1)
),
"Other")</f>
        <v>Other</v>
      </c>
      <c r="F641" s="1" t="s">
        <v>3392</v>
      </c>
      <c r="G641" s="1" t="e">
        <f t="shared" ca="1" si="2"/>
        <v>#NAME?</v>
      </c>
      <c r="H641" s="1" t="str">
        <f t="shared" ca="1" si="12"/>
        <v>Other</v>
      </c>
      <c r="J641" s="1" t="str">
        <f t="shared" si="3"/>
        <v/>
      </c>
      <c r="K641" s="1" t="s">
        <v>3394</v>
      </c>
      <c r="L641" s="1">
        <f t="shared" si="38"/>
        <v>16</v>
      </c>
      <c r="M641" s="1" t="s">
        <v>3395</v>
      </c>
      <c r="N641" s="1" t="str">
        <f t="shared" si="5"/>
        <v>1TB</v>
      </c>
      <c r="O641" s="1" t="str">
        <f t="shared" si="6"/>
        <v>1024GB</v>
      </c>
      <c r="P641" s="1" t="s">
        <v>275</v>
      </c>
      <c r="Q641" s="1" t="str">
        <f t="shared" si="7"/>
        <v>1920x1200</v>
      </c>
      <c r="R641" s="1" t="s">
        <v>971</v>
      </c>
      <c r="S641" s="1" t="str">
        <f t="shared" si="8"/>
        <v>60Hz</v>
      </c>
      <c r="T641" s="1" t="s">
        <v>40</v>
      </c>
      <c r="U641" s="1" t="str">
        <f t="shared" si="9"/>
        <v>Windows 11 Home</v>
      </c>
      <c r="V641" s="1" t="s">
        <v>3689</v>
      </c>
      <c r="W641" s="1" t="str">
        <f t="shared" si="10"/>
        <v>0.98 kg</v>
      </c>
      <c r="X641" s="1" t="s">
        <v>129</v>
      </c>
      <c r="Y641" s="1" t="str">
        <f t="shared" si="11"/>
        <v>1 Year</v>
      </c>
      <c r="Z641" s="4">
        <v>53999</v>
      </c>
      <c r="AA641" s="1" t="s">
        <v>5735</v>
      </c>
    </row>
    <row r="642" spans="1:27" ht="15.75" customHeight="1" x14ac:dyDescent="0.35">
      <c r="A642" s="1" t="s">
        <v>234</v>
      </c>
      <c r="B642" s="1" t="str">
        <f t="shared" si="16"/>
        <v>ASUS</v>
      </c>
      <c r="C642" s="1" t="s">
        <v>3693</v>
      </c>
      <c r="D642" s="1" t="str">
        <f t="shared" si="1"/>
        <v>Vivobook 15 X1502VA-NJ005W</v>
      </c>
      <c r="E642" s="1" t="str">
        <f t="array" aca="1" ref="E642" ca="1">IFERROR(
INDEX(Family_Map!$B$2:$B$35,
_xludf.AGGREGATE(14,6,(ROW(Family_Map!$A$2:$A$35)-ROW(Family_Map!$A$2)+1)/(ISNUMBER(SEARCH(Family_Map!$A$2:$A$35,D642))),1)
),
"Other")</f>
        <v>Other</v>
      </c>
      <c r="F642" s="1" t="s">
        <v>687</v>
      </c>
      <c r="G642" s="1" t="e">
        <f t="shared" ca="1" si="2"/>
        <v>#NAME?</v>
      </c>
      <c r="H642" s="1" t="str">
        <f t="shared" ca="1" si="12"/>
        <v>Other</v>
      </c>
      <c r="J642" s="1" t="str">
        <f t="shared" si="3"/>
        <v/>
      </c>
      <c r="K642" s="1" t="s">
        <v>2110</v>
      </c>
      <c r="L642" s="1">
        <f t="shared" si="38"/>
        <v>8</v>
      </c>
      <c r="M642" s="1" t="s">
        <v>629</v>
      </c>
      <c r="N642" s="1" t="str">
        <f t="shared" si="5"/>
        <v>512GB</v>
      </c>
      <c r="O642" s="1" t="str">
        <f t="shared" si="6"/>
        <v>512GB</v>
      </c>
      <c r="P642" s="1" t="s">
        <v>120</v>
      </c>
      <c r="Q642" s="1" t="str">
        <f t="shared" si="7"/>
        <v>1920x1080</v>
      </c>
      <c r="R642" s="1" t="s">
        <v>971</v>
      </c>
      <c r="S642" s="1" t="str">
        <f t="shared" si="8"/>
        <v>60Hz</v>
      </c>
      <c r="T642" s="1" t="s">
        <v>555</v>
      </c>
      <c r="U642" s="1" t="str">
        <f t="shared" si="9"/>
        <v>Windows 11 Home</v>
      </c>
      <c r="V642" s="1" t="s">
        <v>3500</v>
      </c>
      <c r="W642" s="1" t="str">
        <f t="shared" si="10"/>
        <v>1.7 kg</v>
      </c>
      <c r="X642" s="1" t="s">
        <v>129</v>
      </c>
      <c r="Y642" s="1" t="str">
        <f t="shared" si="11"/>
        <v>1 Year</v>
      </c>
      <c r="Z642" s="4">
        <v>23199</v>
      </c>
      <c r="AA642" s="1" t="s">
        <v>79</v>
      </c>
    </row>
    <row r="643" spans="1:27" ht="15.75" customHeight="1" x14ac:dyDescent="0.35">
      <c r="A643" s="1" t="s">
        <v>234</v>
      </c>
      <c r="B643" s="1" t="str">
        <f t="shared" si="16"/>
        <v>ASUS</v>
      </c>
      <c r="C643" s="1" t="s">
        <v>3698</v>
      </c>
      <c r="D643" s="1" t="str">
        <f t="shared" si="1"/>
        <v>Vivobook 15 X1502VA-NJ065W</v>
      </c>
      <c r="E643" s="1" t="str">
        <f t="array" aca="1" ref="E643" ca="1">IFERROR(
INDEX(Family_Map!$B$2:$B$35,
_xludf.AGGREGATE(14,6,(ROW(Family_Map!$A$2:$A$35)-ROW(Family_Map!$A$2)+1)/(ISNUMBER(SEARCH(Family_Map!$A$2:$A$35,D643))),1)
),
"Other")</f>
        <v>Other</v>
      </c>
      <c r="F643" s="1" t="s">
        <v>687</v>
      </c>
      <c r="G643" s="1" t="e">
        <f t="shared" ca="1" si="2"/>
        <v>#NAME?</v>
      </c>
      <c r="H643" s="1" t="str">
        <f t="shared" ca="1" si="12"/>
        <v>Other</v>
      </c>
      <c r="J643" s="1" t="str">
        <f t="shared" si="3"/>
        <v/>
      </c>
      <c r="K643" s="1" t="s">
        <v>983</v>
      </c>
      <c r="L643" s="1">
        <f t="shared" si="38"/>
        <v>16</v>
      </c>
      <c r="M643" s="1" t="s">
        <v>629</v>
      </c>
      <c r="N643" s="1" t="str">
        <f t="shared" si="5"/>
        <v>512GB</v>
      </c>
      <c r="O643" s="1" t="str">
        <f t="shared" si="6"/>
        <v>512GB</v>
      </c>
      <c r="P643" s="1" t="s">
        <v>120</v>
      </c>
      <c r="Q643" s="1" t="str">
        <f t="shared" si="7"/>
        <v>1920x1080</v>
      </c>
      <c r="R643" s="1" t="s">
        <v>971</v>
      </c>
      <c r="S643" s="1" t="str">
        <f t="shared" si="8"/>
        <v>60Hz</v>
      </c>
      <c r="T643" s="1" t="s">
        <v>555</v>
      </c>
      <c r="U643" s="1" t="str">
        <f t="shared" si="9"/>
        <v>Windows 11 Home</v>
      </c>
      <c r="V643" s="1" t="s">
        <v>3500</v>
      </c>
      <c r="W643" s="1" t="str">
        <f t="shared" si="10"/>
        <v>1.7 kg</v>
      </c>
      <c r="X643" s="1" t="s">
        <v>129</v>
      </c>
      <c r="Y643" s="1" t="str">
        <f t="shared" si="11"/>
        <v>1 Year</v>
      </c>
      <c r="Z643" s="4">
        <v>24199</v>
      </c>
      <c r="AA643" s="1" t="s">
        <v>79</v>
      </c>
    </row>
    <row r="644" spans="1:27" ht="15.75" customHeight="1" x14ac:dyDescent="0.35">
      <c r="A644" s="1" t="s">
        <v>151</v>
      </c>
      <c r="B644" s="1" t="str">
        <f t="shared" si="16"/>
        <v>Lenovo</v>
      </c>
      <c r="C644" s="1" t="s">
        <v>3700</v>
      </c>
      <c r="D644" s="1" t="str">
        <f t="shared" si="1"/>
        <v>IdeaPad 1 15IGL7</v>
      </c>
      <c r="E644" s="1" t="str">
        <f t="array" aca="1" ref="E644" ca="1">IFERROR(
INDEX(Family_Map!$B$2:$B$35,
_xludf.AGGREGATE(14,6,(ROW(Family_Map!$A$2:$A$35)-ROW(Family_Map!$A$2)+1)/(ISNUMBER(SEARCH(Family_Map!$A$2:$A$35,D644))),1)
),
"Other")</f>
        <v>Other</v>
      </c>
      <c r="F644" s="1" t="s">
        <v>3649</v>
      </c>
      <c r="G644" s="1" t="e">
        <f t="shared" ca="1" si="2"/>
        <v>#NAME?</v>
      </c>
      <c r="H644" s="1" t="str">
        <f t="shared" ca="1" si="12"/>
        <v>Other</v>
      </c>
      <c r="J644" s="1" t="str">
        <f t="shared" si="3"/>
        <v/>
      </c>
      <c r="K644" s="1" t="s">
        <v>3702</v>
      </c>
      <c r="L644" s="1">
        <f t="shared" si="38"/>
        <v>8</v>
      </c>
      <c r="M644" s="1" t="s">
        <v>3580</v>
      </c>
      <c r="N644" s="1" t="str">
        <f t="shared" si="5"/>
        <v>256GB</v>
      </c>
      <c r="O644" s="1" t="str">
        <f t="shared" si="6"/>
        <v>256GB</v>
      </c>
      <c r="P644" s="1" t="s">
        <v>3653</v>
      </c>
      <c r="Q644" s="1" t="str">
        <f t="shared" si="7"/>
        <v>1366x768</v>
      </c>
      <c r="S644" s="1" t="str">
        <f t="shared" si="8"/>
        <v/>
      </c>
      <c r="T644" s="1" t="s">
        <v>101</v>
      </c>
      <c r="U644" s="1" t="str">
        <f t="shared" si="9"/>
        <v>DOS</v>
      </c>
      <c r="V644" s="1" t="s">
        <v>3704</v>
      </c>
      <c r="W644" s="1" t="str">
        <f t="shared" si="10"/>
        <v>1.54 kg</v>
      </c>
      <c r="X644" s="1" t="s">
        <v>78</v>
      </c>
      <c r="Y644" s="1" t="str">
        <f t="shared" si="11"/>
        <v>1 Year</v>
      </c>
      <c r="Z644" s="4">
        <v>11199</v>
      </c>
      <c r="AA644" s="1" t="s">
        <v>5735</v>
      </c>
    </row>
    <row r="645" spans="1:27" ht="15.75" customHeight="1" x14ac:dyDescent="0.35">
      <c r="A645" s="1" t="s">
        <v>151</v>
      </c>
      <c r="B645" s="1" t="str">
        <f t="shared" si="16"/>
        <v>Lenovo</v>
      </c>
      <c r="C645" s="1" t="s">
        <v>3708</v>
      </c>
      <c r="D645" s="1" t="str">
        <f t="shared" si="1"/>
        <v>IdeaPad Slim 5 16IMH9</v>
      </c>
      <c r="E645" s="1" t="str">
        <f t="array" aca="1" ref="E645" ca="1">IFERROR(
INDEX(Family_Map!$B$2:$B$35,
_xludf.AGGREGATE(14,6,(ROW(Family_Map!$A$2:$A$35)-ROW(Family_Map!$A$2)+1)/(ISNUMBER(SEARCH(Family_Map!$A$2:$A$35,D645))),1)
),
"Other")</f>
        <v>Other</v>
      </c>
      <c r="F645" s="1" t="s">
        <v>3709</v>
      </c>
      <c r="G645" s="1" t="e">
        <f t="shared" ca="1" si="2"/>
        <v>#NAME?</v>
      </c>
      <c r="H645" s="1" t="str">
        <f t="shared" ca="1" si="12"/>
        <v>Other</v>
      </c>
      <c r="J645" s="1" t="str">
        <f t="shared" si="3"/>
        <v/>
      </c>
      <c r="K645" s="1" t="s">
        <v>1096</v>
      </c>
      <c r="L645" s="1">
        <f t="shared" si="38"/>
        <v>16</v>
      </c>
      <c r="M645" s="1" t="s">
        <v>156</v>
      </c>
      <c r="N645" s="1" t="str">
        <f t="shared" si="5"/>
        <v>512GB</v>
      </c>
      <c r="O645" s="1" t="str">
        <f t="shared" si="6"/>
        <v>512GB</v>
      </c>
      <c r="P645" s="1" t="s">
        <v>275</v>
      </c>
      <c r="Q645" s="1" t="str">
        <f t="shared" si="7"/>
        <v>1920x1200</v>
      </c>
      <c r="R645" s="1" t="s">
        <v>971</v>
      </c>
      <c r="S645" s="1" t="str">
        <f t="shared" si="8"/>
        <v>60Hz</v>
      </c>
      <c r="T645" s="1" t="s">
        <v>90</v>
      </c>
      <c r="U645" s="1" t="str">
        <f t="shared" si="9"/>
        <v>Windows 11 Home</v>
      </c>
      <c r="V645" s="1" t="s">
        <v>3713</v>
      </c>
      <c r="W645" s="1" t="str">
        <f t="shared" si="10"/>
        <v>1.82 kg</v>
      </c>
      <c r="X645" s="1" t="s">
        <v>78</v>
      </c>
      <c r="Y645" s="1" t="str">
        <f t="shared" si="11"/>
        <v>1 Year</v>
      </c>
      <c r="Z645" s="4">
        <v>41999</v>
      </c>
      <c r="AA645" s="1" t="s">
        <v>5735</v>
      </c>
    </row>
    <row r="646" spans="1:27" ht="15.75" customHeight="1" x14ac:dyDescent="0.35">
      <c r="A646" s="1" t="s">
        <v>151</v>
      </c>
      <c r="B646" s="1" t="str">
        <f t="shared" si="16"/>
        <v>Lenovo</v>
      </c>
      <c r="C646" s="1" t="s">
        <v>3708</v>
      </c>
      <c r="D646" s="1" t="str">
        <f t="shared" si="1"/>
        <v>IdeaPad Slim 5 16IMH9</v>
      </c>
      <c r="E646" s="1" t="str">
        <f t="array" aca="1" ref="E646" ca="1">IFERROR(
INDEX(Family_Map!$B$2:$B$35,
_xludf.AGGREGATE(14,6,(ROW(Family_Map!$A$2:$A$35)-ROW(Family_Map!$A$2)+1)/(ISNUMBER(SEARCH(Family_Map!$A$2:$A$35,D646))),1)
),
"Other")</f>
        <v>Other</v>
      </c>
      <c r="F646" s="1" t="s">
        <v>1095</v>
      </c>
      <c r="G646" s="1" t="e">
        <f t="shared" ca="1" si="2"/>
        <v>#NAME?</v>
      </c>
      <c r="H646" s="1" t="str">
        <f t="shared" ca="1" si="12"/>
        <v>Other</v>
      </c>
      <c r="J646" s="1" t="str">
        <f t="shared" si="3"/>
        <v/>
      </c>
      <c r="K646" s="1" t="s">
        <v>1096</v>
      </c>
      <c r="L646" s="1">
        <f t="shared" si="38"/>
        <v>16</v>
      </c>
      <c r="M646" s="1" t="s">
        <v>156</v>
      </c>
      <c r="N646" s="1" t="str">
        <f t="shared" si="5"/>
        <v>512GB</v>
      </c>
      <c r="O646" s="1" t="str">
        <f t="shared" si="6"/>
        <v>512GB</v>
      </c>
      <c r="P646" s="1" t="s">
        <v>275</v>
      </c>
      <c r="Q646" s="1" t="str">
        <f t="shared" si="7"/>
        <v>1920x1200</v>
      </c>
      <c r="R646" s="1" t="s">
        <v>971</v>
      </c>
      <c r="S646" s="1" t="str">
        <f t="shared" si="8"/>
        <v>60Hz</v>
      </c>
      <c r="T646" s="1" t="s">
        <v>90</v>
      </c>
      <c r="U646" s="1" t="str">
        <f t="shared" si="9"/>
        <v>Windows 11 Home</v>
      </c>
      <c r="V646" s="1" t="s">
        <v>3713</v>
      </c>
      <c r="W646" s="1" t="str">
        <f t="shared" si="10"/>
        <v>1.82 kg</v>
      </c>
      <c r="X646" s="1" t="s">
        <v>78</v>
      </c>
      <c r="Y646" s="1" t="str">
        <f t="shared" si="11"/>
        <v>1 Year</v>
      </c>
      <c r="Z646" s="4">
        <v>44888</v>
      </c>
      <c r="AA646" s="1" t="s">
        <v>5735</v>
      </c>
    </row>
    <row r="647" spans="1:27" ht="15.75" customHeight="1" x14ac:dyDescent="0.35">
      <c r="A647" s="1" t="s">
        <v>234</v>
      </c>
      <c r="B647" s="1" t="str">
        <f t="shared" si="16"/>
        <v>ASUS</v>
      </c>
      <c r="C647" s="1" t="s">
        <v>3717</v>
      </c>
      <c r="D647" s="1" t="str">
        <f t="shared" si="1"/>
        <v>Vivobook 15 X1502VA-NJ167W</v>
      </c>
      <c r="E647" s="1" t="str">
        <f t="array" aca="1" ref="E647" ca="1">IFERROR(
INDEX(Family_Map!$B$2:$B$35,
_xludf.AGGREGATE(14,6,(ROW(Family_Map!$A$2:$A$35)-ROW(Family_Map!$A$2)+1)/(ISNUMBER(SEARCH(Family_Map!$A$2:$A$35,D647))),1)
),
"Other")</f>
        <v>Other</v>
      </c>
      <c r="F647" s="1" t="s">
        <v>655</v>
      </c>
      <c r="G647" s="1" t="e">
        <f t="shared" ca="1" si="2"/>
        <v>#NAME?</v>
      </c>
      <c r="H647" s="1" t="str">
        <f t="shared" ca="1" si="12"/>
        <v>Other</v>
      </c>
      <c r="J647" s="1" t="str">
        <f t="shared" si="3"/>
        <v/>
      </c>
      <c r="K647" s="1" t="s">
        <v>491</v>
      </c>
      <c r="L647" s="1">
        <f t="shared" si="38"/>
        <v>16</v>
      </c>
      <c r="M647" s="1" t="s">
        <v>629</v>
      </c>
      <c r="N647" s="1" t="str">
        <f t="shared" si="5"/>
        <v>512GB</v>
      </c>
      <c r="O647" s="1" t="str">
        <f t="shared" si="6"/>
        <v>512GB</v>
      </c>
      <c r="P647" s="1" t="s">
        <v>120</v>
      </c>
      <c r="Q647" s="1" t="str">
        <f t="shared" si="7"/>
        <v>1920x1080</v>
      </c>
      <c r="R647" s="1" t="s">
        <v>971</v>
      </c>
      <c r="S647" s="1" t="str">
        <f t="shared" si="8"/>
        <v>60Hz</v>
      </c>
      <c r="T647" s="1" t="s">
        <v>90</v>
      </c>
      <c r="U647" s="1" t="str">
        <f t="shared" si="9"/>
        <v>Windows 11 Home</v>
      </c>
      <c r="V647" s="1" t="s">
        <v>3500</v>
      </c>
      <c r="W647" s="1" t="str">
        <f t="shared" si="10"/>
        <v>1.7 kg</v>
      </c>
      <c r="X647" s="1" t="s">
        <v>78</v>
      </c>
      <c r="Y647" s="1" t="str">
        <f t="shared" si="11"/>
        <v>1 Year</v>
      </c>
      <c r="Z647" s="4">
        <v>30999</v>
      </c>
      <c r="AA647" s="1" t="s">
        <v>79</v>
      </c>
    </row>
    <row r="648" spans="1:27" ht="15.75" customHeight="1" x14ac:dyDescent="0.35">
      <c r="A648" s="1" t="s">
        <v>81</v>
      </c>
      <c r="B648" s="1" t="str">
        <f t="shared" si="16"/>
        <v>Dell</v>
      </c>
      <c r="C648" s="1" t="s">
        <v>3475</v>
      </c>
      <c r="D648" s="1" t="str">
        <f t="shared" si="1"/>
        <v>Vostro 3530</v>
      </c>
      <c r="E648" s="1" t="str">
        <f t="array" aca="1" ref="E648" ca="1">IFERROR(
INDEX(Family_Map!$B$2:$B$35,
_xludf.AGGREGATE(14,6,(ROW(Family_Map!$A$2:$A$35)-ROW(Family_Map!$A$2)+1)/(ISNUMBER(SEARCH(Family_Map!$A$2:$A$35,D648))),1)
),
"Other")</f>
        <v>Other</v>
      </c>
      <c r="F648" s="1" t="s">
        <v>3721</v>
      </c>
      <c r="G648" s="1" t="e">
        <f t="shared" ca="1" si="2"/>
        <v>#NAME?</v>
      </c>
      <c r="H648" s="1" t="str">
        <f t="shared" ca="1" si="12"/>
        <v>Other</v>
      </c>
      <c r="J648" s="1" t="str">
        <f t="shared" si="3"/>
        <v/>
      </c>
      <c r="K648" s="1" t="s">
        <v>3453</v>
      </c>
      <c r="L648" s="1">
        <f t="shared" si="38"/>
        <v>8</v>
      </c>
      <c r="M648" s="1" t="s">
        <v>2521</v>
      </c>
      <c r="N648" s="1" t="str">
        <f t="shared" si="5"/>
        <v>512GB</v>
      </c>
      <c r="O648" s="1" t="str">
        <f t="shared" si="6"/>
        <v>512GB</v>
      </c>
      <c r="P648" s="1" t="s">
        <v>120</v>
      </c>
      <c r="Q648" s="1" t="str">
        <f t="shared" si="7"/>
        <v>1920x1080</v>
      </c>
      <c r="R648" s="1" t="s">
        <v>39</v>
      </c>
      <c r="S648" s="1" t="str">
        <f t="shared" si="8"/>
        <v>120Hz</v>
      </c>
      <c r="T648" s="1" t="s">
        <v>101</v>
      </c>
      <c r="U648" s="1" t="str">
        <f t="shared" si="9"/>
        <v>DOS</v>
      </c>
      <c r="V648" s="1" t="s">
        <v>3458</v>
      </c>
      <c r="W648" s="1" t="str">
        <f t="shared" si="10"/>
        <v>1.66 kg</v>
      </c>
      <c r="X648" s="1" t="s">
        <v>78</v>
      </c>
      <c r="Y648" s="1" t="str">
        <f t="shared" si="11"/>
        <v>1 Year</v>
      </c>
      <c r="Z648" s="4">
        <v>18599</v>
      </c>
      <c r="AA648" s="1" t="s">
        <v>79</v>
      </c>
    </row>
    <row r="649" spans="1:27" ht="15.75" customHeight="1" x14ac:dyDescent="0.35">
      <c r="A649" s="1" t="s">
        <v>234</v>
      </c>
      <c r="B649" s="1" t="str">
        <f t="shared" si="16"/>
        <v>ASUS</v>
      </c>
      <c r="C649" s="1" t="s">
        <v>3723</v>
      </c>
      <c r="D649" s="1" t="str">
        <f t="shared" si="1"/>
        <v>Zenbook 14 OLED UX3405CA-PZ007W</v>
      </c>
      <c r="E649" s="1" t="str">
        <f t="array" aca="1" ref="E649" ca="1">IFERROR(
INDEX(Family_Map!$B$2:$B$35,
_xludf.AGGREGATE(14,6,(ROW(Family_Map!$A$2:$A$35)-ROW(Family_Map!$A$2)+1)/(ISNUMBER(SEARCH(Family_Map!$A$2:$A$35,D649))),1)
),
"Other")</f>
        <v>Other</v>
      </c>
      <c r="F649" s="1" t="s">
        <v>3437</v>
      </c>
      <c r="G649" s="1" t="e">
        <f t="shared" ca="1" si="2"/>
        <v>#NAME?</v>
      </c>
      <c r="H649" s="1" t="str">
        <f t="shared" ca="1" si="12"/>
        <v>Other</v>
      </c>
      <c r="J649" s="1" t="str">
        <f t="shared" si="3"/>
        <v/>
      </c>
      <c r="K649" s="1" t="s">
        <v>3394</v>
      </c>
      <c r="L649" s="1">
        <f t="shared" si="38"/>
        <v>16</v>
      </c>
      <c r="M649" s="1" t="s">
        <v>3395</v>
      </c>
      <c r="N649" s="1" t="str">
        <f t="shared" si="5"/>
        <v>1TB</v>
      </c>
      <c r="O649" s="1" t="str">
        <f t="shared" si="6"/>
        <v>1024GB</v>
      </c>
      <c r="Q649" s="1" t="str">
        <f t="shared" si="7"/>
        <v/>
      </c>
      <c r="S649" s="1" t="str">
        <f t="shared" si="8"/>
        <v/>
      </c>
      <c r="T649" s="1" t="s">
        <v>90</v>
      </c>
      <c r="U649" s="1" t="str">
        <f t="shared" si="9"/>
        <v>Windows 11 Home</v>
      </c>
      <c r="V649" s="1" t="s">
        <v>3726</v>
      </c>
      <c r="W649" s="1" t="str">
        <f t="shared" si="10"/>
        <v>1.28 kg</v>
      </c>
      <c r="X649" s="1" t="s">
        <v>78</v>
      </c>
      <c r="Y649" s="1" t="str">
        <f t="shared" si="11"/>
        <v>1 Year</v>
      </c>
      <c r="Z649" s="4">
        <v>58888</v>
      </c>
      <c r="AA649" s="1" t="s">
        <v>5735</v>
      </c>
    </row>
    <row r="650" spans="1:27" ht="15.75" customHeight="1" x14ac:dyDescent="0.35">
      <c r="A650" s="1" t="s">
        <v>3729</v>
      </c>
      <c r="B650" s="1" t="str">
        <f t="shared" si="16"/>
        <v>Microsoft</v>
      </c>
      <c r="C650" s="1" t="s">
        <v>3730</v>
      </c>
      <c r="D650" s="1" t="str">
        <f t="shared" si="1"/>
        <v>Surface Pro 11</v>
      </c>
      <c r="E650" s="1" t="str">
        <f t="array" aca="1" ref="E650" ca="1">IFERROR(
INDEX(Family_Map!$B$2:$B$35,
_xludf.AGGREGATE(14,6,(ROW(Family_Map!$A$2:$A$35)-ROW(Family_Map!$A$2)+1)/(ISNUMBER(SEARCH(Family_Map!$A$2:$A$35,D650))),1)
),
"Other")</f>
        <v>Other</v>
      </c>
      <c r="F650" s="1" t="s">
        <v>3731</v>
      </c>
      <c r="G650" s="1" t="e">
        <f t="shared" ca="1" si="2"/>
        <v>#NAME?</v>
      </c>
      <c r="H650" s="1" t="str">
        <f t="shared" ca="1" si="12"/>
        <v>Other</v>
      </c>
      <c r="J650" s="1" t="str">
        <f t="shared" si="3"/>
        <v/>
      </c>
      <c r="K650" s="1" t="s">
        <v>3732</v>
      </c>
      <c r="L650" s="1">
        <f t="shared" si="38"/>
        <v>32</v>
      </c>
      <c r="M650" s="1" t="s">
        <v>322</v>
      </c>
      <c r="N650" s="1" t="str">
        <f t="shared" si="5"/>
        <v>1TB</v>
      </c>
      <c r="O650" s="1" t="str">
        <f t="shared" si="6"/>
        <v>1024GB</v>
      </c>
      <c r="Q650" s="1" t="str">
        <f t="shared" si="7"/>
        <v/>
      </c>
      <c r="S650" s="1" t="str">
        <f t="shared" si="8"/>
        <v/>
      </c>
      <c r="T650" s="1" t="s">
        <v>90</v>
      </c>
      <c r="U650" s="1" t="str">
        <f t="shared" si="9"/>
        <v>Windows 11 Home</v>
      </c>
      <c r="V650" s="1" t="s">
        <v>3735</v>
      </c>
      <c r="W650" s="1" t="str">
        <f t="shared" si="10"/>
        <v>0.9 kg</v>
      </c>
      <c r="X650" s="1" t="s">
        <v>78</v>
      </c>
      <c r="Y650" s="1" t="str">
        <f t="shared" si="11"/>
        <v>1 Year</v>
      </c>
      <c r="Z650" s="4">
        <v>154999</v>
      </c>
      <c r="AA650" s="1" t="s">
        <v>5735</v>
      </c>
    </row>
    <row r="651" spans="1:27" ht="15.75" customHeight="1" x14ac:dyDescent="0.35">
      <c r="A651" s="1" t="s">
        <v>81</v>
      </c>
      <c r="B651" s="1" t="str">
        <f t="shared" si="16"/>
        <v>Dell</v>
      </c>
      <c r="C651" s="1" t="s">
        <v>3738</v>
      </c>
      <c r="D651" s="1" t="str">
        <f t="shared" si="1"/>
        <v>Inspiron 3520</v>
      </c>
      <c r="E651" s="1" t="str">
        <f t="array" aca="1" ref="E651" ca="1">IFERROR(
INDEX(Family_Map!$B$2:$B$35,
_xludf.AGGREGATE(14,6,(ROW(Family_Map!$A$2:$A$35)-ROW(Family_Map!$A$2)+1)/(ISNUMBER(SEARCH(Family_Map!$A$2:$A$35,D651))),1)
),
"Other")</f>
        <v>Other</v>
      </c>
      <c r="F651" s="1" t="s">
        <v>3739</v>
      </c>
      <c r="G651" s="1" t="e">
        <f t="shared" ca="1" si="2"/>
        <v>#NAME?</v>
      </c>
      <c r="H651" s="1" t="str">
        <f t="shared" ca="1" si="12"/>
        <v>Other</v>
      </c>
      <c r="J651" s="1" t="str">
        <f t="shared" si="3"/>
        <v/>
      </c>
      <c r="K651" s="1" t="s">
        <v>3740</v>
      </c>
      <c r="L651" s="1">
        <f t="shared" si="38"/>
        <v>8</v>
      </c>
      <c r="M651" s="1" t="s">
        <v>2521</v>
      </c>
      <c r="N651" s="1" t="str">
        <f t="shared" si="5"/>
        <v>512GB</v>
      </c>
      <c r="O651" s="1" t="str">
        <f t="shared" si="6"/>
        <v>512GB</v>
      </c>
      <c r="P651" s="1" t="s">
        <v>120</v>
      </c>
      <c r="Q651" s="1" t="str">
        <f t="shared" si="7"/>
        <v>1920x1080</v>
      </c>
      <c r="R651" s="1" t="s">
        <v>39</v>
      </c>
      <c r="S651" s="1" t="str">
        <f t="shared" si="8"/>
        <v>120Hz</v>
      </c>
      <c r="T651" s="1" t="s">
        <v>101</v>
      </c>
      <c r="U651" s="1" t="str">
        <f t="shared" si="9"/>
        <v>DOS</v>
      </c>
      <c r="V651" s="1" t="s">
        <v>1609</v>
      </c>
      <c r="W651" s="1" t="str">
        <f t="shared" si="10"/>
        <v>1.65 kg</v>
      </c>
      <c r="X651" s="1" t="s">
        <v>78</v>
      </c>
      <c r="Y651" s="1" t="str">
        <f t="shared" si="11"/>
        <v>1 Year</v>
      </c>
      <c r="Z651" s="4">
        <v>15999</v>
      </c>
      <c r="AA651" s="1" t="s">
        <v>166</v>
      </c>
    </row>
    <row r="652" spans="1:27" ht="15.75" customHeight="1" x14ac:dyDescent="0.35">
      <c r="A652" s="1" t="s">
        <v>81</v>
      </c>
      <c r="B652" s="1" t="str">
        <f t="shared" si="16"/>
        <v>Dell</v>
      </c>
      <c r="C652" s="1" t="s">
        <v>3738</v>
      </c>
      <c r="D652" s="1" t="str">
        <f t="shared" si="1"/>
        <v>Inspiron 3520</v>
      </c>
      <c r="E652" s="1" t="str">
        <f t="array" aca="1" ref="E652" ca="1">IFERROR(
INDEX(Family_Map!$B$2:$B$35,
_xludf.AGGREGATE(14,6,(ROW(Family_Map!$A$2:$A$35)-ROW(Family_Map!$A$2)+1)/(ISNUMBER(SEARCH(Family_Map!$A$2:$A$35,D652))),1)
),
"Other")</f>
        <v>Other</v>
      </c>
      <c r="F652" s="1" t="s">
        <v>3661</v>
      </c>
      <c r="G652" s="1" t="e">
        <f t="shared" ca="1" si="2"/>
        <v>#NAME?</v>
      </c>
      <c r="H652" s="1" t="str">
        <f t="shared" ca="1" si="12"/>
        <v>Other</v>
      </c>
      <c r="J652" s="1" t="str">
        <f t="shared" si="3"/>
        <v/>
      </c>
      <c r="K652" s="1" t="s">
        <v>3743</v>
      </c>
      <c r="L652" s="1">
        <f t="shared" si="38"/>
        <v>16</v>
      </c>
      <c r="M652" s="1" t="s">
        <v>2521</v>
      </c>
      <c r="N652" s="1" t="str">
        <f t="shared" si="5"/>
        <v>512GB</v>
      </c>
      <c r="O652" s="1" t="str">
        <f t="shared" si="6"/>
        <v>512GB</v>
      </c>
      <c r="P652" s="1" t="s">
        <v>120</v>
      </c>
      <c r="Q652" s="1" t="str">
        <f t="shared" si="7"/>
        <v>1920x1080</v>
      </c>
      <c r="R652" s="1" t="s">
        <v>39</v>
      </c>
      <c r="S652" s="1" t="str">
        <f t="shared" si="8"/>
        <v>120Hz</v>
      </c>
      <c r="T652" s="1" t="s">
        <v>101</v>
      </c>
      <c r="U652" s="1" t="str">
        <f t="shared" si="9"/>
        <v>DOS</v>
      </c>
      <c r="V652" s="1" t="s">
        <v>1609</v>
      </c>
      <c r="W652" s="1" t="str">
        <f t="shared" si="10"/>
        <v>1.65 kg</v>
      </c>
      <c r="X652" s="1" t="s">
        <v>78</v>
      </c>
      <c r="Y652" s="1" t="str">
        <f t="shared" si="11"/>
        <v>1 Year</v>
      </c>
      <c r="Z652" s="4">
        <v>28999</v>
      </c>
      <c r="AA652" s="1" t="s">
        <v>166</v>
      </c>
    </row>
    <row r="653" spans="1:27" ht="15.75" customHeight="1" x14ac:dyDescent="0.35">
      <c r="A653" s="1" t="s">
        <v>151</v>
      </c>
      <c r="B653" s="1" t="str">
        <f t="shared" si="16"/>
        <v>Lenovo</v>
      </c>
      <c r="C653" s="1" t="s">
        <v>3571</v>
      </c>
      <c r="D653" s="1" t="str">
        <f t="shared" si="1"/>
        <v>IdeaPad Slim 3 15IRU8</v>
      </c>
      <c r="E653" s="1" t="str">
        <f t="array" aca="1" ref="E653" ca="1">IFERROR(
INDEX(Family_Map!$B$2:$B$35,
_xludf.AGGREGATE(14,6,(ROW(Family_Map!$A$2:$A$35)-ROW(Family_Map!$A$2)+1)/(ISNUMBER(SEARCH(Family_Map!$A$2:$A$35,D653))),1)
),
"Other")</f>
        <v>Other</v>
      </c>
      <c r="F653" s="1" t="s">
        <v>3746</v>
      </c>
      <c r="G653" s="1" t="e">
        <f t="shared" ca="1" si="2"/>
        <v>#NAME?</v>
      </c>
      <c r="H653" s="1" t="str">
        <f t="shared" ca="1" si="12"/>
        <v>Other</v>
      </c>
      <c r="J653" s="1" t="str">
        <f t="shared" si="3"/>
        <v/>
      </c>
      <c r="K653" s="1" t="s">
        <v>3573</v>
      </c>
      <c r="L653" s="1">
        <f t="shared" si="38"/>
        <v>8</v>
      </c>
      <c r="M653" s="1" t="s">
        <v>3580</v>
      </c>
      <c r="N653" s="1" t="str">
        <f t="shared" si="5"/>
        <v>256GB</v>
      </c>
      <c r="O653" s="1" t="str">
        <f t="shared" si="6"/>
        <v>256GB</v>
      </c>
      <c r="P653" s="1" t="s">
        <v>120</v>
      </c>
      <c r="Q653" s="1" t="str">
        <f t="shared" si="7"/>
        <v>1920x1080</v>
      </c>
      <c r="S653" s="1" t="str">
        <f t="shared" si="8"/>
        <v/>
      </c>
      <c r="T653" s="1" t="s">
        <v>101</v>
      </c>
      <c r="U653" s="1" t="str">
        <f t="shared" si="9"/>
        <v>DOS</v>
      </c>
      <c r="V653" s="1" t="s">
        <v>3383</v>
      </c>
      <c r="W653" s="1" t="str">
        <f t="shared" si="10"/>
        <v>1.62 kg</v>
      </c>
      <c r="X653" s="1" t="s">
        <v>165</v>
      </c>
      <c r="Y653" s="1" t="str">
        <f t="shared" si="11"/>
        <v>2 Years</v>
      </c>
      <c r="Z653" s="4">
        <v>15999</v>
      </c>
      <c r="AA653" s="1" t="s">
        <v>79</v>
      </c>
    </row>
    <row r="654" spans="1:27" ht="15.75" customHeight="1" x14ac:dyDescent="0.35">
      <c r="A654" s="1" t="s">
        <v>81</v>
      </c>
      <c r="B654" s="1" t="str">
        <f t="shared" si="16"/>
        <v>Dell</v>
      </c>
      <c r="C654" s="1" t="s">
        <v>3747</v>
      </c>
      <c r="D654" s="1" t="str">
        <f t="shared" si="1"/>
        <v>Inspiron 3511</v>
      </c>
      <c r="E654" s="1" t="str">
        <f t="array" aca="1" ref="E654" ca="1">IFERROR(
INDEX(Family_Map!$B$2:$B$35,
_xludf.AGGREGATE(14,6,(ROW(Family_Map!$A$2:$A$35)-ROW(Family_Map!$A$2)+1)/(ISNUMBER(SEARCH(Family_Map!$A$2:$A$35,D654))),1)
),
"Other")</f>
        <v>Other</v>
      </c>
      <c r="F654" s="1" t="s">
        <v>3748</v>
      </c>
      <c r="G654" s="1" t="e">
        <f t="shared" ca="1" si="2"/>
        <v>#NAME?</v>
      </c>
      <c r="H654" s="1" t="str">
        <f t="shared" ca="1" si="12"/>
        <v>Other</v>
      </c>
      <c r="J654" s="1" t="str">
        <f t="shared" si="3"/>
        <v/>
      </c>
      <c r="K654" s="1" t="s">
        <v>3743</v>
      </c>
      <c r="L654" s="1">
        <f t="shared" si="38"/>
        <v>16</v>
      </c>
      <c r="M654" s="1" t="s">
        <v>2521</v>
      </c>
      <c r="N654" s="1" t="str">
        <f t="shared" si="5"/>
        <v>512GB</v>
      </c>
      <c r="O654" s="1" t="str">
        <f t="shared" si="6"/>
        <v>512GB</v>
      </c>
      <c r="P654" s="1" t="s">
        <v>616</v>
      </c>
      <c r="Q654" s="1" t="str">
        <f t="shared" si="7"/>
        <v>1920x1080</v>
      </c>
      <c r="S654" s="1" t="str">
        <f t="shared" si="8"/>
        <v/>
      </c>
      <c r="T654" s="1" t="s">
        <v>101</v>
      </c>
      <c r="U654" s="1" t="str">
        <f t="shared" si="9"/>
        <v>DOS</v>
      </c>
      <c r="V654" s="1" t="s">
        <v>3752</v>
      </c>
      <c r="W654" s="1" t="str">
        <f t="shared" si="10"/>
        <v>1.73 kg</v>
      </c>
      <c r="X654" s="1" t="s">
        <v>129</v>
      </c>
      <c r="Y654" s="1" t="str">
        <f t="shared" si="11"/>
        <v>1 Year</v>
      </c>
      <c r="Z654" s="4">
        <v>24999</v>
      </c>
      <c r="AA654" s="1" t="s">
        <v>1082</v>
      </c>
    </row>
    <row r="655" spans="1:27" ht="15.75" customHeight="1" x14ac:dyDescent="0.35">
      <c r="A655" s="1" t="s">
        <v>112</v>
      </c>
      <c r="B655" s="1" t="str">
        <f t="shared" si="16"/>
        <v>HP</v>
      </c>
      <c r="C655" s="1" t="s">
        <v>3755</v>
      </c>
      <c r="D655" s="1" t="str">
        <f t="shared" si="1"/>
        <v>15-FD0355NIA</v>
      </c>
      <c r="E655" s="1" t="str">
        <f t="array" aca="1" ref="E655" ca="1">IFERROR(
INDEX(Family_Map!$B$2:$B$35,
_xludf.AGGREGATE(14,6,(ROW(Family_Map!$A$2:$A$35)-ROW(Family_Map!$A$2)+1)/(ISNUMBER(SEARCH(Family_Map!$A$2:$A$35,D655))),1)
),
"Other")</f>
        <v>Other</v>
      </c>
      <c r="F655" s="1" t="s">
        <v>3314</v>
      </c>
      <c r="G655" s="1" t="e">
        <f t="shared" ca="1" si="2"/>
        <v>#NAME?</v>
      </c>
      <c r="H655" s="1" t="str">
        <f t="shared" ca="1" si="12"/>
        <v>Other</v>
      </c>
      <c r="J655" s="1" t="str">
        <f t="shared" si="3"/>
        <v/>
      </c>
      <c r="K655" s="1" t="s">
        <v>363</v>
      </c>
      <c r="L655" s="1">
        <f t="shared" si="38"/>
        <v>8</v>
      </c>
      <c r="M655" s="1" t="s">
        <v>2718</v>
      </c>
      <c r="N655" s="1" t="str">
        <f t="shared" si="5"/>
        <v>512 GB</v>
      </c>
      <c r="O655" s="1" t="str">
        <f t="shared" si="6"/>
        <v>512 GB</v>
      </c>
      <c r="P655" s="1" t="s">
        <v>120</v>
      </c>
      <c r="Q655" s="1" t="str">
        <f t="shared" si="7"/>
        <v>1920x1080</v>
      </c>
      <c r="S655" s="1" t="str">
        <f t="shared" si="8"/>
        <v/>
      </c>
      <c r="T655" s="1" t="s">
        <v>101</v>
      </c>
      <c r="U655" s="1" t="str">
        <f t="shared" si="9"/>
        <v>DOS</v>
      </c>
      <c r="V655" s="1" t="s">
        <v>3288</v>
      </c>
      <c r="W655" s="1" t="str">
        <f t="shared" si="10"/>
        <v>1.59 kg</v>
      </c>
      <c r="X655" s="1" t="s">
        <v>78</v>
      </c>
      <c r="Y655" s="1" t="str">
        <f t="shared" si="11"/>
        <v>1 Year</v>
      </c>
      <c r="Z655" s="4">
        <v>24444</v>
      </c>
      <c r="AA655" s="1" t="s">
        <v>79</v>
      </c>
    </row>
    <row r="656" spans="1:27" ht="15.75" customHeight="1" x14ac:dyDescent="0.35">
      <c r="A656" s="1" t="s">
        <v>30</v>
      </c>
      <c r="B656" s="1" t="str">
        <f t="shared" si="16"/>
        <v>MSI</v>
      </c>
      <c r="C656" s="1" t="s">
        <v>3313</v>
      </c>
      <c r="D656" s="1" t="str">
        <f t="shared" si="1"/>
        <v>Modern 15 F13MG</v>
      </c>
      <c r="E656" s="1" t="str">
        <f t="array" aca="1" ref="E656" ca="1">IFERROR(
INDEX(Family_Map!$B$2:$B$35,
_xludf.AGGREGATE(14,6,(ROW(Family_Map!$A$2:$A$35)-ROW(Family_Map!$A$2)+1)/(ISNUMBER(SEARCH(Family_Map!$A$2:$A$35,D656))),1)
),
"Other")</f>
        <v>Other</v>
      </c>
      <c r="F656" s="1" t="s">
        <v>3758</v>
      </c>
      <c r="G656" s="1" t="e">
        <f t="shared" ca="1" si="2"/>
        <v>#NAME?</v>
      </c>
      <c r="H656" s="1" t="str">
        <f t="shared" ca="1" si="12"/>
        <v>Other</v>
      </c>
      <c r="J656" s="1" t="str">
        <f t="shared" si="3"/>
        <v/>
      </c>
      <c r="K656" s="1" t="s">
        <v>462</v>
      </c>
      <c r="L656" s="1">
        <f t="shared" si="38"/>
        <v>8</v>
      </c>
      <c r="M656" s="1" t="s">
        <v>1120</v>
      </c>
      <c r="N656" s="1" t="str">
        <f t="shared" si="5"/>
        <v>512GB</v>
      </c>
      <c r="O656" s="1" t="str">
        <f t="shared" si="6"/>
        <v>512GB</v>
      </c>
      <c r="P656" s="1" t="s">
        <v>120</v>
      </c>
      <c r="Q656" s="1" t="str">
        <f t="shared" si="7"/>
        <v>1920x1080</v>
      </c>
      <c r="R656" s="1" t="s">
        <v>971</v>
      </c>
      <c r="S656" s="1" t="str">
        <f t="shared" si="8"/>
        <v>60Hz</v>
      </c>
      <c r="T656" s="1" t="s">
        <v>101</v>
      </c>
      <c r="U656" s="1" t="str">
        <f t="shared" si="9"/>
        <v>DOS</v>
      </c>
      <c r="V656" s="1" t="s">
        <v>3321</v>
      </c>
      <c r="W656" s="1" t="str">
        <f t="shared" si="10"/>
        <v>1.7 kg</v>
      </c>
      <c r="X656" s="1" t="s">
        <v>78</v>
      </c>
      <c r="Y656" s="1" t="str">
        <f t="shared" si="11"/>
        <v>1 Year</v>
      </c>
      <c r="Z656" s="4">
        <v>20999</v>
      </c>
      <c r="AA656" s="1" t="s">
        <v>79</v>
      </c>
    </row>
    <row r="657" spans="1:27" ht="15.75" customHeight="1" x14ac:dyDescent="0.35">
      <c r="A657" s="1" t="s">
        <v>234</v>
      </c>
      <c r="B657" s="1" t="str">
        <f t="shared" si="16"/>
        <v>ASUS</v>
      </c>
      <c r="C657" s="1" t="s">
        <v>3763</v>
      </c>
      <c r="D657" s="1" t="str">
        <f t="shared" si="1"/>
        <v>Vivobook 15 X1504VA-NJ005​</v>
      </c>
      <c r="E657" s="1" t="str">
        <f t="array" aca="1" ref="E657" ca="1">IFERROR(
INDEX(Family_Map!$B$2:$B$35,
_xludf.AGGREGATE(14,6,(ROW(Family_Map!$A$2:$A$35)-ROW(Family_Map!$A$2)+1)/(ISNUMBER(SEARCH(Family_Map!$A$2:$A$35,D657))),1)
),
"Other")</f>
        <v>Other</v>
      </c>
      <c r="F657" s="1" t="s">
        <v>3758</v>
      </c>
      <c r="G657" s="1" t="e">
        <f t="shared" ca="1" si="2"/>
        <v>#NAME?</v>
      </c>
      <c r="H657" s="1" t="str">
        <f t="shared" ca="1" si="12"/>
        <v>Other</v>
      </c>
      <c r="J657" s="1" t="str">
        <f t="shared" si="3"/>
        <v/>
      </c>
      <c r="K657" s="1" t="s">
        <v>462</v>
      </c>
      <c r="L657" s="1">
        <f t="shared" si="38"/>
        <v>8</v>
      </c>
      <c r="M657" s="1" t="s">
        <v>3764</v>
      </c>
      <c r="N657" s="1" t="str">
        <f t="shared" si="5"/>
        <v>512GB</v>
      </c>
      <c r="O657" s="1" t="str">
        <f t="shared" si="6"/>
        <v>512GB</v>
      </c>
      <c r="P657" s="1" t="s">
        <v>120</v>
      </c>
      <c r="Q657" s="1" t="str">
        <f t="shared" si="7"/>
        <v>1920x1080</v>
      </c>
      <c r="R657" s="1" t="s">
        <v>971</v>
      </c>
      <c r="S657" s="1" t="str">
        <f t="shared" si="8"/>
        <v>60Hz</v>
      </c>
      <c r="T657" s="1" t="s">
        <v>121</v>
      </c>
      <c r="U657" s="1" t="str">
        <f t="shared" si="9"/>
        <v>DOS</v>
      </c>
      <c r="V657" s="1" t="s">
        <v>3500</v>
      </c>
      <c r="W657" s="1" t="str">
        <f t="shared" si="10"/>
        <v>1.7 kg</v>
      </c>
      <c r="X657" s="1" t="s">
        <v>78</v>
      </c>
      <c r="Y657" s="1" t="str">
        <f t="shared" si="11"/>
        <v>1 Year</v>
      </c>
      <c r="Z657" s="4">
        <v>20949</v>
      </c>
      <c r="AA657" s="1" t="s">
        <v>79</v>
      </c>
    </row>
    <row r="658" spans="1:27" ht="15.75" customHeight="1" x14ac:dyDescent="0.35">
      <c r="A658" s="1" t="s">
        <v>234</v>
      </c>
      <c r="B658" s="1" t="str">
        <f t="shared" si="16"/>
        <v>ASUS</v>
      </c>
      <c r="C658" s="1" t="s">
        <v>3768</v>
      </c>
      <c r="D658" s="1" t="str">
        <f t="shared" si="1"/>
        <v>Vivobook S14 Flip TN3402YA-LZ007W</v>
      </c>
      <c r="E658" s="1" t="str">
        <f t="array" aca="1" ref="E658" ca="1">IFERROR(
INDEX(Family_Map!$B$2:$B$35,
_xludf.AGGREGATE(14,6,(ROW(Family_Map!$A$2:$A$35)-ROW(Family_Map!$A$2)+1)/(ISNUMBER(SEARCH(Family_Map!$A$2:$A$35,D658))),1)
),
"Other")</f>
        <v>Other</v>
      </c>
      <c r="F658" s="1" t="s">
        <v>3769</v>
      </c>
      <c r="G658" s="1" t="e">
        <f t="shared" ca="1" si="2"/>
        <v>#NAME?</v>
      </c>
      <c r="H658" s="1" t="str">
        <f t="shared" ca="1" si="12"/>
        <v>Other</v>
      </c>
      <c r="J658" s="1" t="str">
        <f t="shared" si="3"/>
        <v/>
      </c>
      <c r="K658" s="1" t="s">
        <v>462</v>
      </c>
      <c r="L658" s="1">
        <f t="shared" si="38"/>
        <v>8</v>
      </c>
      <c r="M658" s="1" t="s">
        <v>1120</v>
      </c>
      <c r="N658" s="1" t="str">
        <f t="shared" si="5"/>
        <v>512GB</v>
      </c>
      <c r="O658" s="1" t="str">
        <f t="shared" si="6"/>
        <v>512GB</v>
      </c>
      <c r="P658" s="1" t="s">
        <v>275</v>
      </c>
      <c r="Q658" s="1" t="str">
        <f t="shared" si="7"/>
        <v>1920x1200</v>
      </c>
      <c r="R658" s="1" t="s">
        <v>971</v>
      </c>
      <c r="S658" s="1" t="str">
        <f t="shared" si="8"/>
        <v>60Hz</v>
      </c>
      <c r="T658" s="1" t="s">
        <v>90</v>
      </c>
      <c r="U658" s="1" t="str">
        <f t="shared" si="9"/>
        <v>Windows 11 Home</v>
      </c>
      <c r="V658" s="1" t="s">
        <v>3468</v>
      </c>
      <c r="W658" s="1" t="str">
        <f t="shared" si="10"/>
        <v>1.5 kg</v>
      </c>
      <c r="X658" s="1" t="s">
        <v>78</v>
      </c>
      <c r="Y658" s="1" t="str">
        <f t="shared" si="11"/>
        <v>1 Year</v>
      </c>
      <c r="Z658" s="4">
        <v>33999</v>
      </c>
      <c r="AA658" s="1" t="s">
        <v>5735</v>
      </c>
    </row>
    <row r="659" spans="1:27" ht="15.75" customHeight="1" x14ac:dyDescent="0.35">
      <c r="A659" s="1" t="s">
        <v>234</v>
      </c>
      <c r="B659" s="1" t="str">
        <f t="shared" si="16"/>
        <v>ASUS</v>
      </c>
      <c r="C659" s="1" t="s">
        <v>3775</v>
      </c>
      <c r="D659" s="1" t="str">
        <f t="shared" si="1"/>
        <v>Vivobook S14 Flip TN3402YA-LZ555W</v>
      </c>
      <c r="E659" s="1" t="str">
        <f t="array" aca="1" ref="E659" ca="1">IFERROR(
INDEX(Family_Map!$B$2:$B$35,
_xludf.AGGREGATE(14,6,(ROW(Family_Map!$A$2:$A$35)-ROW(Family_Map!$A$2)+1)/(ISNUMBER(SEARCH(Family_Map!$A$2:$A$35,D659))),1)
),
"Other")</f>
        <v>Other</v>
      </c>
      <c r="F659" s="1" t="s">
        <v>3776</v>
      </c>
      <c r="G659" s="1" t="e">
        <f t="shared" ca="1" si="2"/>
        <v>#NAME?</v>
      </c>
      <c r="H659" s="1" t="str">
        <f t="shared" ca="1" si="12"/>
        <v>Other</v>
      </c>
      <c r="J659" s="1" t="str">
        <f t="shared" si="3"/>
        <v/>
      </c>
      <c r="K659" s="1" t="s">
        <v>3777</v>
      </c>
      <c r="L659" s="1">
        <f t="shared" si="38"/>
        <v>48</v>
      </c>
      <c r="M659" s="1" t="s">
        <v>1120</v>
      </c>
      <c r="N659" s="1" t="str">
        <f t="shared" si="5"/>
        <v>512GB</v>
      </c>
      <c r="O659" s="1" t="str">
        <f t="shared" si="6"/>
        <v>512GB</v>
      </c>
      <c r="P659" s="1" t="s">
        <v>275</v>
      </c>
      <c r="Q659" s="1" t="str">
        <f t="shared" si="7"/>
        <v>1920x1200</v>
      </c>
      <c r="R659" s="1" t="s">
        <v>971</v>
      </c>
      <c r="S659" s="1" t="str">
        <f t="shared" si="8"/>
        <v>60Hz</v>
      </c>
      <c r="T659" s="1" t="s">
        <v>90</v>
      </c>
      <c r="U659" s="1" t="str">
        <f t="shared" si="9"/>
        <v>Windows 11 Home</v>
      </c>
      <c r="V659" s="1" t="s">
        <v>3468</v>
      </c>
      <c r="W659" s="1" t="str">
        <f t="shared" si="10"/>
        <v>1.5 kg</v>
      </c>
      <c r="X659" s="1" t="s">
        <v>78</v>
      </c>
      <c r="Y659" s="1" t="str">
        <f t="shared" si="11"/>
        <v>1 Year</v>
      </c>
      <c r="Z659" s="4">
        <v>28222</v>
      </c>
      <c r="AA659" s="1" t="s">
        <v>5735</v>
      </c>
    </row>
    <row r="660" spans="1:27" ht="15.75" customHeight="1" x14ac:dyDescent="0.35">
      <c r="A660" s="1" t="s">
        <v>234</v>
      </c>
      <c r="B660" s="1" t="str">
        <f t="shared" si="16"/>
        <v>ASUS</v>
      </c>
      <c r="C660" s="1" t="s">
        <v>3781</v>
      </c>
      <c r="D660" s="1" t="str">
        <f t="shared" si="1"/>
        <v>Vivobook 15 X1504VA-NJ1007</v>
      </c>
      <c r="E660" s="1" t="str">
        <f t="array" aca="1" ref="E660" ca="1">IFERROR(
INDEX(Family_Map!$B$2:$B$35,
_xludf.AGGREGATE(14,6,(ROW(Family_Map!$A$2:$A$35)-ROW(Family_Map!$A$2)+1)/(ISNUMBER(SEARCH(Family_Map!$A$2:$A$35,D660))),1)
),
"Other")</f>
        <v>Other</v>
      </c>
      <c r="F660" s="1" t="s">
        <v>3476</v>
      </c>
      <c r="G660" s="1" t="e">
        <f t="shared" ca="1" si="2"/>
        <v>#NAME?</v>
      </c>
      <c r="H660" s="1" t="str">
        <f t="shared" ca="1" si="12"/>
        <v>Other</v>
      </c>
      <c r="J660" s="1" t="str">
        <f t="shared" si="3"/>
        <v/>
      </c>
      <c r="K660" s="1" t="s">
        <v>965</v>
      </c>
      <c r="L660" s="1">
        <f t="shared" si="38"/>
        <v>16</v>
      </c>
      <c r="M660" s="1" t="s">
        <v>1120</v>
      </c>
      <c r="N660" s="1" t="str">
        <f t="shared" si="5"/>
        <v>512GB</v>
      </c>
      <c r="O660" s="1" t="str">
        <f t="shared" si="6"/>
        <v>512GB</v>
      </c>
      <c r="P660" s="1" t="s">
        <v>120</v>
      </c>
      <c r="Q660" s="1" t="str">
        <f t="shared" si="7"/>
        <v>1920x1080</v>
      </c>
      <c r="R660" s="1" t="s">
        <v>971</v>
      </c>
      <c r="S660" s="1" t="str">
        <f t="shared" si="8"/>
        <v>60Hz</v>
      </c>
      <c r="T660" s="1" t="s">
        <v>101</v>
      </c>
      <c r="U660" s="1" t="str">
        <f t="shared" si="9"/>
        <v>DOS</v>
      </c>
      <c r="V660" s="1" t="s">
        <v>3500</v>
      </c>
      <c r="W660" s="1" t="str">
        <f t="shared" si="10"/>
        <v>1.7 kg</v>
      </c>
      <c r="X660" s="1" t="s">
        <v>78</v>
      </c>
      <c r="Y660" s="1" t="str">
        <f t="shared" si="11"/>
        <v>1 Year</v>
      </c>
      <c r="Z660" s="4">
        <v>27999</v>
      </c>
      <c r="AA660" s="1" t="s">
        <v>79</v>
      </c>
    </row>
    <row r="661" spans="1:27" ht="15.75" customHeight="1" x14ac:dyDescent="0.35">
      <c r="A661" s="1" t="s">
        <v>234</v>
      </c>
      <c r="B661" s="1" t="str">
        <f t="shared" si="16"/>
        <v>ASUS</v>
      </c>
      <c r="C661" s="1" t="s">
        <v>3789</v>
      </c>
      <c r="D661" s="1" t="str">
        <f t="shared" si="1"/>
        <v>Vivobook Go 15 E1504GA-NJ606W</v>
      </c>
      <c r="E661" s="1" t="str">
        <f t="array" aca="1" ref="E661" ca="1">IFERROR(
INDEX(Family_Map!$B$2:$B$35,
_xludf.AGGREGATE(14,6,(ROW(Family_Map!$A$2:$A$35)-ROW(Family_Map!$A$2)+1)/(ISNUMBER(SEARCH(Family_Map!$A$2:$A$35,D661))),1)
),
"Other")</f>
        <v>Other</v>
      </c>
      <c r="F661" s="1" t="s">
        <v>3790</v>
      </c>
      <c r="G661" s="1" t="e">
        <f t="shared" ca="1" si="2"/>
        <v>#NAME?</v>
      </c>
      <c r="H661" s="1" t="str">
        <f t="shared" ca="1" si="12"/>
        <v>Other</v>
      </c>
      <c r="J661" s="1" t="str">
        <f t="shared" si="3"/>
        <v/>
      </c>
      <c r="K661" s="1" t="s">
        <v>3650</v>
      </c>
      <c r="L661" s="1">
        <f t="shared" si="38"/>
        <v>4</v>
      </c>
      <c r="M661" s="1" t="s">
        <v>3791</v>
      </c>
      <c r="N661" s="1" t="str">
        <f t="shared" si="5"/>
        <v/>
      </c>
      <c r="O661" s="1" t="str">
        <f t="shared" si="6"/>
        <v/>
      </c>
      <c r="P661" s="1" t="s">
        <v>120</v>
      </c>
      <c r="Q661" s="1" t="str">
        <f t="shared" si="7"/>
        <v>1920x1080</v>
      </c>
      <c r="S661" s="1" t="str">
        <f t="shared" si="8"/>
        <v/>
      </c>
      <c r="T661" s="1" t="s">
        <v>90</v>
      </c>
      <c r="U661" s="1" t="str">
        <f t="shared" si="9"/>
        <v>Windows 11 Home</v>
      </c>
      <c r="V661" s="1" t="s">
        <v>3346</v>
      </c>
      <c r="W661" s="1" t="str">
        <f t="shared" si="10"/>
        <v>1.63 kg</v>
      </c>
      <c r="X661" s="1" t="s">
        <v>129</v>
      </c>
      <c r="Y661" s="1" t="str">
        <f t="shared" si="11"/>
        <v>1 Year</v>
      </c>
      <c r="Z661" s="4">
        <v>12999</v>
      </c>
      <c r="AA661" s="1" t="s">
        <v>5735</v>
      </c>
    </row>
    <row r="662" spans="1:27" ht="15.75" customHeight="1" x14ac:dyDescent="0.35">
      <c r="A662" s="1" t="s">
        <v>234</v>
      </c>
      <c r="B662" s="1" t="str">
        <f t="shared" si="16"/>
        <v>ASUS</v>
      </c>
      <c r="C662" s="1" t="s">
        <v>3797</v>
      </c>
      <c r="D662" s="1" t="str">
        <f t="shared" si="1"/>
        <v>Vivobook Go 15 E1504FA-NJ001</v>
      </c>
      <c r="E662" s="1" t="str">
        <f t="array" aca="1" ref="E662" ca="1">IFERROR(
INDEX(Family_Map!$B$2:$B$35,
_xludf.AGGREGATE(14,6,(ROW(Family_Map!$A$2:$A$35)-ROW(Family_Map!$A$2)+1)/(ISNUMBER(SEARCH(Family_Map!$A$2:$A$35,D662))),1)
),
"Other")</f>
        <v>Other</v>
      </c>
      <c r="F662" s="1" t="s">
        <v>3627</v>
      </c>
      <c r="G662" s="1" t="e">
        <f t="shared" ca="1" si="2"/>
        <v>#NAME?</v>
      </c>
      <c r="H662" s="1" t="str">
        <f t="shared" ca="1" si="12"/>
        <v>Other</v>
      </c>
      <c r="J662" s="1" t="str">
        <f t="shared" si="3"/>
        <v/>
      </c>
      <c r="K662" s="1" t="s">
        <v>3798</v>
      </c>
      <c r="L662" s="1">
        <f t="shared" si="38"/>
        <v>4</v>
      </c>
      <c r="M662" s="1" t="s">
        <v>3799</v>
      </c>
      <c r="N662" s="1" t="str">
        <f t="shared" si="5"/>
        <v>256GB</v>
      </c>
      <c r="O662" s="1" t="str">
        <f t="shared" si="6"/>
        <v>256GB</v>
      </c>
      <c r="P662" s="1" t="s">
        <v>616</v>
      </c>
      <c r="Q662" s="1" t="str">
        <f t="shared" si="7"/>
        <v>1920x1080</v>
      </c>
      <c r="S662" s="1" t="str">
        <f t="shared" si="8"/>
        <v/>
      </c>
      <c r="T662" s="1" t="s">
        <v>101</v>
      </c>
      <c r="U662" s="1" t="str">
        <f t="shared" si="9"/>
        <v>DOS</v>
      </c>
      <c r="W662" s="1" t="str">
        <f t="shared" si="10"/>
        <v/>
      </c>
      <c r="X662" s="1" t="s">
        <v>78</v>
      </c>
      <c r="Y662" s="1" t="str">
        <f t="shared" si="11"/>
        <v>1 Year</v>
      </c>
      <c r="Z662" s="4">
        <v>12499</v>
      </c>
      <c r="AA662" s="1" t="s">
        <v>5735</v>
      </c>
    </row>
    <row r="663" spans="1:27" ht="15.75" customHeight="1" x14ac:dyDescent="0.35">
      <c r="A663" s="1" t="s">
        <v>112</v>
      </c>
      <c r="B663" s="1" t="str">
        <f t="shared" si="16"/>
        <v>HP</v>
      </c>
      <c r="C663" s="1" t="s">
        <v>3805</v>
      </c>
      <c r="D663" s="1" t="str">
        <f t="shared" si="1"/>
        <v>Envy x360 16-AD0013</v>
      </c>
      <c r="E663" s="1" t="str">
        <f t="array" aca="1" ref="E663" ca="1">IFERROR(
INDEX(Family_Map!$B$2:$B$35,
_xludf.AGGREGATE(14,6,(ROW(Family_Map!$A$2:$A$35)-ROW(Family_Map!$A$2)+1)/(ISNUMBER(SEARCH(Family_Map!$A$2:$A$35,D663))),1)
),
"Other")</f>
        <v>Other</v>
      </c>
      <c r="F663" s="1" t="s">
        <v>3294</v>
      </c>
      <c r="G663" s="1" t="e">
        <f t="shared" ca="1" si="2"/>
        <v>#NAME?</v>
      </c>
      <c r="H663" s="1" t="str">
        <f t="shared" ca="1" si="12"/>
        <v>Other</v>
      </c>
      <c r="J663" s="1" t="str">
        <f t="shared" si="3"/>
        <v/>
      </c>
      <c r="K663" s="1" t="s">
        <v>3807</v>
      </c>
      <c r="L663" s="1">
        <f t="shared" si="38"/>
        <v>8</v>
      </c>
      <c r="M663" s="1" t="s">
        <v>118</v>
      </c>
      <c r="N663" s="1" t="str">
        <f t="shared" si="5"/>
        <v>512 GB</v>
      </c>
      <c r="O663" s="1" t="str">
        <f t="shared" si="6"/>
        <v>512 GB</v>
      </c>
      <c r="Q663" s="1" t="str">
        <f t="shared" si="7"/>
        <v/>
      </c>
      <c r="S663" s="1" t="str">
        <f t="shared" si="8"/>
        <v/>
      </c>
      <c r="T663" s="1" t="s">
        <v>90</v>
      </c>
      <c r="U663" s="1" t="str">
        <f t="shared" si="9"/>
        <v>Windows 11 Home</v>
      </c>
      <c r="V663" s="1" t="s">
        <v>3811</v>
      </c>
      <c r="W663" s="1" t="str">
        <f t="shared" si="10"/>
        <v>1.91 kg</v>
      </c>
      <c r="X663" s="1" t="s">
        <v>78</v>
      </c>
      <c r="Y663" s="1" t="str">
        <f t="shared" si="11"/>
        <v>1 Year</v>
      </c>
      <c r="Z663" s="4">
        <v>33499</v>
      </c>
      <c r="AA663" s="1" t="s">
        <v>5735</v>
      </c>
    </row>
    <row r="664" spans="1:27" ht="15.75" customHeight="1" x14ac:dyDescent="0.35">
      <c r="A664" s="1" t="s">
        <v>112</v>
      </c>
      <c r="B664" s="1" t="str">
        <f t="shared" si="16"/>
        <v>HP</v>
      </c>
      <c r="C664" s="1" t="s">
        <v>3815</v>
      </c>
      <c r="D664" s="1" t="str">
        <f t="shared" si="1"/>
        <v>15-fd0054ne</v>
      </c>
      <c r="E664" s="1" t="str">
        <f t="array" aca="1" ref="E664" ca="1">IFERROR(
INDEX(Family_Map!$B$2:$B$35,
_xludf.AGGREGATE(14,6,(ROW(Family_Map!$A$2:$A$35)-ROW(Family_Map!$A$2)+1)/(ISNUMBER(SEARCH(Family_Map!$A$2:$A$35,D664))),1)
),
"Other")</f>
        <v>Other</v>
      </c>
      <c r="F664" s="1" t="s">
        <v>3588</v>
      </c>
      <c r="G664" s="1" t="e">
        <f t="shared" ca="1" si="2"/>
        <v>#NAME?</v>
      </c>
      <c r="H664" s="1" t="str">
        <f t="shared" ca="1" si="12"/>
        <v>Other</v>
      </c>
      <c r="J664" s="1" t="str">
        <f t="shared" si="3"/>
        <v/>
      </c>
      <c r="K664" s="1" t="s">
        <v>3816</v>
      </c>
      <c r="L664" s="1">
        <f t="shared" si="38"/>
        <v>8</v>
      </c>
      <c r="M664" s="1" t="s">
        <v>2718</v>
      </c>
      <c r="N664" s="1" t="str">
        <f t="shared" si="5"/>
        <v>512 GB</v>
      </c>
      <c r="O664" s="1" t="str">
        <f t="shared" si="6"/>
        <v>512 GB</v>
      </c>
      <c r="P664" s="1" t="s">
        <v>120</v>
      </c>
      <c r="Q664" s="1" t="str">
        <f t="shared" si="7"/>
        <v>1920x1080</v>
      </c>
      <c r="S664" s="1" t="str">
        <f t="shared" si="8"/>
        <v/>
      </c>
      <c r="T664" s="1" t="s">
        <v>101</v>
      </c>
      <c r="U664" s="1" t="str">
        <f t="shared" si="9"/>
        <v>DOS</v>
      </c>
      <c r="V664" s="1" t="s">
        <v>3288</v>
      </c>
      <c r="W664" s="1" t="str">
        <f t="shared" si="10"/>
        <v>1.59 kg</v>
      </c>
      <c r="X664" s="1" t="s">
        <v>78</v>
      </c>
      <c r="Y664" s="1" t="str">
        <f t="shared" si="11"/>
        <v>1 Year</v>
      </c>
      <c r="Z664" s="4">
        <v>24499</v>
      </c>
      <c r="AA664" s="1" t="s">
        <v>79</v>
      </c>
    </row>
    <row r="665" spans="1:27" ht="15.75" customHeight="1" x14ac:dyDescent="0.35">
      <c r="A665" s="1" t="s">
        <v>66</v>
      </c>
      <c r="B665" s="1" t="str">
        <f t="shared" si="16"/>
        <v>Acer</v>
      </c>
      <c r="C665" s="1" t="s">
        <v>3821</v>
      </c>
      <c r="D665" s="1" t="str">
        <f t="shared" si="1"/>
        <v>Aspire 3 A315-59-58XR</v>
      </c>
      <c r="E665" s="1" t="str">
        <f t="array" aca="1" ref="E665" ca="1">IFERROR(
INDEX(Family_Map!$B$2:$B$35,
_xludf.AGGREGATE(14,6,(ROW(Family_Map!$A$2:$A$35)-ROW(Family_Map!$A$2)+1)/(ISNUMBER(SEARCH(Family_Map!$A$2:$A$35,D665))),1)
),
"Other")</f>
        <v>Other</v>
      </c>
      <c r="F665" s="1" t="s">
        <v>349</v>
      </c>
      <c r="G665" s="1" t="e">
        <f t="shared" ca="1" si="2"/>
        <v>#NAME?</v>
      </c>
      <c r="H665" s="1" t="str">
        <f t="shared" ca="1" si="12"/>
        <v>Other</v>
      </c>
      <c r="J665" s="1" t="str">
        <f t="shared" si="3"/>
        <v/>
      </c>
      <c r="K665" s="1" t="s">
        <v>351</v>
      </c>
      <c r="L665" s="1">
        <f t="shared" si="38"/>
        <v>8</v>
      </c>
      <c r="M665" s="1" t="s">
        <v>3822</v>
      </c>
      <c r="N665" s="1" t="str">
        <f t="shared" si="5"/>
        <v>512GB</v>
      </c>
      <c r="O665" s="1" t="str">
        <f t="shared" si="6"/>
        <v>512GB</v>
      </c>
      <c r="P665" s="1" t="s">
        <v>616</v>
      </c>
      <c r="Q665" s="1" t="str">
        <f t="shared" si="7"/>
        <v>1920x1080</v>
      </c>
      <c r="S665" s="1" t="str">
        <f t="shared" si="8"/>
        <v/>
      </c>
      <c r="T665" s="1" t="s">
        <v>101</v>
      </c>
      <c r="U665" s="1" t="str">
        <f t="shared" si="9"/>
        <v>DOS</v>
      </c>
      <c r="W665" s="1" t="str">
        <f t="shared" si="10"/>
        <v/>
      </c>
      <c r="X665" s="1" t="s">
        <v>78</v>
      </c>
      <c r="Y665" s="1" t="str">
        <f t="shared" si="11"/>
        <v>1 Year</v>
      </c>
      <c r="Z665" s="4">
        <v>19499</v>
      </c>
      <c r="AA665" s="1" t="s">
        <v>166</v>
      </c>
    </row>
    <row r="666" spans="1:27" ht="15.75" customHeight="1" x14ac:dyDescent="0.35">
      <c r="A666" s="1" t="s">
        <v>66</v>
      </c>
      <c r="B666" s="1" t="str">
        <f t="shared" si="16"/>
        <v>Acer</v>
      </c>
      <c r="C666" s="1" t="s">
        <v>3826</v>
      </c>
      <c r="D666" s="1" t="str">
        <f t="shared" si="1"/>
        <v>Aspire 3 A315-59-31LZ</v>
      </c>
      <c r="E666" s="1" t="str">
        <f t="array" aca="1" ref="E666" ca="1">IFERROR(
INDEX(Family_Map!$B$2:$B$35,
_xludf.AGGREGATE(14,6,(ROW(Family_Map!$A$2:$A$35)-ROW(Family_Map!$A$2)+1)/(ISNUMBER(SEARCH(Family_Map!$A$2:$A$35,D666))),1)
),
"Other")</f>
        <v>Other</v>
      </c>
      <c r="F666" s="1" t="s">
        <v>3534</v>
      </c>
      <c r="G666" s="1" t="e">
        <f t="shared" ca="1" si="2"/>
        <v>#NAME?</v>
      </c>
      <c r="H666" s="1" t="str">
        <f t="shared" ca="1" si="12"/>
        <v>Other</v>
      </c>
      <c r="J666" s="1" t="str">
        <f t="shared" si="3"/>
        <v/>
      </c>
      <c r="K666" s="1" t="s">
        <v>351</v>
      </c>
      <c r="L666" s="1">
        <f t="shared" si="38"/>
        <v>8</v>
      </c>
      <c r="M666" s="1" t="s">
        <v>1120</v>
      </c>
      <c r="N666" s="1" t="str">
        <f t="shared" si="5"/>
        <v>512GB</v>
      </c>
      <c r="O666" s="1" t="str">
        <f t="shared" si="6"/>
        <v>512GB</v>
      </c>
      <c r="P666" s="1" t="s">
        <v>616</v>
      </c>
      <c r="Q666" s="1" t="str">
        <f t="shared" si="7"/>
        <v>1920x1080</v>
      </c>
      <c r="S666" s="1" t="str">
        <f t="shared" si="8"/>
        <v/>
      </c>
      <c r="T666" s="1" t="s">
        <v>101</v>
      </c>
      <c r="U666" s="1" t="str">
        <f t="shared" si="9"/>
        <v>DOS</v>
      </c>
      <c r="W666" s="1" t="str">
        <f t="shared" si="10"/>
        <v/>
      </c>
      <c r="X666" s="1" t="s">
        <v>78</v>
      </c>
      <c r="Y666" s="1" t="str">
        <f t="shared" si="11"/>
        <v>1 Year</v>
      </c>
      <c r="Z666" s="4">
        <v>14999</v>
      </c>
      <c r="AA666" s="1" t="s">
        <v>166</v>
      </c>
    </row>
    <row r="667" spans="1:27" ht="15.75" customHeight="1" x14ac:dyDescent="0.35">
      <c r="A667" s="1" t="s">
        <v>151</v>
      </c>
      <c r="B667" s="1" t="str">
        <f t="shared" si="16"/>
        <v>Lenovo</v>
      </c>
      <c r="C667" s="1" t="s">
        <v>3660</v>
      </c>
      <c r="D667" s="1" t="str">
        <f t="shared" si="1"/>
        <v>IdeaPad 1 15IAU7</v>
      </c>
      <c r="E667" s="1" t="str">
        <f t="array" aca="1" ref="E667" ca="1">IFERROR(
INDEX(Family_Map!$B$2:$B$35,
_xludf.AGGREGATE(14,6,(ROW(Family_Map!$A$2:$A$35)-ROW(Family_Map!$A$2)+1)/(ISNUMBER(SEARCH(Family_Map!$A$2:$A$35,D667))),1)
),
"Other")</f>
        <v>Other</v>
      </c>
      <c r="F667" s="1" t="s">
        <v>3828</v>
      </c>
      <c r="G667" s="1" t="e">
        <f t="shared" ca="1" si="2"/>
        <v>#NAME?</v>
      </c>
      <c r="H667" s="1" t="str">
        <f t="shared" ca="1" si="12"/>
        <v>Other</v>
      </c>
      <c r="J667" s="1" t="str">
        <f t="shared" si="3"/>
        <v/>
      </c>
      <c r="K667" s="1" t="s">
        <v>3327</v>
      </c>
      <c r="L667" s="1">
        <f t="shared" si="38"/>
        <v>8</v>
      </c>
      <c r="M667" s="1" t="s">
        <v>3580</v>
      </c>
      <c r="N667" s="1" t="str">
        <f t="shared" si="5"/>
        <v>256GB</v>
      </c>
      <c r="O667" s="1" t="str">
        <f t="shared" si="6"/>
        <v>256GB</v>
      </c>
      <c r="P667" s="1" t="s">
        <v>3829</v>
      </c>
      <c r="Q667" s="1" t="str">
        <f t="shared" si="7"/>
        <v>1366x768</v>
      </c>
      <c r="S667" s="1" t="str">
        <f t="shared" si="8"/>
        <v/>
      </c>
      <c r="T667" s="1" t="s">
        <v>101</v>
      </c>
      <c r="U667" s="1" t="str">
        <f t="shared" si="9"/>
        <v>DOS</v>
      </c>
      <c r="V667" s="1" t="s">
        <v>3346</v>
      </c>
      <c r="W667" s="1" t="str">
        <f t="shared" si="10"/>
        <v>1.63 kg</v>
      </c>
      <c r="X667" s="1" t="s">
        <v>78</v>
      </c>
      <c r="Y667" s="1" t="str">
        <f t="shared" si="11"/>
        <v>1 Year</v>
      </c>
      <c r="Z667" s="4">
        <v>15899</v>
      </c>
      <c r="AA667" s="1" t="s">
        <v>166</v>
      </c>
    </row>
    <row r="668" spans="1:27" ht="15.75" customHeight="1" x14ac:dyDescent="0.35">
      <c r="A668" s="1" t="s">
        <v>151</v>
      </c>
      <c r="B668" s="1" t="str">
        <f t="shared" si="16"/>
        <v>Lenovo</v>
      </c>
      <c r="C668" s="1" t="s">
        <v>3832</v>
      </c>
      <c r="D668" s="1" t="str">
        <f t="shared" si="1"/>
        <v>Lenovo Yoga 7 16IML9</v>
      </c>
      <c r="E668" s="1" t="str">
        <f t="array" aca="1" ref="E668" ca="1">IFERROR(
INDEX(Family_Map!$B$2:$B$35,
_xludf.AGGREGATE(14,6,(ROW(Family_Map!$A$2:$A$35)-ROW(Family_Map!$A$2)+1)/(ISNUMBER(SEARCH(Family_Map!$A$2:$A$35,D668))),1)
),
"Other")</f>
        <v>Other</v>
      </c>
      <c r="F668" s="1" t="s">
        <v>3833</v>
      </c>
      <c r="G668" s="1" t="e">
        <f t="shared" ca="1" si="2"/>
        <v>#NAME?</v>
      </c>
      <c r="H668" s="1" t="str">
        <f t="shared" ca="1" si="12"/>
        <v>Other</v>
      </c>
      <c r="J668" s="1" t="str">
        <f t="shared" si="3"/>
        <v/>
      </c>
      <c r="K668" s="1" t="s">
        <v>1096</v>
      </c>
      <c r="L668" s="1">
        <f t="shared" si="38"/>
        <v>16</v>
      </c>
      <c r="M668" s="1" t="s">
        <v>222</v>
      </c>
      <c r="N668" s="1" t="str">
        <f t="shared" si="5"/>
        <v>1TB</v>
      </c>
      <c r="O668" s="1" t="str">
        <f t="shared" si="6"/>
        <v>1024GB</v>
      </c>
      <c r="P668" s="1" t="s">
        <v>1015</v>
      </c>
      <c r="Q668" s="1" t="str">
        <f t="shared" si="7"/>
        <v>1920x1200</v>
      </c>
      <c r="R668" s="1" t="s">
        <v>971</v>
      </c>
      <c r="S668" s="1" t="str">
        <f t="shared" si="8"/>
        <v>60Hz</v>
      </c>
      <c r="T668" s="1" t="s">
        <v>201</v>
      </c>
      <c r="U668" s="1" t="str">
        <f t="shared" si="9"/>
        <v>Windows 11 Home</v>
      </c>
      <c r="V668" s="1" t="s">
        <v>529</v>
      </c>
      <c r="W668" s="1" t="str">
        <f t="shared" si="10"/>
        <v>1.99 kg</v>
      </c>
      <c r="X668" s="1" t="s">
        <v>78</v>
      </c>
      <c r="Y668" s="1" t="str">
        <f t="shared" si="11"/>
        <v>1 Year</v>
      </c>
      <c r="Z668" s="4">
        <v>51999</v>
      </c>
      <c r="AA668" s="1" t="s">
        <v>5735</v>
      </c>
    </row>
    <row r="669" spans="1:27" ht="15.75" customHeight="1" x14ac:dyDescent="0.35">
      <c r="A669" s="1" t="s">
        <v>112</v>
      </c>
      <c r="B669" s="1" t="str">
        <f t="shared" si="16"/>
        <v>HP</v>
      </c>
      <c r="C669" s="1" t="s">
        <v>3842</v>
      </c>
      <c r="D669" s="1" t="str">
        <f t="shared" si="1"/>
        <v>15-GW0054NIA</v>
      </c>
      <c r="E669" s="1" t="str">
        <f t="array" aca="1" ref="E669" ca="1">IFERROR(
INDEX(Family_Map!$B$2:$B$35,
_xludf.AGGREGATE(14,6,(ROW(Family_Map!$A$2:$A$35)-ROW(Family_Map!$A$2)+1)/(ISNUMBER(SEARCH(Family_Map!$A$2:$A$35,D669))),1)
),
"Other")</f>
        <v>Other</v>
      </c>
      <c r="F669" s="1" t="s">
        <v>3843</v>
      </c>
      <c r="G669" s="1" t="e">
        <f t="shared" ca="1" si="2"/>
        <v>#NAME?</v>
      </c>
      <c r="H669" s="1" t="str">
        <f t="shared" ca="1" si="12"/>
        <v>Other</v>
      </c>
      <c r="J669" s="1" t="str">
        <f t="shared" si="3"/>
        <v/>
      </c>
      <c r="K669" s="1" t="s">
        <v>3844</v>
      </c>
      <c r="L669" s="1">
        <f t="shared" si="38"/>
        <v>4</v>
      </c>
      <c r="M669" s="1" t="s">
        <v>3845</v>
      </c>
      <c r="N669" s="1" t="str">
        <f t="shared" si="5"/>
        <v>1TB</v>
      </c>
      <c r="O669" s="1" t="str">
        <f t="shared" si="6"/>
        <v>1024GB</v>
      </c>
      <c r="P669" s="1" t="s">
        <v>3653</v>
      </c>
      <c r="Q669" s="1" t="str">
        <f t="shared" si="7"/>
        <v>1366x768</v>
      </c>
      <c r="S669" s="1" t="str">
        <f t="shared" si="8"/>
        <v/>
      </c>
      <c r="T669" s="1" t="s">
        <v>101</v>
      </c>
      <c r="U669" s="1" t="str">
        <f t="shared" si="9"/>
        <v>DOS</v>
      </c>
      <c r="V669" s="1" t="s">
        <v>3850</v>
      </c>
      <c r="W669" s="1" t="str">
        <f t="shared" si="10"/>
        <v>1.74 kg</v>
      </c>
      <c r="X669" s="1" t="s">
        <v>78</v>
      </c>
      <c r="Y669" s="1" t="str">
        <f t="shared" si="11"/>
        <v>1 Year</v>
      </c>
      <c r="Z669" s="4">
        <v>15999</v>
      </c>
      <c r="AA669" s="1" t="s">
        <v>5735</v>
      </c>
    </row>
    <row r="670" spans="1:27" ht="15.75" customHeight="1" x14ac:dyDescent="0.35">
      <c r="A670" s="1" t="s">
        <v>151</v>
      </c>
      <c r="B670" s="1" t="str">
        <f t="shared" si="16"/>
        <v>Lenovo</v>
      </c>
      <c r="C670" s="1" t="s">
        <v>3854</v>
      </c>
      <c r="D670" s="1" t="str">
        <f t="shared" si="1"/>
        <v>IdeaPad Slim 3 15ABR8</v>
      </c>
      <c r="E670" s="1" t="str">
        <f t="array" aca="1" ref="E670" ca="1">IFERROR(
INDEX(Family_Map!$B$2:$B$35,
_xludf.AGGREGATE(14,6,(ROW(Family_Map!$A$2:$A$35)-ROW(Family_Map!$A$2)+1)/(ISNUMBER(SEARCH(Family_Map!$A$2:$A$35,D670))),1)
),
"Other")</f>
        <v>Other</v>
      </c>
      <c r="F670" s="1" t="s">
        <v>3769</v>
      </c>
      <c r="G670" s="1" t="e">
        <f t="shared" ca="1" si="2"/>
        <v>#NAME?</v>
      </c>
      <c r="H670" s="1" t="str">
        <f t="shared" ca="1" si="12"/>
        <v>Other</v>
      </c>
      <c r="J670" s="1" t="str">
        <f t="shared" si="3"/>
        <v/>
      </c>
      <c r="K670" s="1" t="s">
        <v>3327</v>
      </c>
      <c r="L670" s="1">
        <f t="shared" si="38"/>
        <v>8</v>
      </c>
      <c r="M670" s="1" t="s">
        <v>156</v>
      </c>
      <c r="N670" s="1" t="str">
        <f t="shared" si="5"/>
        <v>512GB</v>
      </c>
      <c r="O670" s="1" t="str">
        <f t="shared" si="6"/>
        <v>512GB</v>
      </c>
      <c r="P670" s="1" t="s">
        <v>120</v>
      </c>
      <c r="Q670" s="1" t="str">
        <f t="shared" si="7"/>
        <v>1920x1080</v>
      </c>
      <c r="S670" s="1" t="str">
        <f t="shared" si="8"/>
        <v/>
      </c>
      <c r="T670" s="1" t="s">
        <v>90</v>
      </c>
      <c r="U670" s="1" t="str">
        <f t="shared" si="9"/>
        <v>Windows 11 Home</v>
      </c>
      <c r="V670" s="1" t="s">
        <v>3383</v>
      </c>
      <c r="W670" s="1" t="str">
        <f t="shared" si="10"/>
        <v>1.62 kg</v>
      </c>
      <c r="X670" s="1" t="s">
        <v>78</v>
      </c>
      <c r="Y670" s="1" t="str">
        <f t="shared" si="11"/>
        <v>1 Year</v>
      </c>
      <c r="Z670" s="4">
        <v>20999</v>
      </c>
      <c r="AA670" s="1" t="s">
        <v>5735</v>
      </c>
    </row>
    <row r="671" spans="1:27" ht="15.75" customHeight="1" x14ac:dyDescent="0.35">
      <c r="A671" s="1" t="s">
        <v>151</v>
      </c>
      <c r="B671" s="1" t="str">
        <f t="shared" si="16"/>
        <v>Lenovo</v>
      </c>
      <c r="C671" s="1" t="s">
        <v>3857</v>
      </c>
      <c r="D671" s="1" t="str">
        <f t="shared" si="1"/>
        <v>IdeaPad 5 15IAL7​</v>
      </c>
      <c r="E671" s="1" t="str">
        <f t="array" aca="1" ref="E671" ca="1">IFERROR(
INDEX(Family_Map!$B$2:$B$35,
_xludf.AGGREGATE(14,6,(ROW(Family_Map!$A$2:$A$35)-ROW(Family_Map!$A$2)+1)/(ISNUMBER(SEARCH(Family_Map!$A$2:$A$35,D671))),1)
),
"Other")</f>
        <v>Other</v>
      </c>
      <c r="F671" s="1" t="s">
        <v>3858</v>
      </c>
      <c r="G671" s="1" t="e">
        <f t="shared" ca="1" si="2"/>
        <v>#NAME?</v>
      </c>
      <c r="H671" s="1" t="str">
        <f t="shared" ca="1" si="12"/>
        <v>Other</v>
      </c>
      <c r="I671" s="1" t="s">
        <v>3670</v>
      </c>
      <c r="J671" s="1" t="str">
        <f t="shared" si="3"/>
        <v>2GB</v>
      </c>
      <c r="K671" s="1" t="s">
        <v>3860</v>
      </c>
      <c r="L671" s="1">
        <f t="shared" si="38"/>
        <v>16</v>
      </c>
      <c r="M671" s="1" t="s">
        <v>1520</v>
      </c>
      <c r="N671" s="1" t="str">
        <f t="shared" si="5"/>
        <v>512GB</v>
      </c>
      <c r="O671" s="1" t="str">
        <f t="shared" si="6"/>
        <v>512GB</v>
      </c>
      <c r="P671" s="1" t="s">
        <v>74</v>
      </c>
      <c r="Q671" s="1" t="str">
        <f t="shared" si="7"/>
        <v>1920x1080</v>
      </c>
      <c r="S671" s="1" t="str">
        <f t="shared" si="8"/>
        <v/>
      </c>
      <c r="T671" s="1" t="s">
        <v>101</v>
      </c>
      <c r="U671" s="1" t="str">
        <f t="shared" si="9"/>
        <v>DOS</v>
      </c>
      <c r="V671" s="1" t="s">
        <v>976</v>
      </c>
      <c r="W671" s="1" t="str">
        <f t="shared" si="10"/>
        <v>1.85 kg</v>
      </c>
      <c r="X671" s="1" t="s">
        <v>78</v>
      </c>
      <c r="Y671" s="1" t="str">
        <f t="shared" si="11"/>
        <v>1 Year</v>
      </c>
      <c r="Z671" s="4">
        <v>31999</v>
      </c>
      <c r="AA671" s="1" t="s">
        <v>166</v>
      </c>
    </row>
    <row r="672" spans="1:27" ht="15.75" customHeight="1" x14ac:dyDescent="0.35">
      <c r="A672" s="1" t="s">
        <v>112</v>
      </c>
      <c r="B672" s="1" t="str">
        <f t="shared" si="16"/>
        <v>HP</v>
      </c>
      <c r="C672" s="1" t="s">
        <v>3865</v>
      </c>
      <c r="D672" s="1" t="str">
        <f t="shared" si="1"/>
        <v>15-fd0371nia</v>
      </c>
      <c r="E672" s="1" t="str">
        <f t="array" aca="1" ref="E672" ca="1">IFERROR(
INDEX(Family_Map!$B$2:$B$35,
_xludf.AGGREGATE(14,6,(ROW(Family_Map!$A$2:$A$35)-ROW(Family_Map!$A$2)+1)/(ISNUMBER(SEARCH(Family_Map!$A$2:$A$35,D672))),1)
),
"Other")</f>
        <v>Other</v>
      </c>
      <c r="F672" s="1" t="s">
        <v>3866</v>
      </c>
      <c r="G672" s="1" t="e">
        <f t="shared" ca="1" si="2"/>
        <v>#NAME?</v>
      </c>
      <c r="H672" s="1" t="str">
        <f t="shared" ca="1" si="12"/>
        <v>Other</v>
      </c>
      <c r="I672" s="1" t="s">
        <v>3670</v>
      </c>
      <c r="J672" s="1" t="str">
        <f t="shared" si="3"/>
        <v>2GB</v>
      </c>
      <c r="K672" s="1" t="s">
        <v>3868</v>
      </c>
      <c r="L672" s="1">
        <f t="shared" si="38"/>
        <v>8</v>
      </c>
      <c r="M672" s="1" t="s">
        <v>2125</v>
      </c>
      <c r="N672" s="1" t="str">
        <f t="shared" si="5"/>
        <v>512GB</v>
      </c>
      <c r="O672" s="1" t="str">
        <f t="shared" si="6"/>
        <v>512GB</v>
      </c>
      <c r="P672" s="1" t="s">
        <v>120</v>
      </c>
      <c r="Q672" s="1" t="str">
        <f t="shared" si="7"/>
        <v>1920x1080</v>
      </c>
      <c r="S672" s="1" t="str">
        <f t="shared" si="8"/>
        <v/>
      </c>
      <c r="T672" s="1" t="s">
        <v>101</v>
      </c>
      <c r="U672" s="1" t="str">
        <f t="shared" si="9"/>
        <v>DOS</v>
      </c>
      <c r="V672" s="1" t="s">
        <v>3288</v>
      </c>
      <c r="W672" s="1" t="str">
        <f t="shared" si="10"/>
        <v>1.59 kg</v>
      </c>
      <c r="X672" s="1" t="s">
        <v>78</v>
      </c>
      <c r="Y672" s="1" t="str">
        <f t="shared" si="11"/>
        <v>1 Year</v>
      </c>
      <c r="Z672" s="4">
        <v>31999</v>
      </c>
      <c r="AA672" s="1" t="s">
        <v>79</v>
      </c>
    </row>
    <row r="673" spans="1:27" ht="15.75" customHeight="1" x14ac:dyDescent="0.35">
      <c r="A673" s="1" t="s">
        <v>66</v>
      </c>
      <c r="B673" s="1" t="str">
        <f t="shared" si="16"/>
        <v>Acer</v>
      </c>
      <c r="C673" s="1" t="s">
        <v>3877</v>
      </c>
      <c r="D673" s="1" t="str">
        <f t="shared" si="1"/>
        <v>Aspire 7 A715-76G-598U</v>
      </c>
      <c r="E673" s="1" t="str">
        <f t="array" aca="1" ref="E673" ca="1">IFERROR(
INDEX(Family_Map!$B$2:$B$35,
_xludf.AGGREGATE(14,6,(ROW(Family_Map!$A$2:$A$35)-ROW(Family_Map!$A$2)+1)/(ISNUMBER(SEARCH(Family_Map!$A$2:$A$35,D673))),1)
),
"Other")</f>
        <v>Other</v>
      </c>
      <c r="F673" s="1" t="s">
        <v>719</v>
      </c>
      <c r="G673" s="1" t="e">
        <f t="shared" ca="1" si="2"/>
        <v>#NAME?</v>
      </c>
      <c r="H673" s="1" t="str">
        <f t="shared" ca="1" si="12"/>
        <v>Other</v>
      </c>
      <c r="I673" s="1" t="s">
        <v>507</v>
      </c>
      <c r="J673" s="1" t="str">
        <f t="shared" si="3"/>
        <v>4GB</v>
      </c>
      <c r="K673" s="1" t="s">
        <v>351</v>
      </c>
      <c r="L673" s="1">
        <f t="shared" si="38"/>
        <v>8</v>
      </c>
      <c r="M673" s="1" t="s">
        <v>2488</v>
      </c>
      <c r="N673" s="1" t="str">
        <f t="shared" si="5"/>
        <v>512 GB</v>
      </c>
      <c r="O673" s="1" t="str">
        <f t="shared" si="6"/>
        <v>512 GB</v>
      </c>
      <c r="P673" s="1" t="s">
        <v>120</v>
      </c>
      <c r="Q673" s="1" t="str">
        <f t="shared" si="7"/>
        <v>1920x1080</v>
      </c>
      <c r="R673" s="1" t="s">
        <v>75</v>
      </c>
      <c r="S673" s="1" t="str">
        <f t="shared" si="8"/>
        <v>144Hz</v>
      </c>
      <c r="T673" s="1" t="s">
        <v>101</v>
      </c>
      <c r="U673" s="1" t="str">
        <f t="shared" si="9"/>
        <v>DOS</v>
      </c>
      <c r="V673" s="1" t="s">
        <v>2819</v>
      </c>
      <c r="W673" s="1" t="str">
        <f t="shared" si="10"/>
        <v>2.1 kg</v>
      </c>
      <c r="X673" s="1" t="s">
        <v>78</v>
      </c>
      <c r="Y673" s="1" t="str">
        <f t="shared" si="11"/>
        <v>1 Year</v>
      </c>
      <c r="Z673" s="4">
        <v>28999</v>
      </c>
      <c r="AA673" s="1" t="s">
        <v>166</v>
      </c>
    </row>
    <row r="674" spans="1:27" ht="15.75" customHeight="1" x14ac:dyDescent="0.35">
      <c r="A674" s="1" t="s">
        <v>151</v>
      </c>
      <c r="B674" s="1" t="str">
        <f t="shared" si="16"/>
        <v>Lenovo</v>
      </c>
      <c r="C674" s="1" t="s">
        <v>3430</v>
      </c>
      <c r="D674" s="1" t="str">
        <f t="shared" si="1"/>
        <v>IdeaPad Slim 3 15IRH8</v>
      </c>
      <c r="E674" s="1" t="str">
        <f t="array" aca="1" ref="E674" ca="1">IFERROR(
INDEX(Family_Map!$B$2:$B$35,
_xludf.AGGREGATE(14,6,(ROW(Family_Map!$A$2:$A$35)-ROW(Family_Map!$A$2)+1)/(ISNUMBER(SEARCH(Family_Map!$A$2:$A$35,D674))),1)
),
"Other")</f>
        <v>Other</v>
      </c>
      <c r="F674" s="1" t="s">
        <v>114</v>
      </c>
      <c r="G674" s="1" t="e">
        <f t="shared" ca="1" si="2"/>
        <v>#NAME?</v>
      </c>
      <c r="H674" s="1" t="str">
        <f t="shared" ca="1" si="12"/>
        <v>Other</v>
      </c>
      <c r="J674" s="1" t="str">
        <f t="shared" si="3"/>
        <v/>
      </c>
      <c r="K674" s="1" t="s">
        <v>3431</v>
      </c>
      <c r="L674" s="1">
        <f t="shared" si="38"/>
        <v>16</v>
      </c>
      <c r="M674" s="1" t="s">
        <v>156</v>
      </c>
      <c r="N674" s="1" t="str">
        <f t="shared" si="5"/>
        <v>512GB</v>
      </c>
      <c r="O674" s="1" t="str">
        <f t="shared" si="6"/>
        <v>512GB</v>
      </c>
      <c r="P674" s="1" t="s">
        <v>74</v>
      </c>
      <c r="Q674" s="1" t="str">
        <f t="shared" si="7"/>
        <v>1920x1080</v>
      </c>
      <c r="S674" s="1" t="str">
        <f t="shared" si="8"/>
        <v/>
      </c>
      <c r="T674" s="1" t="s">
        <v>201</v>
      </c>
      <c r="U674" s="1" t="str">
        <f t="shared" si="9"/>
        <v>Windows 11 Home</v>
      </c>
      <c r="V674" s="1" t="s">
        <v>3383</v>
      </c>
      <c r="W674" s="1" t="str">
        <f t="shared" si="10"/>
        <v>1.62 kg</v>
      </c>
      <c r="X674" s="1" t="s">
        <v>165</v>
      </c>
      <c r="Y674" s="1" t="str">
        <f t="shared" si="11"/>
        <v>2 Years</v>
      </c>
      <c r="Z674" s="4">
        <v>29888</v>
      </c>
      <c r="AA674" s="1" t="s">
        <v>79</v>
      </c>
    </row>
    <row r="675" spans="1:27" ht="15.75" customHeight="1" x14ac:dyDescent="0.35">
      <c r="A675" s="1" t="s">
        <v>151</v>
      </c>
      <c r="B675" s="1" t="str">
        <f t="shared" si="16"/>
        <v>Lenovo</v>
      </c>
      <c r="C675" s="1" t="s">
        <v>3430</v>
      </c>
      <c r="D675" s="1" t="str">
        <f t="shared" si="1"/>
        <v>IdeaPad Slim 3 15IRH8</v>
      </c>
      <c r="E675" s="1" t="str">
        <f t="array" aca="1" ref="E675" ca="1">IFERROR(
INDEX(Family_Map!$B$2:$B$35,
_xludf.AGGREGATE(14,6,(ROW(Family_Map!$A$2:$A$35)-ROW(Family_Map!$A$2)+1)/(ISNUMBER(SEARCH(Family_Map!$A$2:$A$35,D675))),1)
),
"Other")</f>
        <v>Other</v>
      </c>
      <c r="F675" s="1" t="s">
        <v>687</v>
      </c>
      <c r="G675" s="1" t="e">
        <f t="shared" ca="1" si="2"/>
        <v>#NAME?</v>
      </c>
      <c r="H675" s="1" t="str">
        <f t="shared" ca="1" si="12"/>
        <v>Other</v>
      </c>
      <c r="J675" s="1" t="str">
        <f t="shared" si="3"/>
        <v/>
      </c>
      <c r="K675" s="1" t="s">
        <v>3573</v>
      </c>
      <c r="L675" s="1">
        <f t="shared" si="38"/>
        <v>8</v>
      </c>
      <c r="M675" s="1" t="s">
        <v>156</v>
      </c>
      <c r="N675" s="1" t="str">
        <f t="shared" si="5"/>
        <v>512GB</v>
      </c>
      <c r="O675" s="1" t="str">
        <f t="shared" si="6"/>
        <v>512GB</v>
      </c>
      <c r="P675" s="1" t="s">
        <v>120</v>
      </c>
      <c r="Q675" s="1" t="str">
        <f t="shared" si="7"/>
        <v>1920x1080</v>
      </c>
      <c r="S675" s="1" t="str">
        <f t="shared" si="8"/>
        <v/>
      </c>
      <c r="T675" s="1" t="s">
        <v>90</v>
      </c>
      <c r="U675" s="1" t="str">
        <f t="shared" si="9"/>
        <v>Windows 11 Home</v>
      </c>
      <c r="V675" s="1" t="s">
        <v>3383</v>
      </c>
      <c r="W675" s="1" t="str">
        <f t="shared" si="10"/>
        <v>1.62 kg</v>
      </c>
      <c r="X675" s="1" t="s">
        <v>165</v>
      </c>
      <c r="Y675" s="1" t="str">
        <f t="shared" si="11"/>
        <v>2 Years</v>
      </c>
      <c r="Z675" s="4">
        <v>22444</v>
      </c>
      <c r="AA675" s="1" t="s">
        <v>79</v>
      </c>
    </row>
    <row r="676" spans="1:27" ht="15.75" customHeight="1" x14ac:dyDescent="0.35">
      <c r="A676" s="1" t="s">
        <v>30</v>
      </c>
      <c r="B676" s="1" t="str">
        <f t="shared" si="16"/>
        <v>MSI</v>
      </c>
      <c r="C676" s="1" t="s">
        <v>3887</v>
      </c>
      <c r="D676" s="1" t="str">
        <f t="shared" si="1"/>
        <v>Modern 14 C12MO</v>
      </c>
      <c r="E676" s="1" t="str">
        <f t="array" aca="1" ref="E676" ca="1">IFERROR(
INDEX(Family_Map!$B$2:$B$35,
_xludf.AGGREGATE(14,6,(ROW(Family_Map!$A$2:$A$35)-ROW(Family_Map!$A$2)+1)/(ISNUMBER(SEARCH(Family_Map!$A$2:$A$35,D676))),1)
),
"Other")</f>
        <v>Other</v>
      </c>
      <c r="F676" s="1" t="s">
        <v>349</v>
      </c>
      <c r="G676" s="1" t="e">
        <f t="shared" ca="1" si="2"/>
        <v>#NAME?</v>
      </c>
      <c r="H676" s="1" t="str">
        <f t="shared" ca="1" si="12"/>
        <v>Other</v>
      </c>
      <c r="J676" s="1" t="str">
        <f t="shared" si="3"/>
        <v/>
      </c>
      <c r="K676" s="1" t="s">
        <v>1134</v>
      </c>
      <c r="L676" s="1">
        <f t="shared" si="38"/>
        <v>8</v>
      </c>
      <c r="M676" s="1" t="s">
        <v>1120</v>
      </c>
      <c r="N676" s="1" t="str">
        <f t="shared" si="5"/>
        <v>512GB</v>
      </c>
      <c r="O676" s="1" t="str">
        <f t="shared" si="6"/>
        <v>512GB</v>
      </c>
      <c r="P676" s="1" t="s">
        <v>120</v>
      </c>
      <c r="Q676" s="1" t="str">
        <f t="shared" si="7"/>
        <v>1920x1080</v>
      </c>
      <c r="S676" s="1" t="str">
        <f t="shared" si="8"/>
        <v/>
      </c>
      <c r="T676" s="1" t="s">
        <v>101</v>
      </c>
      <c r="U676" s="1" t="str">
        <f t="shared" si="9"/>
        <v>DOS</v>
      </c>
      <c r="V676" s="1" t="s">
        <v>3892</v>
      </c>
      <c r="W676" s="1" t="str">
        <f t="shared" si="10"/>
        <v>1.4 kg</v>
      </c>
      <c r="X676" s="1" t="s">
        <v>78</v>
      </c>
      <c r="Y676" s="1" t="str">
        <f t="shared" si="11"/>
        <v>1 Year</v>
      </c>
      <c r="Z676" s="4">
        <v>20749</v>
      </c>
      <c r="AA676" s="1" t="s">
        <v>166</v>
      </c>
    </row>
    <row r="677" spans="1:27" ht="15.75" customHeight="1" x14ac:dyDescent="0.35">
      <c r="A677" s="1" t="s">
        <v>30</v>
      </c>
      <c r="B677" s="1" t="str">
        <f t="shared" si="16"/>
        <v>MSI</v>
      </c>
      <c r="C677" s="1" t="s">
        <v>3887</v>
      </c>
      <c r="D677" s="1" t="str">
        <f t="shared" si="1"/>
        <v>Modern 14 C12MO</v>
      </c>
      <c r="E677" s="1" t="str">
        <f t="array" aca="1" ref="E677" ca="1">IFERROR(
INDEX(Family_Map!$B$2:$B$35,
_xludf.AGGREGATE(14,6,(ROW(Family_Map!$A$2:$A$35)-ROW(Family_Map!$A$2)+1)/(ISNUMBER(SEARCH(Family_Map!$A$2:$A$35,D677))),1)
),
"Other")</f>
        <v>Other</v>
      </c>
      <c r="F677" s="1" t="s">
        <v>3894</v>
      </c>
      <c r="G677" s="1" t="e">
        <f t="shared" ca="1" si="2"/>
        <v>#NAME?</v>
      </c>
      <c r="H677" s="1" t="str">
        <f t="shared" ca="1" si="12"/>
        <v>Other</v>
      </c>
      <c r="J677" s="1" t="str">
        <f t="shared" si="3"/>
        <v/>
      </c>
      <c r="K677" s="1" t="s">
        <v>1134</v>
      </c>
      <c r="L677" s="1">
        <f t="shared" si="38"/>
        <v>8</v>
      </c>
      <c r="M677" s="1" t="s">
        <v>1120</v>
      </c>
      <c r="N677" s="1" t="str">
        <f t="shared" si="5"/>
        <v>512GB</v>
      </c>
      <c r="O677" s="1" t="str">
        <f t="shared" si="6"/>
        <v>512GB</v>
      </c>
      <c r="P677" s="1" t="s">
        <v>616</v>
      </c>
      <c r="Q677" s="1" t="str">
        <f t="shared" si="7"/>
        <v>1920x1080</v>
      </c>
      <c r="S677" s="1" t="str">
        <f t="shared" si="8"/>
        <v/>
      </c>
      <c r="T677" s="1" t="s">
        <v>101</v>
      </c>
      <c r="U677" s="1" t="str">
        <f t="shared" si="9"/>
        <v>DOS</v>
      </c>
      <c r="V677" s="1" t="s">
        <v>3892</v>
      </c>
      <c r="W677" s="1" t="str">
        <f t="shared" si="10"/>
        <v>1.4 kg</v>
      </c>
      <c r="X677" s="1" t="s">
        <v>78</v>
      </c>
      <c r="Y677" s="1" t="str">
        <f t="shared" si="11"/>
        <v>1 Year</v>
      </c>
      <c r="Z677" s="4">
        <v>26299</v>
      </c>
      <c r="AA677" s="1" t="s">
        <v>166</v>
      </c>
    </row>
    <row r="678" spans="1:27" ht="15.75" customHeight="1" x14ac:dyDescent="0.35">
      <c r="A678" s="1" t="s">
        <v>81</v>
      </c>
      <c r="B678" s="1" t="str">
        <f t="shared" si="16"/>
        <v>Dell</v>
      </c>
      <c r="C678" s="1" t="s">
        <v>3896</v>
      </c>
      <c r="D678" s="1" t="str">
        <f t="shared" si="1"/>
        <v>Dell Vostro 3510</v>
      </c>
      <c r="E678" s="1" t="str">
        <f t="array" aca="1" ref="E678" ca="1">IFERROR(
INDEX(Family_Map!$B$2:$B$35,
_xludf.AGGREGATE(14,6,(ROW(Family_Map!$A$2:$A$35)-ROW(Family_Map!$A$2)+1)/(ISNUMBER(SEARCH(Family_Map!$A$2:$A$35,D678))),1)
),
"Other")</f>
        <v>Other</v>
      </c>
      <c r="F678" s="1" t="s">
        <v>3897</v>
      </c>
      <c r="G678" s="1" t="e">
        <f t="shared" ca="1" si="2"/>
        <v>#NAME?</v>
      </c>
      <c r="H678" s="1" t="str">
        <f t="shared" ca="1" si="12"/>
        <v>Other</v>
      </c>
      <c r="J678" s="1" t="str">
        <f t="shared" si="3"/>
        <v/>
      </c>
      <c r="K678" s="1" t="s">
        <v>2110</v>
      </c>
      <c r="L678" s="1">
        <f t="shared" si="38"/>
        <v>8</v>
      </c>
      <c r="M678" s="1" t="s">
        <v>3898</v>
      </c>
      <c r="N678" s="1" t="str">
        <f t="shared" si="5"/>
        <v>1TB</v>
      </c>
      <c r="O678" s="1" t="str">
        <f t="shared" si="6"/>
        <v>1024GB</v>
      </c>
      <c r="P678" s="1" t="s">
        <v>3653</v>
      </c>
      <c r="Q678" s="1" t="str">
        <f t="shared" si="7"/>
        <v>1366x768</v>
      </c>
      <c r="S678" s="1" t="str">
        <f t="shared" si="8"/>
        <v/>
      </c>
      <c r="T678" s="1" t="s">
        <v>101</v>
      </c>
      <c r="U678" s="1" t="str">
        <f t="shared" si="9"/>
        <v>DOS</v>
      </c>
      <c r="W678" s="1" t="str">
        <f t="shared" si="10"/>
        <v/>
      </c>
      <c r="X678" s="1" t="s">
        <v>78</v>
      </c>
      <c r="Y678" s="1" t="str">
        <f t="shared" si="11"/>
        <v>1 Year</v>
      </c>
      <c r="Z678" s="4">
        <v>17499</v>
      </c>
      <c r="AA678" s="1" t="s">
        <v>2181</v>
      </c>
    </row>
    <row r="679" spans="1:27" ht="15.75" customHeight="1" x14ac:dyDescent="0.35">
      <c r="A679" s="1" t="s">
        <v>151</v>
      </c>
      <c r="B679" s="1" t="str">
        <f t="shared" si="16"/>
        <v>Lenovo</v>
      </c>
      <c r="C679" s="1" t="s">
        <v>3902</v>
      </c>
      <c r="D679" s="1" t="str">
        <f t="shared" si="1"/>
        <v>IdeaPad 5 15IAL7</v>
      </c>
      <c r="E679" s="1" t="str">
        <f t="array" aca="1" ref="E679" ca="1">IFERROR(
INDEX(Family_Map!$B$2:$B$35,
_xludf.AGGREGATE(14,6,(ROW(Family_Map!$A$2:$A$35)-ROW(Family_Map!$A$2)+1)/(ISNUMBER(SEARCH(Family_Map!$A$2:$A$35,D679))),1)
),
"Other")</f>
        <v>Other</v>
      </c>
      <c r="F679" s="1" t="s">
        <v>349</v>
      </c>
      <c r="G679" s="1" t="e">
        <f t="shared" ca="1" si="2"/>
        <v>#NAME?</v>
      </c>
      <c r="H679" s="1" t="str">
        <f t="shared" ca="1" si="12"/>
        <v>Other</v>
      </c>
      <c r="I679" s="1" t="s">
        <v>3670</v>
      </c>
      <c r="J679" s="1" t="str">
        <f t="shared" si="3"/>
        <v>2GB</v>
      </c>
      <c r="K679" s="1" t="s">
        <v>3860</v>
      </c>
      <c r="L679" s="1">
        <f t="shared" si="38"/>
        <v>16</v>
      </c>
      <c r="M679" s="1" t="s">
        <v>1506</v>
      </c>
      <c r="N679" s="1" t="str">
        <f t="shared" si="5"/>
        <v>512GB</v>
      </c>
      <c r="O679" s="1" t="str">
        <f t="shared" si="6"/>
        <v>512GB</v>
      </c>
      <c r="P679" s="1" t="s">
        <v>120</v>
      </c>
      <c r="Q679" s="1" t="str">
        <f t="shared" si="7"/>
        <v>1920x1080</v>
      </c>
      <c r="S679" s="1" t="str">
        <f t="shared" si="8"/>
        <v/>
      </c>
      <c r="T679" s="1" t="s">
        <v>101</v>
      </c>
      <c r="U679" s="1" t="str">
        <f t="shared" si="9"/>
        <v>DOS</v>
      </c>
      <c r="V679" s="1" t="s">
        <v>976</v>
      </c>
      <c r="W679" s="1" t="str">
        <f t="shared" si="10"/>
        <v>1.85 kg</v>
      </c>
      <c r="X679" s="1" t="s">
        <v>78</v>
      </c>
      <c r="Y679" s="1" t="str">
        <f t="shared" si="11"/>
        <v>1 Year</v>
      </c>
      <c r="Z679" s="4">
        <v>25999</v>
      </c>
      <c r="AA679" s="1" t="s">
        <v>166</v>
      </c>
    </row>
    <row r="680" spans="1:27" ht="15.75" customHeight="1" x14ac:dyDescent="0.35">
      <c r="A680" s="1" t="s">
        <v>112</v>
      </c>
      <c r="B680" s="1" t="str">
        <f t="shared" si="16"/>
        <v>HP</v>
      </c>
      <c r="C680" s="1" t="s">
        <v>3905</v>
      </c>
      <c r="D680" s="1" t="str">
        <f t="shared" si="1"/>
        <v>15-FD0068NE</v>
      </c>
      <c r="E680" s="1" t="str">
        <f t="array" aca="1" ref="E680" ca="1">IFERROR(
INDEX(Family_Map!$B$2:$B$35,
_xludf.AGGREGATE(14,6,(ROW(Family_Map!$A$2:$A$35)-ROW(Family_Map!$A$2)+1)/(ISNUMBER(SEARCH(Family_Map!$A$2:$A$35,D680))),1)
),
"Other")</f>
        <v>Other</v>
      </c>
      <c r="F680" s="1" t="s">
        <v>3866</v>
      </c>
      <c r="G680" s="1" t="e">
        <f t="shared" ca="1" si="2"/>
        <v>#NAME?</v>
      </c>
      <c r="H680" s="1" t="str">
        <f t="shared" ca="1" si="12"/>
        <v>Other</v>
      </c>
      <c r="I680" s="1" t="s">
        <v>3670</v>
      </c>
      <c r="J680" s="1" t="str">
        <f t="shared" si="3"/>
        <v>2GB</v>
      </c>
      <c r="K680" s="1" t="s">
        <v>1525</v>
      </c>
      <c r="L680" s="1">
        <f t="shared" si="38"/>
        <v>8</v>
      </c>
      <c r="M680" s="1" t="s">
        <v>2718</v>
      </c>
      <c r="N680" s="1" t="str">
        <f t="shared" si="5"/>
        <v>512 GB</v>
      </c>
      <c r="O680" s="1" t="str">
        <f t="shared" si="6"/>
        <v>512 GB</v>
      </c>
      <c r="P680" s="1" t="s">
        <v>120</v>
      </c>
      <c r="Q680" s="1" t="str">
        <f t="shared" si="7"/>
        <v>1920x1080</v>
      </c>
      <c r="S680" s="1" t="str">
        <f t="shared" si="8"/>
        <v/>
      </c>
      <c r="T680" s="1" t="s">
        <v>101</v>
      </c>
      <c r="U680" s="1" t="str">
        <f t="shared" si="9"/>
        <v>DOS</v>
      </c>
      <c r="V680" s="1" t="s">
        <v>3288</v>
      </c>
      <c r="W680" s="1" t="str">
        <f t="shared" si="10"/>
        <v>1.59 kg</v>
      </c>
      <c r="X680" s="1" t="s">
        <v>78</v>
      </c>
      <c r="Y680" s="1" t="str">
        <f t="shared" si="11"/>
        <v>1 Year</v>
      </c>
      <c r="Z680" s="4">
        <v>32499</v>
      </c>
      <c r="AA680" s="1" t="s">
        <v>79</v>
      </c>
    </row>
    <row r="681" spans="1:27" ht="15.75" customHeight="1" x14ac:dyDescent="0.35">
      <c r="A681" s="1" t="s">
        <v>30</v>
      </c>
      <c r="B681" s="1" t="str">
        <f t="shared" si="16"/>
        <v>MSI</v>
      </c>
      <c r="C681" s="1" t="s">
        <v>3887</v>
      </c>
      <c r="D681" s="1" t="str">
        <f t="shared" si="1"/>
        <v>Modern 14 C12MO</v>
      </c>
      <c r="E681" s="1" t="str">
        <f t="array" aca="1" ref="E681" ca="1">IFERROR(
INDEX(Family_Map!$B$2:$B$35,
_xludf.AGGREGATE(14,6,(ROW(Family_Map!$A$2:$A$35)-ROW(Family_Map!$A$2)+1)/(ISNUMBER(SEARCH(Family_Map!$A$2:$A$35,D681))),1)
),
"Other")</f>
        <v>Other</v>
      </c>
      <c r="F681" s="1" t="s">
        <v>3534</v>
      </c>
      <c r="G681" s="1" t="e">
        <f t="shared" ca="1" si="2"/>
        <v>#NAME?</v>
      </c>
      <c r="H681" s="1" t="str">
        <f t="shared" ca="1" si="12"/>
        <v>Other</v>
      </c>
      <c r="J681" s="1" t="str">
        <f t="shared" si="3"/>
        <v/>
      </c>
      <c r="K681" s="1" t="s">
        <v>1134</v>
      </c>
      <c r="L681" s="1">
        <f t="shared" si="38"/>
        <v>8</v>
      </c>
      <c r="M681" s="1" t="s">
        <v>3908</v>
      </c>
      <c r="N681" s="1" t="str">
        <f t="shared" si="5"/>
        <v>256GB</v>
      </c>
      <c r="O681" s="1" t="str">
        <f t="shared" si="6"/>
        <v>256GB</v>
      </c>
      <c r="P681" s="1" t="s">
        <v>120</v>
      </c>
      <c r="Q681" s="1" t="str">
        <f t="shared" si="7"/>
        <v>1920x1080</v>
      </c>
      <c r="S681" s="1" t="str">
        <f t="shared" si="8"/>
        <v/>
      </c>
      <c r="T681" s="1" t="s">
        <v>121</v>
      </c>
      <c r="U681" s="1" t="str">
        <f t="shared" si="9"/>
        <v>DOS</v>
      </c>
      <c r="V681" s="1" t="s">
        <v>3892</v>
      </c>
      <c r="W681" s="1" t="str">
        <f t="shared" si="10"/>
        <v>1.4 kg</v>
      </c>
      <c r="X681" s="1" t="s">
        <v>129</v>
      </c>
      <c r="Y681" s="1" t="str">
        <f t="shared" si="11"/>
        <v>1 Year</v>
      </c>
      <c r="Z681" s="4">
        <v>15499</v>
      </c>
      <c r="AA681" s="1" t="s">
        <v>166</v>
      </c>
    </row>
    <row r="682" spans="1:27" ht="15.75" customHeight="1" x14ac:dyDescent="0.35">
      <c r="A682" s="1" t="s">
        <v>234</v>
      </c>
      <c r="B682" s="1" t="str">
        <f t="shared" si="16"/>
        <v>ASUS</v>
      </c>
      <c r="C682" s="1" t="s">
        <v>3911</v>
      </c>
      <c r="D682" s="1" t="str">
        <f t="shared" si="1"/>
        <v>Vivobook Go 15 E1504FA-NJ005W</v>
      </c>
      <c r="E682" s="1" t="str">
        <f t="array" aca="1" ref="E682" ca="1">IFERROR(
INDEX(Family_Map!$B$2:$B$35,
_xludf.AGGREGATE(14,6,(ROW(Family_Map!$A$2:$A$35)-ROW(Family_Map!$A$2)+1)/(ISNUMBER(SEARCH(Family_Map!$A$2:$A$35,D682))),1)
),
"Other")</f>
        <v>Other</v>
      </c>
      <c r="F682" s="1" t="s">
        <v>3912</v>
      </c>
      <c r="G682" s="1" t="e">
        <f t="shared" ca="1" si="2"/>
        <v>#NAME?</v>
      </c>
      <c r="H682" s="1" t="str">
        <f t="shared" ca="1" si="12"/>
        <v>Other</v>
      </c>
      <c r="J682" s="1" t="str">
        <f t="shared" si="3"/>
        <v/>
      </c>
      <c r="K682" s="1" t="s">
        <v>3913</v>
      </c>
      <c r="L682" s="1">
        <f t="shared" si="38"/>
        <v>8</v>
      </c>
      <c r="M682" s="1" t="s">
        <v>1604</v>
      </c>
      <c r="N682" s="1" t="str">
        <f t="shared" si="5"/>
        <v>512GB</v>
      </c>
      <c r="O682" s="1" t="str">
        <f t="shared" si="6"/>
        <v>512GB</v>
      </c>
      <c r="P682" s="1" t="s">
        <v>120</v>
      </c>
      <c r="Q682" s="1" t="str">
        <f t="shared" si="7"/>
        <v>1920x1080</v>
      </c>
      <c r="R682" s="1" t="s">
        <v>971</v>
      </c>
      <c r="S682" s="1" t="str">
        <f t="shared" si="8"/>
        <v>60Hz</v>
      </c>
      <c r="T682" s="1" t="s">
        <v>90</v>
      </c>
      <c r="U682" s="1" t="str">
        <f t="shared" si="9"/>
        <v>Windows 11 Home</v>
      </c>
      <c r="V682" s="1" t="s">
        <v>3346</v>
      </c>
      <c r="W682" s="1" t="str">
        <f t="shared" si="10"/>
        <v>1.63 kg</v>
      </c>
      <c r="X682" s="1" t="s">
        <v>1471</v>
      </c>
      <c r="Y682" s="1" t="str">
        <f t="shared" si="11"/>
        <v>1 Year</v>
      </c>
      <c r="Z682" s="4">
        <v>17999</v>
      </c>
      <c r="AA682" s="1" t="s">
        <v>5735</v>
      </c>
    </row>
    <row r="683" spans="1:27" ht="15.75" customHeight="1" x14ac:dyDescent="0.35">
      <c r="A683" s="1" t="s">
        <v>234</v>
      </c>
      <c r="B683" s="1" t="str">
        <f t="shared" si="16"/>
        <v>ASUS</v>
      </c>
      <c r="C683" s="1" t="s">
        <v>3916</v>
      </c>
      <c r="D683" s="1" t="str">
        <f t="shared" si="1"/>
        <v>X1504VA-NJ005W</v>
      </c>
      <c r="E683" s="1" t="str">
        <f t="array" aca="1" ref="E683" ca="1">IFERROR(
INDEX(Family_Map!$B$2:$B$35,
_xludf.AGGREGATE(14,6,(ROW(Family_Map!$A$2:$A$35)-ROW(Family_Map!$A$2)+1)/(ISNUMBER(SEARCH(Family_Map!$A$2:$A$35,D683))),1)
),
"Other")</f>
        <v>Other</v>
      </c>
      <c r="F683" s="1" t="s">
        <v>3758</v>
      </c>
      <c r="G683" s="1" t="e">
        <f t="shared" ca="1" si="2"/>
        <v>#NAME?</v>
      </c>
      <c r="H683" s="1" t="str">
        <f t="shared" ca="1" si="12"/>
        <v>Other</v>
      </c>
      <c r="J683" s="1" t="str">
        <f t="shared" si="3"/>
        <v/>
      </c>
      <c r="K683" s="1" t="s">
        <v>628</v>
      </c>
      <c r="L683" s="1">
        <f t="shared" si="38"/>
        <v>8</v>
      </c>
      <c r="M683" s="1" t="s">
        <v>1604</v>
      </c>
      <c r="N683" s="1" t="str">
        <f t="shared" si="5"/>
        <v>512GB</v>
      </c>
      <c r="O683" s="1" t="str">
        <f t="shared" si="6"/>
        <v>512GB</v>
      </c>
      <c r="P683" s="1" t="s">
        <v>120</v>
      </c>
      <c r="Q683" s="1" t="str">
        <f t="shared" si="7"/>
        <v>1920x1080</v>
      </c>
      <c r="R683" s="1" t="s">
        <v>971</v>
      </c>
      <c r="S683" s="1" t="str">
        <f t="shared" si="8"/>
        <v>60Hz</v>
      </c>
      <c r="T683" s="1" t="s">
        <v>90</v>
      </c>
      <c r="U683" s="1" t="str">
        <f t="shared" si="9"/>
        <v>Windows 11 Home</v>
      </c>
      <c r="V683" s="1" t="s">
        <v>3500</v>
      </c>
      <c r="W683" s="1" t="str">
        <f t="shared" si="10"/>
        <v>1.7 kg</v>
      </c>
      <c r="X683" s="1" t="s">
        <v>78</v>
      </c>
      <c r="Y683" s="1" t="str">
        <f t="shared" si="11"/>
        <v>1 Year</v>
      </c>
      <c r="Z683" s="4">
        <v>20999</v>
      </c>
      <c r="AA683" s="1" t="s">
        <v>79</v>
      </c>
    </row>
    <row r="684" spans="1:27" ht="15.75" customHeight="1" x14ac:dyDescent="0.35">
      <c r="A684" s="1" t="s">
        <v>234</v>
      </c>
      <c r="B684" s="1" t="str">
        <f t="shared" si="16"/>
        <v>ASUS</v>
      </c>
      <c r="C684" s="1" t="s">
        <v>3918</v>
      </c>
      <c r="D684" s="1" t="str">
        <f t="shared" si="1"/>
        <v>D1502YA-NJ007W</v>
      </c>
      <c r="E684" s="1" t="str">
        <f t="array" aca="1" ref="E684" ca="1">IFERROR(
INDEX(Family_Map!$B$2:$B$35,
_xludf.AGGREGATE(14,6,(ROW(Family_Map!$A$2:$A$35)-ROW(Family_Map!$A$2)+1)/(ISNUMBER(SEARCH(Family_Map!$A$2:$A$35,D684))),1)
),
"Other")</f>
        <v>Other</v>
      </c>
      <c r="F684" s="1" t="s">
        <v>3769</v>
      </c>
      <c r="G684" s="1" t="e">
        <f t="shared" ca="1" si="2"/>
        <v>#NAME?</v>
      </c>
      <c r="H684" s="1" t="str">
        <f t="shared" ca="1" si="12"/>
        <v>Other</v>
      </c>
      <c r="J684" s="1" t="str">
        <f t="shared" si="3"/>
        <v/>
      </c>
      <c r="K684" s="1" t="s">
        <v>628</v>
      </c>
      <c r="L684" s="1">
        <f t="shared" si="38"/>
        <v>8</v>
      </c>
      <c r="M684" s="1" t="s">
        <v>1604</v>
      </c>
      <c r="N684" s="1" t="str">
        <f t="shared" si="5"/>
        <v>512GB</v>
      </c>
      <c r="O684" s="1" t="str">
        <f t="shared" si="6"/>
        <v>512GB</v>
      </c>
      <c r="P684" s="1" t="s">
        <v>120</v>
      </c>
      <c r="Q684" s="1" t="str">
        <f t="shared" si="7"/>
        <v>1920x1080</v>
      </c>
      <c r="R684" s="1" t="s">
        <v>971</v>
      </c>
      <c r="S684" s="1" t="str">
        <f t="shared" si="8"/>
        <v>60Hz</v>
      </c>
      <c r="T684" s="1" t="s">
        <v>90</v>
      </c>
      <c r="U684" s="1" t="str">
        <f t="shared" si="9"/>
        <v>Windows 11 Home</v>
      </c>
      <c r="V684" s="1" t="s">
        <v>3500</v>
      </c>
      <c r="W684" s="1" t="str">
        <f t="shared" si="10"/>
        <v>1.7 kg</v>
      </c>
      <c r="X684" s="1" t="s">
        <v>78</v>
      </c>
      <c r="Y684" s="1" t="str">
        <f t="shared" si="11"/>
        <v>1 Year</v>
      </c>
      <c r="Z684" s="4">
        <v>22222</v>
      </c>
      <c r="AA684" s="1" t="s">
        <v>5735</v>
      </c>
    </row>
    <row r="685" spans="1:27" ht="15.75" customHeight="1" x14ac:dyDescent="0.35">
      <c r="A685" s="1" t="s">
        <v>234</v>
      </c>
      <c r="B685" s="1" t="str">
        <f t="shared" si="16"/>
        <v>ASUS</v>
      </c>
      <c r="C685" s="1" t="s">
        <v>3921</v>
      </c>
      <c r="D685" s="1" t="str">
        <f t="shared" si="1"/>
        <v>Vivobook 15 X1504VA-NJ017W</v>
      </c>
      <c r="E685" s="1" t="str">
        <f t="array" aca="1" ref="E685" ca="1">IFERROR(
INDEX(Family_Map!$B$2:$B$35,
_xludf.AGGREGATE(14,6,(ROW(Family_Map!$A$2:$A$35)-ROW(Family_Map!$A$2)+1)/(ISNUMBER(SEARCH(Family_Map!$A$2:$A$35,D685))),1)
),
"Other")</f>
        <v>Other</v>
      </c>
      <c r="F685" s="1" t="s">
        <v>3476</v>
      </c>
      <c r="G685" s="1" t="e">
        <f t="shared" ca="1" si="2"/>
        <v>#NAME?</v>
      </c>
      <c r="H685" s="1" t="str">
        <f t="shared" ca="1" si="12"/>
        <v>Other</v>
      </c>
      <c r="J685" s="1" t="str">
        <f t="shared" si="3"/>
        <v/>
      </c>
      <c r="K685" s="1" t="s">
        <v>628</v>
      </c>
      <c r="L685" s="1">
        <f t="shared" si="38"/>
        <v>8</v>
      </c>
      <c r="M685" s="1" t="s">
        <v>1604</v>
      </c>
      <c r="N685" s="1" t="str">
        <f t="shared" si="5"/>
        <v>512GB</v>
      </c>
      <c r="O685" s="1" t="str">
        <f t="shared" si="6"/>
        <v>512GB</v>
      </c>
      <c r="P685" s="1" t="s">
        <v>120</v>
      </c>
      <c r="Q685" s="1" t="str">
        <f t="shared" si="7"/>
        <v>1920x1080</v>
      </c>
      <c r="R685" s="1" t="s">
        <v>971</v>
      </c>
      <c r="S685" s="1" t="str">
        <f t="shared" si="8"/>
        <v>60Hz</v>
      </c>
      <c r="T685" s="1" t="s">
        <v>90</v>
      </c>
      <c r="U685" s="1" t="str">
        <f t="shared" si="9"/>
        <v>Windows 11 Home</v>
      </c>
      <c r="V685" s="1" t="s">
        <v>3500</v>
      </c>
      <c r="W685" s="1" t="str">
        <f t="shared" si="10"/>
        <v>1.7 kg</v>
      </c>
      <c r="X685" s="1" t="s">
        <v>2608</v>
      </c>
      <c r="Y685" s="1" t="str">
        <f t="shared" si="11"/>
        <v>1 Year</v>
      </c>
      <c r="Z685" s="4">
        <v>24888</v>
      </c>
      <c r="AA685" s="1" t="s">
        <v>79</v>
      </c>
    </row>
    <row r="686" spans="1:27" ht="15.75" customHeight="1" x14ac:dyDescent="0.35">
      <c r="A686" s="1" t="s">
        <v>234</v>
      </c>
      <c r="B686" s="1" t="str">
        <f t="shared" si="16"/>
        <v>ASUS</v>
      </c>
      <c r="C686" s="1" t="s">
        <v>3923</v>
      </c>
      <c r="D686" s="1" t="str">
        <f t="shared" si="1"/>
        <v>Zenbook 14X OLED UX3404VA-OLED009W</v>
      </c>
      <c r="E686" s="1" t="str">
        <f t="array" aca="1" ref="E686" ca="1">IFERROR(
INDEX(Family_Map!$B$2:$B$35,
_xludf.AGGREGATE(14,6,(ROW(Family_Map!$A$2:$A$35)-ROW(Family_Map!$A$2)+1)/(ISNUMBER(SEARCH(Family_Map!$A$2:$A$35,D686))),1)
),
"Other")</f>
        <v>Other</v>
      </c>
      <c r="F686" s="1" t="s">
        <v>3678</v>
      </c>
      <c r="G686" s="1" t="e">
        <f t="shared" ca="1" si="2"/>
        <v>#NAME?</v>
      </c>
      <c r="H686" s="1" t="str">
        <f t="shared" ca="1" si="12"/>
        <v>Other</v>
      </c>
      <c r="J686" s="1" t="str">
        <f t="shared" si="3"/>
        <v/>
      </c>
      <c r="K686" s="1" t="s">
        <v>3924</v>
      </c>
      <c r="L686" s="1">
        <f t="shared" si="38"/>
        <v>16</v>
      </c>
      <c r="M686" s="1" t="s">
        <v>629</v>
      </c>
      <c r="N686" s="1" t="str">
        <f t="shared" si="5"/>
        <v>512GB</v>
      </c>
      <c r="O686" s="1" t="str">
        <f t="shared" si="6"/>
        <v>512GB</v>
      </c>
      <c r="P686" s="1" t="s">
        <v>1021</v>
      </c>
      <c r="Q686" s="1" t="str">
        <f t="shared" si="7"/>
        <v>2880x1800</v>
      </c>
      <c r="R686" s="1" t="s">
        <v>39</v>
      </c>
      <c r="S686" s="1" t="str">
        <f t="shared" si="8"/>
        <v>120Hz</v>
      </c>
      <c r="T686" s="1" t="s">
        <v>90</v>
      </c>
      <c r="U686" s="1" t="str">
        <f t="shared" si="9"/>
        <v>Windows 11 Home</v>
      </c>
      <c r="V686" s="1" t="s">
        <v>3928</v>
      </c>
      <c r="W686" s="1" t="str">
        <f t="shared" si="10"/>
        <v>1.56 kg</v>
      </c>
      <c r="X686" s="1" t="s">
        <v>165</v>
      </c>
      <c r="Y686" s="1" t="str">
        <f t="shared" si="11"/>
        <v>2 Years</v>
      </c>
      <c r="Z686" s="4">
        <v>48222</v>
      </c>
      <c r="AA686" s="1" t="s">
        <v>79</v>
      </c>
    </row>
    <row r="687" spans="1:27" ht="15.75" customHeight="1" x14ac:dyDescent="0.35">
      <c r="A687" s="1" t="s">
        <v>234</v>
      </c>
      <c r="B687" s="1" t="str">
        <f t="shared" si="16"/>
        <v>ASUS</v>
      </c>
      <c r="C687" s="1" t="s">
        <v>3930</v>
      </c>
      <c r="D687" s="1" t="str">
        <f t="shared" si="1"/>
        <v>UX3405MA-PP009WS</v>
      </c>
      <c r="E687" s="1" t="str">
        <f t="array" aca="1" ref="E687" ca="1">IFERROR(
INDEX(Family_Map!$B$2:$B$35,
_xludf.AGGREGATE(14,6,(ROW(Family_Map!$A$2:$A$35)-ROW(Family_Map!$A$2)+1)/(ISNUMBER(SEARCH(Family_Map!$A$2:$A$35,D687))),1)
),
"Other")</f>
        <v>Other</v>
      </c>
      <c r="F687" s="1" t="s">
        <v>1593</v>
      </c>
      <c r="G687" s="1" t="e">
        <f t="shared" ca="1" si="2"/>
        <v>#NAME?</v>
      </c>
      <c r="H687" s="1" t="str">
        <f t="shared" ca="1" si="12"/>
        <v>Other</v>
      </c>
      <c r="J687" s="1" t="str">
        <f t="shared" si="3"/>
        <v/>
      </c>
      <c r="K687" s="1" t="s">
        <v>3394</v>
      </c>
      <c r="L687" s="1">
        <f t="shared" si="38"/>
        <v>16</v>
      </c>
      <c r="M687" s="1" t="s">
        <v>3395</v>
      </c>
      <c r="N687" s="1" t="str">
        <f t="shared" si="5"/>
        <v>1TB</v>
      </c>
      <c r="O687" s="1" t="str">
        <f t="shared" si="6"/>
        <v>1024GB</v>
      </c>
      <c r="P687" s="1" t="s">
        <v>1021</v>
      </c>
      <c r="Q687" s="1" t="str">
        <f t="shared" si="7"/>
        <v>2880x1800</v>
      </c>
      <c r="R687" s="1" t="s">
        <v>39</v>
      </c>
      <c r="S687" s="1" t="str">
        <f t="shared" si="8"/>
        <v>120Hz</v>
      </c>
      <c r="T687" s="1" t="s">
        <v>90</v>
      </c>
      <c r="U687" s="1" t="str">
        <f t="shared" si="9"/>
        <v>Windows 11 Home</v>
      </c>
      <c r="V687" s="1" t="s">
        <v>3934</v>
      </c>
      <c r="W687" s="1" t="str">
        <f t="shared" si="10"/>
        <v>1.2 kg</v>
      </c>
      <c r="X687" s="1" t="s">
        <v>78</v>
      </c>
      <c r="Y687" s="1" t="str">
        <f t="shared" si="11"/>
        <v>1 Year</v>
      </c>
      <c r="Z687" s="4">
        <v>70999</v>
      </c>
      <c r="AA687" s="1" t="s">
        <v>5735</v>
      </c>
    </row>
    <row r="688" spans="1:27" ht="15.75" customHeight="1" x14ac:dyDescent="0.35">
      <c r="A688" s="1" t="s">
        <v>112</v>
      </c>
      <c r="B688" s="1" t="str">
        <f t="shared" si="16"/>
        <v>HP</v>
      </c>
      <c r="C688" s="1" t="s">
        <v>3938</v>
      </c>
      <c r="D688" s="1" t="str">
        <f t="shared" si="1"/>
        <v>15-FD0033NE</v>
      </c>
      <c r="E688" s="1" t="str">
        <f t="array" aca="1" ref="E688" ca="1">IFERROR(
INDEX(Family_Map!$B$2:$B$35,
_xludf.AGGREGATE(14,6,(ROW(Family_Map!$A$2:$A$35)-ROW(Family_Map!$A$2)+1)/(ISNUMBER(SEARCH(Family_Map!$A$2:$A$35,D688))),1)
),
"Other")</f>
        <v>Other</v>
      </c>
      <c r="F688" s="1" t="s">
        <v>3746</v>
      </c>
      <c r="G688" s="1" t="e">
        <f t="shared" ca="1" si="2"/>
        <v>#NAME?</v>
      </c>
      <c r="H688" s="1" t="str">
        <f t="shared" ca="1" si="12"/>
        <v>Other</v>
      </c>
      <c r="J688" s="1" t="str">
        <f t="shared" si="3"/>
        <v/>
      </c>
      <c r="K688" s="1" t="s">
        <v>3939</v>
      </c>
      <c r="L688" s="1">
        <f t="shared" si="38"/>
        <v>4</v>
      </c>
      <c r="M688" s="1" t="s">
        <v>3940</v>
      </c>
      <c r="N688" s="1" t="str">
        <f t="shared" si="5"/>
        <v>256 GB</v>
      </c>
      <c r="O688" s="1" t="str">
        <f t="shared" si="6"/>
        <v>256 GB</v>
      </c>
      <c r="P688" s="1" t="s">
        <v>120</v>
      </c>
      <c r="Q688" s="1" t="str">
        <f t="shared" si="7"/>
        <v>1920x1080</v>
      </c>
      <c r="S688" s="1" t="str">
        <f t="shared" si="8"/>
        <v/>
      </c>
      <c r="T688" s="1" t="s">
        <v>101</v>
      </c>
      <c r="U688" s="1" t="str">
        <f t="shared" si="9"/>
        <v>DOS</v>
      </c>
      <c r="V688" s="1" t="s">
        <v>3288</v>
      </c>
      <c r="W688" s="1" t="str">
        <f t="shared" si="10"/>
        <v>1.59 kg</v>
      </c>
      <c r="X688" s="1" t="s">
        <v>78</v>
      </c>
      <c r="Y688" s="1" t="str">
        <f t="shared" si="11"/>
        <v>1 Year</v>
      </c>
      <c r="Z688" s="4">
        <v>16499</v>
      </c>
      <c r="AA688" s="1" t="s">
        <v>79</v>
      </c>
    </row>
    <row r="689" spans="1:27" ht="15.75" customHeight="1" x14ac:dyDescent="0.35">
      <c r="A689" s="1" t="s">
        <v>81</v>
      </c>
      <c r="B689" s="1" t="str">
        <f t="shared" si="16"/>
        <v>Dell</v>
      </c>
      <c r="C689" s="1" t="s">
        <v>3515</v>
      </c>
      <c r="D689" s="1" t="str">
        <f t="shared" si="1"/>
        <v>Vostro 3520</v>
      </c>
      <c r="E689" s="1" t="str">
        <f t="array" aca="1" ref="E689" ca="1">IFERROR(
INDEX(Family_Map!$B$2:$B$35,
_xludf.AGGREGATE(14,6,(ROW(Family_Map!$A$2:$A$35)-ROW(Family_Map!$A$2)+1)/(ISNUMBER(SEARCH(Family_Map!$A$2:$A$35,D689))),1)
),
"Other")</f>
        <v>Other</v>
      </c>
      <c r="F689" s="1" t="s">
        <v>3894</v>
      </c>
      <c r="G689" s="1" t="e">
        <f t="shared" ca="1" si="2"/>
        <v>#NAME?</v>
      </c>
      <c r="H689" s="1" t="str">
        <f t="shared" ca="1" si="12"/>
        <v>Other</v>
      </c>
      <c r="I689" s="1" t="s">
        <v>3670</v>
      </c>
      <c r="J689" s="1" t="str">
        <f t="shared" si="3"/>
        <v>2GB</v>
      </c>
      <c r="K689" s="1" t="s">
        <v>3943</v>
      </c>
      <c r="L689" s="1">
        <f t="shared" si="38"/>
        <v>8</v>
      </c>
      <c r="M689" s="1" t="s">
        <v>2521</v>
      </c>
      <c r="N689" s="1" t="str">
        <f t="shared" si="5"/>
        <v>512GB</v>
      </c>
      <c r="O689" s="1" t="str">
        <f t="shared" si="6"/>
        <v>512GB</v>
      </c>
      <c r="P689" s="1" t="s">
        <v>120</v>
      </c>
      <c r="Q689" s="1" t="str">
        <f t="shared" si="7"/>
        <v>1920x1080</v>
      </c>
      <c r="R689" s="1" t="s">
        <v>39</v>
      </c>
      <c r="S689" s="1" t="str">
        <f t="shared" si="8"/>
        <v>120Hz</v>
      </c>
      <c r="T689" s="1" t="s">
        <v>101</v>
      </c>
      <c r="U689" s="1" t="str">
        <f t="shared" si="9"/>
        <v>DOS</v>
      </c>
      <c r="V689" s="1" t="s">
        <v>3458</v>
      </c>
      <c r="W689" s="1" t="str">
        <f t="shared" si="10"/>
        <v>1.66 kg</v>
      </c>
      <c r="X689" s="1" t="s">
        <v>78</v>
      </c>
      <c r="Y689" s="1" t="str">
        <f t="shared" si="11"/>
        <v>1 Year</v>
      </c>
      <c r="Z689" s="4">
        <v>32333</v>
      </c>
      <c r="AA689" s="1" t="s">
        <v>166</v>
      </c>
    </row>
    <row r="690" spans="1:27" ht="15.75" customHeight="1" x14ac:dyDescent="0.35">
      <c r="A690" s="1" t="s">
        <v>151</v>
      </c>
      <c r="B690" s="1" t="str">
        <f t="shared" si="16"/>
        <v>Lenovo</v>
      </c>
      <c r="C690" s="1" t="s">
        <v>3578</v>
      </c>
      <c r="D690" s="1" t="str">
        <f t="shared" si="1"/>
        <v>IdeaPad Flex 5 14IAU7</v>
      </c>
      <c r="E690" s="1" t="str">
        <f t="array" aca="1" ref="E690" ca="1">IFERROR(
INDEX(Family_Map!$B$2:$B$35,
_xludf.AGGREGATE(14,6,(ROW(Family_Map!$A$2:$A$35)-ROW(Family_Map!$A$2)+1)/(ISNUMBER(SEARCH(Family_Map!$A$2:$A$35,D690))),1)
),
"Other")</f>
        <v>Other</v>
      </c>
      <c r="F690" s="1" t="s">
        <v>3945</v>
      </c>
      <c r="G690" s="1" t="e">
        <f t="shared" ca="1" si="2"/>
        <v>#NAME?</v>
      </c>
      <c r="H690" s="1" t="str">
        <f t="shared" ca="1" si="12"/>
        <v>Other</v>
      </c>
      <c r="J690" s="1" t="str">
        <f t="shared" si="3"/>
        <v/>
      </c>
      <c r="K690" s="1" t="s">
        <v>3296</v>
      </c>
      <c r="L690" s="1">
        <f t="shared" si="38"/>
        <v>8</v>
      </c>
      <c r="M690" s="1" t="s">
        <v>156</v>
      </c>
      <c r="N690" s="1" t="str">
        <f t="shared" si="5"/>
        <v>512GB</v>
      </c>
      <c r="O690" s="1" t="str">
        <f t="shared" si="6"/>
        <v>512GB</v>
      </c>
      <c r="P690" s="1" t="s">
        <v>1015</v>
      </c>
      <c r="Q690" s="1" t="str">
        <f t="shared" si="7"/>
        <v>1920x1200</v>
      </c>
      <c r="S690" s="1" t="str">
        <f t="shared" si="8"/>
        <v/>
      </c>
      <c r="T690" s="1" t="s">
        <v>201</v>
      </c>
      <c r="U690" s="1" t="str">
        <f t="shared" si="9"/>
        <v>Windows 11 Home</v>
      </c>
      <c r="V690" s="1" t="s">
        <v>3584</v>
      </c>
      <c r="W690" s="1" t="str">
        <f t="shared" si="10"/>
        <v>1.55 kg</v>
      </c>
      <c r="X690" s="1" t="s">
        <v>78</v>
      </c>
      <c r="Y690" s="1" t="str">
        <f t="shared" si="11"/>
        <v>1 Year</v>
      </c>
      <c r="Z690" s="4">
        <v>28888</v>
      </c>
      <c r="AA690" s="1" t="s">
        <v>166</v>
      </c>
    </row>
    <row r="691" spans="1:27" ht="15.75" customHeight="1" x14ac:dyDescent="0.35">
      <c r="A691" s="1" t="s">
        <v>151</v>
      </c>
      <c r="B691" s="1" t="str">
        <f t="shared" si="16"/>
        <v>Lenovo</v>
      </c>
      <c r="C691" s="1" t="s">
        <v>3948</v>
      </c>
      <c r="D691" s="1" t="str">
        <f t="shared" si="1"/>
        <v>IdeaPad Flex 5 16IAU7</v>
      </c>
      <c r="E691" s="1" t="str">
        <f t="array" aca="1" ref="E691" ca="1">IFERROR(
INDEX(Family_Map!$B$2:$B$35,
_xludf.AGGREGATE(14,6,(ROW(Family_Map!$A$2:$A$35)-ROW(Family_Map!$A$2)+1)/(ISNUMBER(SEARCH(Family_Map!$A$2:$A$35,D691))),1)
),
"Other")</f>
        <v>Other</v>
      </c>
      <c r="F691" s="1" t="s">
        <v>3858</v>
      </c>
      <c r="G691" s="1" t="e">
        <f t="shared" ca="1" si="2"/>
        <v>#NAME?</v>
      </c>
      <c r="H691" s="1" t="str">
        <f t="shared" ca="1" si="12"/>
        <v>Other</v>
      </c>
      <c r="J691" s="1" t="str">
        <f t="shared" si="3"/>
        <v/>
      </c>
      <c r="K691" s="1" t="s">
        <v>3579</v>
      </c>
      <c r="L691" s="1">
        <f t="shared" si="38"/>
        <v>8</v>
      </c>
      <c r="M691" s="1" t="s">
        <v>156</v>
      </c>
      <c r="N691" s="1" t="str">
        <f t="shared" si="5"/>
        <v>512GB</v>
      </c>
      <c r="O691" s="1" t="str">
        <f t="shared" si="6"/>
        <v>512GB</v>
      </c>
      <c r="P691" s="1" t="s">
        <v>1015</v>
      </c>
      <c r="Q691" s="1" t="str">
        <f t="shared" si="7"/>
        <v>1920x1200</v>
      </c>
      <c r="S691" s="1" t="str">
        <f t="shared" si="8"/>
        <v/>
      </c>
      <c r="T691" s="1" t="s">
        <v>201</v>
      </c>
      <c r="U691" s="1" t="str">
        <f t="shared" si="9"/>
        <v>Windows 11 Home</v>
      </c>
      <c r="V691" s="1" t="s">
        <v>2045</v>
      </c>
      <c r="W691" s="1" t="str">
        <f t="shared" si="10"/>
        <v>2.1 kg</v>
      </c>
      <c r="X691" s="1" t="s">
        <v>78</v>
      </c>
      <c r="Y691" s="1" t="str">
        <f t="shared" si="11"/>
        <v>1 Year</v>
      </c>
      <c r="Z691" s="4">
        <v>38999</v>
      </c>
      <c r="AA691" s="1" t="s">
        <v>166</v>
      </c>
    </row>
    <row r="692" spans="1:27" ht="15.75" customHeight="1" x14ac:dyDescent="0.35">
      <c r="A692" s="1" t="s">
        <v>151</v>
      </c>
      <c r="B692" s="1" t="str">
        <f t="shared" si="16"/>
        <v>Lenovo</v>
      </c>
      <c r="C692" s="1" t="s">
        <v>3952</v>
      </c>
      <c r="D692" s="1" t="str">
        <f t="shared" si="1"/>
        <v>Yoga 7 16IRL8</v>
      </c>
      <c r="E692" s="1" t="str">
        <f t="array" aca="1" ref="E692" ca="1">IFERROR(
INDEX(Family_Map!$B$2:$B$35,
_xludf.AGGREGATE(14,6,(ROW(Family_Map!$A$2:$A$35)-ROW(Family_Map!$A$2)+1)/(ISNUMBER(SEARCH(Family_Map!$A$2:$A$35,D692))),1)
),
"Other")</f>
        <v>Other</v>
      </c>
      <c r="F692" s="1" t="s">
        <v>3540</v>
      </c>
      <c r="G692" s="1" t="e">
        <f t="shared" ca="1" si="2"/>
        <v>#NAME?</v>
      </c>
      <c r="H692" s="1" t="str">
        <f t="shared" ca="1" si="12"/>
        <v>Other</v>
      </c>
      <c r="J692" s="1" t="str">
        <f t="shared" si="3"/>
        <v/>
      </c>
      <c r="K692" s="1" t="s">
        <v>3605</v>
      </c>
      <c r="L692" s="1">
        <f t="shared" si="38"/>
        <v>8</v>
      </c>
      <c r="M692" s="1" t="s">
        <v>156</v>
      </c>
      <c r="N692" s="1" t="str">
        <f t="shared" si="5"/>
        <v>512GB</v>
      </c>
      <c r="O692" s="1" t="str">
        <f t="shared" si="6"/>
        <v>512GB</v>
      </c>
      <c r="P692" s="1" t="s">
        <v>1015</v>
      </c>
      <c r="Q692" s="1" t="str">
        <f t="shared" si="7"/>
        <v>1920x1200</v>
      </c>
      <c r="S692" s="1" t="str">
        <f t="shared" si="8"/>
        <v/>
      </c>
      <c r="T692" s="1" t="s">
        <v>201</v>
      </c>
      <c r="U692" s="1" t="str">
        <f t="shared" si="9"/>
        <v>Windows 11 Home</v>
      </c>
      <c r="V692" s="1" t="s">
        <v>3956</v>
      </c>
      <c r="W692" s="1" t="str">
        <f t="shared" si="10"/>
        <v>2.04 kg</v>
      </c>
      <c r="X692" s="1" t="s">
        <v>78</v>
      </c>
      <c r="Y692" s="1" t="str">
        <f t="shared" si="11"/>
        <v>1 Year</v>
      </c>
      <c r="Z692" s="4">
        <v>41999</v>
      </c>
      <c r="AA692" s="1" t="s">
        <v>79</v>
      </c>
    </row>
    <row r="693" spans="1:27" ht="15.75" customHeight="1" x14ac:dyDescent="0.35">
      <c r="A693" s="1" t="s">
        <v>151</v>
      </c>
      <c r="B693" s="1" t="str">
        <f t="shared" si="16"/>
        <v>Lenovo</v>
      </c>
      <c r="C693" s="1" t="s">
        <v>3959</v>
      </c>
      <c r="D693" s="1" t="str">
        <f t="shared" si="1"/>
        <v>IdeaPad Flex 5 14ITL05</v>
      </c>
      <c r="E693" s="1" t="str">
        <f t="array" aca="1" ref="E693" ca="1">IFERROR(
INDEX(Family_Map!$B$2:$B$35,
_xludf.AGGREGATE(14,6,(ROW(Family_Map!$A$2:$A$35)-ROW(Family_Map!$A$2)+1)/(ISNUMBER(SEARCH(Family_Map!$A$2:$A$35,D693))),1)
),
"Other")</f>
        <v>Other</v>
      </c>
      <c r="F693" s="1" t="s">
        <v>3960</v>
      </c>
      <c r="G693" s="1" t="e">
        <f t="shared" ca="1" si="2"/>
        <v>#NAME?</v>
      </c>
      <c r="H693" s="1" t="str">
        <f t="shared" ca="1" si="12"/>
        <v>Other</v>
      </c>
      <c r="J693" s="1" t="str">
        <f t="shared" si="3"/>
        <v/>
      </c>
      <c r="K693" s="1" t="s">
        <v>3327</v>
      </c>
      <c r="L693" s="1">
        <f t="shared" si="38"/>
        <v>8</v>
      </c>
      <c r="M693" s="1" t="s">
        <v>3961</v>
      </c>
      <c r="N693" s="1" t="str">
        <f t="shared" si="5"/>
        <v>256GB</v>
      </c>
      <c r="O693" s="1" t="str">
        <f t="shared" si="6"/>
        <v>256GB</v>
      </c>
      <c r="P693" s="1" t="s">
        <v>74</v>
      </c>
      <c r="Q693" s="1" t="str">
        <f t="shared" si="7"/>
        <v>1920x1080</v>
      </c>
      <c r="S693" s="1" t="str">
        <f t="shared" si="8"/>
        <v/>
      </c>
      <c r="T693" s="1" t="s">
        <v>201</v>
      </c>
      <c r="U693" s="1" t="str">
        <f t="shared" si="9"/>
        <v>Windows 11 Home</v>
      </c>
      <c r="V693" s="1" t="s">
        <v>2584</v>
      </c>
      <c r="W693" s="1" t="str">
        <f t="shared" si="10"/>
        <v>1.5 kg</v>
      </c>
      <c r="X693" s="1" t="s">
        <v>78</v>
      </c>
      <c r="Y693" s="1" t="str">
        <f t="shared" si="11"/>
        <v>1 Year</v>
      </c>
      <c r="Z693" s="4">
        <v>29499</v>
      </c>
      <c r="AA693" s="1" t="s">
        <v>1082</v>
      </c>
    </row>
    <row r="694" spans="1:27" ht="15.75" customHeight="1" x14ac:dyDescent="0.35">
      <c r="A694" s="1" t="s">
        <v>112</v>
      </c>
      <c r="B694" s="1" t="str">
        <f t="shared" si="16"/>
        <v>HP</v>
      </c>
      <c r="C694" s="1" t="s">
        <v>3968</v>
      </c>
      <c r="D694" s="1" t="str">
        <f t="shared" si="1"/>
        <v>Pavilion 14-DV2007NE</v>
      </c>
      <c r="E694" s="1" t="str">
        <f t="array" aca="1" ref="E694" ca="1">IFERROR(
INDEX(Family_Map!$B$2:$B$35,
_xludf.AGGREGATE(14,6,(ROW(Family_Map!$A$2:$A$35)-ROW(Family_Map!$A$2)+1)/(ISNUMBER(SEARCH(Family_Map!$A$2:$A$35,D694))),1)
),
"Other")</f>
        <v>Other</v>
      </c>
      <c r="F694" s="1" t="s">
        <v>3945</v>
      </c>
      <c r="G694" s="1" t="e">
        <f t="shared" ca="1" si="2"/>
        <v>#NAME?</v>
      </c>
      <c r="H694" s="1" t="str">
        <f t="shared" ca="1" si="12"/>
        <v>Other</v>
      </c>
      <c r="I694" s="1" t="s">
        <v>3670</v>
      </c>
      <c r="J694" s="1" t="str">
        <f t="shared" si="3"/>
        <v>2GB</v>
      </c>
      <c r="K694" s="1" t="s">
        <v>3970</v>
      </c>
      <c r="L694" s="1">
        <f t="shared" si="38"/>
        <v>8</v>
      </c>
      <c r="M694" s="1" t="s">
        <v>2125</v>
      </c>
      <c r="N694" s="1" t="str">
        <f t="shared" si="5"/>
        <v>512GB</v>
      </c>
      <c r="O694" s="1" t="str">
        <f t="shared" si="6"/>
        <v>512GB</v>
      </c>
      <c r="P694" s="1" t="s">
        <v>120</v>
      </c>
      <c r="Q694" s="1" t="str">
        <f t="shared" si="7"/>
        <v>1920x1080</v>
      </c>
      <c r="S694" s="1" t="str">
        <f t="shared" si="8"/>
        <v/>
      </c>
      <c r="T694" s="1" t="s">
        <v>90</v>
      </c>
      <c r="U694" s="1" t="str">
        <f t="shared" si="9"/>
        <v>Windows 11 Home</v>
      </c>
      <c r="W694" s="1" t="str">
        <f t="shared" si="10"/>
        <v/>
      </c>
      <c r="X694" s="1" t="s">
        <v>78</v>
      </c>
      <c r="Y694" s="1" t="str">
        <f t="shared" si="11"/>
        <v>1 Year</v>
      </c>
      <c r="Z694" s="4">
        <v>36999</v>
      </c>
      <c r="AA694" s="1" t="s">
        <v>166</v>
      </c>
    </row>
    <row r="695" spans="1:27" ht="15.75" customHeight="1" x14ac:dyDescent="0.35">
      <c r="A695" s="1" t="s">
        <v>81</v>
      </c>
      <c r="B695" s="1" t="str">
        <f t="shared" si="16"/>
        <v>Dell</v>
      </c>
      <c r="C695" s="1" t="s">
        <v>3515</v>
      </c>
      <c r="D695" s="1" t="str">
        <f t="shared" si="1"/>
        <v>Vostro 3520</v>
      </c>
      <c r="E695" s="1" t="str">
        <f t="array" aca="1" ref="E695" ca="1">IFERROR(
INDEX(Family_Map!$B$2:$B$35,
_xludf.AGGREGATE(14,6,(ROW(Family_Map!$A$2:$A$35)-ROW(Family_Map!$A$2)+1)/(ISNUMBER(SEARCH(Family_Map!$A$2:$A$35,D695))),1)
),
"Other")</f>
        <v>Other</v>
      </c>
      <c r="F695" s="1" t="s">
        <v>3894</v>
      </c>
      <c r="G695" s="1" t="e">
        <f t="shared" ca="1" si="2"/>
        <v>#NAME?</v>
      </c>
      <c r="H695" s="1" t="str">
        <f t="shared" ca="1" si="12"/>
        <v>Other</v>
      </c>
      <c r="J695" s="1" t="str">
        <f t="shared" si="3"/>
        <v/>
      </c>
      <c r="K695" s="1" t="s">
        <v>3453</v>
      </c>
      <c r="L695" s="1">
        <f t="shared" si="38"/>
        <v>8</v>
      </c>
      <c r="M695" s="1" t="s">
        <v>2521</v>
      </c>
      <c r="N695" s="1" t="str">
        <f t="shared" si="5"/>
        <v>512GB</v>
      </c>
      <c r="O695" s="1" t="str">
        <f t="shared" si="6"/>
        <v>512GB</v>
      </c>
      <c r="P695" s="1" t="s">
        <v>120</v>
      </c>
      <c r="Q695" s="1" t="str">
        <f t="shared" si="7"/>
        <v>1920x1080</v>
      </c>
      <c r="R695" s="1" t="s">
        <v>39</v>
      </c>
      <c r="S695" s="1" t="str">
        <f t="shared" si="8"/>
        <v>120Hz</v>
      </c>
      <c r="T695" s="1" t="s">
        <v>101</v>
      </c>
      <c r="U695" s="1" t="str">
        <f t="shared" si="9"/>
        <v>DOS</v>
      </c>
      <c r="V695" s="1" t="s">
        <v>3458</v>
      </c>
      <c r="W695" s="1" t="str">
        <f t="shared" si="10"/>
        <v>1.66 kg</v>
      </c>
      <c r="X695" s="1" t="s">
        <v>78</v>
      </c>
      <c r="Y695" s="1" t="str">
        <f t="shared" si="11"/>
        <v>1 Year</v>
      </c>
      <c r="Z695" s="4">
        <v>26666</v>
      </c>
      <c r="AA695" s="1" t="s">
        <v>166</v>
      </c>
    </row>
    <row r="696" spans="1:27" ht="15.75" customHeight="1" x14ac:dyDescent="0.35">
      <c r="A696" s="1" t="s">
        <v>151</v>
      </c>
      <c r="B696" s="1" t="str">
        <f t="shared" si="16"/>
        <v>Lenovo</v>
      </c>
      <c r="C696" s="1" t="s">
        <v>3976</v>
      </c>
      <c r="D696" s="1" t="str">
        <f t="shared" si="1"/>
        <v>V15 G3 IAP</v>
      </c>
      <c r="E696" s="1" t="str">
        <f t="array" aca="1" ref="E696" ca="1">IFERROR(
INDEX(Family_Map!$B$2:$B$35,
_xludf.AGGREGATE(14,6,(ROW(Family_Map!$A$2:$A$35)-ROW(Family_Map!$A$2)+1)/(ISNUMBER(SEARCH(Family_Map!$A$2:$A$35,D696))),1)
),
"Other")</f>
        <v>Other</v>
      </c>
      <c r="F696" s="1" t="s">
        <v>3828</v>
      </c>
      <c r="G696" s="1" t="e">
        <f t="shared" ca="1" si="2"/>
        <v>#NAME?</v>
      </c>
      <c r="H696" s="1" t="str">
        <f t="shared" ca="1" si="12"/>
        <v>Other</v>
      </c>
      <c r="J696" s="1" t="str">
        <f t="shared" si="3"/>
        <v/>
      </c>
      <c r="K696" s="1" t="s">
        <v>3327</v>
      </c>
      <c r="L696" s="1">
        <f t="shared" si="38"/>
        <v>8</v>
      </c>
      <c r="M696" s="1" t="s">
        <v>156</v>
      </c>
      <c r="N696" s="1" t="str">
        <f t="shared" si="5"/>
        <v>512GB</v>
      </c>
      <c r="O696" s="1" t="str">
        <f t="shared" si="6"/>
        <v>512GB</v>
      </c>
      <c r="P696" s="1" t="s">
        <v>120</v>
      </c>
      <c r="Q696" s="1" t="str">
        <f t="shared" si="7"/>
        <v>1920x1080</v>
      </c>
      <c r="S696" s="1" t="str">
        <f t="shared" si="8"/>
        <v/>
      </c>
      <c r="T696" s="1" t="s">
        <v>101</v>
      </c>
      <c r="U696" s="1" t="str">
        <f t="shared" si="9"/>
        <v>DOS</v>
      </c>
      <c r="V696" s="1" t="s">
        <v>3321</v>
      </c>
      <c r="W696" s="1" t="str">
        <f t="shared" si="10"/>
        <v>1.7 kg</v>
      </c>
      <c r="X696" s="1" t="s">
        <v>78</v>
      </c>
      <c r="Y696" s="1" t="str">
        <f t="shared" si="11"/>
        <v>1 Year</v>
      </c>
      <c r="Z696" s="4">
        <v>15999</v>
      </c>
      <c r="AA696" s="1" t="s">
        <v>166</v>
      </c>
    </row>
    <row r="697" spans="1:27" ht="15.75" customHeight="1" x14ac:dyDescent="0.35">
      <c r="A697" s="1" t="s">
        <v>112</v>
      </c>
      <c r="B697" s="1" t="str">
        <f t="shared" si="16"/>
        <v>HP</v>
      </c>
      <c r="C697" s="1" t="s">
        <v>3982</v>
      </c>
      <c r="D697" s="1" t="str">
        <f t="shared" si="1"/>
        <v>15S-EQ3007NE</v>
      </c>
      <c r="E697" s="1" t="str">
        <f t="array" aca="1" ref="E697" ca="1">IFERROR(
INDEX(Family_Map!$B$2:$B$35,
_xludf.AGGREGATE(14,6,(ROW(Family_Map!$A$2:$A$35)-ROW(Family_Map!$A$2)+1)/(ISNUMBER(SEARCH(Family_Map!$A$2:$A$35,D697))),1)
),
"Other")</f>
        <v>Other</v>
      </c>
      <c r="F697" s="1" t="s">
        <v>3983</v>
      </c>
      <c r="G697" s="1" t="e">
        <f t="shared" ca="1" si="2"/>
        <v>#NAME?</v>
      </c>
      <c r="H697" s="1" t="str">
        <f t="shared" ca="1" si="12"/>
        <v>Other</v>
      </c>
      <c r="J697" s="1" t="str">
        <f t="shared" si="3"/>
        <v/>
      </c>
      <c r="K697" s="1" t="s">
        <v>1525</v>
      </c>
      <c r="L697" s="1">
        <f t="shared" si="38"/>
        <v>8</v>
      </c>
      <c r="M697" s="1" t="s">
        <v>2718</v>
      </c>
      <c r="N697" s="1" t="str">
        <f t="shared" si="5"/>
        <v>512 GB</v>
      </c>
      <c r="O697" s="1" t="str">
        <f t="shared" si="6"/>
        <v>512 GB</v>
      </c>
      <c r="P697" s="1" t="s">
        <v>120</v>
      </c>
      <c r="Q697" s="1" t="str">
        <f t="shared" si="7"/>
        <v>1920x1080</v>
      </c>
      <c r="S697" s="1" t="str">
        <f t="shared" si="8"/>
        <v/>
      </c>
      <c r="T697" s="1" t="s">
        <v>90</v>
      </c>
      <c r="U697" s="1" t="str">
        <f t="shared" si="9"/>
        <v>Windows 11 Home</v>
      </c>
      <c r="W697" s="1" t="str">
        <f t="shared" si="10"/>
        <v/>
      </c>
      <c r="X697" s="1" t="s">
        <v>78</v>
      </c>
      <c r="Y697" s="1" t="str">
        <f t="shared" si="11"/>
        <v>1 Year</v>
      </c>
      <c r="Z697" s="4">
        <v>21499</v>
      </c>
      <c r="AA697" s="1" t="s">
        <v>5735</v>
      </c>
    </row>
    <row r="698" spans="1:27" ht="15.75" customHeight="1" x14ac:dyDescent="0.35">
      <c r="A698" s="1" t="s">
        <v>151</v>
      </c>
      <c r="B698" s="1" t="str">
        <f t="shared" si="16"/>
        <v>Lenovo</v>
      </c>
      <c r="C698" s="1" t="s">
        <v>3988</v>
      </c>
      <c r="D698" s="1" t="str">
        <f t="shared" si="1"/>
        <v>IdeaPad 3 15ADA05</v>
      </c>
      <c r="E698" s="1" t="str">
        <f t="array" aca="1" ref="E698" ca="1">IFERROR(
INDEX(Family_Map!$B$2:$B$35,
_xludf.AGGREGATE(14,6,(ROW(Family_Map!$A$2:$A$35)-ROW(Family_Map!$A$2)+1)/(ISNUMBER(SEARCH(Family_Map!$A$2:$A$35,D698))),1)
),
"Other")</f>
        <v>Other</v>
      </c>
      <c r="F698" s="1" t="s">
        <v>3989</v>
      </c>
      <c r="G698" s="1" t="e">
        <f t="shared" ca="1" si="2"/>
        <v>#NAME?</v>
      </c>
      <c r="H698" s="1" t="str">
        <f t="shared" ca="1" si="12"/>
        <v>Other</v>
      </c>
      <c r="J698" s="1" t="str">
        <f t="shared" si="3"/>
        <v/>
      </c>
      <c r="K698" s="1" t="s">
        <v>3991</v>
      </c>
      <c r="L698" s="1">
        <f t="shared" si="38"/>
        <v>8</v>
      </c>
      <c r="M698" s="1" t="s">
        <v>1506</v>
      </c>
      <c r="N698" s="1" t="str">
        <f t="shared" si="5"/>
        <v>512GB</v>
      </c>
      <c r="O698" s="1" t="str">
        <f t="shared" si="6"/>
        <v>512GB</v>
      </c>
      <c r="P698" s="1" t="s">
        <v>120</v>
      </c>
      <c r="Q698" s="1" t="str">
        <f t="shared" si="7"/>
        <v>1920x1080</v>
      </c>
      <c r="S698" s="1" t="str">
        <f t="shared" si="8"/>
        <v/>
      </c>
      <c r="T698" s="1" t="s">
        <v>121</v>
      </c>
      <c r="U698" s="1" t="str">
        <f t="shared" si="9"/>
        <v>DOS</v>
      </c>
      <c r="V698" s="1" t="s">
        <v>976</v>
      </c>
      <c r="W698" s="1" t="str">
        <f t="shared" si="10"/>
        <v>1.85 kg</v>
      </c>
      <c r="X698" s="1" t="s">
        <v>129</v>
      </c>
      <c r="Y698" s="1" t="str">
        <f t="shared" si="11"/>
        <v>1 Year</v>
      </c>
      <c r="Z698" s="4">
        <v>18999</v>
      </c>
      <c r="AA698" s="1" t="s">
        <v>5735</v>
      </c>
    </row>
    <row r="699" spans="1:27" ht="15.75" customHeight="1" x14ac:dyDescent="0.35">
      <c r="A699" s="1" t="s">
        <v>81</v>
      </c>
      <c r="B699" s="1" t="str">
        <f t="shared" si="16"/>
        <v>Dell</v>
      </c>
      <c r="C699" s="1" t="s">
        <v>3515</v>
      </c>
      <c r="D699" s="1" t="str">
        <f t="shared" si="1"/>
        <v>Vostro 3520</v>
      </c>
      <c r="E699" s="1" t="str">
        <f t="array" aca="1" ref="E699" ca="1">IFERROR(
INDEX(Family_Map!$B$2:$B$35,
_xludf.AGGREGATE(14,6,(ROW(Family_Map!$A$2:$A$35)-ROW(Family_Map!$A$2)+1)/(ISNUMBER(SEARCH(Family_Map!$A$2:$A$35,D699))),1)
),
"Other")</f>
        <v>Other</v>
      </c>
      <c r="F699" s="1" t="s">
        <v>3516</v>
      </c>
      <c r="G699" s="1" t="e">
        <f t="shared" ca="1" si="2"/>
        <v>#NAME?</v>
      </c>
      <c r="H699" s="1" t="str">
        <f t="shared" ca="1" si="12"/>
        <v>Other</v>
      </c>
      <c r="J699" s="1" t="str">
        <f t="shared" si="3"/>
        <v/>
      </c>
      <c r="K699" s="1" t="s">
        <v>3453</v>
      </c>
      <c r="L699" s="1">
        <f t="shared" si="38"/>
        <v>8</v>
      </c>
      <c r="M699" s="1" t="s">
        <v>2521</v>
      </c>
      <c r="N699" s="1" t="str">
        <f t="shared" si="5"/>
        <v>512GB</v>
      </c>
      <c r="O699" s="1" t="str">
        <f t="shared" si="6"/>
        <v>512GB</v>
      </c>
      <c r="P699" s="1" t="s">
        <v>120</v>
      </c>
      <c r="Q699" s="1" t="str">
        <f t="shared" si="7"/>
        <v>1920x1080</v>
      </c>
      <c r="R699" s="1" t="s">
        <v>39</v>
      </c>
      <c r="S699" s="1" t="str">
        <f t="shared" si="8"/>
        <v>120Hz</v>
      </c>
      <c r="T699" s="1" t="s">
        <v>121</v>
      </c>
      <c r="U699" s="1" t="str">
        <f t="shared" si="9"/>
        <v>DOS</v>
      </c>
      <c r="V699" s="1" t="s">
        <v>3458</v>
      </c>
      <c r="W699" s="1" t="str">
        <f t="shared" si="10"/>
        <v>1.66 kg</v>
      </c>
      <c r="X699" s="1" t="s">
        <v>129</v>
      </c>
      <c r="Y699" s="1" t="str">
        <f t="shared" si="11"/>
        <v>1 Year</v>
      </c>
      <c r="Z699" s="4">
        <v>20899</v>
      </c>
      <c r="AA699" s="1" t="s">
        <v>166</v>
      </c>
    </row>
    <row r="700" spans="1:27" ht="15.75" customHeight="1" x14ac:dyDescent="0.35">
      <c r="A700" s="1" t="s">
        <v>234</v>
      </c>
      <c r="B700" s="1" t="str">
        <f t="shared" si="16"/>
        <v>ASUS</v>
      </c>
      <c r="C700" s="1" t="s">
        <v>3998</v>
      </c>
      <c r="D700" s="1" t="str">
        <f t="shared" si="1"/>
        <v>Vivobook S 14 Flip TN3402YA-LZ005W</v>
      </c>
      <c r="E700" s="1" t="str">
        <f t="array" aca="1" ref="E700" ca="1">IFERROR(
INDEX(Family_Map!$B$2:$B$35,
_xludf.AGGREGATE(14,6,(ROW(Family_Map!$A$2:$A$35)-ROW(Family_Map!$A$2)+1)/(ISNUMBER(SEARCH(Family_Map!$A$2:$A$35,D700))),1)
),
"Other")</f>
        <v>Other</v>
      </c>
      <c r="F700" s="1" t="s">
        <v>3999</v>
      </c>
      <c r="G700" s="1" t="e">
        <f t="shared" ca="1" si="2"/>
        <v>#NAME?</v>
      </c>
      <c r="H700" s="1" t="str">
        <f t="shared" ca="1" si="12"/>
        <v>Other</v>
      </c>
      <c r="J700" s="1" t="str">
        <f t="shared" si="3"/>
        <v/>
      </c>
      <c r="K700" s="1" t="s">
        <v>462</v>
      </c>
      <c r="L700" s="1">
        <f t="shared" si="38"/>
        <v>8</v>
      </c>
      <c r="M700" s="1" t="s">
        <v>1604</v>
      </c>
      <c r="N700" s="1" t="str">
        <f t="shared" si="5"/>
        <v>512GB</v>
      </c>
      <c r="O700" s="1" t="str">
        <f t="shared" si="6"/>
        <v>512GB</v>
      </c>
      <c r="P700" s="1" t="s">
        <v>1021</v>
      </c>
      <c r="Q700" s="1" t="str">
        <f t="shared" si="7"/>
        <v>2880x1800</v>
      </c>
      <c r="R700" s="1" t="s">
        <v>4001</v>
      </c>
      <c r="S700" s="1" t="str">
        <f t="shared" si="8"/>
        <v>90Hz</v>
      </c>
      <c r="T700" s="1" t="s">
        <v>90</v>
      </c>
      <c r="U700" s="1" t="str">
        <f t="shared" si="9"/>
        <v>Windows 11 Home</v>
      </c>
      <c r="V700" s="1" t="s">
        <v>3468</v>
      </c>
      <c r="W700" s="1" t="str">
        <f t="shared" si="10"/>
        <v>1.5 kg</v>
      </c>
      <c r="X700" s="1" t="s">
        <v>165</v>
      </c>
      <c r="Y700" s="1" t="str">
        <f t="shared" si="11"/>
        <v>2 Years</v>
      </c>
      <c r="Z700" s="4">
        <v>28900</v>
      </c>
      <c r="AA700" s="1" t="s">
        <v>5735</v>
      </c>
    </row>
    <row r="701" spans="1:27" ht="15.75" customHeight="1" x14ac:dyDescent="0.35">
      <c r="A701" s="1" t="s">
        <v>234</v>
      </c>
      <c r="B701" s="1" t="str">
        <f t="shared" si="16"/>
        <v>ASUS</v>
      </c>
      <c r="C701" s="1" t="s">
        <v>4005</v>
      </c>
      <c r="D701" s="1" t="str">
        <f t="shared" si="1"/>
        <v>UP3404VA-OLED005W</v>
      </c>
      <c r="E701" s="1" t="str">
        <f t="array" aca="1" ref="E701" ca="1">IFERROR(
INDEX(Family_Map!$B$2:$B$35,
_xludf.AGGREGATE(14,6,(ROW(Family_Map!$A$2:$A$35)-ROW(Family_Map!$A$2)+1)/(ISNUMBER(SEARCH(Family_Map!$A$2:$A$35,D701))),1)
),
"Other")</f>
        <v>Other</v>
      </c>
      <c r="F701" s="1" t="s">
        <v>4006</v>
      </c>
      <c r="G701" s="1" t="e">
        <f t="shared" ca="1" si="2"/>
        <v>#NAME?</v>
      </c>
      <c r="H701" s="1" t="str">
        <f t="shared" ca="1" si="12"/>
        <v>Other</v>
      </c>
      <c r="J701" s="1" t="str">
        <f t="shared" si="3"/>
        <v/>
      </c>
      <c r="K701" s="1" t="s">
        <v>3913</v>
      </c>
      <c r="L701" s="1">
        <f t="shared" si="38"/>
        <v>8</v>
      </c>
      <c r="M701" s="1" t="s">
        <v>629</v>
      </c>
      <c r="N701" s="1" t="str">
        <f t="shared" si="5"/>
        <v>512GB</v>
      </c>
      <c r="O701" s="1" t="str">
        <f t="shared" si="6"/>
        <v>512GB</v>
      </c>
      <c r="P701" s="1" t="s">
        <v>1021</v>
      </c>
      <c r="Q701" s="1" t="str">
        <f t="shared" si="7"/>
        <v>2880x1800</v>
      </c>
      <c r="R701" s="1" t="s">
        <v>4001</v>
      </c>
      <c r="S701" s="1" t="str">
        <f t="shared" si="8"/>
        <v>90Hz</v>
      </c>
      <c r="T701" s="1" t="s">
        <v>90</v>
      </c>
      <c r="U701" s="1" t="str">
        <f t="shared" si="9"/>
        <v>Windows 11 Home</v>
      </c>
      <c r="V701" s="1" t="s">
        <v>3468</v>
      </c>
      <c r="W701" s="1" t="str">
        <f t="shared" si="10"/>
        <v>1.5 kg</v>
      </c>
      <c r="X701" s="1" t="s">
        <v>165</v>
      </c>
      <c r="Y701" s="1" t="str">
        <f t="shared" si="11"/>
        <v>2 Years</v>
      </c>
      <c r="Z701" s="4">
        <v>39200</v>
      </c>
      <c r="AA701" s="1" t="s">
        <v>79</v>
      </c>
    </row>
    <row r="702" spans="1:27" ht="15.75" customHeight="1" x14ac:dyDescent="0.35">
      <c r="A702" s="1" t="s">
        <v>151</v>
      </c>
      <c r="B702" s="1" t="str">
        <f t="shared" si="16"/>
        <v>Lenovo</v>
      </c>
      <c r="C702" s="1" t="s">
        <v>3660</v>
      </c>
      <c r="D702" s="1" t="str">
        <f t="shared" si="1"/>
        <v>IdeaPad 1 15IAU7</v>
      </c>
      <c r="E702" s="1" t="str">
        <f t="array" aca="1" ref="E702" ca="1">IFERROR(
INDEX(Family_Map!$B$2:$B$35,
_xludf.AGGREGATE(14,6,(ROW(Family_Map!$A$2:$A$35)-ROW(Family_Map!$A$2)+1)/(ISNUMBER(SEARCH(Family_Map!$A$2:$A$35,D702))),1)
),
"Other")</f>
        <v>Other</v>
      </c>
      <c r="F702" s="1" t="s">
        <v>3828</v>
      </c>
      <c r="G702" s="1" t="e">
        <f t="shared" ca="1" si="2"/>
        <v>#NAME?</v>
      </c>
      <c r="H702" s="1" t="str">
        <f t="shared" ca="1" si="12"/>
        <v>Other</v>
      </c>
      <c r="J702" s="1" t="str">
        <f t="shared" si="3"/>
        <v/>
      </c>
      <c r="K702" s="1" t="s">
        <v>4012</v>
      </c>
      <c r="L702" s="1">
        <f t="shared" si="38"/>
        <v>4</v>
      </c>
      <c r="M702" s="1" t="s">
        <v>3580</v>
      </c>
      <c r="N702" s="1" t="str">
        <f t="shared" si="5"/>
        <v>256GB</v>
      </c>
      <c r="O702" s="1" t="str">
        <f t="shared" si="6"/>
        <v>256GB</v>
      </c>
      <c r="P702" s="1" t="s">
        <v>3829</v>
      </c>
      <c r="Q702" s="1" t="str">
        <f t="shared" si="7"/>
        <v>1366x768</v>
      </c>
      <c r="S702" s="1" t="str">
        <f t="shared" si="8"/>
        <v/>
      </c>
      <c r="T702" s="1" t="s">
        <v>90</v>
      </c>
      <c r="U702" s="1" t="str">
        <f t="shared" si="9"/>
        <v>Windows 11 Home</v>
      </c>
      <c r="V702" s="1" t="s">
        <v>3346</v>
      </c>
      <c r="W702" s="1" t="str">
        <f t="shared" si="10"/>
        <v>1.63 kg</v>
      </c>
      <c r="X702" s="1" t="s">
        <v>48</v>
      </c>
      <c r="Y702" s="1" t="str">
        <f t="shared" si="11"/>
        <v>2 Years</v>
      </c>
      <c r="Z702" s="4">
        <v>15999</v>
      </c>
      <c r="AA702" s="1" t="s">
        <v>166</v>
      </c>
    </row>
    <row r="703" spans="1:27" ht="15.75" customHeight="1" x14ac:dyDescent="0.35">
      <c r="A703" s="1" t="s">
        <v>234</v>
      </c>
      <c r="B703" s="1" t="str">
        <f t="shared" si="16"/>
        <v>ASUS</v>
      </c>
      <c r="C703" s="1" t="s">
        <v>4015</v>
      </c>
      <c r="D703" s="1" t="str">
        <f t="shared" si="1"/>
        <v>VivoBook 15 A1502ZA-EJ005W</v>
      </c>
      <c r="E703" s="1" t="str">
        <f t="array" aca="1" ref="E703" ca="1">IFERROR(
INDEX(Family_Map!$B$2:$B$35,
_xludf.AGGREGATE(14,6,(ROW(Family_Map!$A$2:$A$35)-ROW(Family_Map!$A$2)+1)/(ISNUMBER(SEARCH(Family_Map!$A$2:$A$35,D703))),1)
),
"Other")</f>
        <v>Other</v>
      </c>
      <c r="F703" s="1" t="s">
        <v>627</v>
      </c>
      <c r="G703" s="1" t="e">
        <f t="shared" ca="1" si="2"/>
        <v>#NAME?</v>
      </c>
      <c r="H703" s="1" t="str">
        <f t="shared" ca="1" si="12"/>
        <v>Other</v>
      </c>
      <c r="J703" s="1" t="str">
        <f t="shared" si="3"/>
        <v/>
      </c>
      <c r="K703" s="1" t="s">
        <v>628</v>
      </c>
      <c r="L703" s="1">
        <f t="shared" si="38"/>
        <v>8</v>
      </c>
      <c r="M703" s="1" t="s">
        <v>1604</v>
      </c>
      <c r="N703" s="1" t="str">
        <f t="shared" si="5"/>
        <v>512GB</v>
      </c>
      <c r="O703" s="1" t="str">
        <f t="shared" si="6"/>
        <v>512GB</v>
      </c>
      <c r="P703" s="1" t="s">
        <v>616</v>
      </c>
      <c r="Q703" s="1" t="str">
        <f t="shared" si="7"/>
        <v>1920x1080</v>
      </c>
      <c r="R703" s="1" t="s">
        <v>971</v>
      </c>
      <c r="S703" s="1" t="str">
        <f t="shared" si="8"/>
        <v>60Hz</v>
      </c>
      <c r="T703" s="1" t="s">
        <v>90</v>
      </c>
      <c r="U703" s="1" t="str">
        <f t="shared" si="9"/>
        <v>Windows 11 Home</v>
      </c>
      <c r="V703" s="1" t="s">
        <v>3500</v>
      </c>
      <c r="W703" s="1" t="str">
        <f t="shared" si="10"/>
        <v>1.7 kg</v>
      </c>
      <c r="X703" s="1" t="s">
        <v>165</v>
      </c>
      <c r="Y703" s="1" t="str">
        <f t="shared" si="11"/>
        <v>2 Years</v>
      </c>
      <c r="Z703" s="4">
        <v>24300</v>
      </c>
      <c r="AA703" s="1" t="s">
        <v>166</v>
      </c>
    </row>
    <row r="704" spans="1:27" ht="15.75" customHeight="1" x14ac:dyDescent="0.35">
      <c r="A704" s="1" t="s">
        <v>30</v>
      </c>
      <c r="B704" s="1" t="str">
        <f t="shared" si="16"/>
        <v>MSI</v>
      </c>
      <c r="C704" s="1" t="s">
        <v>4020</v>
      </c>
      <c r="D704" s="1" t="str">
        <f t="shared" si="1"/>
        <v>Prestige 14 AI Evo C1MG</v>
      </c>
      <c r="E704" s="1" t="str">
        <f t="array" aca="1" ref="E704" ca="1">IFERROR(
INDEX(Family_Map!$B$2:$B$35,
_xludf.AGGREGATE(14,6,(ROW(Family_Map!$A$2:$A$35)-ROW(Family_Map!$A$2)+1)/(ISNUMBER(SEARCH(Family_Map!$A$2:$A$35,D704))),1)
),
"Other")</f>
        <v>Other</v>
      </c>
      <c r="F704" s="1" t="s">
        <v>3709</v>
      </c>
      <c r="G704" s="1" t="e">
        <f t="shared" ca="1" si="2"/>
        <v>#NAME?</v>
      </c>
      <c r="H704" s="1" t="str">
        <f t="shared" ca="1" si="12"/>
        <v>Other</v>
      </c>
      <c r="J704" s="1" t="str">
        <f t="shared" si="3"/>
        <v/>
      </c>
      <c r="K704" s="1" t="s">
        <v>53</v>
      </c>
      <c r="L704" s="1">
        <f t="shared" si="38"/>
        <v>16</v>
      </c>
      <c r="M704" s="1" t="s">
        <v>644</v>
      </c>
      <c r="N704" s="1" t="str">
        <f t="shared" si="5"/>
        <v>512GB</v>
      </c>
      <c r="O704" s="1" t="str">
        <f t="shared" si="6"/>
        <v>512GB</v>
      </c>
      <c r="P704" s="1" t="s">
        <v>1015</v>
      </c>
      <c r="Q704" s="1" t="str">
        <f t="shared" si="7"/>
        <v>1920x1200</v>
      </c>
      <c r="R704" s="1" t="s">
        <v>75</v>
      </c>
      <c r="S704" s="1" t="str">
        <f t="shared" si="8"/>
        <v>144Hz</v>
      </c>
      <c r="T704" s="1" t="s">
        <v>90</v>
      </c>
      <c r="U704" s="1" t="str">
        <f t="shared" si="9"/>
        <v>Windows 11 Home</v>
      </c>
      <c r="V704" s="1" t="s">
        <v>3321</v>
      </c>
      <c r="W704" s="1" t="str">
        <f t="shared" si="10"/>
        <v>1.7 kg</v>
      </c>
      <c r="X704" s="1" t="s">
        <v>165</v>
      </c>
      <c r="Y704" s="1" t="str">
        <f t="shared" si="11"/>
        <v>2 Years</v>
      </c>
      <c r="Z704" s="4">
        <v>40749</v>
      </c>
      <c r="AA704" s="1" t="s">
        <v>5735</v>
      </c>
    </row>
    <row r="705" spans="1:27" ht="15.75" customHeight="1" x14ac:dyDescent="0.35">
      <c r="A705" s="1" t="s">
        <v>234</v>
      </c>
      <c r="B705" s="1" t="str">
        <f t="shared" si="16"/>
        <v>ASUS</v>
      </c>
      <c r="C705" s="1" t="s">
        <v>4025</v>
      </c>
      <c r="D705" s="1" t="str">
        <f t="shared" si="1"/>
        <v>UX8406MA-PZ009WS</v>
      </c>
      <c r="E705" s="1" t="str">
        <f t="array" aca="1" ref="E705" ca="1">IFERROR(
INDEX(Family_Map!$B$2:$B$35,
_xludf.AGGREGATE(14,6,(ROW(Family_Map!$A$2:$A$35)-ROW(Family_Map!$A$2)+1)/(ISNUMBER(SEARCH(Family_Map!$A$2:$A$35,D705))),1)
),
"Other")</f>
        <v>Other</v>
      </c>
      <c r="F705" s="1" t="s">
        <v>4026</v>
      </c>
      <c r="G705" s="1" t="e">
        <f t="shared" ca="1" si="2"/>
        <v>#NAME?</v>
      </c>
      <c r="H705" s="1" t="str">
        <f t="shared" ca="1" si="12"/>
        <v>Other</v>
      </c>
      <c r="J705" s="1" t="str">
        <f t="shared" si="3"/>
        <v/>
      </c>
      <c r="K705" s="1" t="s">
        <v>3439</v>
      </c>
      <c r="L705" s="1">
        <f t="shared" si="38"/>
        <v>32</v>
      </c>
      <c r="M705" s="1" t="s">
        <v>1156</v>
      </c>
      <c r="N705" s="1" t="str">
        <f t="shared" si="5"/>
        <v>2TB</v>
      </c>
      <c r="O705" s="1" t="str">
        <f t="shared" si="6"/>
        <v>2048GB</v>
      </c>
      <c r="P705" s="1" t="s">
        <v>1021</v>
      </c>
      <c r="Q705" s="1" t="str">
        <f t="shared" si="7"/>
        <v>2880x1800</v>
      </c>
      <c r="S705" s="1" t="str">
        <f t="shared" si="8"/>
        <v/>
      </c>
      <c r="T705" s="1" t="s">
        <v>201</v>
      </c>
      <c r="U705" s="1" t="str">
        <f t="shared" si="9"/>
        <v>Windows 11 Home</v>
      </c>
      <c r="V705" s="1" t="s">
        <v>1609</v>
      </c>
      <c r="W705" s="1" t="str">
        <f t="shared" si="10"/>
        <v>1.65 kg</v>
      </c>
      <c r="X705" s="1" t="s">
        <v>165</v>
      </c>
      <c r="Y705" s="1" t="str">
        <f t="shared" si="11"/>
        <v>2 Years</v>
      </c>
      <c r="Z705" s="4">
        <v>103777</v>
      </c>
      <c r="AA705" s="1" t="s">
        <v>5735</v>
      </c>
    </row>
    <row r="706" spans="1:27" ht="15.75" customHeight="1" x14ac:dyDescent="0.35">
      <c r="A706" s="1" t="s">
        <v>151</v>
      </c>
      <c r="B706" s="1" t="str">
        <f t="shared" si="16"/>
        <v>Lenovo</v>
      </c>
      <c r="C706" s="1" t="s">
        <v>4037</v>
      </c>
      <c r="D706" s="1" t="str">
        <f t="shared" si="1"/>
        <v>PW03QALR</v>
      </c>
      <c r="E706" s="1" t="str">
        <f t="array" aca="1" ref="E706" ca="1">IFERROR(
INDEX(Family_Map!$B$2:$B$35,
_xludf.AGGREGATE(14,6,(ROW(Family_Map!$A$2:$A$35)-ROW(Family_Map!$A$2)+1)/(ISNUMBER(SEARCH(Family_Map!$A$2:$A$35,D706))),1)
),
"Other")</f>
        <v>Other</v>
      </c>
      <c r="F706" s="1" t="s">
        <v>4038</v>
      </c>
      <c r="G706" s="1" t="e">
        <f t="shared" ca="1" si="2"/>
        <v>#NAME?</v>
      </c>
      <c r="H706" s="1" t="str">
        <f t="shared" ca="1" si="12"/>
        <v>Other</v>
      </c>
      <c r="J706" s="1" t="str">
        <f t="shared" si="3"/>
        <v/>
      </c>
      <c r="K706" s="1" t="s">
        <v>4039</v>
      </c>
      <c r="L706" s="1">
        <v>16</v>
      </c>
      <c r="M706" s="1" t="s">
        <v>4040</v>
      </c>
      <c r="N706" s="1" t="str">
        <f t="shared" si="5"/>
        <v>512GB</v>
      </c>
      <c r="O706" s="1" t="str">
        <f t="shared" si="6"/>
        <v>512GB</v>
      </c>
      <c r="P706" s="1" t="s">
        <v>120</v>
      </c>
      <c r="Q706" s="1" t="str">
        <f t="shared" si="7"/>
        <v>1920x1080</v>
      </c>
      <c r="S706" s="1" t="str">
        <f t="shared" si="8"/>
        <v/>
      </c>
      <c r="T706" s="1" t="s">
        <v>90</v>
      </c>
      <c r="U706" s="1" t="str">
        <f t="shared" si="9"/>
        <v>Windows 11 Home</v>
      </c>
      <c r="V706" s="1" t="s">
        <v>2584</v>
      </c>
      <c r="W706" s="1" t="str">
        <f t="shared" si="10"/>
        <v>1.5 kg</v>
      </c>
      <c r="X706" s="1" t="s">
        <v>78</v>
      </c>
      <c r="Y706" s="1" t="str">
        <f t="shared" si="11"/>
        <v>1 Year</v>
      </c>
      <c r="Z706" s="4">
        <v>36349</v>
      </c>
      <c r="AA706" s="1" t="s">
        <v>5735</v>
      </c>
    </row>
    <row r="707" spans="1:27" ht="15.75" customHeight="1" x14ac:dyDescent="0.35">
      <c r="A707" s="1" t="s">
        <v>151</v>
      </c>
      <c r="B707" s="1" t="str">
        <f t="shared" si="16"/>
        <v>Lenovo</v>
      </c>
      <c r="C707" s="1" t="s">
        <v>3948</v>
      </c>
      <c r="D707" s="1" t="str">
        <f t="shared" si="1"/>
        <v>IdeaPad Flex 5 16IAU7</v>
      </c>
      <c r="E707" s="1" t="str">
        <f t="array" aca="1" ref="E707" ca="1">IFERROR(
INDEX(Family_Map!$B$2:$B$35,
_xludf.AGGREGATE(14,6,(ROW(Family_Map!$A$2:$A$35)-ROW(Family_Map!$A$2)+1)/(ISNUMBER(SEARCH(Family_Map!$A$2:$A$35,D707))),1)
),
"Other")</f>
        <v>Other</v>
      </c>
      <c r="F707" s="1" t="s">
        <v>3858</v>
      </c>
      <c r="G707" s="1" t="e">
        <f t="shared" ca="1" si="2"/>
        <v>#NAME?</v>
      </c>
      <c r="H707" s="1" t="str">
        <f t="shared" ca="1" si="12"/>
        <v>Other</v>
      </c>
      <c r="J707" s="1" t="str">
        <f t="shared" si="3"/>
        <v/>
      </c>
      <c r="K707" s="1" t="s">
        <v>4046</v>
      </c>
      <c r="L707" s="1">
        <f t="shared" ref="L707:L817" si="39">IFERROR(
VALUE(SUBSTITUTE(SUBSTITUTE(LEFT(UPPER(TRIM(K707)),FIND("GB",UPPER(K707)&amp;"GB")+1),"GB","")," ","")),
IFERROR(
VALUE(SUBSTITUTE(SUBSTITUTE(MID(UPPER(K707),FIND("GB",UPPER(K707)&amp;"GB")-3,3),"GB","")," ",""))
*
IF(
OR(
ISNUMBER(SEARCH("2X",UPPER(K707))),
ISNUMBER(SEARCH("X 2",UPPER(K707))),
ISNUMBER(SEARCH("*2",UPPER(K707))),
ISNUMBER(SEARCH("2*",UPPER(K707))),
ISNUMBER(SEARCH("(2 X",UPPER(K707)))
),
2,1),
"")
)</f>
        <v>16</v>
      </c>
      <c r="M707" s="1" t="s">
        <v>156</v>
      </c>
      <c r="N707" s="1" t="str">
        <f t="shared" si="5"/>
        <v>512GB</v>
      </c>
      <c r="O707" s="1" t="str">
        <f t="shared" si="6"/>
        <v>512GB</v>
      </c>
      <c r="P707" s="1" t="s">
        <v>224</v>
      </c>
      <c r="Q707" s="1" t="str">
        <f t="shared" si="7"/>
        <v>2560x1600</v>
      </c>
      <c r="S707" s="1" t="str">
        <f t="shared" si="8"/>
        <v/>
      </c>
      <c r="T707" s="1" t="s">
        <v>201</v>
      </c>
      <c r="U707" s="1" t="str">
        <f t="shared" si="9"/>
        <v>Windows 11 Home</v>
      </c>
      <c r="V707" s="1" t="s">
        <v>2045</v>
      </c>
      <c r="W707" s="1" t="str">
        <f t="shared" si="10"/>
        <v>2.1 kg</v>
      </c>
      <c r="X707" s="1" t="s">
        <v>78</v>
      </c>
      <c r="Y707" s="1" t="str">
        <f t="shared" si="11"/>
        <v>1 Year</v>
      </c>
      <c r="Z707" s="4">
        <v>42699</v>
      </c>
      <c r="AA707" s="1" t="s">
        <v>166</v>
      </c>
    </row>
    <row r="708" spans="1:27" ht="15.75" customHeight="1" x14ac:dyDescent="0.35">
      <c r="A708" s="1" t="s">
        <v>112</v>
      </c>
      <c r="B708" s="1" t="str">
        <f t="shared" si="16"/>
        <v>HP</v>
      </c>
      <c r="C708" s="1" t="s">
        <v>4049</v>
      </c>
      <c r="D708" s="1" t="str">
        <f t="shared" si="1"/>
        <v>Envy x360 15-FE0053DX</v>
      </c>
      <c r="E708" s="1" t="str">
        <f t="array" aca="1" ref="E708" ca="1">IFERROR(
INDEX(Family_Map!$B$2:$B$35,
_xludf.AGGREGATE(14,6,(ROW(Family_Map!$A$2:$A$35)-ROW(Family_Map!$A$2)+1)/(ISNUMBER(SEARCH(Family_Map!$A$2:$A$35,D708))),1)
),
"Other")</f>
        <v>Other</v>
      </c>
      <c r="F708" s="1" t="s">
        <v>3866</v>
      </c>
      <c r="G708" s="1" t="e">
        <f t="shared" ca="1" si="2"/>
        <v>#NAME?</v>
      </c>
      <c r="H708" s="1" t="str">
        <f t="shared" ca="1" si="12"/>
        <v>Other</v>
      </c>
      <c r="J708" s="1" t="str">
        <f t="shared" si="3"/>
        <v/>
      </c>
      <c r="K708" s="1" t="s">
        <v>4050</v>
      </c>
      <c r="L708" s="1">
        <f t="shared" si="39"/>
        <v>16</v>
      </c>
      <c r="M708" s="1" t="s">
        <v>118</v>
      </c>
      <c r="N708" s="1" t="str">
        <f t="shared" si="5"/>
        <v>512 GB</v>
      </c>
      <c r="O708" s="1" t="str">
        <f t="shared" si="6"/>
        <v>512 GB</v>
      </c>
      <c r="P708" s="1" t="s">
        <v>616</v>
      </c>
      <c r="Q708" s="1" t="str">
        <f t="shared" si="7"/>
        <v>1920x1080</v>
      </c>
      <c r="S708" s="1" t="str">
        <f t="shared" si="8"/>
        <v/>
      </c>
      <c r="T708" s="1" t="s">
        <v>90</v>
      </c>
      <c r="U708" s="1" t="str">
        <f t="shared" si="9"/>
        <v>Windows 11 Home</v>
      </c>
      <c r="V708" s="1" t="s">
        <v>4054</v>
      </c>
      <c r="W708" s="1" t="str">
        <f t="shared" si="10"/>
        <v>1.76 kg</v>
      </c>
      <c r="X708" s="1" t="s">
        <v>78</v>
      </c>
      <c r="Y708" s="1" t="str">
        <f t="shared" si="11"/>
        <v>1 Year</v>
      </c>
      <c r="Z708" s="4">
        <v>46949</v>
      </c>
      <c r="AA708" s="1" t="s">
        <v>79</v>
      </c>
    </row>
    <row r="709" spans="1:27" ht="15.75" customHeight="1" x14ac:dyDescent="0.35">
      <c r="A709" s="1" t="s">
        <v>81</v>
      </c>
      <c r="B709" s="1" t="str">
        <f t="shared" si="16"/>
        <v>Dell</v>
      </c>
      <c r="C709" s="1" t="s">
        <v>3738</v>
      </c>
      <c r="D709" s="1" t="str">
        <f t="shared" si="1"/>
        <v>Inspiron 3520</v>
      </c>
      <c r="E709" s="1" t="str">
        <f t="array" aca="1" ref="E709" ca="1">IFERROR(
INDEX(Family_Map!$B$2:$B$35,
_xludf.AGGREGATE(14,6,(ROW(Family_Map!$A$2:$A$35)-ROW(Family_Map!$A$2)+1)/(ISNUMBER(SEARCH(Family_Map!$A$2:$A$35,D709))),1)
),
"Other")</f>
        <v>Other</v>
      </c>
      <c r="F709" s="1" t="s">
        <v>3739</v>
      </c>
      <c r="G709" s="1" t="e">
        <f t="shared" ca="1" si="2"/>
        <v>#NAME?</v>
      </c>
      <c r="H709" s="1" t="str">
        <f t="shared" ca="1" si="12"/>
        <v>Other</v>
      </c>
      <c r="J709" s="1" t="str">
        <f t="shared" si="3"/>
        <v/>
      </c>
      <c r="K709" s="1" t="s">
        <v>3740</v>
      </c>
      <c r="L709" s="1">
        <f t="shared" si="39"/>
        <v>8</v>
      </c>
      <c r="M709" s="1" t="s">
        <v>3495</v>
      </c>
      <c r="N709" s="1" t="str">
        <f t="shared" si="5"/>
        <v>256GB</v>
      </c>
      <c r="O709" s="1" t="str">
        <f t="shared" si="6"/>
        <v>256GB</v>
      </c>
      <c r="P709" s="1" t="s">
        <v>616</v>
      </c>
      <c r="Q709" s="1" t="str">
        <f t="shared" si="7"/>
        <v>1920x1080</v>
      </c>
      <c r="R709" s="1" t="s">
        <v>39</v>
      </c>
      <c r="S709" s="1" t="str">
        <f t="shared" si="8"/>
        <v>120Hz</v>
      </c>
      <c r="T709" s="1" t="s">
        <v>90</v>
      </c>
      <c r="U709" s="1" t="str">
        <f t="shared" si="9"/>
        <v>Windows 11 Home</v>
      </c>
      <c r="V709" s="1" t="s">
        <v>1609</v>
      </c>
      <c r="W709" s="1" t="str">
        <f t="shared" si="10"/>
        <v>1.65 kg</v>
      </c>
      <c r="X709" s="1" t="s">
        <v>78</v>
      </c>
      <c r="Y709" s="1" t="str">
        <f t="shared" si="11"/>
        <v>1 Year</v>
      </c>
      <c r="Z709" s="4">
        <v>14999</v>
      </c>
      <c r="AA709" s="1" t="s">
        <v>166</v>
      </c>
    </row>
    <row r="710" spans="1:27" ht="15.75" customHeight="1" x14ac:dyDescent="0.35">
      <c r="A710" s="1" t="s">
        <v>81</v>
      </c>
      <c r="B710" s="1" t="str">
        <f t="shared" si="16"/>
        <v>Dell</v>
      </c>
      <c r="C710" s="1" t="s">
        <v>3738</v>
      </c>
      <c r="D710" s="1" t="str">
        <f t="shared" si="1"/>
        <v>Inspiron 3520</v>
      </c>
      <c r="E710" s="1" t="str">
        <f t="array" aca="1" ref="E710" ca="1">IFERROR(
INDEX(Family_Map!$B$2:$B$35,
_xludf.AGGREGATE(14,6,(ROW(Family_Map!$A$2:$A$35)-ROW(Family_Map!$A$2)+1)/(ISNUMBER(SEARCH(Family_Map!$A$2:$A$35,D710))),1)
),
"Other")</f>
        <v>Other</v>
      </c>
      <c r="F710" s="1" t="s">
        <v>3661</v>
      </c>
      <c r="G710" s="1" t="e">
        <f t="shared" ca="1" si="2"/>
        <v>#NAME?</v>
      </c>
      <c r="H710" s="1" t="str">
        <f t="shared" ca="1" si="12"/>
        <v>Other</v>
      </c>
      <c r="J710" s="1" t="str">
        <f t="shared" si="3"/>
        <v/>
      </c>
      <c r="K710" s="1" t="s">
        <v>3740</v>
      </c>
      <c r="L710" s="1">
        <f t="shared" si="39"/>
        <v>8</v>
      </c>
      <c r="M710" s="1" t="s">
        <v>2521</v>
      </c>
      <c r="N710" s="1" t="str">
        <f t="shared" si="5"/>
        <v>512GB</v>
      </c>
      <c r="O710" s="1" t="str">
        <f t="shared" si="6"/>
        <v>512GB</v>
      </c>
      <c r="P710" s="1" t="s">
        <v>120</v>
      </c>
      <c r="Q710" s="1" t="str">
        <f t="shared" si="7"/>
        <v>1920x1080</v>
      </c>
      <c r="R710" s="1" t="s">
        <v>39</v>
      </c>
      <c r="S710" s="1" t="str">
        <f t="shared" si="8"/>
        <v>120Hz</v>
      </c>
      <c r="T710" s="1" t="s">
        <v>101</v>
      </c>
      <c r="U710" s="1" t="str">
        <f t="shared" si="9"/>
        <v>DOS</v>
      </c>
      <c r="V710" s="1" t="s">
        <v>1609</v>
      </c>
      <c r="W710" s="1" t="str">
        <f t="shared" si="10"/>
        <v>1.65 kg</v>
      </c>
      <c r="X710" s="1" t="s">
        <v>78</v>
      </c>
      <c r="Y710" s="1" t="str">
        <f t="shared" si="11"/>
        <v>1 Year</v>
      </c>
      <c r="Z710" s="4">
        <v>28499</v>
      </c>
      <c r="AA710" s="1" t="s">
        <v>166</v>
      </c>
    </row>
    <row r="711" spans="1:27" ht="15.75" customHeight="1" x14ac:dyDescent="0.35">
      <c r="A711" s="1" t="s">
        <v>112</v>
      </c>
      <c r="B711" s="1" t="str">
        <f t="shared" si="16"/>
        <v>HP</v>
      </c>
      <c r="C711" s="1" t="s">
        <v>4058</v>
      </c>
      <c r="D711" s="1" t="str">
        <f t="shared" si="1"/>
        <v>250 G8</v>
      </c>
      <c r="E711" s="1" t="str">
        <f t="array" aca="1" ref="E711" ca="1">IFERROR(
INDEX(Family_Map!$B$2:$B$35,
_xludf.AGGREGATE(14,6,(ROW(Family_Map!$A$2:$A$35)-ROW(Family_Map!$A$2)+1)/(ISNUMBER(SEARCH(Family_Map!$A$2:$A$35,D711))),1)
),
"Other")</f>
        <v>Other</v>
      </c>
      <c r="F711" s="1" t="s">
        <v>4059</v>
      </c>
      <c r="G711" s="1" t="e">
        <f t="shared" ca="1" si="2"/>
        <v>#NAME?</v>
      </c>
      <c r="H711" s="1" t="str">
        <f t="shared" ca="1" si="12"/>
        <v>Other</v>
      </c>
      <c r="J711" s="1" t="str">
        <f t="shared" si="3"/>
        <v/>
      </c>
      <c r="K711" s="1" t="s">
        <v>4060</v>
      </c>
      <c r="L711" s="1">
        <f t="shared" si="39"/>
        <v>8</v>
      </c>
      <c r="M711" s="1" t="s">
        <v>4061</v>
      </c>
      <c r="N711" s="1" t="str">
        <f t="shared" si="5"/>
        <v>1 TB</v>
      </c>
      <c r="O711" s="1" t="str">
        <f t="shared" si="6"/>
        <v>1024GB</v>
      </c>
      <c r="P711" s="1" t="s">
        <v>3653</v>
      </c>
      <c r="Q711" s="1" t="str">
        <f t="shared" si="7"/>
        <v>1366x768</v>
      </c>
      <c r="S711" s="1" t="str">
        <f t="shared" si="8"/>
        <v/>
      </c>
      <c r="T711" s="1" t="s">
        <v>1722</v>
      </c>
      <c r="U711" s="1" t="str">
        <f t="shared" si="9"/>
        <v>Windows 10 Home</v>
      </c>
      <c r="V711" s="1" t="s">
        <v>3850</v>
      </c>
      <c r="W711" s="1" t="str">
        <f t="shared" si="10"/>
        <v>1.74 kg</v>
      </c>
      <c r="X711" s="1" t="s">
        <v>78</v>
      </c>
      <c r="Y711" s="1" t="str">
        <f t="shared" si="11"/>
        <v>1 Year</v>
      </c>
      <c r="Z711" s="4">
        <v>17999</v>
      </c>
      <c r="AA711" s="1" t="s">
        <v>2181</v>
      </c>
    </row>
    <row r="712" spans="1:27" ht="15.75" customHeight="1" x14ac:dyDescent="0.35">
      <c r="A712" s="1" t="s">
        <v>81</v>
      </c>
      <c r="B712" s="1" t="str">
        <f t="shared" si="16"/>
        <v>Dell</v>
      </c>
      <c r="C712" s="1" t="s">
        <v>3738</v>
      </c>
      <c r="D712" s="1" t="str">
        <f t="shared" si="1"/>
        <v>Inspiron 3520</v>
      </c>
      <c r="E712" s="1" t="str">
        <f t="array" aca="1" ref="E712" ca="1">IFERROR(
INDEX(Family_Map!$B$2:$B$35,
_xludf.AGGREGATE(14,6,(ROW(Family_Map!$A$2:$A$35)-ROW(Family_Map!$A$2)+1)/(ISNUMBER(SEARCH(Family_Map!$A$2:$A$35,D712))),1)
),
"Other")</f>
        <v>Other</v>
      </c>
      <c r="F712" s="1" t="s">
        <v>3516</v>
      </c>
      <c r="G712" s="1" t="e">
        <f t="shared" ca="1" si="2"/>
        <v>#NAME?</v>
      </c>
      <c r="H712" s="1" t="str">
        <f t="shared" ca="1" si="12"/>
        <v>Other</v>
      </c>
      <c r="J712" s="1" t="str">
        <f t="shared" si="3"/>
        <v/>
      </c>
      <c r="K712" s="1" t="s">
        <v>3740</v>
      </c>
      <c r="L712" s="1">
        <f t="shared" si="39"/>
        <v>8</v>
      </c>
      <c r="M712" s="1" t="s">
        <v>3495</v>
      </c>
      <c r="N712" s="1" t="str">
        <f t="shared" si="5"/>
        <v>256GB</v>
      </c>
      <c r="O712" s="1" t="str">
        <f t="shared" si="6"/>
        <v>256GB</v>
      </c>
      <c r="P712" s="1" t="s">
        <v>616</v>
      </c>
      <c r="Q712" s="1" t="str">
        <f t="shared" si="7"/>
        <v>1920x1080</v>
      </c>
      <c r="R712" s="1" t="s">
        <v>39</v>
      </c>
      <c r="S712" s="1" t="str">
        <f t="shared" si="8"/>
        <v>120Hz</v>
      </c>
      <c r="T712" s="1" t="s">
        <v>90</v>
      </c>
      <c r="U712" s="1" t="str">
        <f t="shared" si="9"/>
        <v>Windows 11 Home</v>
      </c>
      <c r="V712" s="1" t="s">
        <v>1609</v>
      </c>
      <c r="W712" s="1" t="str">
        <f t="shared" si="10"/>
        <v>1.65 kg</v>
      </c>
      <c r="X712" s="1" t="s">
        <v>78</v>
      </c>
      <c r="Y712" s="1" t="str">
        <f t="shared" si="11"/>
        <v>1 Year</v>
      </c>
      <c r="Z712" s="4">
        <v>20999</v>
      </c>
      <c r="AA712" s="1" t="s">
        <v>166</v>
      </c>
    </row>
    <row r="713" spans="1:27" ht="15.75" customHeight="1" x14ac:dyDescent="0.35">
      <c r="A713" s="1" t="s">
        <v>66</v>
      </c>
      <c r="B713" s="1" t="str">
        <f t="shared" si="16"/>
        <v>Acer</v>
      </c>
      <c r="C713" s="1" t="s">
        <v>4070</v>
      </c>
      <c r="D713" s="1" t="str">
        <f t="shared" si="1"/>
        <v>TravelMate TMP215-53G-55ZV</v>
      </c>
      <c r="E713" s="1" t="str">
        <f t="array" aca="1" ref="E713" ca="1">IFERROR(
INDEX(Family_Map!$B$2:$B$35,
_xludf.AGGREGATE(14,6,(ROW(Family_Map!$A$2:$A$35)-ROW(Family_Map!$A$2)+1)/(ISNUMBER(SEARCH(Family_Map!$A$2:$A$35,D713))),1)
),
"Other")</f>
        <v>Other</v>
      </c>
      <c r="F713" s="1" t="s">
        <v>4071</v>
      </c>
      <c r="G713" s="1" t="e">
        <f t="shared" ca="1" si="2"/>
        <v>#NAME?</v>
      </c>
      <c r="H713" s="1" t="str">
        <f t="shared" ca="1" si="12"/>
        <v>Other</v>
      </c>
      <c r="I713" s="1" t="s">
        <v>4073</v>
      </c>
      <c r="J713" s="1" t="str">
        <f t="shared" si="3"/>
        <v>2GB</v>
      </c>
      <c r="K713" s="1" t="s">
        <v>4074</v>
      </c>
      <c r="L713" s="1">
        <f t="shared" si="39"/>
        <v>8</v>
      </c>
      <c r="M713" s="1" t="s">
        <v>1120</v>
      </c>
      <c r="N713" s="1" t="str">
        <f t="shared" si="5"/>
        <v>512GB</v>
      </c>
      <c r="O713" s="1" t="str">
        <f t="shared" si="6"/>
        <v>512GB</v>
      </c>
      <c r="P713" s="1" t="s">
        <v>616</v>
      </c>
      <c r="Q713" s="1" t="str">
        <f t="shared" si="7"/>
        <v>1920x1080</v>
      </c>
      <c r="S713" s="1" t="str">
        <f t="shared" si="8"/>
        <v/>
      </c>
      <c r="T713" s="1" t="s">
        <v>101</v>
      </c>
      <c r="U713" s="1" t="str">
        <f t="shared" si="9"/>
        <v>DOS</v>
      </c>
      <c r="V713" s="1" t="s">
        <v>636</v>
      </c>
      <c r="W713" s="1" t="str">
        <f t="shared" si="10"/>
        <v>1.8 kg</v>
      </c>
      <c r="X713" s="1" t="s">
        <v>78</v>
      </c>
      <c r="Y713" s="1" t="str">
        <f t="shared" si="11"/>
        <v>1 Year</v>
      </c>
      <c r="Z713" s="4">
        <v>27499</v>
      </c>
      <c r="AA713" s="1" t="s">
        <v>1082</v>
      </c>
    </row>
    <row r="714" spans="1:27" ht="15.75" customHeight="1" x14ac:dyDescent="0.35">
      <c r="A714" s="1" t="s">
        <v>234</v>
      </c>
      <c r="B714" s="1" t="str">
        <f t="shared" si="16"/>
        <v>ASUS</v>
      </c>
      <c r="C714" s="1" t="s">
        <v>4080</v>
      </c>
      <c r="D714" s="1" t="str">
        <f t="shared" si="1"/>
        <v>Zenbook S13 OLED UX5304VA-OLED517W</v>
      </c>
      <c r="E714" s="1" t="str">
        <f t="array" aca="1" ref="E714" ca="1">IFERROR(
INDEX(Family_Map!$B$2:$B$35,
_xludf.AGGREGATE(14,6,(ROW(Family_Map!$A$2:$A$35)-ROW(Family_Map!$A$2)+1)/(ISNUMBER(SEARCH(Family_Map!$A$2:$A$35,D714))),1)
),
"Other")</f>
        <v>Other</v>
      </c>
      <c r="F714" s="1" t="s">
        <v>4081</v>
      </c>
      <c r="G714" s="1" t="e">
        <f t="shared" ca="1" si="2"/>
        <v>#NAME?</v>
      </c>
      <c r="H714" s="1" t="str">
        <f t="shared" ca="1" si="12"/>
        <v>Other</v>
      </c>
      <c r="J714" s="1" t="str">
        <f t="shared" si="3"/>
        <v/>
      </c>
      <c r="K714" s="1" t="s">
        <v>3924</v>
      </c>
      <c r="L714" s="1">
        <f t="shared" si="39"/>
        <v>16</v>
      </c>
      <c r="M714" s="1" t="s">
        <v>629</v>
      </c>
      <c r="N714" s="1" t="str">
        <f t="shared" si="5"/>
        <v>512GB</v>
      </c>
      <c r="O714" s="1" t="str">
        <f t="shared" si="6"/>
        <v>512GB</v>
      </c>
      <c r="P714" s="1" t="s">
        <v>1021</v>
      </c>
      <c r="Q714" s="1" t="str">
        <f t="shared" si="7"/>
        <v>2880x1800</v>
      </c>
      <c r="R714" s="1" t="s">
        <v>971</v>
      </c>
      <c r="S714" s="1" t="str">
        <f t="shared" si="8"/>
        <v>60Hz</v>
      </c>
      <c r="T714" s="1" t="s">
        <v>90</v>
      </c>
      <c r="U714" s="1" t="str">
        <f t="shared" si="9"/>
        <v>Windows 11 Home</v>
      </c>
      <c r="V714" s="1" t="s">
        <v>4085</v>
      </c>
      <c r="W714" s="1" t="str">
        <f t="shared" si="10"/>
        <v>1 kg</v>
      </c>
      <c r="X714" s="1" t="s">
        <v>165</v>
      </c>
      <c r="Y714" s="1" t="str">
        <f t="shared" si="11"/>
        <v>2 Years</v>
      </c>
      <c r="Z714" s="4">
        <v>53499</v>
      </c>
      <c r="AA714" s="1" t="s">
        <v>79</v>
      </c>
    </row>
    <row r="715" spans="1:27" ht="15.75" customHeight="1" x14ac:dyDescent="0.35">
      <c r="A715" s="1" t="s">
        <v>81</v>
      </c>
      <c r="B715" s="1" t="str">
        <f t="shared" si="16"/>
        <v>Dell</v>
      </c>
      <c r="C715" s="1" t="s">
        <v>3896</v>
      </c>
      <c r="D715" s="1" t="str">
        <f t="shared" si="1"/>
        <v>Dell Vostro 3510</v>
      </c>
      <c r="E715" s="1" t="str">
        <f t="array" aca="1" ref="E715" ca="1">IFERROR(
INDEX(Family_Map!$B$2:$B$35,
_xludf.AGGREGATE(14,6,(ROW(Family_Map!$A$2:$A$35)-ROW(Family_Map!$A$2)+1)/(ISNUMBER(SEARCH(Family_Map!$A$2:$A$35,D715))),1)
),
"Other")</f>
        <v>Other</v>
      </c>
      <c r="F715" s="1" t="s">
        <v>4087</v>
      </c>
      <c r="G715" s="1" t="e">
        <f t="shared" ca="1" si="2"/>
        <v>#NAME?</v>
      </c>
      <c r="H715" s="1" t="str">
        <f t="shared" ca="1" si="12"/>
        <v>Other</v>
      </c>
      <c r="J715" s="1" t="str">
        <f t="shared" si="3"/>
        <v/>
      </c>
      <c r="K715" s="1" t="s">
        <v>4088</v>
      </c>
      <c r="L715" s="1">
        <f t="shared" si="39"/>
        <v>4</v>
      </c>
      <c r="M715" s="1" t="s">
        <v>4089</v>
      </c>
      <c r="N715" s="1" t="str">
        <f t="shared" si="5"/>
        <v>256GB</v>
      </c>
      <c r="O715" s="1" t="str">
        <f t="shared" si="6"/>
        <v>256GB</v>
      </c>
      <c r="P715" s="1" t="s">
        <v>3653</v>
      </c>
      <c r="Q715" s="1" t="str">
        <f t="shared" si="7"/>
        <v>1366x768</v>
      </c>
      <c r="S715" s="1" t="str">
        <f t="shared" si="8"/>
        <v/>
      </c>
      <c r="T715" s="1" t="s">
        <v>101</v>
      </c>
      <c r="U715" s="1" t="str">
        <f t="shared" si="9"/>
        <v>DOS</v>
      </c>
      <c r="V715" s="1" t="s">
        <v>4092</v>
      </c>
      <c r="W715" s="1" t="str">
        <f t="shared" si="10"/>
        <v>1.69 kg</v>
      </c>
      <c r="X715" s="1" t="s">
        <v>78</v>
      </c>
      <c r="Y715" s="1" t="str">
        <f t="shared" si="11"/>
        <v>1 Year</v>
      </c>
      <c r="Z715" s="4">
        <v>18149</v>
      </c>
      <c r="AA715" s="1" t="s">
        <v>1082</v>
      </c>
    </row>
    <row r="716" spans="1:27" ht="15.75" customHeight="1" x14ac:dyDescent="0.35">
      <c r="A716" s="1" t="s">
        <v>81</v>
      </c>
      <c r="B716" s="1" t="str">
        <f t="shared" si="16"/>
        <v>Dell</v>
      </c>
      <c r="C716" s="1" t="s">
        <v>3515</v>
      </c>
      <c r="D716" s="1" t="str">
        <f t="shared" si="1"/>
        <v>Vostro 3520</v>
      </c>
      <c r="E716" s="1" t="str">
        <f t="array" aca="1" ref="E716" ca="1">IFERROR(
INDEX(Family_Map!$B$2:$B$35,
_xludf.AGGREGATE(14,6,(ROW(Family_Map!$A$2:$A$35)-ROW(Family_Map!$A$2)+1)/(ISNUMBER(SEARCH(Family_Map!$A$2:$A$35,D716))),1)
),
"Other")</f>
        <v>Other</v>
      </c>
      <c r="F716" s="1" t="s">
        <v>3661</v>
      </c>
      <c r="G716" s="1" t="e">
        <f t="shared" ca="1" si="2"/>
        <v>#NAME?</v>
      </c>
      <c r="H716" s="1" t="str">
        <f t="shared" ca="1" si="12"/>
        <v>Other</v>
      </c>
      <c r="J716" s="1" t="str">
        <f t="shared" si="3"/>
        <v/>
      </c>
      <c r="K716" s="1" t="s">
        <v>4094</v>
      </c>
      <c r="L716" s="1">
        <f t="shared" si="39"/>
        <v>16</v>
      </c>
      <c r="M716" s="1" t="s">
        <v>2521</v>
      </c>
      <c r="N716" s="1" t="str">
        <f t="shared" si="5"/>
        <v>512GB</v>
      </c>
      <c r="O716" s="1" t="str">
        <f t="shared" si="6"/>
        <v>512GB</v>
      </c>
      <c r="P716" s="1" t="s">
        <v>120</v>
      </c>
      <c r="Q716" s="1" t="str">
        <f t="shared" si="7"/>
        <v>1920x1080</v>
      </c>
      <c r="R716" s="1" t="s">
        <v>39</v>
      </c>
      <c r="S716" s="1" t="str">
        <f t="shared" si="8"/>
        <v>120Hz</v>
      </c>
      <c r="T716" s="1" t="s">
        <v>101</v>
      </c>
      <c r="U716" s="1" t="str">
        <f t="shared" si="9"/>
        <v>DOS</v>
      </c>
      <c r="V716" s="1" t="s">
        <v>3458</v>
      </c>
      <c r="W716" s="1" t="str">
        <f t="shared" si="10"/>
        <v>1.66 kg</v>
      </c>
      <c r="X716" s="1" t="s">
        <v>78</v>
      </c>
      <c r="Y716" s="1" t="str">
        <f t="shared" si="11"/>
        <v>1 Year</v>
      </c>
      <c r="Z716" s="4">
        <v>30999</v>
      </c>
      <c r="AA716" s="1" t="s">
        <v>166</v>
      </c>
    </row>
    <row r="717" spans="1:27" ht="15.75" customHeight="1" x14ac:dyDescent="0.35">
      <c r="A717" s="1" t="s">
        <v>151</v>
      </c>
      <c r="B717" s="1" t="str">
        <f t="shared" si="16"/>
        <v>Lenovo</v>
      </c>
      <c r="C717" s="1" t="s">
        <v>4095</v>
      </c>
      <c r="D717" s="1" t="str">
        <f t="shared" si="1"/>
        <v>IdeaPad Slim 3 15IAH8</v>
      </c>
      <c r="E717" s="1" t="str">
        <f t="array" aca="1" ref="E717" ca="1">IFERROR(
INDEX(Family_Map!$B$2:$B$35,
_xludf.AGGREGATE(14,6,(ROW(Family_Map!$A$2:$A$35)-ROW(Family_Map!$A$2)+1)/(ISNUMBER(SEARCH(Family_Map!$A$2:$A$35,D717))),1)
),
"Other")</f>
        <v>Other</v>
      </c>
      <c r="F717" s="1" t="s">
        <v>719</v>
      </c>
      <c r="G717" s="1" t="e">
        <f t="shared" ca="1" si="2"/>
        <v>#NAME?</v>
      </c>
      <c r="H717" s="1" t="str">
        <f t="shared" ca="1" si="12"/>
        <v>Other</v>
      </c>
      <c r="J717" s="1" t="str">
        <f t="shared" si="3"/>
        <v/>
      </c>
      <c r="K717" s="1" t="s">
        <v>3573</v>
      </c>
      <c r="L717" s="1">
        <f t="shared" si="39"/>
        <v>8</v>
      </c>
      <c r="M717" s="1" t="s">
        <v>156</v>
      </c>
      <c r="N717" s="1" t="str">
        <f t="shared" si="5"/>
        <v>512GB</v>
      </c>
      <c r="O717" s="1" t="str">
        <f t="shared" si="6"/>
        <v>512GB</v>
      </c>
      <c r="P717" s="1" t="s">
        <v>616</v>
      </c>
      <c r="Q717" s="1" t="str">
        <f t="shared" si="7"/>
        <v>1920x1080</v>
      </c>
      <c r="S717" s="1" t="str">
        <f t="shared" si="8"/>
        <v/>
      </c>
      <c r="T717" s="1" t="s">
        <v>101</v>
      </c>
      <c r="U717" s="1" t="str">
        <f t="shared" si="9"/>
        <v>DOS</v>
      </c>
      <c r="V717" s="1" t="s">
        <v>3383</v>
      </c>
      <c r="W717" s="1" t="str">
        <f t="shared" si="10"/>
        <v>1.62 kg</v>
      </c>
      <c r="X717" s="1" t="s">
        <v>78</v>
      </c>
      <c r="Y717" s="1" t="str">
        <f t="shared" si="11"/>
        <v>1 Year</v>
      </c>
      <c r="Z717" s="4">
        <v>29000</v>
      </c>
      <c r="AA717" s="1" t="s">
        <v>166</v>
      </c>
    </row>
    <row r="718" spans="1:27" ht="15.75" customHeight="1" x14ac:dyDescent="0.35">
      <c r="A718" s="1" t="s">
        <v>151</v>
      </c>
      <c r="B718" s="1" t="str">
        <f t="shared" si="16"/>
        <v>Lenovo</v>
      </c>
      <c r="C718" s="1" t="s">
        <v>4098</v>
      </c>
      <c r="D718" s="1" t="str">
        <f t="shared" si="1"/>
        <v>V15 IML</v>
      </c>
      <c r="E718" s="1" t="str">
        <f t="array" aca="1" ref="E718" ca="1">IFERROR(
INDEX(Family_Map!$B$2:$B$35,
_xludf.AGGREGATE(14,6,(ROW(Family_Map!$A$2:$A$35)-ROW(Family_Map!$A$2)+1)/(ISNUMBER(SEARCH(Family_Map!$A$2:$A$35,D718))),1)
),
"Other")</f>
        <v>Other</v>
      </c>
      <c r="F718" s="1" t="s">
        <v>4099</v>
      </c>
      <c r="G718" s="1" t="e">
        <f t="shared" ca="1" si="2"/>
        <v>#NAME?</v>
      </c>
      <c r="H718" s="1" t="str">
        <f t="shared" ca="1" si="12"/>
        <v>Other</v>
      </c>
      <c r="J718" s="1" t="str">
        <f t="shared" si="3"/>
        <v/>
      </c>
      <c r="K718" s="1" t="s">
        <v>4100</v>
      </c>
      <c r="L718" s="1">
        <f t="shared" si="39"/>
        <v>4</v>
      </c>
      <c r="M718" s="1" t="s">
        <v>4101</v>
      </c>
      <c r="N718" s="1" t="str">
        <f t="shared" si="5"/>
        <v>1TB</v>
      </c>
      <c r="O718" s="1" t="str">
        <f t="shared" si="6"/>
        <v>1024GB</v>
      </c>
      <c r="P718" s="1" t="s">
        <v>616</v>
      </c>
      <c r="Q718" s="1" t="str">
        <f t="shared" si="7"/>
        <v>1920x1080</v>
      </c>
      <c r="S718" s="1" t="str">
        <f t="shared" si="8"/>
        <v/>
      </c>
      <c r="T718" s="1" t="s">
        <v>101</v>
      </c>
      <c r="U718" s="1" t="str">
        <f t="shared" si="9"/>
        <v>DOS</v>
      </c>
      <c r="V718" s="1" t="s">
        <v>976</v>
      </c>
      <c r="W718" s="1" t="str">
        <f t="shared" si="10"/>
        <v>1.85 kg</v>
      </c>
      <c r="X718" s="1" t="s">
        <v>78</v>
      </c>
      <c r="Y718" s="1" t="str">
        <f t="shared" si="11"/>
        <v>1 Year</v>
      </c>
      <c r="Z718" s="4">
        <v>15000</v>
      </c>
      <c r="AA718" s="1" t="s">
        <v>2181</v>
      </c>
    </row>
    <row r="719" spans="1:27" ht="15.75" customHeight="1" x14ac:dyDescent="0.35">
      <c r="A719" s="1" t="s">
        <v>151</v>
      </c>
      <c r="B719" s="1" t="str">
        <f t="shared" si="16"/>
        <v>Lenovo</v>
      </c>
      <c r="C719" s="1" t="s">
        <v>4107</v>
      </c>
      <c r="D719" s="1" t="str">
        <f t="shared" si="1"/>
        <v>IdeaPad 3 15ALC6</v>
      </c>
      <c r="E719" s="1" t="str">
        <f t="array" aca="1" ref="E719" ca="1">IFERROR(
INDEX(Family_Map!$B$2:$B$35,
_xludf.AGGREGATE(14,6,(ROW(Family_Map!$A$2:$A$35)-ROW(Family_Map!$A$2)+1)/(ISNUMBER(SEARCH(Family_Map!$A$2:$A$35,D719))),1)
),
"Other")</f>
        <v>Other</v>
      </c>
      <c r="F719" s="1" t="s">
        <v>4108</v>
      </c>
      <c r="G719" s="1" t="e">
        <f t="shared" ca="1" si="2"/>
        <v>#NAME?</v>
      </c>
      <c r="H719" s="1" t="str">
        <f t="shared" ca="1" si="12"/>
        <v>Other</v>
      </c>
      <c r="J719" s="1" t="str">
        <f t="shared" si="3"/>
        <v/>
      </c>
      <c r="K719" s="1" t="s">
        <v>4109</v>
      </c>
      <c r="L719" s="1">
        <f t="shared" si="39"/>
        <v>8</v>
      </c>
      <c r="M719" s="1" t="s">
        <v>4101</v>
      </c>
      <c r="N719" s="1" t="str">
        <f t="shared" si="5"/>
        <v>1TB</v>
      </c>
      <c r="O719" s="1" t="str">
        <f t="shared" si="6"/>
        <v>1024GB</v>
      </c>
      <c r="P719" s="1" t="s">
        <v>616</v>
      </c>
      <c r="Q719" s="1" t="str">
        <f t="shared" si="7"/>
        <v>1920x1080</v>
      </c>
      <c r="S719" s="1" t="str">
        <f t="shared" si="8"/>
        <v/>
      </c>
      <c r="T719" s="1" t="s">
        <v>101</v>
      </c>
      <c r="U719" s="1" t="str">
        <f t="shared" si="9"/>
        <v>DOS</v>
      </c>
      <c r="V719" s="1" t="s">
        <v>1609</v>
      </c>
      <c r="W719" s="1" t="str">
        <f t="shared" si="10"/>
        <v>1.65 kg</v>
      </c>
      <c r="X719" s="1" t="s">
        <v>78</v>
      </c>
      <c r="Y719" s="1" t="str">
        <f t="shared" si="11"/>
        <v>1 Year</v>
      </c>
      <c r="Z719" s="4">
        <v>25499</v>
      </c>
      <c r="AA719" s="1" t="s">
        <v>5735</v>
      </c>
    </row>
    <row r="720" spans="1:27" ht="15.75" customHeight="1" x14ac:dyDescent="0.35">
      <c r="A720" s="1" t="s">
        <v>151</v>
      </c>
      <c r="B720" s="1" t="str">
        <f t="shared" si="16"/>
        <v>Lenovo</v>
      </c>
      <c r="C720" s="1" t="s">
        <v>4095</v>
      </c>
      <c r="D720" s="1" t="str">
        <f t="shared" si="1"/>
        <v>IdeaPad Slim 3 15IAH8</v>
      </c>
      <c r="E720" s="1" t="str">
        <f t="array" aca="1" ref="E720" ca="1">IFERROR(
INDEX(Family_Map!$B$2:$B$35,
_xludf.AGGREGATE(14,6,(ROW(Family_Map!$A$2:$A$35)-ROW(Family_Map!$A$2)+1)/(ISNUMBER(SEARCH(Family_Map!$A$2:$A$35,D720))),1)
),
"Other")</f>
        <v>Other</v>
      </c>
      <c r="F720" s="1" t="s">
        <v>1533</v>
      </c>
      <c r="G720" s="1" t="e">
        <f t="shared" ca="1" si="2"/>
        <v>#NAME?</v>
      </c>
      <c r="H720" s="1" t="str">
        <f t="shared" ca="1" si="12"/>
        <v>Other</v>
      </c>
      <c r="J720" s="1" t="str">
        <f t="shared" si="3"/>
        <v/>
      </c>
      <c r="K720" s="1" t="s">
        <v>3573</v>
      </c>
      <c r="L720" s="1">
        <f t="shared" si="39"/>
        <v>8</v>
      </c>
      <c r="M720" s="1" t="s">
        <v>156</v>
      </c>
      <c r="N720" s="1" t="str">
        <f t="shared" si="5"/>
        <v>512GB</v>
      </c>
      <c r="O720" s="1" t="str">
        <f t="shared" si="6"/>
        <v>512GB</v>
      </c>
      <c r="P720" s="1" t="s">
        <v>616</v>
      </c>
      <c r="Q720" s="1" t="str">
        <f t="shared" si="7"/>
        <v>1920x1080</v>
      </c>
      <c r="S720" s="1" t="str">
        <f t="shared" si="8"/>
        <v/>
      </c>
      <c r="T720" s="1" t="s">
        <v>40</v>
      </c>
      <c r="U720" s="1" t="str">
        <f t="shared" si="9"/>
        <v>Windows 11 Home</v>
      </c>
      <c r="V720" s="1" t="s">
        <v>3383</v>
      </c>
      <c r="W720" s="1" t="str">
        <f t="shared" si="10"/>
        <v>1.62 kg</v>
      </c>
      <c r="X720" s="1" t="s">
        <v>78</v>
      </c>
      <c r="Y720" s="1" t="str">
        <f t="shared" si="11"/>
        <v>1 Year</v>
      </c>
      <c r="Z720" s="4">
        <v>23799</v>
      </c>
      <c r="AA720" s="1" t="s">
        <v>166</v>
      </c>
    </row>
    <row r="721" spans="1:27" ht="15.75" customHeight="1" x14ac:dyDescent="0.35">
      <c r="A721" s="1" t="s">
        <v>81</v>
      </c>
      <c r="B721" s="1" t="str">
        <f t="shared" si="16"/>
        <v>Dell</v>
      </c>
      <c r="C721" s="1" t="s">
        <v>3738</v>
      </c>
      <c r="D721" s="1" t="str">
        <f t="shared" si="1"/>
        <v>Inspiron 3520</v>
      </c>
      <c r="E721" s="1" t="str">
        <f t="array" aca="1" ref="E721" ca="1">IFERROR(
INDEX(Family_Map!$B$2:$B$35,
_xludf.AGGREGATE(14,6,(ROW(Family_Map!$A$2:$A$35)-ROW(Family_Map!$A$2)+1)/(ISNUMBER(SEARCH(Family_Map!$A$2:$A$35,D721))),1)
),
"Other")</f>
        <v>Other</v>
      </c>
      <c r="F721" s="1" t="s">
        <v>4071</v>
      </c>
      <c r="G721" s="1" t="e">
        <f t="shared" ca="1" si="2"/>
        <v>#NAME?</v>
      </c>
      <c r="H721" s="1" t="str">
        <f t="shared" ca="1" si="12"/>
        <v>Other</v>
      </c>
      <c r="J721" s="1" t="str">
        <f t="shared" si="3"/>
        <v/>
      </c>
      <c r="K721" s="1" t="s">
        <v>3943</v>
      </c>
      <c r="L721" s="1">
        <f t="shared" si="39"/>
        <v>8</v>
      </c>
      <c r="M721" s="1" t="s">
        <v>2521</v>
      </c>
      <c r="N721" s="1" t="str">
        <f t="shared" si="5"/>
        <v>512GB</v>
      </c>
      <c r="O721" s="1" t="str">
        <f t="shared" si="6"/>
        <v>512GB</v>
      </c>
      <c r="P721" s="1" t="s">
        <v>616</v>
      </c>
      <c r="Q721" s="1" t="str">
        <f t="shared" si="7"/>
        <v>1920x1080</v>
      </c>
      <c r="R721" s="1" t="s">
        <v>39</v>
      </c>
      <c r="S721" s="1" t="str">
        <f t="shared" si="8"/>
        <v>120Hz</v>
      </c>
      <c r="T721" s="1" t="s">
        <v>90</v>
      </c>
      <c r="U721" s="1" t="str">
        <f t="shared" si="9"/>
        <v>Windows 11 Home</v>
      </c>
      <c r="V721" s="1" t="s">
        <v>1609</v>
      </c>
      <c r="W721" s="1" t="str">
        <f t="shared" si="10"/>
        <v>1.65 kg</v>
      </c>
      <c r="X721" s="1" t="s">
        <v>78</v>
      </c>
      <c r="Y721" s="1" t="str">
        <f t="shared" si="11"/>
        <v>1 Year</v>
      </c>
      <c r="Z721" s="4">
        <v>23499</v>
      </c>
      <c r="AA721" s="1" t="s">
        <v>1082</v>
      </c>
    </row>
    <row r="722" spans="1:27" ht="15.75" customHeight="1" x14ac:dyDescent="0.35">
      <c r="A722" s="1" t="s">
        <v>151</v>
      </c>
      <c r="B722" s="1" t="str">
        <f t="shared" si="16"/>
        <v>Lenovo</v>
      </c>
      <c r="C722" s="1" t="s">
        <v>3660</v>
      </c>
      <c r="D722" s="1" t="str">
        <f t="shared" si="1"/>
        <v>IdeaPad 1 15IAU7</v>
      </c>
      <c r="E722" s="1" t="str">
        <f t="array" aca="1" ref="E722" ca="1">IFERROR(
INDEX(Family_Map!$B$2:$B$35,
_xludf.AGGREGATE(14,6,(ROW(Family_Map!$A$2:$A$35)-ROW(Family_Map!$A$2)+1)/(ISNUMBER(SEARCH(Family_Map!$A$2:$A$35,D722))),1)
),
"Other")</f>
        <v>Other</v>
      </c>
      <c r="F722" s="1" t="s">
        <v>3516</v>
      </c>
      <c r="G722" s="1" t="e">
        <f t="shared" ca="1" si="2"/>
        <v>#NAME?</v>
      </c>
      <c r="H722" s="1" t="str">
        <f t="shared" ca="1" si="12"/>
        <v>Other</v>
      </c>
      <c r="J722" s="1" t="str">
        <f t="shared" si="3"/>
        <v/>
      </c>
      <c r="K722" s="1" t="s">
        <v>3327</v>
      </c>
      <c r="L722" s="1">
        <f t="shared" si="39"/>
        <v>8</v>
      </c>
      <c r="M722" s="1" t="s">
        <v>1506</v>
      </c>
      <c r="N722" s="1" t="str">
        <f t="shared" si="5"/>
        <v>512GB</v>
      </c>
      <c r="O722" s="1" t="str">
        <f t="shared" si="6"/>
        <v>512GB</v>
      </c>
      <c r="P722" s="1" t="s">
        <v>616</v>
      </c>
      <c r="Q722" s="1" t="str">
        <f t="shared" si="7"/>
        <v>1920x1080</v>
      </c>
      <c r="S722" s="1" t="str">
        <f t="shared" si="8"/>
        <v/>
      </c>
      <c r="T722" s="1" t="s">
        <v>40</v>
      </c>
      <c r="U722" s="1" t="str">
        <f t="shared" si="9"/>
        <v>Windows 11 Home</v>
      </c>
      <c r="V722" s="1" t="s">
        <v>3346</v>
      </c>
      <c r="W722" s="1" t="str">
        <f t="shared" si="10"/>
        <v>1.63 kg</v>
      </c>
      <c r="X722" s="1" t="s">
        <v>78</v>
      </c>
      <c r="Y722" s="1" t="str">
        <f t="shared" si="11"/>
        <v>1 Year</v>
      </c>
      <c r="Z722" s="4">
        <v>22499</v>
      </c>
      <c r="AA722" s="1" t="s">
        <v>166</v>
      </c>
    </row>
    <row r="723" spans="1:27" ht="15.75" customHeight="1" x14ac:dyDescent="0.35">
      <c r="A723" s="1" t="s">
        <v>234</v>
      </c>
      <c r="B723" s="1" t="str">
        <f t="shared" si="16"/>
        <v>ASUS</v>
      </c>
      <c r="C723" s="1" t="s">
        <v>4115</v>
      </c>
      <c r="D723" s="1" t="str">
        <f t="shared" si="1"/>
        <v>ExpertBook B9400CEA-KC007R</v>
      </c>
      <c r="E723" s="1" t="str">
        <f t="array" aca="1" ref="E723" ca="1">IFERROR(
INDEX(Family_Map!$B$2:$B$35,
_xludf.AGGREGATE(14,6,(ROW(Family_Map!$A$2:$A$35)-ROW(Family_Map!$A$2)+1)/(ISNUMBER(SEARCH(Family_Map!$A$2:$A$35,D723))),1)
),
"Other")</f>
        <v>Other</v>
      </c>
      <c r="F723" s="1" t="s">
        <v>3748</v>
      </c>
      <c r="G723" s="1" t="e">
        <f t="shared" ca="1" si="2"/>
        <v>#NAME?</v>
      </c>
      <c r="H723" s="1" t="str">
        <f t="shared" ca="1" si="12"/>
        <v>Other</v>
      </c>
      <c r="J723" s="1" t="str">
        <f t="shared" si="3"/>
        <v/>
      </c>
      <c r="K723" s="1" t="s">
        <v>4117</v>
      </c>
      <c r="L723" s="1">
        <f t="shared" si="39"/>
        <v>16</v>
      </c>
      <c r="M723" s="1" t="s">
        <v>4118</v>
      </c>
      <c r="N723" s="1" t="str">
        <f t="shared" si="5"/>
        <v>1TB</v>
      </c>
      <c r="O723" s="1" t="str">
        <f t="shared" si="6"/>
        <v>1024GB</v>
      </c>
      <c r="P723" s="1" t="s">
        <v>616</v>
      </c>
      <c r="Q723" s="1" t="str">
        <f t="shared" si="7"/>
        <v>1920x1080</v>
      </c>
      <c r="S723" s="1" t="str">
        <f t="shared" si="8"/>
        <v/>
      </c>
      <c r="T723" s="1" t="s">
        <v>2991</v>
      </c>
      <c r="U723" s="1" t="str">
        <f t="shared" si="9"/>
        <v>Windows 10 Pro</v>
      </c>
      <c r="W723" s="1" t="str">
        <f t="shared" si="10"/>
        <v/>
      </c>
      <c r="X723" s="1" t="s">
        <v>339</v>
      </c>
      <c r="Y723" s="1" t="str">
        <f t="shared" si="11"/>
        <v>2 Years</v>
      </c>
      <c r="Z723" s="4">
        <v>37499</v>
      </c>
      <c r="AA723" s="1" t="s">
        <v>1082</v>
      </c>
    </row>
    <row r="724" spans="1:27" ht="15.75" customHeight="1" x14ac:dyDescent="0.35">
      <c r="A724" s="1" t="s">
        <v>112</v>
      </c>
      <c r="B724" s="1" t="str">
        <f t="shared" si="16"/>
        <v>HP</v>
      </c>
      <c r="C724" s="1" t="s">
        <v>4127</v>
      </c>
      <c r="D724" s="1" t="str">
        <f t="shared" si="1"/>
        <v>Spectre x360 14-EF2013DX</v>
      </c>
      <c r="E724" s="1" t="str">
        <f t="array" aca="1" ref="E724" ca="1">IFERROR(
INDEX(Family_Map!$B$2:$B$35,
_xludf.AGGREGATE(14,6,(ROW(Family_Map!$A$2:$A$35)-ROW(Family_Map!$A$2)+1)/(ISNUMBER(SEARCH(Family_Map!$A$2:$A$35,D724))),1)
),
"Other")</f>
        <v>Other</v>
      </c>
      <c r="F724" s="1" t="s">
        <v>4081</v>
      </c>
      <c r="G724" s="1" t="e">
        <f t="shared" ca="1" si="2"/>
        <v>#NAME?</v>
      </c>
      <c r="H724" s="1" t="str">
        <f t="shared" ca="1" si="12"/>
        <v>Other</v>
      </c>
      <c r="J724" s="1" t="str">
        <f t="shared" si="3"/>
        <v/>
      </c>
      <c r="K724" s="1" t="s">
        <v>4128</v>
      </c>
      <c r="L724" s="1">
        <f t="shared" si="39"/>
        <v>16</v>
      </c>
      <c r="M724" s="1" t="s">
        <v>136</v>
      </c>
      <c r="N724" s="1" t="str">
        <f t="shared" si="5"/>
        <v>512 GB</v>
      </c>
      <c r="O724" s="1" t="str">
        <f t="shared" si="6"/>
        <v>512 GB</v>
      </c>
      <c r="P724" s="1" t="s">
        <v>4130</v>
      </c>
      <c r="Q724" s="1" t="str">
        <f t="shared" si="7"/>
        <v>1920x1280</v>
      </c>
      <c r="S724" s="1" t="str">
        <f t="shared" si="8"/>
        <v/>
      </c>
      <c r="T724" s="1" t="s">
        <v>90</v>
      </c>
      <c r="U724" s="1" t="str">
        <f t="shared" si="9"/>
        <v>Windows 11 Home</v>
      </c>
      <c r="V724" s="1" t="s">
        <v>4135</v>
      </c>
      <c r="W724" s="1" t="str">
        <f t="shared" si="10"/>
        <v>1.36 kg</v>
      </c>
      <c r="X724" s="1" t="s">
        <v>78</v>
      </c>
      <c r="Y724" s="1" t="str">
        <f t="shared" si="11"/>
        <v>1 Year</v>
      </c>
      <c r="Z724" s="4">
        <v>58750</v>
      </c>
      <c r="AA724" s="1" t="s">
        <v>79</v>
      </c>
    </row>
    <row r="725" spans="1:27" ht="15.75" customHeight="1" x14ac:dyDescent="0.35">
      <c r="A725" s="1" t="s">
        <v>112</v>
      </c>
      <c r="B725" s="1" t="str">
        <f t="shared" si="16"/>
        <v>HP</v>
      </c>
      <c r="C725" s="1" t="s">
        <v>4139</v>
      </c>
      <c r="D725" s="1" t="str">
        <f t="shared" si="1"/>
        <v>Envy x360 14-ES0013DX</v>
      </c>
      <c r="E725" s="1" t="str">
        <f t="array" aca="1" ref="E725" ca="1">IFERROR(
INDEX(Family_Map!$B$2:$B$35,
_xludf.AGGREGATE(14,6,(ROW(Family_Map!$A$2:$A$35)-ROW(Family_Map!$A$2)+1)/(ISNUMBER(SEARCH(Family_Map!$A$2:$A$35,D725))),1)
),
"Other")</f>
        <v>Other</v>
      </c>
      <c r="F725" s="1" t="s">
        <v>4140</v>
      </c>
      <c r="G725" s="1" t="e">
        <f t="shared" ca="1" si="2"/>
        <v>#NAME?</v>
      </c>
      <c r="H725" s="1" t="str">
        <f t="shared" ca="1" si="12"/>
        <v>Other</v>
      </c>
      <c r="J725" s="1" t="str">
        <f t="shared" si="3"/>
        <v/>
      </c>
      <c r="K725" s="1" t="s">
        <v>4141</v>
      </c>
      <c r="L725" s="1">
        <f t="shared" si="39"/>
        <v>8</v>
      </c>
      <c r="M725" s="1" t="s">
        <v>2718</v>
      </c>
      <c r="N725" s="1" t="str">
        <f t="shared" si="5"/>
        <v>512 GB</v>
      </c>
      <c r="O725" s="1" t="str">
        <f t="shared" si="6"/>
        <v>512 GB</v>
      </c>
      <c r="P725" s="1" t="s">
        <v>616</v>
      </c>
      <c r="Q725" s="1" t="str">
        <f t="shared" si="7"/>
        <v>1920x1080</v>
      </c>
      <c r="S725" s="1" t="str">
        <f t="shared" si="8"/>
        <v/>
      </c>
      <c r="T725" s="1" t="s">
        <v>90</v>
      </c>
      <c r="U725" s="1" t="str">
        <f t="shared" si="9"/>
        <v>Windows 11 Home</v>
      </c>
      <c r="V725" s="1" t="s">
        <v>3532</v>
      </c>
      <c r="W725" s="1" t="str">
        <f t="shared" si="10"/>
        <v>1.51 kg</v>
      </c>
      <c r="X725" s="1" t="s">
        <v>78</v>
      </c>
      <c r="Y725" s="1" t="str">
        <f t="shared" si="11"/>
        <v>1 Year</v>
      </c>
      <c r="Z725" s="4">
        <v>36000</v>
      </c>
      <c r="AA725" s="1" t="s">
        <v>79</v>
      </c>
    </row>
    <row r="726" spans="1:27" ht="15.75" customHeight="1" x14ac:dyDescent="0.35">
      <c r="A726" s="1" t="s">
        <v>112</v>
      </c>
      <c r="B726" s="1" t="str">
        <f t="shared" si="16"/>
        <v>HP</v>
      </c>
      <c r="C726" s="1" t="s">
        <v>4147</v>
      </c>
      <c r="D726" s="1" t="str">
        <f t="shared" si="1"/>
        <v>Pavilion x360 14-EK0073DX</v>
      </c>
      <c r="E726" s="1" t="str">
        <f t="array" aca="1" ref="E726" ca="1">IFERROR(
INDEX(Family_Map!$B$2:$B$35,
_xludf.AGGREGATE(14,6,(ROW(Family_Map!$A$2:$A$35)-ROW(Family_Map!$A$2)+1)/(ISNUMBER(SEARCH(Family_Map!$A$2:$A$35,D726))),1)
),
"Other")</f>
        <v>Other</v>
      </c>
      <c r="F726" s="1" t="s">
        <v>3516</v>
      </c>
      <c r="G726" s="1" t="e">
        <f t="shared" ca="1" si="2"/>
        <v>#NAME?</v>
      </c>
      <c r="H726" s="1" t="str">
        <f t="shared" ca="1" si="12"/>
        <v>Other</v>
      </c>
      <c r="J726" s="1" t="str">
        <f t="shared" si="3"/>
        <v/>
      </c>
      <c r="K726" s="1" t="s">
        <v>4141</v>
      </c>
      <c r="L726" s="1">
        <f t="shared" si="39"/>
        <v>8</v>
      </c>
      <c r="M726" s="1" t="s">
        <v>2718</v>
      </c>
      <c r="N726" s="1" t="str">
        <f t="shared" si="5"/>
        <v>512 GB</v>
      </c>
      <c r="O726" s="1" t="str">
        <f t="shared" si="6"/>
        <v>512 GB</v>
      </c>
      <c r="P726" s="1" t="s">
        <v>616</v>
      </c>
      <c r="Q726" s="1" t="str">
        <f t="shared" si="7"/>
        <v>1920x1080</v>
      </c>
      <c r="S726" s="1" t="str">
        <f t="shared" si="8"/>
        <v/>
      </c>
      <c r="T726" s="1" t="s">
        <v>90</v>
      </c>
      <c r="U726" s="1" t="str">
        <f t="shared" si="9"/>
        <v>Windows 11 Home</v>
      </c>
      <c r="V726" s="1" t="s">
        <v>3532</v>
      </c>
      <c r="W726" s="1" t="str">
        <f t="shared" si="10"/>
        <v>1.51 kg</v>
      </c>
      <c r="X726" s="1" t="s">
        <v>78</v>
      </c>
      <c r="Y726" s="1" t="str">
        <f t="shared" si="11"/>
        <v>1 Year</v>
      </c>
      <c r="Z726" s="4">
        <v>39499</v>
      </c>
      <c r="AA726" s="1" t="s">
        <v>166</v>
      </c>
    </row>
    <row r="727" spans="1:27" ht="15.75" customHeight="1" x14ac:dyDescent="0.35">
      <c r="A727" s="1" t="s">
        <v>234</v>
      </c>
      <c r="B727" s="1" t="str">
        <f t="shared" si="16"/>
        <v>ASUS</v>
      </c>
      <c r="C727" s="1" t="s">
        <v>4154</v>
      </c>
      <c r="D727" s="1" t="str">
        <f t="shared" si="1"/>
        <v>ExpertBook B9450FA-BM1050R</v>
      </c>
      <c r="E727" s="1" t="str">
        <f t="array" aca="1" ref="E727" ca="1">IFERROR(
INDEX(Family_Map!$B$2:$B$35,
_xludf.AGGREGATE(14,6,(ROW(Family_Map!$A$2:$A$35)-ROW(Family_Map!$A$2)+1)/(ISNUMBER(SEARCH(Family_Map!$A$2:$A$35,D727))),1)
),
"Other")</f>
        <v>Other</v>
      </c>
      <c r="F727" s="1" t="s">
        <v>4155</v>
      </c>
      <c r="G727" s="1" t="e">
        <f t="shared" ca="1" si="2"/>
        <v>#NAME?</v>
      </c>
      <c r="H727" s="1" t="str">
        <f t="shared" ca="1" si="12"/>
        <v>Other</v>
      </c>
      <c r="J727" s="1" t="str">
        <f t="shared" si="3"/>
        <v/>
      </c>
      <c r="K727" s="1" t="s">
        <v>491</v>
      </c>
      <c r="L727" s="1">
        <f t="shared" si="39"/>
        <v>16</v>
      </c>
      <c r="M727" s="1" t="s">
        <v>4156</v>
      </c>
      <c r="N727" s="1" t="str">
        <f t="shared" si="5"/>
        <v>1TB</v>
      </c>
      <c r="O727" s="1" t="str">
        <f t="shared" si="6"/>
        <v>1024GB</v>
      </c>
      <c r="P727" s="1" t="s">
        <v>616</v>
      </c>
      <c r="Q727" s="1" t="str">
        <f t="shared" si="7"/>
        <v>1920x1080</v>
      </c>
      <c r="S727" s="1" t="str">
        <f t="shared" si="8"/>
        <v/>
      </c>
      <c r="T727" s="1" t="s">
        <v>1722</v>
      </c>
      <c r="U727" s="1" t="str">
        <f t="shared" si="9"/>
        <v>Windows 10 Home</v>
      </c>
      <c r="W727" s="1" t="str">
        <f t="shared" si="10"/>
        <v/>
      </c>
      <c r="X727" s="1" t="s">
        <v>165</v>
      </c>
      <c r="Y727" s="1" t="str">
        <f t="shared" si="11"/>
        <v>2 Years</v>
      </c>
      <c r="Z727" s="4">
        <v>41999</v>
      </c>
      <c r="AA727" s="1" t="s">
        <v>2181</v>
      </c>
    </row>
    <row r="728" spans="1:27" ht="15.75" customHeight="1" x14ac:dyDescent="0.35">
      <c r="A728" s="1" t="s">
        <v>81</v>
      </c>
      <c r="B728" s="1" t="str">
        <f t="shared" si="16"/>
        <v>Dell</v>
      </c>
      <c r="C728" s="1" t="s">
        <v>3738</v>
      </c>
      <c r="D728" s="1" t="str">
        <f t="shared" si="1"/>
        <v>Inspiron 3520</v>
      </c>
      <c r="E728" s="1" t="str">
        <f t="array" aca="1" ref="E728" ca="1">IFERROR(
INDEX(Family_Map!$B$2:$B$35,
_xludf.AGGREGATE(14,6,(ROW(Family_Map!$A$2:$A$35)-ROW(Family_Map!$A$2)+1)/(ISNUMBER(SEARCH(Family_Map!$A$2:$A$35,D728))),1)
),
"Other")</f>
        <v>Other</v>
      </c>
      <c r="F728" s="1" t="s">
        <v>4071</v>
      </c>
      <c r="G728" s="1" t="e">
        <f t="shared" ca="1" si="2"/>
        <v>#NAME?</v>
      </c>
      <c r="H728" s="1" t="str">
        <f t="shared" ca="1" si="12"/>
        <v>Other</v>
      </c>
      <c r="J728" s="1" t="str">
        <f t="shared" si="3"/>
        <v/>
      </c>
      <c r="K728" s="1" t="s">
        <v>3943</v>
      </c>
      <c r="L728" s="1">
        <f t="shared" si="39"/>
        <v>8</v>
      </c>
      <c r="M728" s="1" t="s">
        <v>3495</v>
      </c>
      <c r="N728" s="1" t="str">
        <f t="shared" si="5"/>
        <v>256GB</v>
      </c>
      <c r="O728" s="1" t="str">
        <f t="shared" si="6"/>
        <v>256GB</v>
      </c>
      <c r="P728" s="1" t="s">
        <v>616</v>
      </c>
      <c r="Q728" s="1" t="str">
        <f t="shared" si="7"/>
        <v>1920x1080</v>
      </c>
      <c r="R728" s="1" t="s">
        <v>39</v>
      </c>
      <c r="S728" s="1" t="str">
        <f t="shared" si="8"/>
        <v>120Hz</v>
      </c>
      <c r="T728" s="1" t="s">
        <v>90</v>
      </c>
      <c r="U728" s="1" t="str">
        <f t="shared" si="9"/>
        <v>Windows 11 Home</v>
      </c>
      <c r="V728" s="1" t="s">
        <v>1609</v>
      </c>
      <c r="W728" s="1" t="str">
        <f t="shared" si="10"/>
        <v>1.65 kg</v>
      </c>
      <c r="X728" s="1" t="s">
        <v>78</v>
      </c>
      <c r="Y728" s="1" t="str">
        <f t="shared" si="11"/>
        <v>1 Year</v>
      </c>
      <c r="Z728" s="4">
        <v>28999</v>
      </c>
      <c r="AA728" s="1" t="s">
        <v>1082</v>
      </c>
    </row>
    <row r="729" spans="1:27" ht="15.75" customHeight="1" x14ac:dyDescent="0.35">
      <c r="A729" s="1" t="s">
        <v>112</v>
      </c>
      <c r="B729" s="1" t="str">
        <f t="shared" si="16"/>
        <v>HP</v>
      </c>
      <c r="C729" s="1" t="s">
        <v>4162</v>
      </c>
      <c r="D729" s="1" t="str">
        <f t="shared" si="1"/>
        <v>Pavilion 15-eg0050ne</v>
      </c>
      <c r="E729" s="1" t="str">
        <f t="array" aca="1" ref="E729" ca="1">IFERROR(
INDEX(Family_Map!$B$2:$B$35,
_xludf.AGGREGATE(14,6,(ROW(Family_Map!$A$2:$A$35)-ROW(Family_Map!$A$2)+1)/(ISNUMBER(SEARCH(Family_Map!$A$2:$A$35,D729))),1)
),
"Other")</f>
        <v>Other</v>
      </c>
      <c r="F729" s="1" t="s">
        <v>3668</v>
      </c>
      <c r="G729" s="1" t="e">
        <f t="shared" ca="1" si="2"/>
        <v>#NAME?</v>
      </c>
      <c r="H729" s="1" t="str">
        <f t="shared" ca="1" si="12"/>
        <v>Other</v>
      </c>
      <c r="J729" s="1" t="str">
        <f t="shared" si="3"/>
        <v/>
      </c>
      <c r="K729" s="1" t="s">
        <v>1462</v>
      </c>
      <c r="L729" s="1">
        <f t="shared" si="39"/>
        <v>16</v>
      </c>
      <c r="M729" s="1" t="s">
        <v>542</v>
      </c>
      <c r="N729" s="1" t="str">
        <f t="shared" si="5"/>
        <v>1 TB</v>
      </c>
      <c r="O729" s="1" t="str">
        <f t="shared" si="6"/>
        <v>1024GB</v>
      </c>
      <c r="P729" s="1" t="s">
        <v>120</v>
      </c>
      <c r="Q729" s="1" t="str">
        <f t="shared" si="7"/>
        <v>1920x1080</v>
      </c>
      <c r="S729" s="1" t="str">
        <f t="shared" si="8"/>
        <v/>
      </c>
      <c r="T729" s="1" t="s">
        <v>90</v>
      </c>
      <c r="U729" s="1" t="str">
        <f t="shared" si="9"/>
        <v>Windows 11 Home</v>
      </c>
      <c r="V729" s="1" t="s">
        <v>3276</v>
      </c>
      <c r="W729" s="1" t="str">
        <f t="shared" si="10"/>
        <v>1.75 kg</v>
      </c>
      <c r="X729" s="1" t="s">
        <v>78</v>
      </c>
      <c r="Y729" s="1" t="str">
        <f t="shared" si="11"/>
        <v>1 Year</v>
      </c>
      <c r="Z729" s="4">
        <v>33499</v>
      </c>
      <c r="AA729" s="1" t="s">
        <v>1082</v>
      </c>
    </row>
    <row r="730" spans="1:27" ht="15.75" customHeight="1" x14ac:dyDescent="0.35">
      <c r="A730" s="1" t="s">
        <v>81</v>
      </c>
      <c r="B730" s="1" t="str">
        <f t="shared" si="16"/>
        <v>Dell</v>
      </c>
      <c r="C730" s="1" t="s">
        <v>3515</v>
      </c>
      <c r="D730" s="1" t="str">
        <f t="shared" si="1"/>
        <v>Vostro 3520</v>
      </c>
      <c r="E730" s="1" t="str">
        <f t="array" aca="1" ref="E730" ca="1">IFERROR(
INDEX(Family_Map!$B$2:$B$35,
_xludf.AGGREGATE(14,6,(ROW(Family_Map!$A$2:$A$35)-ROW(Family_Map!$A$2)+1)/(ISNUMBER(SEARCH(Family_Map!$A$2:$A$35,D730))),1)
),
"Other")</f>
        <v>Other</v>
      </c>
      <c r="F730" s="1" t="s">
        <v>3661</v>
      </c>
      <c r="G730" s="1" t="e">
        <f t="shared" ca="1" si="2"/>
        <v>#NAME?</v>
      </c>
      <c r="H730" s="1" t="str">
        <f t="shared" ca="1" si="12"/>
        <v>Other</v>
      </c>
      <c r="I730" s="1" t="s">
        <v>3670</v>
      </c>
      <c r="J730" s="1" t="str">
        <f t="shared" si="3"/>
        <v>2GB</v>
      </c>
      <c r="K730" s="1" t="s">
        <v>3943</v>
      </c>
      <c r="L730" s="1">
        <f t="shared" si="39"/>
        <v>8</v>
      </c>
      <c r="M730" s="1" t="s">
        <v>2521</v>
      </c>
      <c r="N730" s="1" t="str">
        <f t="shared" si="5"/>
        <v>512GB</v>
      </c>
      <c r="O730" s="1" t="str">
        <f t="shared" si="6"/>
        <v>512GB</v>
      </c>
      <c r="P730" s="1" t="s">
        <v>616</v>
      </c>
      <c r="Q730" s="1" t="str">
        <f t="shared" si="7"/>
        <v>1920x1080</v>
      </c>
      <c r="R730" s="1" t="s">
        <v>39</v>
      </c>
      <c r="S730" s="1" t="str">
        <f t="shared" si="8"/>
        <v>120Hz</v>
      </c>
      <c r="T730" s="1" t="s">
        <v>101</v>
      </c>
      <c r="U730" s="1" t="str">
        <f t="shared" si="9"/>
        <v>DOS</v>
      </c>
      <c r="V730" s="1" t="s">
        <v>3458</v>
      </c>
      <c r="W730" s="1" t="str">
        <f t="shared" si="10"/>
        <v>1.66 kg</v>
      </c>
      <c r="X730" s="1" t="s">
        <v>78</v>
      </c>
      <c r="Y730" s="1" t="str">
        <f t="shared" si="11"/>
        <v>1 Year</v>
      </c>
      <c r="Z730" s="4">
        <v>35299</v>
      </c>
      <c r="AA730" s="1" t="s">
        <v>166</v>
      </c>
    </row>
    <row r="731" spans="1:27" ht="15.75" customHeight="1" x14ac:dyDescent="0.35">
      <c r="A731" s="1" t="s">
        <v>234</v>
      </c>
      <c r="B731" s="1" t="str">
        <f t="shared" si="16"/>
        <v>ASUS</v>
      </c>
      <c r="C731" s="1" t="s">
        <v>4171</v>
      </c>
      <c r="D731" s="1" t="str">
        <f t="shared" si="1"/>
        <v>Vivobook 15X OLED X1503ZA-OLED007W</v>
      </c>
      <c r="E731" s="1" t="str">
        <f t="array" aca="1" ref="E731" ca="1">IFERROR(
INDEX(Family_Map!$B$2:$B$35,
_xludf.AGGREGATE(14,6,(ROW(Family_Map!$A$2:$A$35)-ROW(Family_Map!$A$2)+1)/(ISNUMBER(SEARCH(Family_Map!$A$2:$A$35,D731))),1)
),
"Other")</f>
        <v>Other</v>
      </c>
      <c r="F731" s="1" t="s">
        <v>1118</v>
      </c>
      <c r="G731" s="1" t="e">
        <f t="shared" ca="1" si="2"/>
        <v>#NAME?</v>
      </c>
      <c r="H731" s="1" t="str">
        <f t="shared" ca="1" si="12"/>
        <v>Other</v>
      </c>
      <c r="J731" s="1" t="str">
        <f t="shared" si="3"/>
        <v/>
      </c>
      <c r="K731" s="1" t="s">
        <v>628</v>
      </c>
      <c r="L731" s="1">
        <f t="shared" si="39"/>
        <v>8</v>
      </c>
      <c r="M731" s="1" t="s">
        <v>1604</v>
      </c>
      <c r="N731" s="1" t="str">
        <f t="shared" si="5"/>
        <v>512GB</v>
      </c>
      <c r="O731" s="1" t="str">
        <f t="shared" si="6"/>
        <v>512GB</v>
      </c>
      <c r="P731" s="1" t="s">
        <v>616</v>
      </c>
      <c r="Q731" s="1" t="str">
        <f t="shared" si="7"/>
        <v>1920x1080</v>
      </c>
      <c r="S731" s="1" t="str">
        <f t="shared" si="8"/>
        <v/>
      </c>
      <c r="T731" s="1" t="s">
        <v>90</v>
      </c>
      <c r="U731" s="1" t="str">
        <f t="shared" si="9"/>
        <v>Windows 11 Home</v>
      </c>
      <c r="V731" s="1" t="s">
        <v>3500</v>
      </c>
      <c r="W731" s="1" t="str">
        <f t="shared" si="10"/>
        <v>1.7 kg</v>
      </c>
      <c r="X731" s="1" t="s">
        <v>339</v>
      </c>
      <c r="Y731" s="1" t="str">
        <f t="shared" si="11"/>
        <v>2 Years</v>
      </c>
      <c r="Z731" s="4">
        <v>27999</v>
      </c>
      <c r="AA731" s="1" t="s">
        <v>166</v>
      </c>
    </row>
    <row r="732" spans="1:27" ht="15.75" customHeight="1" x14ac:dyDescent="0.35">
      <c r="A732" s="1" t="s">
        <v>112</v>
      </c>
      <c r="B732" s="1" t="str">
        <f t="shared" si="16"/>
        <v>HP</v>
      </c>
      <c r="C732" s="1" t="s">
        <v>4176</v>
      </c>
      <c r="D732" s="1" t="str">
        <f t="shared" si="1"/>
        <v>Pavilion 14-DV0027NE</v>
      </c>
      <c r="E732" s="1" t="str">
        <f t="array" aca="1" ref="E732" ca="1">IFERROR(
INDEX(Family_Map!$B$2:$B$35,
_xludf.AGGREGATE(14,6,(ROW(Family_Map!$A$2:$A$35)-ROW(Family_Map!$A$2)+1)/(ISNUMBER(SEARCH(Family_Map!$A$2:$A$35,D732))),1)
),
"Other")</f>
        <v>Other</v>
      </c>
      <c r="F732" s="1" t="s">
        <v>4071</v>
      </c>
      <c r="G732" s="1" t="e">
        <f t="shared" ca="1" si="2"/>
        <v>#NAME?</v>
      </c>
      <c r="H732" s="1" t="str">
        <f t="shared" ca="1" si="12"/>
        <v>Other</v>
      </c>
      <c r="I732" s="1" t="s">
        <v>4177</v>
      </c>
      <c r="J732" s="1" t="str">
        <f t="shared" si="3"/>
        <v>2GB</v>
      </c>
      <c r="K732" s="1" t="s">
        <v>4178</v>
      </c>
      <c r="L732" s="1">
        <f t="shared" si="39"/>
        <v>8</v>
      </c>
      <c r="M732" s="1" t="s">
        <v>2125</v>
      </c>
      <c r="N732" s="1" t="str">
        <f t="shared" si="5"/>
        <v>512GB</v>
      </c>
      <c r="O732" s="1" t="str">
        <f t="shared" si="6"/>
        <v>512GB</v>
      </c>
      <c r="P732" s="1" t="s">
        <v>616</v>
      </c>
      <c r="Q732" s="1" t="str">
        <f t="shared" si="7"/>
        <v>1920x1080</v>
      </c>
      <c r="S732" s="1" t="str">
        <f t="shared" si="8"/>
        <v/>
      </c>
      <c r="T732" s="1" t="s">
        <v>90</v>
      </c>
      <c r="U732" s="1" t="str">
        <f t="shared" si="9"/>
        <v>Windows 11 Home</v>
      </c>
      <c r="V732" s="1" t="s">
        <v>4182</v>
      </c>
      <c r="W732" s="1" t="str">
        <f t="shared" si="10"/>
        <v>1.41 kg</v>
      </c>
      <c r="X732" s="1" t="s">
        <v>78</v>
      </c>
      <c r="Y732" s="1" t="str">
        <f t="shared" si="11"/>
        <v>1 Year</v>
      </c>
      <c r="Z732" s="4">
        <v>22449</v>
      </c>
      <c r="AA732" s="1" t="s">
        <v>1082</v>
      </c>
    </row>
    <row r="733" spans="1:27" ht="15.75" customHeight="1" x14ac:dyDescent="0.35">
      <c r="A733" s="1" t="s">
        <v>112</v>
      </c>
      <c r="B733" s="1" t="str">
        <f t="shared" si="16"/>
        <v>HP</v>
      </c>
      <c r="C733" s="1" t="s">
        <v>4185</v>
      </c>
      <c r="D733" s="1" t="str">
        <f t="shared" si="1"/>
        <v>Pavilion 15-EG0100NE</v>
      </c>
      <c r="E733" s="1" t="str">
        <f t="array" aca="1" ref="E733" ca="1">IFERROR(
INDEX(Family_Map!$B$2:$B$35,
_xludf.AGGREGATE(14,6,(ROW(Family_Map!$A$2:$A$35)-ROW(Family_Map!$A$2)+1)/(ISNUMBER(SEARCH(Family_Map!$A$2:$A$35,D733))),1)
),
"Other")</f>
        <v>Other</v>
      </c>
      <c r="F733" s="1" t="s">
        <v>4071</v>
      </c>
      <c r="G733" s="1" t="e">
        <f t="shared" ca="1" si="2"/>
        <v>#NAME?</v>
      </c>
      <c r="H733" s="1" t="str">
        <f t="shared" ca="1" si="12"/>
        <v>Other</v>
      </c>
      <c r="I733" s="1" t="s">
        <v>4073</v>
      </c>
      <c r="J733" s="1" t="str">
        <f t="shared" si="3"/>
        <v>2GB</v>
      </c>
      <c r="K733" s="1" t="s">
        <v>1525</v>
      </c>
      <c r="L733" s="1">
        <f t="shared" si="39"/>
        <v>8</v>
      </c>
      <c r="M733" s="1" t="s">
        <v>2718</v>
      </c>
      <c r="N733" s="1" t="str">
        <f t="shared" si="5"/>
        <v>512 GB</v>
      </c>
      <c r="O733" s="1" t="str">
        <f t="shared" si="6"/>
        <v>512 GB</v>
      </c>
      <c r="P733" s="1" t="s">
        <v>3653</v>
      </c>
      <c r="Q733" s="1" t="str">
        <f t="shared" si="7"/>
        <v>1366x768</v>
      </c>
      <c r="S733" s="1" t="str">
        <f t="shared" si="8"/>
        <v/>
      </c>
      <c r="T733" s="1" t="s">
        <v>101</v>
      </c>
      <c r="U733" s="1" t="str">
        <f t="shared" si="9"/>
        <v>DOS</v>
      </c>
      <c r="V733" s="1" t="s">
        <v>3276</v>
      </c>
      <c r="W733" s="1" t="str">
        <f t="shared" si="10"/>
        <v>1.75 kg</v>
      </c>
      <c r="X733" s="1" t="s">
        <v>78</v>
      </c>
      <c r="Y733" s="1" t="str">
        <f t="shared" si="11"/>
        <v>1 Year</v>
      </c>
      <c r="Z733" s="4">
        <v>25999</v>
      </c>
      <c r="AA733" s="1" t="s">
        <v>1082</v>
      </c>
    </row>
    <row r="734" spans="1:27" ht="15.75" customHeight="1" x14ac:dyDescent="0.35">
      <c r="A734" s="1" t="s">
        <v>112</v>
      </c>
      <c r="B734" s="1" t="str">
        <f t="shared" si="16"/>
        <v>HP</v>
      </c>
      <c r="C734" s="1" t="s">
        <v>4058</v>
      </c>
      <c r="D734" s="1" t="str">
        <f t="shared" si="1"/>
        <v>250 G8</v>
      </c>
      <c r="E734" s="1" t="str">
        <f t="array" aca="1" ref="E734" ca="1">IFERROR(
INDEX(Family_Map!$B$2:$B$35,
_xludf.AGGREGATE(14,6,(ROW(Family_Map!$A$2:$A$35)-ROW(Family_Map!$A$2)+1)/(ISNUMBER(SEARCH(Family_Map!$A$2:$A$35,D734))),1)
),
"Other")</f>
        <v>Other</v>
      </c>
      <c r="F734" s="1" t="s">
        <v>4071</v>
      </c>
      <c r="G734" s="1" t="e">
        <f t="shared" ca="1" si="2"/>
        <v>#NAME?</v>
      </c>
      <c r="H734" s="1" t="str">
        <f t="shared" ca="1" si="12"/>
        <v>Other</v>
      </c>
      <c r="J734" s="1" t="str">
        <f t="shared" si="3"/>
        <v/>
      </c>
      <c r="K734" s="1" t="s">
        <v>4060</v>
      </c>
      <c r="L734" s="1">
        <f t="shared" si="39"/>
        <v>8</v>
      </c>
      <c r="M734" s="1" t="s">
        <v>4192</v>
      </c>
      <c r="N734" s="1" t="str">
        <f t="shared" si="5"/>
        <v>256 GB</v>
      </c>
      <c r="O734" s="1" t="str">
        <f t="shared" si="6"/>
        <v>256 GB</v>
      </c>
      <c r="P734" s="1" t="s">
        <v>616</v>
      </c>
      <c r="Q734" s="1" t="str">
        <f t="shared" si="7"/>
        <v>1920x1080</v>
      </c>
      <c r="S734" s="1" t="str">
        <f t="shared" si="8"/>
        <v/>
      </c>
      <c r="T734" s="1" t="s">
        <v>101</v>
      </c>
      <c r="U734" s="1" t="str">
        <f t="shared" si="9"/>
        <v>DOS</v>
      </c>
      <c r="V734" s="1" t="s">
        <v>3850</v>
      </c>
      <c r="W734" s="1" t="str">
        <f t="shared" si="10"/>
        <v>1.74 kg</v>
      </c>
      <c r="X734" s="1" t="s">
        <v>78</v>
      </c>
      <c r="Y734" s="1" t="str">
        <f t="shared" si="11"/>
        <v>1 Year</v>
      </c>
      <c r="Z734" s="4">
        <v>17500</v>
      </c>
      <c r="AA734" s="1" t="s">
        <v>1082</v>
      </c>
    </row>
    <row r="735" spans="1:27" ht="15.75" customHeight="1" x14ac:dyDescent="0.35">
      <c r="A735" s="1" t="s">
        <v>234</v>
      </c>
      <c r="B735" s="1" t="str">
        <f t="shared" si="16"/>
        <v>ASUS</v>
      </c>
      <c r="C735" s="1" t="s">
        <v>4196</v>
      </c>
      <c r="D735" s="1" t="str">
        <f t="shared" si="1"/>
        <v>Vivobook S 14 Flip TN3402QA-LZ005W</v>
      </c>
      <c r="E735" s="1" t="str">
        <f t="array" aca="1" ref="E735" ca="1">IFERROR(
INDEX(Family_Map!$B$2:$B$35,
_xludf.AGGREGATE(14,6,(ROW(Family_Map!$A$2:$A$35)-ROW(Family_Map!$A$2)+1)/(ISNUMBER(SEARCH(Family_Map!$A$2:$A$35,D735))),1)
),
"Other")</f>
        <v>Other</v>
      </c>
      <c r="F735" s="1" t="s">
        <v>1649</v>
      </c>
      <c r="G735" s="1" t="e">
        <f t="shared" ca="1" si="2"/>
        <v>#NAME?</v>
      </c>
      <c r="H735" s="1" t="str">
        <f t="shared" ca="1" si="12"/>
        <v>Other</v>
      </c>
      <c r="J735" s="1" t="str">
        <f t="shared" si="3"/>
        <v/>
      </c>
      <c r="K735" s="1" t="s">
        <v>462</v>
      </c>
      <c r="L735" s="1">
        <f t="shared" si="39"/>
        <v>8</v>
      </c>
      <c r="M735" s="1" t="s">
        <v>1604</v>
      </c>
      <c r="N735" s="1" t="str">
        <f t="shared" si="5"/>
        <v>512GB</v>
      </c>
      <c r="O735" s="1" t="str">
        <f t="shared" si="6"/>
        <v>512GB</v>
      </c>
      <c r="P735" s="1" t="s">
        <v>275</v>
      </c>
      <c r="Q735" s="1" t="str">
        <f t="shared" si="7"/>
        <v>1920x1200</v>
      </c>
      <c r="S735" s="1" t="str">
        <f t="shared" si="8"/>
        <v/>
      </c>
      <c r="T735" s="1" t="s">
        <v>90</v>
      </c>
      <c r="U735" s="1" t="str">
        <f t="shared" si="9"/>
        <v>Windows 11 Home</v>
      </c>
      <c r="V735" s="1" t="s">
        <v>3468</v>
      </c>
      <c r="W735" s="1" t="str">
        <f t="shared" si="10"/>
        <v>1.5 kg</v>
      </c>
      <c r="X735" s="1" t="s">
        <v>165</v>
      </c>
      <c r="Y735" s="1" t="str">
        <f t="shared" si="11"/>
        <v>2 Years</v>
      </c>
      <c r="Z735" s="4">
        <v>42000</v>
      </c>
      <c r="AA735" s="1" t="s">
        <v>5735</v>
      </c>
    </row>
    <row r="736" spans="1:27" ht="15.75" customHeight="1" x14ac:dyDescent="0.35">
      <c r="A736" s="1" t="s">
        <v>234</v>
      </c>
      <c r="B736" s="1" t="str">
        <f t="shared" si="16"/>
        <v>ASUS</v>
      </c>
      <c r="C736" s="1" t="s">
        <v>4201</v>
      </c>
      <c r="D736" s="1" t="str">
        <f t="shared" si="1"/>
        <v>Zenbook 14 Flip OLED UN5401QA-OLED007W</v>
      </c>
      <c r="E736" s="1" t="str">
        <f t="array" aca="1" ref="E736" ca="1">IFERROR(
INDEX(Family_Map!$B$2:$B$35,
_xludf.AGGREGATE(14,6,(ROW(Family_Map!$A$2:$A$35)-ROW(Family_Map!$A$2)+1)/(ISNUMBER(SEARCH(Family_Map!$A$2:$A$35,D736))),1)
),
"Other")</f>
        <v>Other</v>
      </c>
      <c r="F736" s="1" t="s">
        <v>1601</v>
      </c>
      <c r="G736" s="1" t="e">
        <f t="shared" ca="1" si="2"/>
        <v>#NAME?</v>
      </c>
      <c r="H736" s="1" t="str">
        <f t="shared" ca="1" si="12"/>
        <v>Other</v>
      </c>
      <c r="J736" s="1" t="str">
        <f t="shared" si="3"/>
        <v/>
      </c>
      <c r="K736" s="1" t="s">
        <v>4202</v>
      </c>
      <c r="L736" s="1">
        <f t="shared" si="39"/>
        <v>16</v>
      </c>
      <c r="M736" s="1" t="s">
        <v>1936</v>
      </c>
      <c r="N736" s="1" t="str">
        <f t="shared" si="5"/>
        <v>1TB</v>
      </c>
      <c r="O736" s="1" t="str">
        <f t="shared" si="6"/>
        <v>1024GB</v>
      </c>
      <c r="P736" s="1" t="s">
        <v>1021</v>
      </c>
      <c r="Q736" s="1" t="str">
        <f t="shared" si="7"/>
        <v>2880x1800</v>
      </c>
      <c r="R736" s="1" t="s">
        <v>4001</v>
      </c>
      <c r="S736" s="1" t="str">
        <f t="shared" si="8"/>
        <v>90Hz</v>
      </c>
      <c r="T736" s="1" t="s">
        <v>90</v>
      </c>
      <c r="U736" s="1" t="str">
        <f t="shared" si="9"/>
        <v>Windows 11 Home</v>
      </c>
      <c r="V736" s="1" t="s">
        <v>4207</v>
      </c>
      <c r="W736" s="1" t="str">
        <f t="shared" si="10"/>
        <v>1.4 kg</v>
      </c>
      <c r="X736" s="1" t="s">
        <v>165</v>
      </c>
      <c r="Y736" s="1" t="str">
        <f t="shared" si="11"/>
        <v>2 Years</v>
      </c>
      <c r="Z736" s="4">
        <v>57000</v>
      </c>
      <c r="AA736" s="1" t="s">
        <v>5735</v>
      </c>
    </row>
    <row r="737" spans="1:27" ht="15.75" customHeight="1" x14ac:dyDescent="0.35">
      <c r="A737" s="1" t="s">
        <v>234</v>
      </c>
      <c r="B737" s="1" t="str">
        <f t="shared" si="16"/>
        <v>ASUS</v>
      </c>
      <c r="C737" s="1" t="s">
        <v>4211</v>
      </c>
      <c r="D737" s="1" t="str">
        <f t="shared" si="1"/>
        <v>Zenbook 14X OLED UX5400EG-OLED007W</v>
      </c>
      <c r="E737" s="1" t="str">
        <f t="array" aca="1" ref="E737" ca="1">IFERROR(
INDEX(Family_Map!$B$2:$B$35,
_xludf.AGGREGATE(14,6,(ROW(Family_Map!$A$2:$A$35)-ROW(Family_Map!$A$2)+1)/(ISNUMBER(SEARCH(Family_Map!$A$2:$A$35,D737))),1)
),
"Other")</f>
        <v>Other</v>
      </c>
      <c r="F737" s="1" t="s">
        <v>3748</v>
      </c>
      <c r="G737" s="1" t="e">
        <f t="shared" ca="1" si="2"/>
        <v>#NAME?</v>
      </c>
      <c r="H737" s="1" t="str">
        <f t="shared" ca="1" si="12"/>
        <v>Other</v>
      </c>
      <c r="I737" s="1" t="s">
        <v>3670</v>
      </c>
      <c r="J737" s="1" t="str">
        <f t="shared" si="3"/>
        <v>2GB</v>
      </c>
      <c r="K737" s="1" t="s">
        <v>4213</v>
      </c>
      <c r="L737" s="1">
        <f t="shared" si="39"/>
        <v>16</v>
      </c>
      <c r="M737" s="1" t="s">
        <v>1936</v>
      </c>
      <c r="N737" s="1" t="str">
        <f t="shared" si="5"/>
        <v>1TB</v>
      </c>
      <c r="O737" s="1" t="str">
        <f t="shared" si="6"/>
        <v>1024GB</v>
      </c>
      <c r="P737" s="1" t="s">
        <v>1021</v>
      </c>
      <c r="Q737" s="1" t="str">
        <f t="shared" si="7"/>
        <v>2880x1800</v>
      </c>
      <c r="R737" s="1" t="s">
        <v>4001</v>
      </c>
      <c r="S737" s="1" t="str">
        <f t="shared" si="8"/>
        <v>90Hz</v>
      </c>
      <c r="T737" s="1" t="s">
        <v>90</v>
      </c>
      <c r="U737" s="1" t="str">
        <f t="shared" si="9"/>
        <v>Windows 11 Home</v>
      </c>
      <c r="V737" s="1" t="s">
        <v>4207</v>
      </c>
      <c r="W737" s="1" t="str">
        <f t="shared" si="10"/>
        <v>1.4 kg</v>
      </c>
      <c r="X737" s="1" t="s">
        <v>165</v>
      </c>
      <c r="Y737" s="1" t="str">
        <f t="shared" si="11"/>
        <v>2 Years</v>
      </c>
      <c r="Z737" s="4">
        <v>42799</v>
      </c>
      <c r="AA737" s="1" t="s">
        <v>1082</v>
      </c>
    </row>
    <row r="738" spans="1:27" ht="15.75" customHeight="1" x14ac:dyDescent="0.35">
      <c r="A738" s="1" t="s">
        <v>234</v>
      </c>
      <c r="B738" s="1" t="str">
        <f t="shared" si="16"/>
        <v>ASUS</v>
      </c>
      <c r="C738" s="1" t="s">
        <v>4221</v>
      </c>
      <c r="D738" s="1" t="str">
        <f t="shared" si="1"/>
        <v>Vivobook S 14 Flip TP3402ZA-LZ005W</v>
      </c>
      <c r="E738" s="1" t="str">
        <f t="array" aca="1" ref="E738" ca="1">IFERROR(
INDEX(Family_Map!$B$2:$B$35,
_xludf.AGGREGATE(14,6,(ROW(Family_Map!$A$2:$A$35)-ROW(Family_Map!$A$2)+1)/(ISNUMBER(SEARCH(Family_Map!$A$2:$A$35,D738))),1)
),
"Other")</f>
        <v>Other</v>
      </c>
      <c r="F738" s="1" t="s">
        <v>627</v>
      </c>
      <c r="G738" s="1" t="e">
        <f t="shared" ca="1" si="2"/>
        <v>#NAME?</v>
      </c>
      <c r="H738" s="1" t="str">
        <f t="shared" ca="1" si="12"/>
        <v>Other</v>
      </c>
      <c r="J738" s="1" t="str">
        <f t="shared" si="3"/>
        <v/>
      </c>
      <c r="K738" s="1" t="s">
        <v>462</v>
      </c>
      <c r="L738" s="1">
        <f t="shared" si="39"/>
        <v>8</v>
      </c>
      <c r="M738" s="1" t="s">
        <v>1604</v>
      </c>
      <c r="N738" s="1" t="str">
        <f t="shared" si="5"/>
        <v>512GB</v>
      </c>
      <c r="O738" s="1" t="str">
        <f t="shared" si="6"/>
        <v>512GB</v>
      </c>
      <c r="P738" s="1" t="s">
        <v>275</v>
      </c>
      <c r="Q738" s="1" t="str">
        <f t="shared" si="7"/>
        <v>1920x1200</v>
      </c>
      <c r="R738" s="1" t="s">
        <v>971</v>
      </c>
      <c r="S738" s="1" t="str">
        <f t="shared" si="8"/>
        <v>60Hz</v>
      </c>
      <c r="T738" s="1" t="s">
        <v>90</v>
      </c>
      <c r="U738" s="1" t="str">
        <f t="shared" si="9"/>
        <v>Windows 11 Home</v>
      </c>
      <c r="V738" s="1" t="s">
        <v>3468</v>
      </c>
      <c r="W738" s="1" t="str">
        <f t="shared" si="10"/>
        <v>1.5 kg</v>
      </c>
      <c r="X738" s="1" t="s">
        <v>165</v>
      </c>
      <c r="Y738" s="1" t="str">
        <f t="shared" si="11"/>
        <v>2 Years</v>
      </c>
      <c r="Z738" s="4">
        <v>34199</v>
      </c>
      <c r="AA738" s="1" t="s">
        <v>5735</v>
      </c>
    </row>
    <row r="739" spans="1:27" ht="15.75" customHeight="1" x14ac:dyDescent="0.35">
      <c r="A739" s="1" t="s">
        <v>234</v>
      </c>
      <c r="B739" s="1" t="str">
        <f t="shared" si="16"/>
        <v>ASUS</v>
      </c>
      <c r="C739" s="1" t="s">
        <v>4225</v>
      </c>
      <c r="D739" s="1" t="str">
        <f t="shared" si="1"/>
        <v>Vivobook S 14 Flip TP3402ZA-LZ007W</v>
      </c>
      <c r="E739" s="1" t="str">
        <f t="array" aca="1" ref="E739" ca="1">IFERROR(
INDEX(Family_Map!$B$2:$B$35,
_xludf.AGGREGATE(14,6,(ROW(Family_Map!$A$2:$A$35)-ROW(Family_Map!$A$2)+1)/(ISNUMBER(SEARCH(Family_Map!$A$2:$A$35,D739))),1)
),
"Other")</f>
        <v>Other</v>
      </c>
      <c r="F739" s="1" t="s">
        <v>1118</v>
      </c>
      <c r="G739" s="1" t="e">
        <f t="shared" ca="1" si="2"/>
        <v>#NAME?</v>
      </c>
      <c r="H739" s="1" t="str">
        <f t="shared" ca="1" si="12"/>
        <v>Other</v>
      </c>
      <c r="J739" s="1" t="str">
        <f t="shared" si="3"/>
        <v/>
      </c>
      <c r="K739" s="1" t="s">
        <v>462</v>
      </c>
      <c r="L739" s="1">
        <f t="shared" si="39"/>
        <v>8</v>
      </c>
      <c r="M739" s="1" t="s">
        <v>1604</v>
      </c>
      <c r="N739" s="1" t="str">
        <f t="shared" si="5"/>
        <v>512GB</v>
      </c>
      <c r="O739" s="1" t="str">
        <f t="shared" si="6"/>
        <v>512GB</v>
      </c>
      <c r="P739" s="1" t="s">
        <v>275</v>
      </c>
      <c r="Q739" s="1" t="str">
        <f t="shared" si="7"/>
        <v>1920x1200</v>
      </c>
      <c r="R739" s="1" t="s">
        <v>971</v>
      </c>
      <c r="S739" s="1" t="str">
        <f t="shared" si="8"/>
        <v>60Hz</v>
      </c>
      <c r="T739" s="1" t="s">
        <v>90</v>
      </c>
      <c r="U739" s="1" t="str">
        <f t="shared" si="9"/>
        <v>Windows 11 Home</v>
      </c>
      <c r="V739" s="1" t="s">
        <v>3468</v>
      </c>
      <c r="W739" s="1" t="str">
        <f t="shared" si="10"/>
        <v>1.5 kg</v>
      </c>
      <c r="X739" s="1" t="s">
        <v>165</v>
      </c>
      <c r="Y739" s="1" t="str">
        <f t="shared" si="11"/>
        <v>2 Years</v>
      </c>
      <c r="Z739" s="4">
        <v>42999</v>
      </c>
      <c r="AA739" s="1" t="s">
        <v>166</v>
      </c>
    </row>
    <row r="740" spans="1:27" ht="15.75" customHeight="1" x14ac:dyDescent="0.35">
      <c r="A740" s="1" t="s">
        <v>234</v>
      </c>
      <c r="B740" s="1" t="str">
        <f t="shared" si="16"/>
        <v>ASUS</v>
      </c>
      <c r="C740" s="1" t="s">
        <v>4228</v>
      </c>
      <c r="D740" s="1" t="str">
        <f t="shared" si="1"/>
        <v>Vivobook S 15 OLED K3502ZA-OLED005W</v>
      </c>
      <c r="E740" s="1" t="str">
        <f t="array" aca="1" ref="E740" ca="1">IFERROR(
INDEX(Family_Map!$B$2:$B$35,
_xludf.AGGREGATE(14,6,(ROW(Family_Map!$A$2:$A$35)-ROW(Family_Map!$A$2)+1)/(ISNUMBER(SEARCH(Family_Map!$A$2:$A$35,D740))),1)
),
"Other")</f>
        <v>Other</v>
      </c>
      <c r="F740" s="1" t="s">
        <v>627</v>
      </c>
      <c r="G740" s="1" t="e">
        <f t="shared" ca="1" si="2"/>
        <v>#NAME?</v>
      </c>
      <c r="H740" s="1" t="str">
        <f t="shared" ca="1" si="12"/>
        <v>Other</v>
      </c>
      <c r="J740" s="1" t="str">
        <f t="shared" si="3"/>
        <v/>
      </c>
      <c r="K740" s="1" t="s">
        <v>965</v>
      </c>
      <c r="L740" s="1">
        <f t="shared" si="39"/>
        <v>16</v>
      </c>
      <c r="M740" s="1" t="s">
        <v>1604</v>
      </c>
      <c r="N740" s="1" t="str">
        <f t="shared" si="5"/>
        <v>512GB</v>
      </c>
      <c r="O740" s="1" t="str">
        <f t="shared" si="6"/>
        <v>512GB</v>
      </c>
      <c r="P740" s="1" t="s">
        <v>616</v>
      </c>
      <c r="Q740" s="1" t="str">
        <f t="shared" si="7"/>
        <v>1920x1080</v>
      </c>
      <c r="R740" s="1" t="s">
        <v>971</v>
      </c>
      <c r="S740" s="1" t="str">
        <f t="shared" si="8"/>
        <v>60Hz</v>
      </c>
      <c r="T740" s="1" t="s">
        <v>90</v>
      </c>
      <c r="U740" s="1" t="str">
        <f t="shared" si="9"/>
        <v>Windows 11 Home</v>
      </c>
      <c r="V740" s="1" t="s">
        <v>636</v>
      </c>
      <c r="W740" s="1" t="str">
        <f t="shared" si="10"/>
        <v>1.8 kg</v>
      </c>
      <c r="X740" s="1" t="s">
        <v>165</v>
      </c>
      <c r="Y740" s="1" t="str">
        <f t="shared" si="11"/>
        <v>2 Years</v>
      </c>
      <c r="Z740" s="4">
        <v>33999</v>
      </c>
      <c r="AA740" s="1" t="s">
        <v>166</v>
      </c>
    </row>
    <row r="741" spans="1:27" ht="15.75" customHeight="1" x14ac:dyDescent="0.35">
      <c r="A741" s="1" t="s">
        <v>234</v>
      </c>
      <c r="B741" s="1" t="str">
        <f t="shared" si="16"/>
        <v>ASUS</v>
      </c>
      <c r="C741" s="1" t="s">
        <v>4233</v>
      </c>
      <c r="D741" s="1" t="str">
        <f t="shared" si="1"/>
        <v>Zenbook Duo 14 UX482EGR-HY007W</v>
      </c>
      <c r="E741" s="1" t="str">
        <f t="array" aca="1" ref="E741" ca="1">IFERROR(
INDEX(Family_Map!$B$2:$B$35,
_xludf.AGGREGATE(14,6,(ROW(Family_Map!$A$2:$A$35)-ROW(Family_Map!$A$2)+1)/(ISNUMBER(SEARCH(Family_Map!$A$2:$A$35,D741))),1)
),
"Other")</f>
        <v>Other</v>
      </c>
      <c r="F741" s="1" t="s">
        <v>4234</v>
      </c>
      <c r="G741" s="1" t="e">
        <f t="shared" ca="1" si="2"/>
        <v>#NAME?</v>
      </c>
      <c r="H741" s="1" t="str">
        <f t="shared" ca="1" si="12"/>
        <v>Other</v>
      </c>
      <c r="I741" s="1" t="s">
        <v>3670</v>
      </c>
      <c r="J741" s="1" t="str">
        <f t="shared" si="3"/>
        <v>2GB</v>
      </c>
      <c r="K741" s="1" t="s">
        <v>2578</v>
      </c>
      <c r="L741" s="1">
        <f t="shared" si="39"/>
        <v>16</v>
      </c>
      <c r="M741" s="1" t="s">
        <v>1936</v>
      </c>
      <c r="N741" s="1" t="str">
        <f t="shared" si="5"/>
        <v>1TB</v>
      </c>
      <c r="O741" s="1" t="str">
        <f t="shared" si="6"/>
        <v>1024GB</v>
      </c>
      <c r="P741" s="1" t="s">
        <v>616</v>
      </c>
      <c r="Q741" s="1" t="str">
        <f t="shared" si="7"/>
        <v>1920x1080</v>
      </c>
      <c r="S741" s="1" t="str">
        <f t="shared" si="8"/>
        <v/>
      </c>
      <c r="T741" s="1" t="s">
        <v>90</v>
      </c>
      <c r="U741" s="1" t="str">
        <f t="shared" si="9"/>
        <v>Windows 11 Home</v>
      </c>
      <c r="V741" s="1" t="s">
        <v>1609</v>
      </c>
      <c r="W741" s="1" t="str">
        <f t="shared" si="10"/>
        <v>1.65 kg</v>
      </c>
      <c r="X741" s="1" t="s">
        <v>339</v>
      </c>
      <c r="Y741" s="1" t="str">
        <f t="shared" si="11"/>
        <v>2 Years</v>
      </c>
      <c r="Z741" s="4">
        <v>58149</v>
      </c>
      <c r="AA741" s="1" t="s">
        <v>1082</v>
      </c>
    </row>
    <row r="742" spans="1:27" ht="15.75" customHeight="1" x14ac:dyDescent="0.35">
      <c r="A742" s="1" t="s">
        <v>151</v>
      </c>
      <c r="B742" s="1" t="str">
        <f t="shared" si="16"/>
        <v>Lenovo</v>
      </c>
      <c r="C742" s="1" t="s">
        <v>4241</v>
      </c>
      <c r="D742" s="1" t="str">
        <f t="shared" si="1"/>
        <v>IDEAPAD FLEX 5 14ALC05</v>
      </c>
      <c r="E742" s="1" t="str">
        <f t="array" aca="1" ref="E742" ca="1">IFERROR(
INDEX(Family_Map!$B$2:$B$35,
_xludf.AGGREGATE(14,6,(ROW(Family_Map!$A$2:$A$35)-ROW(Family_Map!$A$2)+1)/(ISNUMBER(SEARCH(Family_Map!$A$2:$A$35,D742))),1)
),
"Other")</f>
        <v>Other</v>
      </c>
      <c r="F742" s="1" t="s">
        <v>4108</v>
      </c>
      <c r="G742" s="1" t="e">
        <f t="shared" ca="1" si="2"/>
        <v>#NAME?</v>
      </c>
      <c r="H742" s="1" t="str">
        <f t="shared" ca="1" si="12"/>
        <v>Other</v>
      </c>
      <c r="J742" s="1" t="str">
        <f t="shared" si="3"/>
        <v/>
      </c>
      <c r="K742" s="1" t="s">
        <v>3327</v>
      </c>
      <c r="L742" s="1">
        <f t="shared" si="39"/>
        <v>8</v>
      </c>
      <c r="M742" s="1" t="s">
        <v>1506</v>
      </c>
      <c r="N742" s="1" t="str">
        <f t="shared" si="5"/>
        <v>512GB</v>
      </c>
      <c r="O742" s="1" t="str">
        <f t="shared" si="6"/>
        <v>512GB</v>
      </c>
      <c r="P742" s="1" t="s">
        <v>616</v>
      </c>
      <c r="Q742" s="1" t="str">
        <f t="shared" si="7"/>
        <v>1920x1080</v>
      </c>
      <c r="S742" s="1" t="str">
        <f t="shared" si="8"/>
        <v/>
      </c>
      <c r="T742" s="1" t="s">
        <v>90</v>
      </c>
      <c r="U742" s="1" t="str">
        <f t="shared" si="9"/>
        <v>Windows 11 Home</v>
      </c>
      <c r="V742" s="1" t="s">
        <v>2584</v>
      </c>
      <c r="W742" s="1" t="str">
        <f t="shared" si="10"/>
        <v>1.5 kg</v>
      </c>
      <c r="X742" s="1" t="s">
        <v>78</v>
      </c>
      <c r="Y742" s="1" t="str">
        <f t="shared" si="11"/>
        <v>1 Year</v>
      </c>
      <c r="Z742" s="4">
        <v>26749</v>
      </c>
      <c r="AA742" s="1" t="s">
        <v>5735</v>
      </c>
    </row>
    <row r="743" spans="1:27" ht="15.75" customHeight="1" x14ac:dyDescent="0.35">
      <c r="A743" s="1" t="s">
        <v>151</v>
      </c>
      <c r="B743" s="1" t="str">
        <f t="shared" si="16"/>
        <v>Lenovo</v>
      </c>
      <c r="C743" s="1" t="s">
        <v>3660</v>
      </c>
      <c r="D743" s="1" t="str">
        <f t="shared" si="1"/>
        <v>IdeaPad 1 15IAU7</v>
      </c>
      <c r="E743" s="1" t="str">
        <f t="array" aca="1" ref="E743" ca="1">IFERROR(
INDEX(Family_Map!$B$2:$B$35,
_xludf.AGGREGATE(14,6,(ROW(Family_Map!$A$2:$A$35)-ROW(Family_Map!$A$2)+1)/(ISNUMBER(SEARCH(Family_Map!$A$2:$A$35,D743))),1)
),
"Other")</f>
        <v>Other</v>
      </c>
      <c r="F743" s="1" t="s">
        <v>3661</v>
      </c>
      <c r="G743" s="1" t="e">
        <f t="shared" ca="1" si="2"/>
        <v>#NAME?</v>
      </c>
      <c r="H743" s="1" t="str">
        <f t="shared" ca="1" si="12"/>
        <v>Other</v>
      </c>
      <c r="J743" s="1" t="str">
        <f t="shared" si="3"/>
        <v/>
      </c>
      <c r="K743" s="1" t="s">
        <v>3327</v>
      </c>
      <c r="L743" s="1">
        <f t="shared" si="39"/>
        <v>8</v>
      </c>
      <c r="M743" s="1" t="s">
        <v>1506</v>
      </c>
      <c r="N743" s="1" t="str">
        <f t="shared" si="5"/>
        <v>512GB</v>
      </c>
      <c r="O743" s="1" t="str">
        <f t="shared" si="6"/>
        <v>512GB</v>
      </c>
      <c r="P743" s="1" t="s">
        <v>120</v>
      </c>
      <c r="Q743" s="1" t="str">
        <f t="shared" si="7"/>
        <v>1920x1080</v>
      </c>
      <c r="S743" s="1" t="str">
        <f t="shared" si="8"/>
        <v/>
      </c>
      <c r="T743" s="1" t="s">
        <v>90</v>
      </c>
      <c r="U743" s="1" t="str">
        <f t="shared" si="9"/>
        <v>Windows 11 Home</v>
      </c>
      <c r="V743" s="1" t="s">
        <v>3346</v>
      </c>
      <c r="W743" s="1" t="str">
        <f t="shared" si="10"/>
        <v>1.63 kg</v>
      </c>
      <c r="X743" s="1" t="s">
        <v>165</v>
      </c>
      <c r="Y743" s="1" t="str">
        <f t="shared" si="11"/>
        <v>2 Years</v>
      </c>
      <c r="Z743" s="4">
        <v>24999</v>
      </c>
      <c r="AA743" s="1" t="s">
        <v>166</v>
      </c>
    </row>
    <row r="744" spans="1:27" ht="15.75" customHeight="1" x14ac:dyDescent="0.35">
      <c r="A744" s="1" t="s">
        <v>30</v>
      </c>
      <c r="B744" s="1" t="str">
        <f t="shared" si="16"/>
        <v>MSI</v>
      </c>
      <c r="C744" s="1" t="s">
        <v>4243</v>
      </c>
      <c r="D744" s="1" t="str">
        <f t="shared" si="1"/>
        <v>Modern 14 B5M-208</v>
      </c>
      <c r="E744" s="1" t="str">
        <f t="array" aca="1" ref="E744" ca="1">IFERROR(
INDEX(Family_Map!$B$2:$B$35,
_xludf.AGGREGATE(14,6,(ROW(Family_Map!$A$2:$A$35)-ROW(Family_Map!$A$2)+1)/(ISNUMBER(SEARCH(Family_Map!$A$2:$A$35,D744))),1)
),
"Other")</f>
        <v>Other</v>
      </c>
      <c r="F744" s="1" t="s">
        <v>4244</v>
      </c>
      <c r="G744" s="1" t="e">
        <f t="shared" ca="1" si="2"/>
        <v>#NAME?</v>
      </c>
      <c r="H744" s="1" t="str">
        <f t="shared" ca="1" si="12"/>
        <v>Other</v>
      </c>
      <c r="J744" s="1" t="str">
        <f t="shared" si="3"/>
        <v/>
      </c>
      <c r="K744" s="1" t="s">
        <v>2110</v>
      </c>
      <c r="L744" s="1">
        <f t="shared" si="39"/>
        <v>8</v>
      </c>
      <c r="M744" s="1" t="s">
        <v>4245</v>
      </c>
      <c r="N744" s="1" t="str">
        <f t="shared" si="5"/>
        <v>256GB</v>
      </c>
      <c r="O744" s="1" t="str">
        <f t="shared" si="6"/>
        <v>256GB</v>
      </c>
      <c r="P744" s="1" t="s">
        <v>616</v>
      </c>
      <c r="Q744" s="1" t="str">
        <f t="shared" si="7"/>
        <v>1920x1080</v>
      </c>
      <c r="R744" s="1" t="s">
        <v>971</v>
      </c>
      <c r="S744" s="1" t="str">
        <f t="shared" si="8"/>
        <v>60Hz</v>
      </c>
      <c r="T744" s="1" t="s">
        <v>101</v>
      </c>
      <c r="U744" s="1" t="str">
        <f t="shared" si="9"/>
        <v>DOS</v>
      </c>
      <c r="V744" s="1" t="s">
        <v>4249</v>
      </c>
      <c r="W744" s="1" t="str">
        <f t="shared" si="10"/>
        <v>1.3 kg</v>
      </c>
      <c r="X744" s="1" t="s">
        <v>78</v>
      </c>
      <c r="Y744" s="1" t="str">
        <f t="shared" si="11"/>
        <v>1 Year</v>
      </c>
      <c r="Z744" s="4">
        <v>19999</v>
      </c>
      <c r="AA744" s="1" t="s">
        <v>5735</v>
      </c>
    </row>
    <row r="745" spans="1:27" ht="15.75" customHeight="1" x14ac:dyDescent="0.35">
      <c r="A745" s="1" t="s">
        <v>81</v>
      </c>
      <c r="B745" s="1" t="str">
        <f t="shared" si="16"/>
        <v>Dell</v>
      </c>
      <c r="C745" s="1" t="s">
        <v>4251</v>
      </c>
      <c r="D745" s="1" t="str">
        <f t="shared" si="1"/>
        <v>Inspiron 3501</v>
      </c>
      <c r="E745" s="1" t="str">
        <f t="array" aca="1" ref="E745" ca="1">IFERROR(
INDEX(Family_Map!$B$2:$B$35,
_xludf.AGGREGATE(14,6,(ROW(Family_Map!$A$2:$A$35)-ROW(Family_Map!$A$2)+1)/(ISNUMBER(SEARCH(Family_Map!$A$2:$A$35,D745))),1)
),
"Other")</f>
        <v>Other</v>
      </c>
      <c r="F745" s="1" t="s">
        <v>4071</v>
      </c>
      <c r="G745" s="1" t="e">
        <f t="shared" ca="1" si="2"/>
        <v>#NAME?</v>
      </c>
      <c r="H745" s="1" t="str">
        <f t="shared" ca="1" si="12"/>
        <v>Other</v>
      </c>
      <c r="I745" s="1" t="s">
        <v>4073</v>
      </c>
      <c r="J745" s="1" t="str">
        <f t="shared" si="3"/>
        <v>2GB</v>
      </c>
      <c r="K745" s="1" t="s">
        <v>3943</v>
      </c>
      <c r="L745" s="1">
        <f t="shared" si="39"/>
        <v>8</v>
      </c>
      <c r="M745" s="1" t="s">
        <v>3495</v>
      </c>
      <c r="N745" s="1" t="str">
        <f t="shared" si="5"/>
        <v>256GB</v>
      </c>
      <c r="O745" s="1" t="str">
        <f t="shared" si="6"/>
        <v>256GB</v>
      </c>
      <c r="P745" s="1" t="s">
        <v>120</v>
      </c>
      <c r="Q745" s="1" t="str">
        <f t="shared" si="7"/>
        <v>1920x1080</v>
      </c>
      <c r="S745" s="1" t="str">
        <f t="shared" si="8"/>
        <v/>
      </c>
      <c r="T745" s="1" t="s">
        <v>121</v>
      </c>
      <c r="U745" s="1" t="str">
        <f t="shared" si="9"/>
        <v>DOS</v>
      </c>
      <c r="V745" s="1" t="s">
        <v>4258</v>
      </c>
      <c r="W745" s="1" t="str">
        <f t="shared" si="10"/>
        <v>1.83 kg</v>
      </c>
      <c r="X745" s="1" t="s">
        <v>129</v>
      </c>
      <c r="Y745" s="1" t="str">
        <f t="shared" si="11"/>
        <v>1 Year</v>
      </c>
      <c r="Z745" s="4">
        <v>19499</v>
      </c>
      <c r="AA745" s="1" t="s">
        <v>1082</v>
      </c>
    </row>
    <row r="746" spans="1:27" ht="15.75" customHeight="1" x14ac:dyDescent="0.35">
      <c r="A746" s="1" t="s">
        <v>234</v>
      </c>
      <c r="B746" s="1" t="str">
        <f t="shared" si="16"/>
        <v>ASUS</v>
      </c>
      <c r="C746" s="1" t="s">
        <v>4260</v>
      </c>
      <c r="D746" s="1" t="str">
        <f t="shared" si="1"/>
        <v>X515EP-BQ8G7W</v>
      </c>
      <c r="E746" s="1" t="str">
        <f t="array" aca="1" ref="E746" ca="1">IFERROR(
INDEX(Family_Map!$B$2:$B$35,
_xludf.AGGREGATE(14,6,(ROW(Family_Map!$A$2:$A$35)-ROW(Family_Map!$A$2)+1)/(ISNUMBER(SEARCH(Family_Map!$A$2:$A$35,D746))),1)
),
"Other")</f>
        <v>Other</v>
      </c>
      <c r="F746" s="1" t="s">
        <v>3748</v>
      </c>
      <c r="G746" s="1" t="e">
        <f t="shared" ca="1" si="2"/>
        <v>#NAME?</v>
      </c>
      <c r="H746" s="1" t="str">
        <f t="shared" ca="1" si="12"/>
        <v>Other</v>
      </c>
      <c r="I746" s="1" t="s">
        <v>4073</v>
      </c>
      <c r="J746" s="1" t="str">
        <f t="shared" si="3"/>
        <v>2GB</v>
      </c>
      <c r="K746" s="1" t="s">
        <v>628</v>
      </c>
      <c r="L746" s="1">
        <f t="shared" si="39"/>
        <v>8</v>
      </c>
      <c r="M746" s="1" t="s">
        <v>1604</v>
      </c>
      <c r="N746" s="1" t="str">
        <f t="shared" si="5"/>
        <v>512GB</v>
      </c>
      <c r="O746" s="1" t="str">
        <f t="shared" si="6"/>
        <v>512GB</v>
      </c>
      <c r="P746" s="1" t="s">
        <v>616</v>
      </c>
      <c r="Q746" s="1" t="str">
        <f t="shared" si="7"/>
        <v>1920x1080</v>
      </c>
      <c r="S746" s="1" t="str">
        <f t="shared" si="8"/>
        <v/>
      </c>
      <c r="T746" s="1" t="s">
        <v>90</v>
      </c>
      <c r="U746" s="1" t="str">
        <f t="shared" si="9"/>
        <v>Windows 11 Home</v>
      </c>
      <c r="V746" s="1" t="s">
        <v>636</v>
      </c>
      <c r="W746" s="1" t="str">
        <f t="shared" si="10"/>
        <v>1.8 kg</v>
      </c>
      <c r="X746" s="1" t="s">
        <v>165</v>
      </c>
      <c r="Y746" s="1" t="str">
        <f t="shared" si="11"/>
        <v>2 Years</v>
      </c>
      <c r="Z746" s="4">
        <v>23099</v>
      </c>
      <c r="AA746" s="1" t="s">
        <v>1082</v>
      </c>
    </row>
    <row r="747" spans="1:27" ht="15.75" customHeight="1" x14ac:dyDescent="0.35">
      <c r="A747" s="1" t="s">
        <v>234</v>
      </c>
      <c r="B747" s="1" t="str">
        <f t="shared" si="16"/>
        <v>ASUS</v>
      </c>
      <c r="C747" s="1" t="s">
        <v>4266</v>
      </c>
      <c r="D747" s="1" t="str">
        <f t="shared" si="1"/>
        <v>Vivobook Go 15 OLED E1504FA-OLED005W</v>
      </c>
      <c r="E747" s="1" t="str">
        <f t="array" aca="1" ref="E747" ca="1">IFERROR(
INDEX(Family_Map!$B$2:$B$35,
_xludf.AGGREGATE(14,6,(ROW(Family_Map!$A$2:$A$35)-ROW(Family_Map!$A$2)+1)/(ISNUMBER(SEARCH(Family_Map!$A$2:$A$35,D747))),1)
),
"Other")</f>
        <v>Other</v>
      </c>
      <c r="F747" s="1" t="s">
        <v>4267</v>
      </c>
      <c r="G747" s="1" t="e">
        <f t="shared" ca="1" si="2"/>
        <v>#NAME?</v>
      </c>
      <c r="H747" s="1" t="str">
        <f t="shared" ca="1" si="12"/>
        <v>Other</v>
      </c>
      <c r="J747" s="1" t="str">
        <f t="shared" si="3"/>
        <v/>
      </c>
      <c r="K747" s="1" t="s">
        <v>3913</v>
      </c>
      <c r="L747" s="1">
        <f t="shared" si="39"/>
        <v>8</v>
      </c>
      <c r="M747" s="1" t="s">
        <v>1604</v>
      </c>
      <c r="N747" s="1" t="str">
        <f t="shared" si="5"/>
        <v>512GB</v>
      </c>
      <c r="O747" s="1" t="str">
        <f t="shared" si="6"/>
        <v>512GB</v>
      </c>
      <c r="P747" s="1" t="s">
        <v>120</v>
      </c>
      <c r="Q747" s="1" t="str">
        <f t="shared" si="7"/>
        <v>1920x1080</v>
      </c>
      <c r="S747" s="1" t="str">
        <f t="shared" si="8"/>
        <v/>
      </c>
      <c r="T747" s="1" t="s">
        <v>90</v>
      </c>
      <c r="U747" s="1" t="str">
        <f t="shared" si="9"/>
        <v>Windows 11 Home</v>
      </c>
      <c r="V747" s="1" t="s">
        <v>3346</v>
      </c>
      <c r="W747" s="1" t="str">
        <f t="shared" si="10"/>
        <v>1.63 kg</v>
      </c>
      <c r="X747" s="1" t="s">
        <v>165</v>
      </c>
      <c r="Y747" s="1" t="str">
        <f t="shared" si="11"/>
        <v>2 Years</v>
      </c>
      <c r="Z747" s="4">
        <v>37999</v>
      </c>
      <c r="AA747" s="1" t="s">
        <v>5735</v>
      </c>
    </row>
    <row r="748" spans="1:27" ht="15.75" customHeight="1" x14ac:dyDescent="0.35">
      <c r="A748" s="1" t="s">
        <v>234</v>
      </c>
      <c r="B748" s="1" t="str">
        <f t="shared" si="16"/>
        <v>ASUS</v>
      </c>
      <c r="C748" s="1" t="s">
        <v>4271</v>
      </c>
      <c r="D748" s="1" t="str">
        <f t="shared" si="1"/>
        <v>VivoBook 15 X1502ZA-EJ003W</v>
      </c>
      <c r="E748" s="1" t="str">
        <f t="array" aca="1" ref="E748" ca="1">IFERROR(
INDEX(Family_Map!$B$2:$B$35,
_xludf.AGGREGATE(14,6,(ROW(Family_Map!$A$2:$A$35)-ROW(Family_Map!$A$2)+1)/(ISNUMBER(SEARCH(Family_Map!$A$2:$A$35,D748))),1)
),
"Other")</f>
        <v>Other</v>
      </c>
      <c r="F748" s="1" t="s">
        <v>3739</v>
      </c>
      <c r="G748" s="1" t="e">
        <f t="shared" ca="1" si="2"/>
        <v>#NAME?</v>
      </c>
      <c r="H748" s="1" t="str">
        <f t="shared" ca="1" si="12"/>
        <v>Other</v>
      </c>
      <c r="J748" s="1" t="str">
        <f t="shared" si="3"/>
        <v/>
      </c>
      <c r="K748" s="1" t="s">
        <v>3650</v>
      </c>
      <c r="L748" s="1">
        <f t="shared" si="39"/>
        <v>4</v>
      </c>
      <c r="M748" s="1" t="s">
        <v>3799</v>
      </c>
      <c r="N748" s="1" t="str">
        <f t="shared" si="5"/>
        <v>256GB</v>
      </c>
      <c r="O748" s="1" t="str">
        <f t="shared" si="6"/>
        <v>256GB</v>
      </c>
      <c r="P748" s="1" t="s">
        <v>120</v>
      </c>
      <c r="Q748" s="1" t="str">
        <f t="shared" si="7"/>
        <v>1920x1080</v>
      </c>
      <c r="S748" s="1" t="str">
        <f t="shared" si="8"/>
        <v/>
      </c>
      <c r="T748" s="1" t="s">
        <v>90</v>
      </c>
      <c r="U748" s="1" t="str">
        <f t="shared" si="9"/>
        <v>Windows 11 Home</v>
      </c>
      <c r="V748" s="1" t="s">
        <v>3500</v>
      </c>
      <c r="W748" s="1" t="str">
        <f t="shared" si="10"/>
        <v>1.7 kg</v>
      </c>
      <c r="X748" s="1" t="s">
        <v>165</v>
      </c>
      <c r="Y748" s="1" t="str">
        <f t="shared" si="11"/>
        <v>2 Years</v>
      </c>
      <c r="Z748" s="4">
        <v>13999</v>
      </c>
      <c r="AA748" s="1" t="s">
        <v>166</v>
      </c>
    </row>
    <row r="749" spans="1:27" ht="15.75" customHeight="1" x14ac:dyDescent="0.35">
      <c r="A749" s="1" t="s">
        <v>234</v>
      </c>
      <c r="B749" s="1" t="str">
        <f t="shared" si="16"/>
        <v>ASUS</v>
      </c>
      <c r="C749" s="1" t="s">
        <v>4275</v>
      </c>
      <c r="D749" s="1" t="str">
        <f t="shared" si="1"/>
        <v>Vivobook 15 X1500EP-EJ005W</v>
      </c>
      <c r="E749" s="1" t="str">
        <f t="array" aca="1" ref="E749" ca="1">IFERROR(
INDEX(Family_Map!$B$2:$B$35,
_xludf.AGGREGATE(14,6,(ROW(Family_Map!$A$2:$A$35)-ROW(Family_Map!$A$2)+1)/(ISNUMBER(SEARCH(Family_Map!$A$2:$A$35,D749))),1)
),
"Other")</f>
        <v>Other</v>
      </c>
      <c r="F749" s="1" t="s">
        <v>4071</v>
      </c>
      <c r="G749" s="1" t="e">
        <f t="shared" ca="1" si="2"/>
        <v>#NAME?</v>
      </c>
      <c r="H749" s="1" t="str">
        <f t="shared" ca="1" si="12"/>
        <v>Other</v>
      </c>
      <c r="I749" s="1" t="s">
        <v>4073</v>
      </c>
      <c r="J749" s="1" t="str">
        <f t="shared" si="3"/>
        <v>2GB</v>
      </c>
      <c r="K749" s="1" t="s">
        <v>462</v>
      </c>
      <c r="L749" s="1">
        <f t="shared" si="39"/>
        <v>8</v>
      </c>
      <c r="M749" s="1" t="s">
        <v>1604</v>
      </c>
      <c r="N749" s="1" t="str">
        <f t="shared" si="5"/>
        <v>512GB</v>
      </c>
      <c r="O749" s="1" t="str">
        <f t="shared" si="6"/>
        <v>512GB</v>
      </c>
      <c r="P749" s="1" t="s">
        <v>120</v>
      </c>
      <c r="Q749" s="1" t="str">
        <f t="shared" si="7"/>
        <v>1920x1080</v>
      </c>
      <c r="S749" s="1" t="str">
        <f t="shared" si="8"/>
        <v/>
      </c>
      <c r="T749" s="1" t="s">
        <v>90</v>
      </c>
      <c r="U749" s="1" t="str">
        <f t="shared" si="9"/>
        <v>Windows 11 Home</v>
      </c>
      <c r="V749" s="1" t="s">
        <v>636</v>
      </c>
      <c r="W749" s="1" t="str">
        <f t="shared" si="10"/>
        <v>1.8 kg</v>
      </c>
      <c r="X749" s="1" t="s">
        <v>165</v>
      </c>
      <c r="Y749" s="1" t="str">
        <f t="shared" si="11"/>
        <v>2 Years</v>
      </c>
      <c r="Z749" s="4">
        <v>18999</v>
      </c>
      <c r="AA749" s="1" t="s">
        <v>1082</v>
      </c>
    </row>
    <row r="750" spans="1:27" ht="15.75" customHeight="1" x14ac:dyDescent="0.35">
      <c r="A750" s="1" t="s">
        <v>234</v>
      </c>
      <c r="B750" s="1" t="str">
        <f t="shared" si="16"/>
        <v>ASUS</v>
      </c>
      <c r="C750" s="1" t="s">
        <v>4280</v>
      </c>
      <c r="D750" s="1" t="str">
        <f t="shared" si="1"/>
        <v>Vivobook 15 X1500EP-EJ007W</v>
      </c>
      <c r="E750" s="1" t="str">
        <f t="array" aca="1" ref="E750" ca="1">IFERROR(
INDEX(Family_Map!$B$2:$B$35,
_xludf.AGGREGATE(14,6,(ROW(Family_Map!$A$2:$A$35)-ROW(Family_Map!$A$2)+1)/(ISNUMBER(SEARCH(Family_Map!$A$2:$A$35,D750))),1)
),
"Other")</f>
        <v>Other</v>
      </c>
      <c r="F750" s="1" t="s">
        <v>3748</v>
      </c>
      <c r="G750" s="1" t="e">
        <f t="shared" ca="1" si="2"/>
        <v>#NAME?</v>
      </c>
      <c r="H750" s="1" t="str">
        <f t="shared" ca="1" si="12"/>
        <v>Other</v>
      </c>
      <c r="I750" s="1" t="s">
        <v>4073</v>
      </c>
      <c r="J750" s="1" t="str">
        <f t="shared" si="3"/>
        <v>2GB</v>
      </c>
      <c r="K750" s="1" t="s">
        <v>462</v>
      </c>
      <c r="L750" s="1">
        <f t="shared" si="39"/>
        <v>8</v>
      </c>
      <c r="M750" s="1" t="s">
        <v>1604</v>
      </c>
      <c r="N750" s="1" t="str">
        <f t="shared" si="5"/>
        <v>512GB</v>
      </c>
      <c r="O750" s="1" t="str">
        <f t="shared" si="6"/>
        <v>512GB</v>
      </c>
      <c r="P750" s="1" t="s">
        <v>120</v>
      </c>
      <c r="Q750" s="1" t="str">
        <f t="shared" si="7"/>
        <v>1920x1080</v>
      </c>
      <c r="S750" s="1" t="str">
        <f t="shared" si="8"/>
        <v/>
      </c>
      <c r="T750" s="1" t="s">
        <v>90</v>
      </c>
      <c r="U750" s="1" t="str">
        <f t="shared" si="9"/>
        <v>Windows 11 Home</v>
      </c>
      <c r="V750" s="1" t="s">
        <v>636</v>
      </c>
      <c r="W750" s="1" t="str">
        <f t="shared" si="10"/>
        <v>1.8 kg</v>
      </c>
      <c r="X750" s="1" t="s">
        <v>165</v>
      </c>
      <c r="Y750" s="1" t="str">
        <f t="shared" si="11"/>
        <v>2 Years</v>
      </c>
      <c r="Z750" s="4">
        <v>39900</v>
      </c>
      <c r="AA750" s="1" t="s">
        <v>1082</v>
      </c>
    </row>
    <row r="751" spans="1:27" ht="15.75" customHeight="1" x14ac:dyDescent="0.35">
      <c r="A751" s="1" t="s">
        <v>234</v>
      </c>
      <c r="B751" s="1" t="str">
        <f t="shared" si="16"/>
        <v>ASUS</v>
      </c>
      <c r="C751" s="1" t="s">
        <v>4282</v>
      </c>
      <c r="D751" s="1" t="str">
        <f t="shared" si="1"/>
        <v>Vivobook 16 X1605ZA-MB005W</v>
      </c>
      <c r="E751" s="1" t="str">
        <f t="array" aca="1" ref="E751" ca="1">IFERROR(
INDEX(Family_Map!$B$2:$B$35,
_xludf.AGGREGATE(14,6,(ROW(Family_Map!$A$2:$A$35)-ROW(Family_Map!$A$2)+1)/(ISNUMBER(SEARCH(Family_Map!$A$2:$A$35,D751))),1)
),
"Other")</f>
        <v>Other</v>
      </c>
      <c r="F751" s="1" t="s">
        <v>3516</v>
      </c>
      <c r="G751" s="1" t="e">
        <f t="shared" ca="1" si="2"/>
        <v>#NAME?</v>
      </c>
      <c r="H751" s="1" t="str">
        <f t="shared" ca="1" si="12"/>
        <v>Other</v>
      </c>
      <c r="J751" s="1" t="str">
        <f t="shared" si="3"/>
        <v/>
      </c>
      <c r="K751" s="1" t="s">
        <v>462</v>
      </c>
      <c r="L751" s="1">
        <f t="shared" si="39"/>
        <v>8</v>
      </c>
      <c r="M751" s="1" t="s">
        <v>4283</v>
      </c>
      <c r="N751" s="1" t="str">
        <f t="shared" si="5"/>
        <v>512GB</v>
      </c>
      <c r="O751" s="1" t="str">
        <f t="shared" si="6"/>
        <v>512GB</v>
      </c>
      <c r="P751" s="1" t="s">
        <v>275</v>
      </c>
      <c r="Q751" s="1" t="str">
        <f t="shared" si="7"/>
        <v>1920x1200</v>
      </c>
      <c r="S751" s="1" t="str">
        <f t="shared" si="8"/>
        <v/>
      </c>
      <c r="T751" s="1" t="s">
        <v>90</v>
      </c>
      <c r="U751" s="1" t="str">
        <f t="shared" si="9"/>
        <v>Windows 11 Home</v>
      </c>
      <c r="V751" s="1" t="s">
        <v>3401</v>
      </c>
      <c r="W751" s="1" t="str">
        <f t="shared" si="10"/>
        <v>1.88 kg</v>
      </c>
      <c r="X751" s="1" t="s">
        <v>165</v>
      </c>
      <c r="Y751" s="1" t="str">
        <f t="shared" si="11"/>
        <v>2 Years</v>
      </c>
      <c r="Z751" s="4">
        <v>22999</v>
      </c>
      <c r="AA751" s="1" t="s">
        <v>166</v>
      </c>
    </row>
    <row r="752" spans="1:27" ht="15.75" customHeight="1" x14ac:dyDescent="0.35">
      <c r="A752" s="1" t="s">
        <v>234</v>
      </c>
      <c r="B752" s="1" t="str">
        <f t="shared" si="16"/>
        <v>ASUS</v>
      </c>
      <c r="C752" s="1" t="s">
        <v>4287</v>
      </c>
      <c r="D752" s="1" t="str">
        <f t="shared" si="1"/>
        <v>Vivobook 16 X1605VA-MB005W</v>
      </c>
      <c r="E752" s="1" t="str">
        <f t="array" aca="1" ref="E752" ca="1">IFERROR(
INDEX(Family_Map!$B$2:$B$35,
_xludf.AGGREGATE(14,6,(ROW(Family_Map!$A$2:$A$35)-ROW(Family_Map!$A$2)+1)/(ISNUMBER(SEARCH(Family_Map!$A$2:$A$35,D752))),1)
),
"Other")</f>
        <v>Other</v>
      </c>
      <c r="F752" s="1" t="s">
        <v>750</v>
      </c>
      <c r="G752" s="1" t="e">
        <f t="shared" ca="1" si="2"/>
        <v>#NAME?</v>
      </c>
      <c r="H752" s="1" t="str">
        <f t="shared" ca="1" si="12"/>
        <v>Other</v>
      </c>
      <c r="J752" s="1" t="str">
        <f t="shared" si="3"/>
        <v/>
      </c>
      <c r="K752" s="1" t="s">
        <v>462</v>
      </c>
      <c r="L752" s="1">
        <f t="shared" si="39"/>
        <v>8</v>
      </c>
      <c r="M752" s="1" t="s">
        <v>1604</v>
      </c>
      <c r="N752" s="1" t="str">
        <f t="shared" si="5"/>
        <v>512GB</v>
      </c>
      <c r="O752" s="1" t="str">
        <f t="shared" si="6"/>
        <v>512GB</v>
      </c>
      <c r="P752" s="1" t="s">
        <v>275</v>
      </c>
      <c r="Q752" s="1" t="str">
        <f t="shared" si="7"/>
        <v>1920x1200</v>
      </c>
      <c r="S752" s="1" t="str">
        <f t="shared" si="8"/>
        <v/>
      </c>
      <c r="T752" s="1" t="s">
        <v>90</v>
      </c>
      <c r="U752" s="1" t="str">
        <f t="shared" si="9"/>
        <v>Windows 11 Home</v>
      </c>
      <c r="V752" s="1" t="s">
        <v>3401</v>
      </c>
      <c r="W752" s="1" t="str">
        <f t="shared" si="10"/>
        <v>1.88 kg</v>
      </c>
      <c r="X752" s="1" t="s">
        <v>165</v>
      </c>
      <c r="Y752" s="1" t="str">
        <f t="shared" si="11"/>
        <v>2 Years</v>
      </c>
      <c r="Z752" s="4">
        <v>27820</v>
      </c>
      <c r="AA752" s="1" t="s">
        <v>79</v>
      </c>
    </row>
    <row r="753" spans="1:27" ht="15.75" customHeight="1" x14ac:dyDescent="0.35">
      <c r="A753" s="1" t="s">
        <v>234</v>
      </c>
      <c r="B753" s="1" t="str">
        <f t="shared" si="16"/>
        <v>ASUS</v>
      </c>
      <c r="C753" s="1" t="s">
        <v>4291</v>
      </c>
      <c r="D753" s="1" t="str">
        <f t="shared" si="1"/>
        <v>Vivobook 16 X1605VA-MB007W</v>
      </c>
      <c r="E753" s="1" t="str">
        <f t="array" aca="1" ref="E753" ca="1">IFERROR(
INDEX(Family_Map!$B$2:$B$35,
_xludf.AGGREGATE(14,6,(ROW(Family_Map!$A$2:$A$35)-ROW(Family_Map!$A$2)+1)/(ISNUMBER(SEARCH(Family_Map!$A$2:$A$35,D753))),1)
),
"Other")</f>
        <v>Other</v>
      </c>
      <c r="F753" s="1" t="s">
        <v>818</v>
      </c>
      <c r="G753" s="1" t="e">
        <f t="shared" ca="1" si="2"/>
        <v>#NAME?</v>
      </c>
      <c r="H753" s="1" t="str">
        <f t="shared" ca="1" si="12"/>
        <v>Other</v>
      </c>
      <c r="J753" s="1" t="str">
        <f t="shared" si="3"/>
        <v/>
      </c>
      <c r="K753" s="1" t="s">
        <v>462</v>
      </c>
      <c r="L753" s="1">
        <f t="shared" si="39"/>
        <v>8</v>
      </c>
      <c r="M753" s="1" t="s">
        <v>4283</v>
      </c>
      <c r="N753" s="1" t="str">
        <f t="shared" si="5"/>
        <v>512GB</v>
      </c>
      <c r="O753" s="1" t="str">
        <f t="shared" si="6"/>
        <v>512GB</v>
      </c>
      <c r="P753" s="1" t="s">
        <v>275</v>
      </c>
      <c r="Q753" s="1" t="str">
        <f t="shared" si="7"/>
        <v>1920x1200</v>
      </c>
      <c r="S753" s="1" t="str">
        <f t="shared" si="8"/>
        <v/>
      </c>
      <c r="T753" s="1" t="s">
        <v>90</v>
      </c>
      <c r="U753" s="1" t="str">
        <f t="shared" si="9"/>
        <v>Windows 11 Home</v>
      </c>
      <c r="V753" s="1" t="s">
        <v>3401</v>
      </c>
      <c r="W753" s="1" t="str">
        <f t="shared" si="10"/>
        <v>1.88 kg</v>
      </c>
      <c r="X753" s="1" t="s">
        <v>165</v>
      </c>
      <c r="Y753" s="1" t="str">
        <f t="shared" si="11"/>
        <v>2 Years</v>
      </c>
      <c r="Z753" s="4">
        <v>29999</v>
      </c>
      <c r="AA753" s="1" t="s">
        <v>79</v>
      </c>
    </row>
    <row r="754" spans="1:27" ht="15.75" customHeight="1" x14ac:dyDescent="0.35">
      <c r="A754" s="1" t="s">
        <v>234</v>
      </c>
      <c r="B754" s="1" t="str">
        <f t="shared" si="16"/>
        <v>ASUS</v>
      </c>
      <c r="C754" s="1" t="s">
        <v>4294</v>
      </c>
      <c r="D754" s="1" t="str">
        <f t="shared" si="1"/>
        <v>X515EA-BQ003W</v>
      </c>
      <c r="E754" s="1" t="str">
        <f t="array" aca="1" ref="E754" ca="1">IFERROR(
INDEX(Family_Map!$B$2:$B$35,
_xludf.AGGREGATE(14,6,(ROW(Family_Map!$A$2:$A$35)-ROW(Family_Map!$A$2)+1)/(ISNUMBER(SEARCH(Family_Map!$A$2:$A$35,D754))),1)
),
"Other")</f>
        <v>Other</v>
      </c>
      <c r="F754" s="1" t="s">
        <v>4295</v>
      </c>
      <c r="G754" s="1" t="e">
        <f t="shared" ca="1" si="2"/>
        <v>#NAME?</v>
      </c>
      <c r="H754" s="1" t="str">
        <f t="shared" ca="1" si="12"/>
        <v>Other</v>
      </c>
      <c r="J754" s="1" t="str">
        <f t="shared" si="3"/>
        <v/>
      </c>
      <c r="K754" s="1" t="s">
        <v>3650</v>
      </c>
      <c r="L754" s="1">
        <f t="shared" si="39"/>
        <v>4</v>
      </c>
      <c r="M754" s="1" t="s">
        <v>3799</v>
      </c>
      <c r="N754" s="1" t="str">
        <f t="shared" si="5"/>
        <v>256GB</v>
      </c>
      <c r="O754" s="1" t="str">
        <f t="shared" si="6"/>
        <v>256GB</v>
      </c>
      <c r="P754" s="1" t="s">
        <v>616</v>
      </c>
      <c r="Q754" s="1" t="str">
        <f t="shared" si="7"/>
        <v>1920x1080</v>
      </c>
      <c r="S754" s="1" t="str">
        <f t="shared" si="8"/>
        <v/>
      </c>
      <c r="T754" s="1" t="s">
        <v>90</v>
      </c>
      <c r="U754" s="1" t="str">
        <f t="shared" si="9"/>
        <v>Windows 11 Home</v>
      </c>
      <c r="V754" s="1" t="s">
        <v>636</v>
      </c>
      <c r="W754" s="1" t="str">
        <f t="shared" si="10"/>
        <v>1.8 kg</v>
      </c>
      <c r="X754" s="1" t="s">
        <v>165</v>
      </c>
      <c r="Y754" s="1" t="str">
        <f t="shared" si="11"/>
        <v>2 Years</v>
      </c>
      <c r="Z754" s="4">
        <v>23000</v>
      </c>
      <c r="AA754" s="1" t="s">
        <v>1082</v>
      </c>
    </row>
    <row r="755" spans="1:27" ht="15.75" customHeight="1" x14ac:dyDescent="0.35">
      <c r="A755" s="1" t="s">
        <v>234</v>
      </c>
      <c r="B755" s="1" t="str">
        <f t="shared" si="16"/>
        <v>ASUS</v>
      </c>
      <c r="C755" s="1" t="s">
        <v>4300</v>
      </c>
      <c r="D755" s="1" t="str">
        <f t="shared" si="1"/>
        <v>Vivobook 16 X1605ZA-MB007W</v>
      </c>
      <c r="E755" s="1" t="str">
        <f t="array" aca="1" ref="E755" ca="1">IFERROR(
INDEX(Family_Map!$B$2:$B$35,
_xludf.AGGREGATE(14,6,(ROW(Family_Map!$A$2:$A$35)-ROW(Family_Map!$A$2)+1)/(ISNUMBER(SEARCH(Family_Map!$A$2:$A$35,D755))),1)
),
"Other")</f>
        <v>Other</v>
      </c>
      <c r="F755" s="1" t="s">
        <v>3661</v>
      </c>
      <c r="G755" s="1" t="e">
        <f t="shared" ca="1" si="2"/>
        <v>#NAME?</v>
      </c>
      <c r="H755" s="1" t="str">
        <f t="shared" ca="1" si="12"/>
        <v>Other</v>
      </c>
      <c r="J755" s="1" t="str">
        <f t="shared" si="3"/>
        <v/>
      </c>
      <c r="K755" s="1" t="s">
        <v>462</v>
      </c>
      <c r="L755" s="1">
        <f t="shared" si="39"/>
        <v>8</v>
      </c>
      <c r="M755" s="1" t="s">
        <v>4283</v>
      </c>
      <c r="N755" s="1" t="str">
        <f t="shared" si="5"/>
        <v>512GB</v>
      </c>
      <c r="O755" s="1" t="str">
        <f t="shared" si="6"/>
        <v>512GB</v>
      </c>
      <c r="P755" s="1" t="s">
        <v>275</v>
      </c>
      <c r="Q755" s="1" t="str">
        <f t="shared" si="7"/>
        <v>1920x1200</v>
      </c>
      <c r="S755" s="1" t="str">
        <f t="shared" si="8"/>
        <v/>
      </c>
      <c r="T755" s="1" t="s">
        <v>90</v>
      </c>
      <c r="U755" s="1" t="str">
        <f t="shared" si="9"/>
        <v>Windows 11 Home</v>
      </c>
      <c r="V755" s="1" t="s">
        <v>3401</v>
      </c>
      <c r="W755" s="1" t="str">
        <f t="shared" si="10"/>
        <v>1.88 kg</v>
      </c>
      <c r="X755" s="1" t="s">
        <v>165</v>
      </c>
      <c r="Y755" s="1" t="str">
        <f t="shared" si="11"/>
        <v>2 Years</v>
      </c>
      <c r="Z755" s="4">
        <v>25999</v>
      </c>
      <c r="AA755" s="1" t="s">
        <v>166</v>
      </c>
    </row>
    <row r="756" spans="1:27" ht="15.75" customHeight="1" x14ac:dyDescent="0.35">
      <c r="A756" s="1" t="s">
        <v>112</v>
      </c>
      <c r="B756" s="1" t="str">
        <f t="shared" si="16"/>
        <v>HP</v>
      </c>
      <c r="C756" s="1" t="s">
        <v>4303</v>
      </c>
      <c r="D756" s="1" t="str">
        <f t="shared" si="1"/>
        <v>Pavilion x360 14-EK0033DX</v>
      </c>
      <c r="E756" s="1" t="str">
        <f t="array" aca="1" ref="E756" ca="1">IFERROR(
INDEX(Family_Map!$B$2:$B$35,
_xludf.AGGREGATE(14,6,(ROW(Family_Map!$A$2:$A$35)-ROW(Family_Map!$A$2)+1)/(ISNUMBER(SEARCH(Family_Map!$A$2:$A$35,D756))),1)
),
"Other")</f>
        <v>Other</v>
      </c>
      <c r="F756" s="1" t="s">
        <v>3516</v>
      </c>
      <c r="G756" s="1" t="e">
        <f t="shared" ca="1" si="2"/>
        <v>#NAME?</v>
      </c>
      <c r="H756" s="1" t="str">
        <f t="shared" ca="1" si="12"/>
        <v>Other</v>
      </c>
      <c r="J756" s="1" t="str">
        <f t="shared" si="3"/>
        <v/>
      </c>
      <c r="K756" s="1" t="s">
        <v>4304</v>
      </c>
      <c r="L756" s="1">
        <f t="shared" si="39"/>
        <v>8</v>
      </c>
      <c r="M756" s="1" t="s">
        <v>2718</v>
      </c>
      <c r="N756" s="1" t="str">
        <f t="shared" si="5"/>
        <v>512 GB</v>
      </c>
      <c r="O756" s="1" t="str">
        <f t="shared" si="6"/>
        <v>512 GB</v>
      </c>
      <c r="P756" s="1" t="s">
        <v>120</v>
      </c>
      <c r="Q756" s="1" t="str">
        <f t="shared" si="7"/>
        <v>1920x1080</v>
      </c>
      <c r="S756" s="1" t="str">
        <f t="shared" si="8"/>
        <v/>
      </c>
      <c r="T756" s="1" t="s">
        <v>90</v>
      </c>
      <c r="U756" s="1" t="str">
        <f t="shared" si="9"/>
        <v>Windows 11 Home</v>
      </c>
      <c r="V756" s="1" t="s">
        <v>3532</v>
      </c>
      <c r="W756" s="1" t="str">
        <f t="shared" si="10"/>
        <v>1.51 kg</v>
      </c>
      <c r="X756" s="1" t="s">
        <v>129</v>
      </c>
      <c r="Y756" s="1" t="str">
        <f t="shared" si="11"/>
        <v>1 Year</v>
      </c>
      <c r="Z756" s="4">
        <v>30799</v>
      </c>
      <c r="AA756" s="1" t="s">
        <v>166</v>
      </c>
    </row>
    <row r="757" spans="1:27" ht="15.75" customHeight="1" x14ac:dyDescent="0.35">
      <c r="A757" s="1" t="s">
        <v>151</v>
      </c>
      <c r="B757" s="1" t="str">
        <f t="shared" si="16"/>
        <v>Lenovo</v>
      </c>
      <c r="C757" s="1" t="s">
        <v>4308</v>
      </c>
      <c r="D757" s="1" t="str">
        <f t="shared" si="1"/>
        <v>IdeaPad 3 15ITL6</v>
      </c>
      <c r="E757" s="1" t="str">
        <f t="array" aca="1" ref="E757" ca="1">IFERROR(
INDEX(Family_Map!$B$2:$B$35,
_xludf.AGGREGATE(14,6,(ROW(Family_Map!$A$2:$A$35)-ROW(Family_Map!$A$2)+1)/(ISNUMBER(SEARCH(Family_Map!$A$2:$A$35,D757))),1)
),
"Other")</f>
        <v>Other</v>
      </c>
      <c r="F757" s="1" t="s">
        <v>4309</v>
      </c>
      <c r="G757" s="1" t="e">
        <f t="shared" ca="1" si="2"/>
        <v>#NAME?</v>
      </c>
      <c r="H757" s="1" t="str">
        <f t="shared" ca="1" si="12"/>
        <v>Other</v>
      </c>
      <c r="I757" s="1" t="s">
        <v>4073</v>
      </c>
      <c r="J757" s="1" t="str">
        <f t="shared" si="3"/>
        <v>2GB</v>
      </c>
      <c r="K757" s="1" t="s">
        <v>4311</v>
      </c>
      <c r="L757" s="1">
        <f t="shared" si="39"/>
        <v>8</v>
      </c>
      <c r="M757" s="1" t="s">
        <v>1506</v>
      </c>
      <c r="N757" s="1" t="str">
        <f t="shared" si="5"/>
        <v>512GB</v>
      </c>
      <c r="O757" s="1" t="str">
        <f t="shared" si="6"/>
        <v>512GB</v>
      </c>
      <c r="P757" s="1" t="s">
        <v>616</v>
      </c>
      <c r="Q757" s="1" t="str">
        <f t="shared" si="7"/>
        <v>1920x1080</v>
      </c>
      <c r="S757" s="1" t="str">
        <f t="shared" si="8"/>
        <v/>
      </c>
      <c r="T757" s="1" t="s">
        <v>101</v>
      </c>
      <c r="U757" s="1" t="str">
        <f t="shared" si="9"/>
        <v>DOS</v>
      </c>
      <c r="V757" s="1" t="s">
        <v>1609</v>
      </c>
      <c r="W757" s="1" t="str">
        <f t="shared" si="10"/>
        <v>1.65 kg</v>
      </c>
      <c r="X757" s="1" t="s">
        <v>78</v>
      </c>
      <c r="Y757" s="1" t="str">
        <f t="shared" si="11"/>
        <v>1 Year</v>
      </c>
      <c r="Z757" s="4">
        <v>21949</v>
      </c>
      <c r="AA757" s="1" t="s">
        <v>1082</v>
      </c>
    </row>
    <row r="758" spans="1:27" ht="15.75" customHeight="1" x14ac:dyDescent="0.35">
      <c r="B758" s="1" t="str">
        <f t="shared" si="16"/>
        <v/>
      </c>
      <c r="C758" s="1" t="s">
        <v>3515</v>
      </c>
      <c r="D758" s="1" t="str">
        <f t="shared" si="1"/>
        <v>Vostro 3520</v>
      </c>
      <c r="E758" s="1" t="str">
        <f t="array" aca="1" ref="E758" ca="1">IFERROR(
INDEX(Family_Map!$B$2:$B$35,
_xludf.AGGREGATE(14,6,(ROW(Family_Map!$A$2:$A$35)-ROW(Family_Map!$A$2)+1)/(ISNUMBER(SEARCH(Family_Map!$A$2:$A$35,D758))),1)
),
"Other")</f>
        <v>Other</v>
      </c>
      <c r="F758" s="1" t="s">
        <v>3516</v>
      </c>
      <c r="G758" s="1" t="e">
        <f t="shared" ca="1" si="2"/>
        <v>#NAME?</v>
      </c>
      <c r="H758" s="1" t="str">
        <f t="shared" ca="1" si="12"/>
        <v>Other</v>
      </c>
      <c r="I758" s="1" t="s">
        <v>3670</v>
      </c>
      <c r="J758" s="1" t="str">
        <f t="shared" si="3"/>
        <v>2GB</v>
      </c>
      <c r="K758" s="1" t="s">
        <v>3943</v>
      </c>
      <c r="L758" s="1">
        <f t="shared" si="39"/>
        <v>8</v>
      </c>
      <c r="M758" s="1" t="s">
        <v>87</v>
      </c>
      <c r="N758" s="1" t="str">
        <f t="shared" si="5"/>
        <v>512GB</v>
      </c>
      <c r="O758" s="1" t="str">
        <f t="shared" si="6"/>
        <v>512GB</v>
      </c>
      <c r="P758" s="1" t="s">
        <v>616</v>
      </c>
      <c r="Q758" s="1" t="str">
        <f t="shared" si="7"/>
        <v>1920x1080</v>
      </c>
      <c r="R758" s="1" t="s">
        <v>39</v>
      </c>
      <c r="S758" s="1" t="str">
        <f t="shared" si="8"/>
        <v>120Hz</v>
      </c>
      <c r="T758" s="1" t="s">
        <v>101</v>
      </c>
      <c r="U758" s="1" t="str">
        <f t="shared" si="9"/>
        <v>DOS</v>
      </c>
      <c r="V758" s="1" t="s">
        <v>3458</v>
      </c>
      <c r="W758" s="1" t="str">
        <f t="shared" si="10"/>
        <v>1.66 kg</v>
      </c>
      <c r="X758" s="1" t="s">
        <v>78</v>
      </c>
      <c r="Y758" s="1" t="str">
        <f t="shared" si="11"/>
        <v>1 Year</v>
      </c>
      <c r="Z758" s="4">
        <v>24999</v>
      </c>
      <c r="AA758" s="1" t="s">
        <v>166</v>
      </c>
    </row>
    <row r="759" spans="1:27" ht="15.75" customHeight="1" x14ac:dyDescent="0.35">
      <c r="A759" s="1" t="s">
        <v>151</v>
      </c>
      <c r="B759" s="1" t="str">
        <f t="shared" si="16"/>
        <v>Lenovo</v>
      </c>
      <c r="C759" s="1" t="s">
        <v>4315</v>
      </c>
      <c r="D759" s="1" t="str">
        <f t="shared" si="1"/>
        <v>V15 G2 ALC</v>
      </c>
      <c r="E759" s="1" t="str">
        <f t="array" aca="1" ref="E759" ca="1">IFERROR(
INDEX(Family_Map!$B$2:$B$35,
_xludf.AGGREGATE(14,6,(ROW(Family_Map!$A$2:$A$35)-ROW(Family_Map!$A$2)+1)/(ISNUMBER(SEARCH(Family_Map!$A$2:$A$35,D759))),1)
),
"Other")</f>
        <v>Other</v>
      </c>
      <c r="F759" s="1" t="s">
        <v>4316</v>
      </c>
      <c r="G759" s="1" t="e">
        <f t="shared" ca="1" si="2"/>
        <v>#NAME?</v>
      </c>
      <c r="H759" s="1" t="str">
        <f t="shared" ca="1" si="12"/>
        <v>Other</v>
      </c>
      <c r="J759" s="1" t="str">
        <f t="shared" si="3"/>
        <v/>
      </c>
      <c r="K759" s="1" t="s">
        <v>4109</v>
      </c>
      <c r="L759" s="1">
        <f t="shared" si="39"/>
        <v>8</v>
      </c>
      <c r="M759" s="1" t="s">
        <v>4101</v>
      </c>
      <c r="N759" s="1" t="str">
        <f t="shared" si="5"/>
        <v>1TB</v>
      </c>
      <c r="O759" s="1" t="str">
        <f t="shared" si="6"/>
        <v>1024GB</v>
      </c>
      <c r="P759" s="1" t="s">
        <v>616</v>
      </c>
      <c r="Q759" s="1" t="str">
        <f t="shared" si="7"/>
        <v>1920x1080</v>
      </c>
      <c r="S759" s="1" t="str">
        <f t="shared" si="8"/>
        <v/>
      </c>
      <c r="T759" s="1" t="s">
        <v>101</v>
      </c>
      <c r="U759" s="1" t="str">
        <f t="shared" si="9"/>
        <v>DOS</v>
      </c>
      <c r="V759" s="1" t="s">
        <v>3321</v>
      </c>
      <c r="W759" s="1" t="str">
        <f t="shared" si="10"/>
        <v>1.7 kg</v>
      </c>
      <c r="X759" s="1" t="s">
        <v>78</v>
      </c>
      <c r="Y759" s="1" t="str">
        <f t="shared" si="11"/>
        <v>1 Year</v>
      </c>
      <c r="Z759" s="4">
        <v>21199</v>
      </c>
      <c r="AA759" s="1" t="s">
        <v>5735</v>
      </c>
    </row>
    <row r="760" spans="1:27" ht="15.75" customHeight="1" x14ac:dyDescent="0.35">
      <c r="B760" s="1" t="str">
        <f t="shared" si="16"/>
        <v/>
      </c>
      <c r="C760" s="1" t="s">
        <v>4320</v>
      </c>
      <c r="D760" s="1" t="str">
        <f t="shared" si="1"/>
        <v>15S-EQ2009NE</v>
      </c>
      <c r="E760" s="1" t="str">
        <f t="array" aca="1" ref="E760" ca="1">IFERROR(
INDEX(Family_Map!$B$2:$B$35,
_xludf.AGGREGATE(14,6,(ROW(Family_Map!$A$2:$A$35)-ROW(Family_Map!$A$2)+1)/(ISNUMBER(SEARCH(Family_Map!$A$2:$A$35,D760))),1)
),
"Other")</f>
        <v>Other</v>
      </c>
      <c r="F760" s="1" t="s">
        <v>3325</v>
      </c>
      <c r="G760" s="1" t="e">
        <f t="shared" ca="1" si="2"/>
        <v>#NAME?</v>
      </c>
      <c r="H760" s="1" t="str">
        <f t="shared" ca="1" si="12"/>
        <v>Other</v>
      </c>
      <c r="J760" s="1" t="str">
        <f t="shared" si="3"/>
        <v/>
      </c>
      <c r="K760" s="1" t="s">
        <v>4321</v>
      </c>
      <c r="L760" s="1">
        <f t="shared" si="39"/>
        <v>8</v>
      </c>
      <c r="M760" s="1" t="s">
        <v>4322</v>
      </c>
      <c r="N760" s="1" t="str">
        <f t="shared" si="5"/>
        <v>512 GB</v>
      </c>
      <c r="O760" s="1" t="str">
        <f t="shared" si="6"/>
        <v>512 GB</v>
      </c>
      <c r="P760" s="1" t="s">
        <v>120</v>
      </c>
      <c r="Q760" s="1" t="str">
        <f t="shared" si="7"/>
        <v>1920x1080</v>
      </c>
      <c r="S760" s="1" t="str">
        <f t="shared" si="8"/>
        <v/>
      </c>
      <c r="T760" s="1" t="s">
        <v>101</v>
      </c>
      <c r="U760" s="1" t="str">
        <f t="shared" si="9"/>
        <v>DOS</v>
      </c>
      <c r="V760" s="1" t="s">
        <v>4328</v>
      </c>
      <c r="W760" s="1" t="str">
        <f t="shared" si="10"/>
        <v>1.69 kg</v>
      </c>
      <c r="X760" s="1" t="s">
        <v>78</v>
      </c>
      <c r="Y760" s="1" t="str">
        <f t="shared" si="11"/>
        <v>1 Year</v>
      </c>
      <c r="Z760" s="4">
        <v>20999</v>
      </c>
      <c r="AA760" s="1" t="s">
        <v>5735</v>
      </c>
    </row>
    <row r="761" spans="1:27" ht="15.75" customHeight="1" x14ac:dyDescent="0.35">
      <c r="A761" s="1" t="s">
        <v>81</v>
      </c>
      <c r="B761" s="1" t="str">
        <f t="shared" si="16"/>
        <v>Dell</v>
      </c>
      <c r="C761" s="1" t="s">
        <v>3896</v>
      </c>
      <c r="D761" s="1" t="str">
        <f t="shared" si="1"/>
        <v>Dell Vostro 3510</v>
      </c>
      <c r="E761" s="1" t="str">
        <f t="array" aca="1" ref="E761" ca="1">IFERROR(
INDEX(Family_Map!$B$2:$B$35,
_xludf.AGGREGATE(14,6,(ROW(Family_Map!$A$2:$A$35)-ROW(Family_Map!$A$2)+1)/(ISNUMBER(SEARCH(Family_Map!$A$2:$A$35,D761))),1)
),
"Other")</f>
        <v>Other</v>
      </c>
      <c r="F761" s="1" t="s">
        <v>4071</v>
      </c>
      <c r="G761" s="1" t="e">
        <f t="shared" ca="1" si="2"/>
        <v>#NAME?</v>
      </c>
      <c r="H761" s="1" t="str">
        <f t="shared" ca="1" si="12"/>
        <v>Other</v>
      </c>
      <c r="J761" s="1" t="str">
        <f t="shared" si="3"/>
        <v/>
      </c>
      <c r="K761" s="1" t="s">
        <v>4088</v>
      </c>
      <c r="L761" s="1">
        <f t="shared" si="39"/>
        <v>4</v>
      </c>
      <c r="M761" s="1" t="s">
        <v>3495</v>
      </c>
      <c r="N761" s="1" t="str">
        <f t="shared" si="5"/>
        <v>256GB</v>
      </c>
      <c r="O761" s="1" t="str">
        <f t="shared" si="6"/>
        <v>256GB</v>
      </c>
      <c r="P761" s="1" t="s">
        <v>3653</v>
      </c>
      <c r="Q761" s="1" t="str">
        <f t="shared" si="7"/>
        <v>1366x768</v>
      </c>
      <c r="S761" s="1" t="str">
        <f t="shared" si="8"/>
        <v/>
      </c>
      <c r="T761" s="1" t="s">
        <v>101</v>
      </c>
      <c r="U761" s="1" t="str">
        <f t="shared" si="9"/>
        <v>DOS</v>
      </c>
      <c r="V761" s="1" t="s">
        <v>4328</v>
      </c>
      <c r="W761" s="1" t="str">
        <f t="shared" si="10"/>
        <v>1.69 kg</v>
      </c>
      <c r="X761" s="1" t="s">
        <v>78</v>
      </c>
      <c r="Y761" s="1" t="str">
        <f t="shared" si="11"/>
        <v>1 Year</v>
      </c>
      <c r="Z761" s="4">
        <v>16999</v>
      </c>
      <c r="AA761" s="1" t="s">
        <v>1082</v>
      </c>
    </row>
    <row r="762" spans="1:27" ht="15.75" customHeight="1" x14ac:dyDescent="0.35">
      <c r="A762" s="1" t="s">
        <v>30</v>
      </c>
      <c r="B762" s="1" t="str">
        <f t="shared" si="16"/>
        <v>MSI</v>
      </c>
      <c r="C762" s="1" t="s">
        <v>4332</v>
      </c>
      <c r="D762" s="1" t="str">
        <f t="shared" si="1"/>
        <v>Modern 14 B11MOU</v>
      </c>
      <c r="E762" s="1" t="str">
        <f t="array" aca="1" ref="E762" ca="1">IFERROR(
INDEX(Family_Map!$B$2:$B$35,
_xludf.AGGREGATE(14,6,(ROW(Family_Map!$A$2:$A$35)-ROW(Family_Map!$A$2)+1)/(ISNUMBER(SEARCH(Family_Map!$A$2:$A$35,D762))),1)
),
"Other")</f>
        <v>Other</v>
      </c>
      <c r="F762" s="1" t="s">
        <v>4333</v>
      </c>
      <c r="G762" s="1" t="e">
        <f t="shared" ca="1" si="2"/>
        <v>#NAME?</v>
      </c>
      <c r="H762" s="1" t="str">
        <f t="shared" ca="1" si="12"/>
        <v>Other</v>
      </c>
      <c r="J762" s="1" t="str">
        <f t="shared" si="3"/>
        <v/>
      </c>
      <c r="K762" s="1" t="s">
        <v>4334</v>
      </c>
      <c r="L762" s="1">
        <f t="shared" si="39"/>
        <v>4</v>
      </c>
      <c r="M762" s="1" t="s">
        <v>4245</v>
      </c>
      <c r="N762" s="1" t="str">
        <f t="shared" si="5"/>
        <v>256GB</v>
      </c>
      <c r="O762" s="1" t="str">
        <f t="shared" si="6"/>
        <v>256GB</v>
      </c>
      <c r="P762" s="1" t="s">
        <v>120</v>
      </c>
      <c r="Q762" s="1" t="str">
        <f t="shared" si="7"/>
        <v>1920x1080</v>
      </c>
      <c r="S762" s="1" t="str">
        <f t="shared" si="8"/>
        <v/>
      </c>
      <c r="T762" s="1" t="s">
        <v>101</v>
      </c>
      <c r="U762" s="1" t="str">
        <f t="shared" si="9"/>
        <v>DOS</v>
      </c>
      <c r="V762" s="1" t="s">
        <v>4249</v>
      </c>
      <c r="W762" s="1" t="str">
        <f t="shared" si="10"/>
        <v>1.3 kg</v>
      </c>
      <c r="X762" s="1" t="s">
        <v>78</v>
      </c>
      <c r="Y762" s="1" t="str">
        <f t="shared" si="11"/>
        <v>1 Year</v>
      </c>
      <c r="Z762" s="4">
        <v>12499</v>
      </c>
      <c r="AA762" s="1" t="s">
        <v>1082</v>
      </c>
    </row>
    <row r="763" spans="1:27" ht="15.75" customHeight="1" x14ac:dyDescent="0.35">
      <c r="A763" s="1" t="s">
        <v>66</v>
      </c>
      <c r="B763" s="1" t="str">
        <f t="shared" si="16"/>
        <v>Acer</v>
      </c>
      <c r="C763" s="1" t="s">
        <v>4339</v>
      </c>
      <c r="D763" s="1" t="str">
        <f t="shared" si="1"/>
        <v>Aspire 3 A315-58G-55XH</v>
      </c>
      <c r="E763" s="1" t="str">
        <f t="array" aca="1" ref="E763" ca="1">IFERROR(
INDEX(Family_Map!$B$2:$B$35,
_xludf.AGGREGATE(14,6,(ROW(Family_Map!$A$2:$A$35)-ROW(Family_Map!$A$2)+1)/(ISNUMBER(SEARCH(Family_Map!$A$2:$A$35,D763))),1)
),
"Other")</f>
        <v>Other</v>
      </c>
      <c r="F763" s="1" t="s">
        <v>4071</v>
      </c>
      <c r="G763" s="1" t="e">
        <f t="shared" ca="1" si="2"/>
        <v>#NAME?</v>
      </c>
      <c r="H763" s="1" t="str">
        <f t="shared" ca="1" si="12"/>
        <v>Other</v>
      </c>
      <c r="I763" s="1" t="s">
        <v>4073</v>
      </c>
      <c r="J763" s="1" t="str">
        <f t="shared" si="3"/>
        <v>2GB</v>
      </c>
      <c r="K763" s="1" t="s">
        <v>4341</v>
      </c>
      <c r="L763" s="1">
        <f t="shared" si="39"/>
        <v>8</v>
      </c>
      <c r="M763" s="1" t="s">
        <v>4342</v>
      </c>
      <c r="N763" s="1" t="str">
        <f t="shared" si="5"/>
        <v>1 TB</v>
      </c>
      <c r="O763" s="1" t="str">
        <f t="shared" si="6"/>
        <v>1024GB</v>
      </c>
      <c r="P763" s="1" t="s">
        <v>616</v>
      </c>
      <c r="Q763" s="1" t="str">
        <f t="shared" si="7"/>
        <v>1920x1080</v>
      </c>
      <c r="S763" s="1" t="str">
        <f t="shared" si="8"/>
        <v/>
      </c>
      <c r="T763" s="1" t="s">
        <v>101</v>
      </c>
      <c r="U763" s="1" t="str">
        <f t="shared" si="9"/>
        <v>DOS</v>
      </c>
      <c r="V763" s="1" t="s">
        <v>4346</v>
      </c>
      <c r="W763" s="1" t="str">
        <f t="shared" si="10"/>
        <v>1.1 kg</v>
      </c>
      <c r="X763" s="1" t="s">
        <v>78</v>
      </c>
      <c r="Y763" s="1" t="str">
        <f t="shared" si="11"/>
        <v>1 Year</v>
      </c>
      <c r="Z763" s="4">
        <v>16999</v>
      </c>
      <c r="AA763" s="1" t="s">
        <v>1082</v>
      </c>
    </row>
    <row r="764" spans="1:27" ht="15.75" customHeight="1" x14ac:dyDescent="0.35">
      <c r="A764" s="1" t="s">
        <v>234</v>
      </c>
      <c r="B764" s="1" t="str">
        <f t="shared" si="16"/>
        <v>ASUS</v>
      </c>
      <c r="C764" s="1" t="s">
        <v>4350</v>
      </c>
      <c r="D764" s="1" t="str">
        <f t="shared" si="1"/>
        <v>VivoBook S14 S433EQ-AM07GW</v>
      </c>
      <c r="E764" s="1" t="str">
        <f t="array" aca="1" ref="E764" ca="1">IFERROR(
INDEX(Family_Map!$B$2:$B$35,
_xludf.AGGREGATE(14,6,(ROW(Family_Map!$A$2:$A$35)-ROW(Family_Map!$A$2)+1)/(ISNUMBER(SEARCH(Family_Map!$A$2:$A$35,D764))),1)
),
"Other")</f>
        <v>Other</v>
      </c>
      <c r="F764" s="1" t="s">
        <v>3748</v>
      </c>
      <c r="G764" s="1" t="e">
        <f t="shared" ca="1" si="2"/>
        <v>#NAME?</v>
      </c>
      <c r="H764" s="1" t="str">
        <f t="shared" ca="1" si="12"/>
        <v>Other</v>
      </c>
      <c r="I764" s="1" t="s">
        <v>4073</v>
      </c>
      <c r="J764" s="1" t="str">
        <f t="shared" si="3"/>
        <v>2GB</v>
      </c>
      <c r="K764" s="1" t="s">
        <v>1603</v>
      </c>
      <c r="L764" s="1">
        <f t="shared" si="39"/>
        <v>16</v>
      </c>
      <c r="M764" s="1" t="s">
        <v>1604</v>
      </c>
      <c r="N764" s="1" t="str">
        <f t="shared" si="5"/>
        <v>512GB</v>
      </c>
      <c r="O764" s="1" t="str">
        <f t="shared" si="6"/>
        <v>512GB</v>
      </c>
      <c r="P764" s="1" t="s">
        <v>616</v>
      </c>
      <c r="Q764" s="1" t="str">
        <f t="shared" si="7"/>
        <v>1920x1080</v>
      </c>
      <c r="S764" s="1" t="str">
        <f t="shared" si="8"/>
        <v/>
      </c>
      <c r="T764" s="1" t="s">
        <v>90</v>
      </c>
      <c r="U764" s="1" t="str">
        <f t="shared" si="9"/>
        <v>Windows 11 Home</v>
      </c>
      <c r="V764" s="1" t="s">
        <v>4207</v>
      </c>
      <c r="W764" s="1" t="str">
        <f t="shared" si="10"/>
        <v>1.4 kg</v>
      </c>
      <c r="X764" s="1" t="s">
        <v>165</v>
      </c>
      <c r="Y764" s="1" t="str">
        <f t="shared" si="11"/>
        <v>2 Years</v>
      </c>
      <c r="Z764" s="4">
        <v>27849</v>
      </c>
      <c r="AA764" s="1" t="s">
        <v>1082</v>
      </c>
    </row>
    <row r="765" spans="1:27" ht="15.75" customHeight="1" x14ac:dyDescent="0.35">
      <c r="A765" s="1" t="s">
        <v>234</v>
      </c>
      <c r="B765" s="1" t="str">
        <f t="shared" si="16"/>
        <v>ASUS</v>
      </c>
      <c r="C765" s="1" t="s">
        <v>4355</v>
      </c>
      <c r="D765" s="1" t="str">
        <f t="shared" si="1"/>
        <v>Zenbook 13 OLED UX325EA-OLED007W</v>
      </c>
      <c r="E765" s="1" t="str">
        <f t="array" aca="1" ref="E765" ca="1">IFERROR(
INDEX(Family_Map!$B$2:$B$35,
_xludf.AGGREGATE(14,6,(ROW(Family_Map!$A$2:$A$35)-ROW(Family_Map!$A$2)+1)/(ISNUMBER(SEARCH(Family_Map!$A$2:$A$35,D765))),1)
),
"Other")</f>
        <v>Other</v>
      </c>
      <c r="F765" s="1" t="s">
        <v>3748</v>
      </c>
      <c r="G765" s="1" t="e">
        <f t="shared" ca="1" si="2"/>
        <v>#NAME?</v>
      </c>
      <c r="H765" s="1" t="str">
        <f t="shared" ca="1" si="12"/>
        <v>Other</v>
      </c>
      <c r="J765" s="1" t="str">
        <f t="shared" si="3"/>
        <v/>
      </c>
      <c r="K765" s="1" t="s">
        <v>4202</v>
      </c>
      <c r="L765" s="1">
        <f t="shared" si="39"/>
        <v>16</v>
      </c>
      <c r="M765" s="1" t="s">
        <v>1936</v>
      </c>
      <c r="N765" s="1" t="str">
        <f t="shared" si="5"/>
        <v>1TB</v>
      </c>
      <c r="O765" s="1" t="str">
        <f t="shared" si="6"/>
        <v>1024GB</v>
      </c>
      <c r="P765" s="1" t="s">
        <v>616</v>
      </c>
      <c r="Q765" s="1" t="str">
        <f t="shared" si="7"/>
        <v>1920x1080</v>
      </c>
      <c r="S765" s="1" t="str">
        <f t="shared" si="8"/>
        <v/>
      </c>
      <c r="T765" s="1" t="s">
        <v>90</v>
      </c>
      <c r="U765" s="1" t="str">
        <f t="shared" si="9"/>
        <v>Windows 11 Home</v>
      </c>
      <c r="V765" s="1" t="s">
        <v>4361</v>
      </c>
      <c r="W765" s="1" t="str">
        <f t="shared" si="10"/>
        <v>1.14 kg</v>
      </c>
      <c r="X765" s="1" t="s">
        <v>165</v>
      </c>
      <c r="Y765" s="1" t="str">
        <f t="shared" si="11"/>
        <v>2 Years</v>
      </c>
      <c r="Z765" s="4">
        <v>47150</v>
      </c>
      <c r="AA765" s="1" t="s">
        <v>1082</v>
      </c>
    </row>
    <row r="766" spans="1:27" ht="15.75" customHeight="1" x14ac:dyDescent="0.35">
      <c r="A766" s="1" t="s">
        <v>234</v>
      </c>
      <c r="B766" s="1" t="str">
        <f t="shared" si="16"/>
        <v>ASUS</v>
      </c>
      <c r="C766" s="1" t="s">
        <v>4363</v>
      </c>
      <c r="D766" s="1" t="str">
        <f t="shared" si="1"/>
        <v>ZenBook 13 OLED UX325EA-OLED005W</v>
      </c>
      <c r="E766" s="1" t="str">
        <f t="array" aca="1" ref="E766" ca="1">IFERROR(
INDEX(Family_Map!$B$2:$B$35,
_xludf.AGGREGATE(14,6,(ROW(Family_Map!$A$2:$A$35)-ROW(Family_Map!$A$2)+1)/(ISNUMBER(SEARCH(Family_Map!$A$2:$A$35,D766))),1)
),
"Other")</f>
        <v>Other</v>
      </c>
      <c r="F766" s="1" t="s">
        <v>4071</v>
      </c>
      <c r="G766" s="1" t="e">
        <f t="shared" ca="1" si="2"/>
        <v>#NAME?</v>
      </c>
      <c r="H766" s="1" t="str">
        <f t="shared" ca="1" si="12"/>
        <v>Other</v>
      </c>
      <c r="J766" s="1" t="str">
        <f t="shared" si="3"/>
        <v/>
      </c>
      <c r="K766" s="1" t="s">
        <v>4364</v>
      </c>
      <c r="L766" s="1">
        <f t="shared" si="39"/>
        <v>8</v>
      </c>
      <c r="M766" s="1" t="s">
        <v>1604</v>
      </c>
      <c r="N766" s="1" t="str">
        <f t="shared" si="5"/>
        <v>512GB</v>
      </c>
      <c r="O766" s="1" t="str">
        <f t="shared" si="6"/>
        <v>512GB</v>
      </c>
      <c r="P766" s="1" t="s">
        <v>120</v>
      </c>
      <c r="Q766" s="1" t="str">
        <f t="shared" si="7"/>
        <v>1920x1080</v>
      </c>
      <c r="S766" s="1" t="str">
        <f t="shared" si="8"/>
        <v/>
      </c>
      <c r="T766" s="1" t="s">
        <v>90</v>
      </c>
      <c r="U766" s="1" t="str">
        <f t="shared" si="9"/>
        <v>Windows 11 Home</v>
      </c>
      <c r="V766" s="1" t="s">
        <v>4361</v>
      </c>
      <c r="W766" s="1" t="str">
        <f t="shared" si="10"/>
        <v>1.14 kg</v>
      </c>
      <c r="X766" s="1" t="s">
        <v>165</v>
      </c>
      <c r="Y766" s="1" t="str">
        <f t="shared" si="11"/>
        <v>2 Years</v>
      </c>
      <c r="Z766" s="4">
        <v>29000</v>
      </c>
      <c r="AA766" s="1" t="s">
        <v>1082</v>
      </c>
    </row>
    <row r="767" spans="1:27" ht="15.75" customHeight="1" x14ac:dyDescent="0.35">
      <c r="A767" s="1" t="s">
        <v>3729</v>
      </c>
      <c r="B767" s="1" t="str">
        <f t="shared" si="16"/>
        <v>Microsoft</v>
      </c>
      <c r="C767" s="1" t="s">
        <v>4368</v>
      </c>
      <c r="D767" s="1" t="str">
        <f t="shared" si="1"/>
        <v>Surface Pro 9</v>
      </c>
      <c r="E767" s="1" t="str">
        <f t="array" aca="1" ref="E767" ca="1">IFERROR(
INDEX(Family_Map!$B$2:$B$35,
_xludf.AGGREGATE(14,6,(ROW(Family_Map!$A$2:$A$35)-ROW(Family_Map!$A$2)+1)/(ISNUMBER(SEARCH(Family_Map!$A$2:$A$35,D767))),1)
),
"Other")</f>
        <v>Other</v>
      </c>
      <c r="F767" s="1" t="s">
        <v>4369</v>
      </c>
      <c r="G767" s="1" t="e">
        <f t="shared" ca="1" si="2"/>
        <v>#NAME?</v>
      </c>
      <c r="H767" s="1" t="str">
        <f t="shared" ca="1" si="12"/>
        <v>Other</v>
      </c>
      <c r="J767" s="1" t="str">
        <f t="shared" si="3"/>
        <v/>
      </c>
      <c r="K767" s="1" t="s">
        <v>4370</v>
      </c>
      <c r="L767" s="1">
        <f t="shared" si="39"/>
        <v>16</v>
      </c>
      <c r="M767" s="1" t="s">
        <v>1120</v>
      </c>
      <c r="N767" s="1" t="str">
        <f t="shared" si="5"/>
        <v>512GB</v>
      </c>
      <c r="O767" s="1" t="str">
        <f t="shared" si="6"/>
        <v>512GB</v>
      </c>
      <c r="P767" s="1" t="s">
        <v>5748</v>
      </c>
      <c r="Q767" s="1" t="str">
        <f t="shared" si="7"/>
        <v>2880x1920</v>
      </c>
      <c r="R767" s="1" t="s">
        <v>39</v>
      </c>
      <c r="S767" s="1" t="str">
        <f t="shared" si="8"/>
        <v>120Hz</v>
      </c>
      <c r="T767" s="1" t="s">
        <v>90</v>
      </c>
      <c r="U767" s="1" t="str">
        <f t="shared" si="9"/>
        <v>Windows 11 Home</v>
      </c>
      <c r="V767" s="1" t="s">
        <v>4378</v>
      </c>
      <c r="W767" s="1" t="str">
        <f t="shared" si="10"/>
        <v>0 kg</v>
      </c>
      <c r="X767" s="1" t="s">
        <v>4379</v>
      </c>
      <c r="Y767" s="1" t="str">
        <f t="shared" si="11"/>
        <v>1 Year</v>
      </c>
      <c r="Z767" s="4">
        <v>104999</v>
      </c>
      <c r="AA767" s="1" t="s">
        <v>166</v>
      </c>
    </row>
    <row r="768" spans="1:27" ht="15.75" customHeight="1" x14ac:dyDescent="0.35">
      <c r="A768" s="1" t="s">
        <v>4381</v>
      </c>
      <c r="B768" s="1" t="str">
        <f t="shared" si="16"/>
        <v>Huawei</v>
      </c>
      <c r="C768" s="1" t="s">
        <v>4382</v>
      </c>
      <c r="D768" s="1" t="str">
        <f t="shared" si="1"/>
        <v>MateBook B3-420</v>
      </c>
      <c r="E768" s="1" t="str">
        <f t="array" aca="1" ref="E768" ca="1">IFERROR(
INDEX(Family_Map!$B$2:$B$35,
_xludf.AGGREGATE(14,6,(ROW(Family_Map!$A$2:$A$35)-ROW(Family_Map!$A$2)+1)/(ISNUMBER(SEARCH(Family_Map!$A$2:$A$35,D768))),1)
),
"Other")</f>
        <v>Other</v>
      </c>
      <c r="F768" s="1" t="s">
        <v>4071</v>
      </c>
      <c r="G768" s="1" t="e">
        <f t="shared" ca="1" si="2"/>
        <v>#NAME?</v>
      </c>
      <c r="H768" s="1" t="str">
        <f t="shared" ca="1" si="12"/>
        <v>Other</v>
      </c>
      <c r="J768" s="1" t="str">
        <f t="shared" si="3"/>
        <v/>
      </c>
      <c r="K768" s="1" t="s">
        <v>491</v>
      </c>
      <c r="L768" s="1">
        <f t="shared" si="39"/>
        <v>16</v>
      </c>
      <c r="M768" s="1" t="s">
        <v>4383</v>
      </c>
      <c r="N768" s="1" t="str">
        <f t="shared" si="5"/>
        <v>512 GB</v>
      </c>
      <c r="O768" s="1" t="str">
        <f t="shared" si="6"/>
        <v>512 GB</v>
      </c>
      <c r="P768" s="1" t="s">
        <v>616</v>
      </c>
      <c r="Q768" s="1" t="str">
        <f t="shared" si="7"/>
        <v>1920x1080</v>
      </c>
      <c r="S768" s="1" t="str">
        <f t="shared" si="8"/>
        <v/>
      </c>
      <c r="T768" s="1" t="s">
        <v>2991</v>
      </c>
      <c r="U768" s="1" t="str">
        <f t="shared" si="9"/>
        <v>Windows 10 Pro</v>
      </c>
      <c r="V768" s="1" t="s">
        <v>4389</v>
      </c>
      <c r="W768" s="1" t="str">
        <f t="shared" si="10"/>
        <v>1.38 kg</v>
      </c>
      <c r="X768" s="1" t="s">
        <v>165</v>
      </c>
      <c r="Y768" s="1" t="str">
        <f t="shared" si="11"/>
        <v>2 Years</v>
      </c>
      <c r="Z768" s="4">
        <v>29600</v>
      </c>
      <c r="AA768" s="1" t="s">
        <v>1082</v>
      </c>
    </row>
    <row r="769" spans="1:27" ht="15.75" customHeight="1" x14ac:dyDescent="0.35">
      <c r="A769" s="1" t="s">
        <v>81</v>
      </c>
      <c r="B769" s="1" t="str">
        <f t="shared" si="16"/>
        <v>Dell</v>
      </c>
      <c r="C769" s="1" t="s">
        <v>3515</v>
      </c>
      <c r="D769" s="1" t="str">
        <f t="shared" si="1"/>
        <v>Vostro 3520</v>
      </c>
      <c r="E769" s="1" t="str">
        <f t="array" aca="1" ref="E769" ca="1">IFERROR(
INDEX(Family_Map!$B$2:$B$35,
_xludf.AGGREGATE(14,6,(ROW(Family_Map!$A$2:$A$35)-ROW(Family_Map!$A$2)+1)/(ISNUMBER(SEARCH(Family_Map!$A$2:$A$35,D769))),1)
),
"Other")</f>
        <v>Other</v>
      </c>
      <c r="F769" s="1" t="s">
        <v>3661</v>
      </c>
      <c r="G769" s="1" t="e">
        <f t="shared" ca="1" si="2"/>
        <v>#NAME?</v>
      </c>
      <c r="H769" s="1" t="str">
        <f t="shared" ca="1" si="12"/>
        <v>Other</v>
      </c>
      <c r="I769" s="1" t="s">
        <v>3670</v>
      </c>
      <c r="J769" s="1" t="str">
        <f t="shared" si="3"/>
        <v>2GB</v>
      </c>
      <c r="K769" s="1" t="s">
        <v>3943</v>
      </c>
      <c r="L769" s="1">
        <f t="shared" si="39"/>
        <v>8</v>
      </c>
      <c r="M769" s="1" t="s">
        <v>87</v>
      </c>
      <c r="N769" s="1" t="str">
        <f t="shared" si="5"/>
        <v>512GB</v>
      </c>
      <c r="O769" s="1" t="str">
        <f t="shared" si="6"/>
        <v>512GB</v>
      </c>
      <c r="P769" s="1" t="s">
        <v>120</v>
      </c>
      <c r="Q769" s="1" t="str">
        <f t="shared" si="7"/>
        <v>1920x1080</v>
      </c>
      <c r="R769" s="1" t="s">
        <v>39</v>
      </c>
      <c r="S769" s="1" t="str">
        <f t="shared" si="8"/>
        <v>120Hz</v>
      </c>
      <c r="T769" s="1" t="s">
        <v>101</v>
      </c>
      <c r="U769" s="1" t="str">
        <f t="shared" si="9"/>
        <v>DOS</v>
      </c>
      <c r="V769" s="1" t="s">
        <v>3458</v>
      </c>
      <c r="W769" s="1" t="str">
        <f t="shared" si="10"/>
        <v>1.66 kg</v>
      </c>
      <c r="X769" s="1" t="s">
        <v>78</v>
      </c>
      <c r="Y769" s="1" t="str">
        <f t="shared" si="11"/>
        <v>1 Year</v>
      </c>
      <c r="Z769" s="4">
        <v>34049</v>
      </c>
      <c r="AA769" s="1" t="s">
        <v>166</v>
      </c>
    </row>
    <row r="770" spans="1:27" ht="15.75" customHeight="1" x14ac:dyDescent="0.35">
      <c r="A770" s="1" t="s">
        <v>234</v>
      </c>
      <c r="B770" s="1" t="str">
        <f t="shared" si="16"/>
        <v>ASUS</v>
      </c>
      <c r="C770" s="1" t="s">
        <v>4392</v>
      </c>
      <c r="D770" s="1" t="str">
        <f t="shared" si="1"/>
        <v>Vivobook 15 X1502ZA-EJ007W</v>
      </c>
      <c r="E770" s="1" t="str">
        <f t="array" aca="1" ref="E770" ca="1">IFERROR(
INDEX(Family_Map!$B$2:$B$35,
_xludf.AGGREGATE(14,6,(ROW(Family_Map!$A$2:$A$35)-ROW(Family_Map!$A$2)+1)/(ISNUMBER(SEARCH(Family_Map!$A$2:$A$35,D770))),1)
),
"Other")</f>
        <v>Other</v>
      </c>
      <c r="F770" s="1" t="s">
        <v>3661</v>
      </c>
      <c r="G770" s="1" t="e">
        <f t="shared" ca="1" si="2"/>
        <v>#NAME?</v>
      </c>
      <c r="H770" s="1" t="str">
        <f t="shared" ca="1" si="12"/>
        <v>Other</v>
      </c>
      <c r="J770" s="1" t="str">
        <f t="shared" si="3"/>
        <v/>
      </c>
      <c r="K770" s="1" t="s">
        <v>462</v>
      </c>
      <c r="L770" s="1">
        <f t="shared" si="39"/>
        <v>8</v>
      </c>
      <c r="M770" s="1" t="s">
        <v>1604</v>
      </c>
      <c r="N770" s="1" t="str">
        <f t="shared" si="5"/>
        <v>512GB</v>
      </c>
      <c r="O770" s="1" t="str">
        <f t="shared" si="6"/>
        <v>512GB</v>
      </c>
      <c r="P770" s="1" t="s">
        <v>120</v>
      </c>
      <c r="Q770" s="1" t="str">
        <f t="shared" si="7"/>
        <v>1920x1080</v>
      </c>
      <c r="R770" s="1" t="s">
        <v>971</v>
      </c>
      <c r="S770" s="1" t="str">
        <f t="shared" si="8"/>
        <v>60Hz</v>
      </c>
      <c r="T770" s="1" t="s">
        <v>90</v>
      </c>
      <c r="U770" s="1" t="str">
        <f t="shared" si="9"/>
        <v>Windows 11 Home</v>
      </c>
      <c r="V770" s="1" t="s">
        <v>1953</v>
      </c>
      <c r="W770" s="1" t="str">
        <f t="shared" si="10"/>
        <v>1.7 kg</v>
      </c>
      <c r="X770" s="1" t="s">
        <v>165</v>
      </c>
      <c r="Y770" s="1" t="str">
        <f t="shared" si="11"/>
        <v>2 Years</v>
      </c>
      <c r="Z770" s="4">
        <v>29999</v>
      </c>
      <c r="AA770" s="1" t="s">
        <v>166</v>
      </c>
    </row>
    <row r="771" spans="1:27" ht="15.75" customHeight="1" x14ac:dyDescent="0.35">
      <c r="A771" s="1" t="s">
        <v>234</v>
      </c>
      <c r="B771" s="1" t="str">
        <f t="shared" si="16"/>
        <v>ASUS</v>
      </c>
      <c r="C771" s="1" t="s">
        <v>4395</v>
      </c>
      <c r="D771" s="1" t="str">
        <f t="shared" si="1"/>
        <v>ZenBook 14 UX425EA-KI007W</v>
      </c>
      <c r="E771" s="1" t="str">
        <f t="array" aca="1" ref="E771" ca="1">IFERROR(
INDEX(Family_Map!$B$2:$B$35,
_xludf.AGGREGATE(14,6,(ROW(Family_Map!$A$2:$A$35)-ROW(Family_Map!$A$2)+1)/(ISNUMBER(SEARCH(Family_Map!$A$2:$A$35,D771))),1)
),
"Other")</f>
        <v>Other</v>
      </c>
      <c r="F771" s="1" t="s">
        <v>3748</v>
      </c>
      <c r="G771" s="1" t="e">
        <f t="shared" ca="1" si="2"/>
        <v>#NAME?</v>
      </c>
      <c r="H771" s="1" t="str">
        <f t="shared" ca="1" si="12"/>
        <v>Other</v>
      </c>
      <c r="J771" s="1" t="str">
        <f t="shared" si="3"/>
        <v/>
      </c>
      <c r="K771" s="1" t="s">
        <v>2578</v>
      </c>
      <c r="L771" s="1">
        <f t="shared" si="39"/>
        <v>16</v>
      </c>
      <c r="M771" s="1" t="s">
        <v>1936</v>
      </c>
      <c r="N771" s="1" t="str">
        <f t="shared" si="5"/>
        <v>1TB</v>
      </c>
      <c r="O771" s="1" t="str">
        <f t="shared" si="6"/>
        <v>1024GB</v>
      </c>
      <c r="P771" s="1" t="s">
        <v>120</v>
      </c>
      <c r="Q771" s="1" t="str">
        <f t="shared" si="7"/>
        <v>1920x1080</v>
      </c>
      <c r="R771" s="1" t="s">
        <v>971</v>
      </c>
      <c r="S771" s="1" t="str">
        <f t="shared" si="8"/>
        <v>60Hz</v>
      </c>
      <c r="T771" s="1" t="s">
        <v>90</v>
      </c>
      <c r="U771" s="1" t="str">
        <f t="shared" si="9"/>
        <v>Windows 11 Home</v>
      </c>
      <c r="V771" s="1" t="s">
        <v>4399</v>
      </c>
      <c r="W771" s="1" t="str">
        <f t="shared" si="10"/>
        <v>1.17 kg</v>
      </c>
      <c r="X771" s="1" t="s">
        <v>165</v>
      </c>
      <c r="Y771" s="1" t="str">
        <f t="shared" si="11"/>
        <v>2 Years</v>
      </c>
      <c r="Z771" s="4">
        <v>29999</v>
      </c>
      <c r="AA771" s="1" t="s">
        <v>1082</v>
      </c>
    </row>
    <row r="772" spans="1:27" ht="15.75" customHeight="1" x14ac:dyDescent="0.35">
      <c r="A772" s="1" t="s">
        <v>234</v>
      </c>
      <c r="B772" s="1" t="str">
        <f t="shared" si="16"/>
        <v>ASUS</v>
      </c>
      <c r="C772" s="1" t="s">
        <v>4401</v>
      </c>
      <c r="D772" s="1" t="str">
        <f t="shared" si="1"/>
        <v>ZenBook 14 OLED UX3402ZA-OLED005W</v>
      </c>
      <c r="E772" s="1" t="str">
        <f t="array" aca="1" ref="E772" ca="1">IFERROR(
INDEX(Family_Map!$B$2:$B$35,
_xludf.AGGREGATE(14,6,(ROW(Family_Map!$A$2:$A$35)-ROW(Family_Map!$A$2)+1)/(ISNUMBER(SEARCH(Family_Map!$A$2:$A$35,D772))),1)
),
"Other")</f>
        <v>Other</v>
      </c>
      <c r="F772" s="1" t="s">
        <v>2292</v>
      </c>
      <c r="G772" s="1" t="e">
        <f t="shared" ca="1" si="2"/>
        <v>#NAME?</v>
      </c>
      <c r="H772" s="1" t="str">
        <f t="shared" ca="1" si="12"/>
        <v>Other</v>
      </c>
      <c r="J772" s="1" t="str">
        <f t="shared" si="3"/>
        <v/>
      </c>
      <c r="K772" s="1" t="s">
        <v>3628</v>
      </c>
      <c r="L772" s="1">
        <f t="shared" si="39"/>
        <v>8</v>
      </c>
      <c r="M772" s="1" t="s">
        <v>1604</v>
      </c>
      <c r="N772" s="1" t="str">
        <f t="shared" si="5"/>
        <v>512GB</v>
      </c>
      <c r="O772" s="1" t="str">
        <f t="shared" si="6"/>
        <v>512GB</v>
      </c>
      <c r="P772" s="1" t="s">
        <v>1021</v>
      </c>
      <c r="Q772" s="1" t="str">
        <f t="shared" si="7"/>
        <v>2880x1800</v>
      </c>
      <c r="R772" s="1" t="s">
        <v>4001</v>
      </c>
      <c r="S772" s="1" t="str">
        <f t="shared" si="8"/>
        <v>90Hz</v>
      </c>
      <c r="T772" s="1" t="s">
        <v>90</v>
      </c>
      <c r="U772" s="1" t="str">
        <f t="shared" si="9"/>
        <v>Windows 11 Home</v>
      </c>
      <c r="V772" s="1" t="s">
        <v>4405</v>
      </c>
      <c r="W772" s="1" t="str">
        <f t="shared" si="10"/>
        <v>1.39 kg</v>
      </c>
      <c r="X772" s="1" t="s">
        <v>165</v>
      </c>
      <c r="Y772" s="1" t="str">
        <f t="shared" si="11"/>
        <v>2 Years</v>
      </c>
      <c r="Z772" s="4">
        <v>42000</v>
      </c>
      <c r="AA772" s="1" t="s">
        <v>166</v>
      </c>
    </row>
    <row r="773" spans="1:27" ht="15.75" customHeight="1" x14ac:dyDescent="0.35">
      <c r="A773" s="1" t="s">
        <v>234</v>
      </c>
      <c r="B773" s="1" t="str">
        <f t="shared" si="16"/>
        <v>ASUS</v>
      </c>
      <c r="C773" s="1" t="s">
        <v>4408</v>
      </c>
      <c r="D773" s="1" t="str">
        <f t="shared" si="1"/>
        <v>ZenBook 14 OLED UX3402ZA-OLED007W</v>
      </c>
      <c r="E773" s="1" t="str">
        <f t="array" aca="1" ref="E773" ca="1">IFERROR(
INDEX(Family_Map!$B$2:$B$35,
_xludf.AGGREGATE(14,6,(ROW(Family_Map!$A$2:$A$35)-ROW(Family_Map!$A$2)+1)/(ISNUMBER(SEARCH(Family_Map!$A$2:$A$35,D773))),1)
),
"Other")</f>
        <v>Other</v>
      </c>
      <c r="F773" s="1" t="s">
        <v>2280</v>
      </c>
      <c r="G773" s="1" t="e">
        <f t="shared" ca="1" si="2"/>
        <v>#NAME?</v>
      </c>
      <c r="H773" s="1" t="str">
        <f t="shared" ca="1" si="12"/>
        <v>Other</v>
      </c>
      <c r="J773" s="1" t="str">
        <f t="shared" si="3"/>
        <v/>
      </c>
      <c r="K773" s="1" t="s">
        <v>3552</v>
      </c>
      <c r="L773" s="1">
        <f t="shared" si="39"/>
        <v>16</v>
      </c>
      <c r="M773" s="1" t="s">
        <v>1936</v>
      </c>
      <c r="N773" s="1" t="str">
        <f t="shared" si="5"/>
        <v>1TB</v>
      </c>
      <c r="O773" s="1" t="str">
        <f t="shared" si="6"/>
        <v>1024GB</v>
      </c>
      <c r="P773" s="1" t="s">
        <v>1021</v>
      </c>
      <c r="Q773" s="1" t="str">
        <f t="shared" si="7"/>
        <v>2880x1800</v>
      </c>
      <c r="R773" s="1" t="s">
        <v>4001</v>
      </c>
      <c r="S773" s="1" t="str">
        <f t="shared" si="8"/>
        <v>90Hz</v>
      </c>
      <c r="T773" s="1" t="s">
        <v>90</v>
      </c>
      <c r="U773" s="1" t="str">
        <f t="shared" si="9"/>
        <v>Windows 11 Home</v>
      </c>
      <c r="V773" s="1" t="s">
        <v>4405</v>
      </c>
      <c r="W773" s="1" t="str">
        <f t="shared" si="10"/>
        <v>1.39 kg</v>
      </c>
      <c r="X773" s="1" t="s">
        <v>165</v>
      </c>
      <c r="Y773" s="1" t="str">
        <f t="shared" si="11"/>
        <v>2 Years</v>
      </c>
      <c r="Z773" s="4">
        <v>47249</v>
      </c>
      <c r="AA773" s="1" t="s">
        <v>166</v>
      </c>
    </row>
    <row r="774" spans="1:27" ht="15.75" customHeight="1" x14ac:dyDescent="0.35">
      <c r="A774" s="1" t="s">
        <v>234</v>
      </c>
      <c r="B774" s="1" t="str">
        <f t="shared" si="16"/>
        <v>ASUS</v>
      </c>
      <c r="C774" s="1" t="s">
        <v>4411</v>
      </c>
      <c r="D774" s="1" t="str">
        <f t="shared" si="1"/>
        <v>ZenBook Flip 14 UP5401ZA-KN007W</v>
      </c>
      <c r="E774" s="1" t="str">
        <f t="array" aca="1" ref="E774" ca="1">IFERROR(
INDEX(Family_Map!$B$2:$B$35,
_xludf.AGGREGATE(14,6,(ROW(Family_Map!$A$2:$A$35)-ROW(Family_Map!$A$2)+1)/(ISNUMBER(SEARCH(Family_Map!$A$2:$A$35,D774))),1)
),
"Other")</f>
        <v>Other</v>
      </c>
      <c r="F774" s="1" t="s">
        <v>1118</v>
      </c>
      <c r="G774" s="1" t="e">
        <f t="shared" ca="1" si="2"/>
        <v>#NAME?</v>
      </c>
      <c r="H774" s="1" t="str">
        <f t="shared" ca="1" si="12"/>
        <v>Other</v>
      </c>
      <c r="J774" s="1" t="str">
        <f t="shared" si="3"/>
        <v/>
      </c>
      <c r="K774" s="1" t="s">
        <v>4412</v>
      </c>
      <c r="L774" s="1">
        <f t="shared" si="39"/>
        <v>16</v>
      </c>
      <c r="M774" s="1" t="s">
        <v>3395</v>
      </c>
      <c r="N774" s="1" t="str">
        <f t="shared" si="5"/>
        <v>1TB</v>
      </c>
      <c r="O774" s="1" t="str">
        <f t="shared" si="6"/>
        <v>1024GB</v>
      </c>
      <c r="P774" s="1" t="s">
        <v>1021</v>
      </c>
      <c r="Q774" s="1" t="str">
        <f t="shared" si="7"/>
        <v>2880x1800</v>
      </c>
      <c r="R774" s="1" t="s">
        <v>4001</v>
      </c>
      <c r="S774" s="1" t="str">
        <f t="shared" si="8"/>
        <v>90Hz</v>
      </c>
      <c r="T774" s="1" t="s">
        <v>90</v>
      </c>
      <c r="U774" s="1" t="str">
        <f t="shared" si="9"/>
        <v>Windows 11 Home</v>
      </c>
      <c r="V774" s="1" t="s">
        <v>4415</v>
      </c>
      <c r="W774" s="1" t="str">
        <f t="shared" si="10"/>
        <v>1.4 kg</v>
      </c>
      <c r="X774" s="1" t="s">
        <v>165</v>
      </c>
      <c r="Y774" s="1" t="str">
        <f t="shared" si="11"/>
        <v>2 Years</v>
      </c>
      <c r="Z774" s="4">
        <v>53830</v>
      </c>
      <c r="AA774" s="1" t="s">
        <v>166</v>
      </c>
    </row>
    <row r="775" spans="1:27" ht="15.75" customHeight="1" x14ac:dyDescent="0.35">
      <c r="A775" s="1" t="s">
        <v>234</v>
      </c>
      <c r="B775" s="1" t="str">
        <f t="shared" si="16"/>
        <v>ASUS</v>
      </c>
      <c r="C775" s="1" t="s">
        <v>4417</v>
      </c>
      <c r="D775" s="1" t="str">
        <f t="shared" si="1"/>
        <v>VivoBook 15 X1502ZA-EJ005W</v>
      </c>
      <c r="E775" s="1" t="str">
        <f t="array" aca="1" ref="E775" ca="1">IFERROR(
INDEX(Family_Map!$B$2:$B$35,
_xludf.AGGREGATE(14,6,(ROW(Family_Map!$A$2:$A$35)-ROW(Family_Map!$A$2)+1)/(ISNUMBER(SEARCH(Family_Map!$A$2:$A$35,D775))),1)
),
"Other")</f>
        <v>Other</v>
      </c>
      <c r="F775" s="1" t="s">
        <v>3516</v>
      </c>
      <c r="G775" s="1" t="e">
        <f t="shared" ca="1" si="2"/>
        <v>#NAME?</v>
      </c>
      <c r="H775" s="1" t="str">
        <f t="shared" ca="1" si="12"/>
        <v>Other</v>
      </c>
      <c r="J775" s="1" t="str">
        <f t="shared" si="3"/>
        <v/>
      </c>
      <c r="K775" s="1" t="s">
        <v>462</v>
      </c>
      <c r="L775" s="1">
        <f t="shared" si="39"/>
        <v>8</v>
      </c>
      <c r="M775" s="1" t="s">
        <v>1604</v>
      </c>
      <c r="N775" s="1" t="str">
        <f t="shared" si="5"/>
        <v>512GB</v>
      </c>
      <c r="O775" s="1" t="str">
        <f t="shared" si="6"/>
        <v>512GB</v>
      </c>
      <c r="P775" s="1" t="s">
        <v>120</v>
      </c>
      <c r="Q775" s="1" t="str">
        <f t="shared" si="7"/>
        <v>1920x1080</v>
      </c>
      <c r="R775" s="1" t="s">
        <v>971</v>
      </c>
      <c r="S775" s="1" t="str">
        <f t="shared" si="8"/>
        <v>60Hz</v>
      </c>
      <c r="T775" s="1" t="s">
        <v>90</v>
      </c>
      <c r="U775" s="1" t="str">
        <f t="shared" si="9"/>
        <v>Windows 11 Home</v>
      </c>
      <c r="V775" s="1" t="s">
        <v>3500</v>
      </c>
      <c r="W775" s="1" t="str">
        <f t="shared" si="10"/>
        <v>1.7 kg</v>
      </c>
      <c r="X775" s="1" t="s">
        <v>165</v>
      </c>
      <c r="Y775" s="1" t="str">
        <f t="shared" si="11"/>
        <v>2 Years</v>
      </c>
      <c r="Z775" s="4">
        <v>22049</v>
      </c>
      <c r="AA775" s="1" t="s">
        <v>166</v>
      </c>
    </row>
    <row r="776" spans="1:27" ht="15.75" customHeight="1" x14ac:dyDescent="0.35">
      <c r="A776" s="1" t="s">
        <v>66</v>
      </c>
      <c r="B776" s="1" t="str">
        <f t="shared" si="16"/>
        <v>Acer</v>
      </c>
      <c r="C776" s="1" t="s">
        <v>4421</v>
      </c>
      <c r="D776" s="1" t="str">
        <f t="shared" si="1"/>
        <v>Aspire 3 A315-58G-77RJ</v>
      </c>
      <c r="E776" s="1" t="str">
        <f t="array" aca="1" ref="E776" ca="1">IFERROR(
INDEX(Family_Map!$B$2:$B$35,
_xludf.AGGREGATE(14,6,(ROW(Family_Map!$A$2:$A$35)-ROW(Family_Map!$A$2)+1)/(ISNUMBER(SEARCH(Family_Map!$A$2:$A$35,D776))),1)
),
"Other")</f>
        <v>Other</v>
      </c>
      <c r="F776" s="1" t="s">
        <v>3748</v>
      </c>
      <c r="G776" s="1" t="e">
        <f t="shared" ca="1" si="2"/>
        <v>#NAME?</v>
      </c>
      <c r="H776" s="1" t="str">
        <f t="shared" ca="1" si="12"/>
        <v>Other</v>
      </c>
      <c r="I776" s="1" t="s">
        <v>4073</v>
      </c>
      <c r="J776" s="1" t="str">
        <f t="shared" si="3"/>
        <v>2GB</v>
      </c>
      <c r="K776" s="1" t="s">
        <v>4422</v>
      </c>
      <c r="L776" s="1">
        <f t="shared" si="39"/>
        <v>12</v>
      </c>
      <c r="M776" s="1" t="s">
        <v>4423</v>
      </c>
      <c r="N776" s="1" t="str">
        <f t="shared" si="5"/>
        <v>1TB</v>
      </c>
      <c r="O776" s="1" t="str">
        <f t="shared" si="6"/>
        <v>1024GB</v>
      </c>
      <c r="P776" s="1" t="s">
        <v>120</v>
      </c>
      <c r="Q776" s="1" t="str">
        <f t="shared" si="7"/>
        <v>1920x1080</v>
      </c>
      <c r="S776" s="1" t="str">
        <f t="shared" si="8"/>
        <v/>
      </c>
      <c r="T776" s="1" t="s">
        <v>101</v>
      </c>
      <c r="U776" s="1" t="str">
        <f t="shared" si="9"/>
        <v>DOS</v>
      </c>
      <c r="V776" s="1" t="s">
        <v>4429</v>
      </c>
      <c r="W776" s="1" t="str">
        <f t="shared" si="10"/>
        <v>1.7 kg</v>
      </c>
      <c r="X776" s="1" t="s">
        <v>339</v>
      </c>
      <c r="Y776" s="1" t="str">
        <f t="shared" si="11"/>
        <v>2 Years</v>
      </c>
      <c r="Z776" s="4">
        <v>23499</v>
      </c>
      <c r="AA776" s="1" t="s">
        <v>1082</v>
      </c>
    </row>
    <row r="777" spans="1:27" ht="15.75" customHeight="1" x14ac:dyDescent="0.35">
      <c r="A777" s="1" t="s">
        <v>66</v>
      </c>
      <c r="B777" s="1" t="str">
        <f t="shared" si="16"/>
        <v>Acer</v>
      </c>
      <c r="C777" s="1" t="s">
        <v>4432</v>
      </c>
      <c r="D777" s="1" t="str">
        <f t="shared" si="1"/>
        <v>Aspire 3 A315-58G-59YM</v>
      </c>
      <c r="E777" s="1" t="str">
        <f t="array" aca="1" ref="E777" ca="1">IFERROR(
INDEX(Family_Map!$B$2:$B$35,
_xludf.AGGREGATE(14,6,(ROW(Family_Map!$A$2:$A$35)-ROW(Family_Map!$A$2)+1)/(ISNUMBER(SEARCH(Family_Map!$A$2:$A$35,D777))),1)
),
"Other")</f>
        <v>Other</v>
      </c>
      <c r="F777" s="1" t="s">
        <v>4071</v>
      </c>
      <c r="G777" s="1" t="e">
        <f t="shared" ca="1" si="2"/>
        <v>#NAME?</v>
      </c>
      <c r="H777" s="1" t="str">
        <f t="shared" ca="1" si="12"/>
        <v>Other</v>
      </c>
      <c r="I777" s="1" t="s">
        <v>4073</v>
      </c>
      <c r="J777" s="1" t="str">
        <f t="shared" si="3"/>
        <v>2GB</v>
      </c>
      <c r="K777" s="1" t="s">
        <v>4433</v>
      </c>
      <c r="L777" s="1">
        <f t="shared" si="39"/>
        <v>8</v>
      </c>
      <c r="M777" s="1" t="s">
        <v>4423</v>
      </c>
      <c r="N777" s="1" t="str">
        <f t="shared" si="5"/>
        <v>1TB</v>
      </c>
      <c r="O777" s="1" t="str">
        <f t="shared" si="6"/>
        <v>1024GB</v>
      </c>
      <c r="P777" s="1" t="s">
        <v>120</v>
      </c>
      <c r="Q777" s="1" t="str">
        <f t="shared" si="7"/>
        <v>1920x1080</v>
      </c>
      <c r="S777" s="1" t="str">
        <f t="shared" si="8"/>
        <v/>
      </c>
      <c r="T777" s="1" t="s">
        <v>101</v>
      </c>
      <c r="U777" s="1" t="str">
        <f t="shared" si="9"/>
        <v>DOS</v>
      </c>
      <c r="V777" s="1" t="s">
        <v>4429</v>
      </c>
      <c r="W777" s="1" t="str">
        <f t="shared" si="10"/>
        <v>1.7 kg</v>
      </c>
      <c r="X777" s="1" t="s">
        <v>339</v>
      </c>
      <c r="Y777" s="1" t="str">
        <f t="shared" si="11"/>
        <v>2 Years</v>
      </c>
      <c r="Z777" s="4">
        <v>17199</v>
      </c>
      <c r="AA777" s="1" t="s">
        <v>1082</v>
      </c>
    </row>
    <row r="778" spans="1:27" ht="15.75" customHeight="1" x14ac:dyDescent="0.35">
      <c r="A778" s="1" t="s">
        <v>66</v>
      </c>
      <c r="B778" s="1" t="str">
        <f t="shared" si="16"/>
        <v>Acer</v>
      </c>
      <c r="C778" s="1" t="s">
        <v>4436</v>
      </c>
      <c r="D778" s="1" t="str">
        <f t="shared" si="1"/>
        <v>Aspire 5 A515-45G-R1KS</v>
      </c>
      <c r="E778" s="1" t="str">
        <f t="array" aca="1" ref="E778" ca="1">IFERROR(
INDEX(Family_Map!$B$2:$B$35,
_xludf.AGGREGATE(14,6,(ROW(Family_Map!$A$2:$A$35)-ROW(Family_Map!$A$2)+1)/(ISNUMBER(SEARCH(Family_Map!$A$2:$A$35,D778))),1)
),
"Other")</f>
        <v>Other</v>
      </c>
      <c r="F778" s="1" t="s">
        <v>4108</v>
      </c>
      <c r="G778" s="1" t="e">
        <f t="shared" ca="1" si="2"/>
        <v>#NAME?</v>
      </c>
      <c r="H778" s="1" t="str">
        <f t="shared" ca="1" si="12"/>
        <v>Other</v>
      </c>
      <c r="I778" s="1" t="s">
        <v>4073</v>
      </c>
      <c r="J778" s="1" t="str">
        <f t="shared" si="3"/>
        <v>2GB</v>
      </c>
      <c r="K778" s="1" t="s">
        <v>4438</v>
      </c>
      <c r="L778" s="1">
        <f t="shared" si="39"/>
        <v>8</v>
      </c>
      <c r="M778" s="1" t="s">
        <v>352</v>
      </c>
      <c r="N778" s="1" t="str">
        <f t="shared" si="5"/>
        <v>512GB</v>
      </c>
      <c r="O778" s="1" t="str">
        <f t="shared" si="6"/>
        <v>512GB</v>
      </c>
      <c r="P778" s="1" t="s">
        <v>120</v>
      </c>
      <c r="Q778" s="1" t="str">
        <f t="shared" si="7"/>
        <v>1920x1080</v>
      </c>
      <c r="S778" s="1" t="str">
        <f t="shared" si="8"/>
        <v/>
      </c>
      <c r="T778" s="1" t="s">
        <v>121</v>
      </c>
      <c r="U778" s="1" t="str">
        <f t="shared" si="9"/>
        <v>DOS</v>
      </c>
      <c r="V778" s="1" t="s">
        <v>4442</v>
      </c>
      <c r="W778" s="1" t="str">
        <f t="shared" si="10"/>
        <v>1.76 kg</v>
      </c>
      <c r="X778" s="1" t="s">
        <v>165</v>
      </c>
      <c r="Y778" s="1" t="str">
        <f t="shared" si="11"/>
        <v>2 Years</v>
      </c>
      <c r="Z778" s="4">
        <v>19999</v>
      </c>
      <c r="AA778" s="1" t="s">
        <v>5735</v>
      </c>
    </row>
    <row r="779" spans="1:27" ht="15.75" customHeight="1" x14ac:dyDescent="0.35">
      <c r="A779" s="1" t="s">
        <v>66</v>
      </c>
      <c r="B779" s="1" t="str">
        <f t="shared" si="16"/>
        <v>Acer</v>
      </c>
      <c r="C779" s="1" t="s">
        <v>4445</v>
      </c>
      <c r="D779" s="1" t="str">
        <f t="shared" si="1"/>
        <v>Aspire 5 A515-45G-R1RE</v>
      </c>
      <c r="E779" s="1" t="str">
        <f t="array" aca="1" ref="E779" ca="1">IFERROR(
INDEX(Family_Map!$B$2:$B$35,
_xludf.AGGREGATE(14,6,(ROW(Family_Map!$A$2:$A$35)-ROW(Family_Map!$A$2)+1)/(ISNUMBER(SEARCH(Family_Map!$A$2:$A$35,D779))),1)
),
"Other")</f>
        <v>Other</v>
      </c>
      <c r="F779" s="1" t="s">
        <v>4446</v>
      </c>
      <c r="G779" s="1" t="e">
        <f t="shared" ca="1" si="2"/>
        <v>#NAME?</v>
      </c>
      <c r="H779" s="1" t="str">
        <f t="shared" ca="1" si="12"/>
        <v>Other</v>
      </c>
      <c r="I779" s="1" t="s">
        <v>4073</v>
      </c>
      <c r="J779" s="1" t="str">
        <f t="shared" si="3"/>
        <v>2GB</v>
      </c>
      <c r="K779" s="1" t="s">
        <v>4438</v>
      </c>
      <c r="L779" s="1">
        <f t="shared" si="39"/>
        <v>8</v>
      </c>
      <c r="M779" s="1" t="s">
        <v>352</v>
      </c>
      <c r="N779" s="1" t="str">
        <f t="shared" si="5"/>
        <v>512GB</v>
      </c>
      <c r="O779" s="1" t="str">
        <f t="shared" si="6"/>
        <v>512GB</v>
      </c>
      <c r="P779" s="1" t="s">
        <v>120</v>
      </c>
      <c r="Q779" s="1" t="str">
        <f t="shared" si="7"/>
        <v>1920x1080</v>
      </c>
      <c r="S779" s="1" t="str">
        <f t="shared" si="8"/>
        <v/>
      </c>
      <c r="T779" s="1" t="s">
        <v>121</v>
      </c>
      <c r="U779" s="1" t="str">
        <f t="shared" si="9"/>
        <v>DOS</v>
      </c>
      <c r="V779" s="1" t="s">
        <v>4442</v>
      </c>
      <c r="W779" s="1" t="str">
        <f t="shared" si="10"/>
        <v>1.76 kg</v>
      </c>
      <c r="X779" s="1" t="s">
        <v>165</v>
      </c>
      <c r="Y779" s="1" t="str">
        <f t="shared" si="11"/>
        <v>2 Years</v>
      </c>
      <c r="Z779" s="4">
        <v>17499</v>
      </c>
      <c r="AA779" s="1" t="s">
        <v>5735</v>
      </c>
    </row>
    <row r="780" spans="1:27" ht="15.75" customHeight="1" x14ac:dyDescent="0.35">
      <c r="A780" s="1" t="s">
        <v>66</v>
      </c>
      <c r="B780" s="1" t="str">
        <f t="shared" si="16"/>
        <v>Acer</v>
      </c>
      <c r="C780" s="1" t="s">
        <v>4449</v>
      </c>
      <c r="D780" s="1" t="str">
        <f t="shared" si="1"/>
        <v>Aspire 3 A315-56-35TF</v>
      </c>
      <c r="E780" s="1" t="str">
        <f t="array" aca="1" ref="E780" ca="1">IFERROR(
INDEX(Family_Map!$B$2:$B$35,
_xludf.AGGREGATE(14,6,(ROW(Family_Map!$A$2:$A$35)-ROW(Family_Map!$A$2)+1)/(ISNUMBER(SEARCH(Family_Map!$A$2:$A$35,D780))),1)
),
"Other")</f>
        <v>Other</v>
      </c>
      <c r="F780" s="1" t="s">
        <v>4450</v>
      </c>
      <c r="G780" s="1" t="e">
        <f t="shared" ca="1" si="2"/>
        <v>#NAME?</v>
      </c>
      <c r="H780" s="1" t="str">
        <f t="shared" ca="1" si="12"/>
        <v>Other</v>
      </c>
      <c r="J780" s="1" t="str">
        <f t="shared" si="3"/>
        <v/>
      </c>
      <c r="K780" s="1" t="s">
        <v>4451</v>
      </c>
      <c r="L780" s="1">
        <f t="shared" si="39"/>
        <v>4</v>
      </c>
      <c r="M780" s="1" t="s">
        <v>3845</v>
      </c>
      <c r="N780" s="1" t="str">
        <f t="shared" si="5"/>
        <v>1TB</v>
      </c>
      <c r="O780" s="1" t="str">
        <f t="shared" si="6"/>
        <v>1024GB</v>
      </c>
      <c r="P780" s="1" t="s">
        <v>120</v>
      </c>
      <c r="Q780" s="1" t="str">
        <f t="shared" si="7"/>
        <v>1920x1080</v>
      </c>
      <c r="S780" s="1" t="str">
        <f t="shared" si="8"/>
        <v/>
      </c>
      <c r="T780" s="1" t="s">
        <v>121</v>
      </c>
      <c r="U780" s="1" t="str">
        <f t="shared" si="9"/>
        <v>DOS</v>
      </c>
      <c r="V780" s="1" t="s">
        <v>4456</v>
      </c>
      <c r="W780" s="1" t="str">
        <f t="shared" si="10"/>
        <v>1.9 kg</v>
      </c>
      <c r="X780" s="1" t="s">
        <v>339</v>
      </c>
      <c r="Y780" s="1" t="str">
        <f t="shared" si="11"/>
        <v>2 Years</v>
      </c>
      <c r="Z780" s="4">
        <v>20000</v>
      </c>
      <c r="AA780" s="1" t="s">
        <v>2181</v>
      </c>
    </row>
    <row r="781" spans="1:27" ht="15.75" customHeight="1" x14ac:dyDescent="0.35">
      <c r="A781" s="1" t="s">
        <v>66</v>
      </c>
      <c r="B781" s="1" t="str">
        <f t="shared" si="16"/>
        <v>Acer</v>
      </c>
      <c r="C781" s="1" t="s">
        <v>4459</v>
      </c>
      <c r="D781" s="1" t="str">
        <f t="shared" si="1"/>
        <v>Aspire 3 A315-58G-51L4</v>
      </c>
      <c r="E781" s="1" t="str">
        <f t="array" aca="1" ref="E781" ca="1">IFERROR(
INDEX(Family_Map!$B$2:$B$35,
_xludf.AGGREGATE(14,6,(ROW(Family_Map!$A$2:$A$35)-ROW(Family_Map!$A$2)+1)/(ISNUMBER(SEARCH(Family_Map!$A$2:$A$35,D781))),1)
),
"Other")</f>
        <v>Other</v>
      </c>
      <c r="F781" s="1" t="s">
        <v>4071</v>
      </c>
      <c r="G781" s="1" t="e">
        <f t="shared" ca="1" si="2"/>
        <v>#NAME?</v>
      </c>
      <c r="H781" s="1" t="str">
        <f t="shared" ca="1" si="12"/>
        <v>Other</v>
      </c>
      <c r="I781" s="1" t="s">
        <v>4073</v>
      </c>
      <c r="J781" s="1" t="str">
        <f t="shared" si="3"/>
        <v>2GB</v>
      </c>
      <c r="K781" s="1" t="s">
        <v>4460</v>
      </c>
      <c r="L781" s="1">
        <f t="shared" si="39"/>
        <v>8</v>
      </c>
      <c r="M781" s="1" t="s">
        <v>3845</v>
      </c>
      <c r="N781" s="1" t="str">
        <f t="shared" si="5"/>
        <v>1TB</v>
      </c>
      <c r="O781" s="1" t="str">
        <f t="shared" si="6"/>
        <v>1024GB</v>
      </c>
      <c r="P781" s="1" t="s">
        <v>74</v>
      </c>
      <c r="Q781" s="1" t="str">
        <f t="shared" si="7"/>
        <v>1920x1080</v>
      </c>
      <c r="S781" s="1" t="str">
        <f t="shared" si="8"/>
        <v/>
      </c>
      <c r="T781" s="1" t="s">
        <v>121</v>
      </c>
      <c r="U781" s="1" t="str">
        <f t="shared" si="9"/>
        <v>DOS</v>
      </c>
      <c r="V781" s="1" t="s">
        <v>4429</v>
      </c>
      <c r="W781" s="1" t="str">
        <f t="shared" si="10"/>
        <v>1.7 kg</v>
      </c>
      <c r="X781" s="1" t="s">
        <v>339</v>
      </c>
      <c r="Y781" s="1" t="str">
        <f t="shared" si="11"/>
        <v>2 Years</v>
      </c>
      <c r="Z781" s="4">
        <v>23499</v>
      </c>
      <c r="AA781" s="1" t="s">
        <v>1082</v>
      </c>
    </row>
    <row r="782" spans="1:27" ht="15.75" customHeight="1" x14ac:dyDescent="0.35">
      <c r="A782" s="1" t="s">
        <v>234</v>
      </c>
      <c r="B782" s="1" t="str">
        <f t="shared" si="16"/>
        <v>ASUS</v>
      </c>
      <c r="C782" s="1" t="s">
        <v>4465</v>
      </c>
      <c r="D782" s="1" t="str">
        <f t="shared" si="1"/>
        <v>Vivobook 16X D1603QA-MB007W</v>
      </c>
      <c r="E782" s="1" t="str">
        <f t="array" aca="1" ref="E782" ca="1">IFERROR(
INDEX(Family_Map!$B$2:$B$35,
_xludf.AGGREGATE(14,6,(ROW(Family_Map!$A$2:$A$35)-ROW(Family_Map!$A$2)+1)/(ISNUMBER(SEARCH(Family_Map!$A$2:$A$35,D782))),1)
),
"Other")</f>
        <v>Other</v>
      </c>
      <c r="F782" s="1" t="s">
        <v>827</v>
      </c>
      <c r="G782" s="1" t="e">
        <f t="shared" ca="1" si="2"/>
        <v>#NAME?</v>
      </c>
      <c r="H782" s="1" t="str">
        <f t="shared" ca="1" si="12"/>
        <v>Other</v>
      </c>
      <c r="J782" s="1" t="str">
        <f t="shared" si="3"/>
        <v/>
      </c>
      <c r="K782" s="1" t="s">
        <v>628</v>
      </c>
      <c r="L782" s="1">
        <f t="shared" si="39"/>
        <v>8</v>
      </c>
      <c r="M782" s="1" t="s">
        <v>1936</v>
      </c>
      <c r="N782" s="1" t="str">
        <f t="shared" si="5"/>
        <v>1TB</v>
      </c>
      <c r="O782" s="1" t="str">
        <f t="shared" si="6"/>
        <v>1024GB</v>
      </c>
      <c r="P782" s="1" t="s">
        <v>275</v>
      </c>
      <c r="Q782" s="1" t="str">
        <f t="shared" si="7"/>
        <v>1920x1200</v>
      </c>
      <c r="R782" s="1" t="s">
        <v>971</v>
      </c>
      <c r="S782" s="1" t="str">
        <f t="shared" si="8"/>
        <v>60Hz</v>
      </c>
      <c r="T782" s="1" t="s">
        <v>90</v>
      </c>
      <c r="U782" s="1" t="str">
        <f t="shared" si="9"/>
        <v>Windows 11 Home</v>
      </c>
      <c r="V782" s="1" t="s">
        <v>3401</v>
      </c>
      <c r="W782" s="1" t="str">
        <f t="shared" si="10"/>
        <v>1.88 kg</v>
      </c>
      <c r="X782" s="1" t="s">
        <v>165</v>
      </c>
      <c r="Y782" s="1" t="str">
        <f t="shared" si="11"/>
        <v>2 Years</v>
      </c>
      <c r="Z782" s="4">
        <v>29499</v>
      </c>
      <c r="AA782" s="1" t="s">
        <v>5735</v>
      </c>
    </row>
    <row r="783" spans="1:27" ht="15.75" customHeight="1" x14ac:dyDescent="0.35">
      <c r="A783" s="1" t="s">
        <v>234</v>
      </c>
      <c r="B783" s="1" t="str">
        <f t="shared" si="16"/>
        <v>ASUS</v>
      </c>
      <c r="C783" s="1" t="s">
        <v>4470</v>
      </c>
      <c r="D783" s="1" t="str">
        <f t="shared" si="1"/>
        <v>VivoBook 15 X1502ZA-BQ003W</v>
      </c>
      <c r="E783" s="1" t="str">
        <f t="array" aca="1" ref="E783" ca="1">IFERROR(
INDEX(Family_Map!$B$2:$B$35,
_xludf.AGGREGATE(14,6,(ROW(Family_Map!$A$2:$A$35)-ROW(Family_Map!$A$2)+1)/(ISNUMBER(SEARCH(Family_Map!$A$2:$A$35,D783))),1)
),
"Other")</f>
        <v>Other</v>
      </c>
      <c r="F783" s="1" t="s">
        <v>3739</v>
      </c>
      <c r="G783" s="1" t="e">
        <f t="shared" ca="1" si="2"/>
        <v>#NAME?</v>
      </c>
      <c r="H783" s="1" t="str">
        <f t="shared" ca="1" si="12"/>
        <v>Other</v>
      </c>
      <c r="J783" s="1" t="str">
        <f t="shared" si="3"/>
        <v/>
      </c>
      <c r="K783" s="1" t="s">
        <v>3650</v>
      </c>
      <c r="L783" s="1">
        <f t="shared" si="39"/>
        <v>4</v>
      </c>
      <c r="M783" s="1" t="s">
        <v>3799</v>
      </c>
      <c r="N783" s="1" t="str">
        <f t="shared" si="5"/>
        <v>256GB</v>
      </c>
      <c r="O783" s="1" t="str">
        <f t="shared" si="6"/>
        <v>256GB</v>
      </c>
      <c r="P783" s="1" t="s">
        <v>120</v>
      </c>
      <c r="Q783" s="1" t="str">
        <f t="shared" si="7"/>
        <v>1920x1080</v>
      </c>
      <c r="R783" s="1" t="s">
        <v>971</v>
      </c>
      <c r="S783" s="1" t="str">
        <f t="shared" si="8"/>
        <v>60Hz</v>
      </c>
      <c r="T783" s="1" t="s">
        <v>90</v>
      </c>
      <c r="U783" s="1" t="str">
        <f t="shared" si="9"/>
        <v>Windows 11 Home</v>
      </c>
      <c r="V783" s="1" t="s">
        <v>3500</v>
      </c>
      <c r="W783" s="1" t="str">
        <f t="shared" si="10"/>
        <v>1.7 kg</v>
      </c>
      <c r="X783" s="1" t="s">
        <v>165</v>
      </c>
      <c r="Y783" s="1" t="str">
        <f t="shared" si="11"/>
        <v>2 Years</v>
      </c>
      <c r="Z783" s="4">
        <v>14699</v>
      </c>
      <c r="AA783" s="1" t="s">
        <v>166</v>
      </c>
    </row>
    <row r="784" spans="1:27" ht="15.75" customHeight="1" x14ac:dyDescent="0.35">
      <c r="A784" s="1" t="s">
        <v>234</v>
      </c>
      <c r="B784" s="1" t="str">
        <f t="shared" si="16"/>
        <v>ASUS</v>
      </c>
      <c r="C784" s="1" t="s">
        <v>4473</v>
      </c>
      <c r="D784" s="1" t="str">
        <f t="shared" si="1"/>
        <v>VivoBook 15 X1502ZA-BQ005W</v>
      </c>
      <c r="E784" s="1" t="str">
        <f t="array" aca="1" ref="E784" ca="1">IFERROR(
INDEX(Family_Map!$B$2:$B$35,
_xludf.AGGREGATE(14,6,(ROW(Family_Map!$A$2:$A$35)-ROW(Family_Map!$A$2)+1)/(ISNUMBER(SEARCH(Family_Map!$A$2:$A$35,D784))),1)
),
"Other")</f>
        <v>Other</v>
      </c>
      <c r="F784" s="1" t="s">
        <v>3516</v>
      </c>
      <c r="G784" s="1" t="e">
        <f t="shared" ca="1" si="2"/>
        <v>#NAME?</v>
      </c>
      <c r="H784" s="1" t="str">
        <f t="shared" ca="1" si="12"/>
        <v>Other</v>
      </c>
      <c r="J784" s="1" t="str">
        <f t="shared" si="3"/>
        <v/>
      </c>
      <c r="K784" s="1" t="s">
        <v>628</v>
      </c>
      <c r="L784" s="1">
        <f t="shared" si="39"/>
        <v>8</v>
      </c>
      <c r="M784" s="1" t="s">
        <v>1604</v>
      </c>
      <c r="N784" s="1" t="str">
        <f t="shared" si="5"/>
        <v>512GB</v>
      </c>
      <c r="O784" s="1" t="str">
        <f t="shared" si="6"/>
        <v>512GB</v>
      </c>
      <c r="P784" s="1" t="s">
        <v>120</v>
      </c>
      <c r="Q784" s="1" t="str">
        <f t="shared" si="7"/>
        <v>1920x1080</v>
      </c>
      <c r="R784" s="1" t="s">
        <v>971</v>
      </c>
      <c r="S784" s="1" t="str">
        <f t="shared" si="8"/>
        <v>60Hz</v>
      </c>
      <c r="T784" s="1" t="s">
        <v>90</v>
      </c>
      <c r="U784" s="1" t="str">
        <f t="shared" si="9"/>
        <v>Windows 11 Home</v>
      </c>
      <c r="V784" s="1" t="s">
        <v>3500</v>
      </c>
      <c r="W784" s="1" t="str">
        <f t="shared" si="10"/>
        <v>1.7 kg</v>
      </c>
      <c r="X784" s="1" t="s">
        <v>165</v>
      </c>
      <c r="Y784" s="1" t="str">
        <f t="shared" si="11"/>
        <v>2 Years</v>
      </c>
      <c r="Z784" s="4">
        <v>21999</v>
      </c>
      <c r="AA784" s="1" t="s">
        <v>166</v>
      </c>
    </row>
    <row r="785" spans="1:27" ht="15.75" customHeight="1" x14ac:dyDescent="0.35">
      <c r="A785" s="1" t="s">
        <v>234</v>
      </c>
      <c r="B785" s="1" t="str">
        <f t="shared" si="16"/>
        <v>ASUS</v>
      </c>
      <c r="C785" s="1" t="s">
        <v>4475</v>
      </c>
      <c r="D785" s="1" t="str">
        <f t="shared" si="1"/>
        <v>VivoBook 15 X1502ZA-BQ007W</v>
      </c>
      <c r="E785" s="1" t="str">
        <f t="array" aca="1" ref="E785" ca="1">IFERROR(
INDEX(Family_Map!$B$2:$B$35,
_xludf.AGGREGATE(14,6,(ROW(Family_Map!$A$2:$A$35)-ROW(Family_Map!$A$2)+1)/(ISNUMBER(SEARCH(Family_Map!$A$2:$A$35,D785))),1)
),
"Other")</f>
        <v>Other</v>
      </c>
      <c r="F785" s="1" t="s">
        <v>4476</v>
      </c>
      <c r="G785" s="1" t="e">
        <f t="shared" ca="1" si="2"/>
        <v>#NAME?</v>
      </c>
      <c r="H785" s="1" t="str">
        <f t="shared" ca="1" si="12"/>
        <v>Other</v>
      </c>
      <c r="J785" s="1" t="str">
        <f t="shared" si="3"/>
        <v/>
      </c>
      <c r="K785" s="1" t="s">
        <v>628</v>
      </c>
      <c r="L785" s="1">
        <f t="shared" si="39"/>
        <v>8</v>
      </c>
      <c r="M785" s="1" t="s">
        <v>1604</v>
      </c>
      <c r="N785" s="1" t="str">
        <f t="shared" si="5"/>
        <v>512GB</v>
      </c>
      <c r="O785" s="1" t="str">
        <f t="shared" si="6"/>
        <v>512GB</v>
      </c>
      <c r="P785" s="1" t="s">
        <v>120</v>
      </c>
      <c r="Q785" s="1" t="str">
        <f t="shared" si="7"/>
        <v>1920x1080</v>
      </c>
      <c r="R785" s="1" t="s">
        <v>971</v>
      </c>
      <c r="S785" s="1" t="str">
        <f t="shared" si="8"/>
        <v>60Hz</v>
      </c>
      <c r="T785" s="1" t="s">
        <v>90</v>
      </c>
      <c r="U785" s="1" t="str">
        <f t="shared" si="9"/>
        <v>Windows 11 Home</v>
      </c>
      <c r="V785" s="1" t="s">
        <v>3500</v>
      </c>
      <c r="W785" s="1" t="str">
        <f t="shared" si="10"/>
        <v>1.7 kg</v>
      </c>
      <c r="X785" s="1" t="s">
        <v>78</v>
      </c>
      <c r="Y785" s="1" t="str">
        <f t="shared" si="11"/>
        <v>1 Year</v>
      </c>
      <c r="Z785" s="4">
        <v>25699</v>
      </c>
      <c r="AA785" s="1" t="s">
        <v>166</v>
      </c>
    </row>
    <row r="786" spans="1:27" ht="15.75" customHeight="1" x14ac:dyDescent="0.35">
      <c r="A786" s="1" t="s">
        <v>234</v>
      </c>
      <c r="B786" s="1" t="str">
        <f t="shared" si="16"/>
        <v>ASUS</v>
      </c>
      <c r="C786" s="1" t="s">
        <v>4479</v>
      </c>
      <c r="D786" s="1" t="str">
        <f t="shared" si="1"/>
        <v>Vivobook Flip 14 TP470EA-EC003W</v>
      </c>
      <c r="E786" s="1" t="str">
        <f t="array" aca="1" ref="E786" ca="1">IFERROR(
INDEX(Family_Map!$B$2:$B$35,
_xludf.AGGREGATE(14,6,(ROW(Family_Map!$A$2:$A$35)-ROW(Family_Map!$A$2)+1)/(ISNUMBER(SEARCH(Family_Map!$A$2:$A$35,D786))),1)
),
"Other")</f>
        <v>Other</v>
      </c>
      <c r="F786" s="1" t="s">
        <v>4295</v>
      </c>
      <c r="G786" s="1" t="e">
        <f t="shared" ca="1" si="2"/>
        <v>#NAME?</v>
      </c>
      <c r="H786" s="1" t="str">
        <f t="shared" ca="1" si="12"/>
        <v>Other</v>
      </c>
      <c r="J786" s="1" t="str">
        <f t="shared" si="3"/>
        <v/>
      </c>
      <c r="K786" s="1" t="s">
        <v>4480</v>
      </c>
      <c r="L786" s="1">
        <f t="shared" si="39"/>
        <v>4</v>
      </c>
      <c r="M786" s="1" t="s">
        <v>3799</v>
      </c>
      <c r="N786" s="1" t="str">
        <f t="shared" si="5"/>
        <v>256GB</v>
      </c>
      <c r="O786" s="1" t="str">
        <f t="shared" si="6"/>
        <v>256GB</v>
      </c>
      <c r="P786" s="1" t="s">
        <v>120</v>
      </c>
      <c r="Q786" s="1" t="str">
        <f t="shared" si="7"/>
        <v>1920x1080</v>
      </c>
      <c r="R786" s="1" t="s">
        <v>971</v>
      </c>
      <c r="S786" s="1" t="str">
        <f t="shared" si="8"/>
        <v>60Hz</v>
      </c>
      <c r="T786" s="1" t="s">
        <v>90</v>
      </c>
      <c r="U786" s="1" t="str">
        <f t="shared" si="9"/>
        <v>Windows 11 Home</v>
      </c>
      <c r="V786" s="1" t="s">
        <v>3468</v>
      </c>
      <c r="W786" s="1" t="str">
        <f t="shared" si="10"/>
        <v>1.5 kg</v>
      </c>
      <c r="X786" s="1" t="s">
        <v>165</v>
      </c>
      <c r="Y786" s="1" t="str">
        <f t="shared" si="11"/>
        <v>2 Years</v>
      </c>
      <c r="Z786" s="4">
        <v>20199</v>
      </c>
      <c r="AA786" s="1" t="s">
        <v>1082</v>
      </c>
    </row>
    <row r="787" spans="1:27" ht="15.75" customHeight="1" x14ac:dyDescent="0.35">
      <c r="A787" s="1" t="s">
        <v>234</v>
      </c>
      <c r="B787" s="1" t="str">
        <f t="shared" si="16"/>
        <v>ASUS</v>
      </c>
      <c r="C787" s="1" t="s">
        <v>4485</v>
      </c>
      <c r="D787" s="1" t="str">
        <f t="shared" si="1"/>
        <v>Vivobook Flip 14 TP470EA-EC005W</v>
      </c>
      <c r="E787" s="1" t="str">
        <f t="array" aca="1" ref="E787" ca="1">IFERROR(
INDEX(Family_Map!$B$2:$B$35,
_xludf.AGGREGATE(14,6,(ROW(Family_Map!$A$2:$A$35)-ROW(Family_Map!$A$2)+1)/(ISNUMBER(SEARCH(Family_Map!$A$2:$A$35,D787))),1)
),
"Other")</f>
        <v>Other</v>
      </c>
      <c r="F787" s="1" t="s">
        <v>4071</v>
      </c>
      <c r="G787" s="1" t="e">
        <f t="shared" ca="1" si="2"/>
        <v>#NAME?</v>
      </c>
      <c r="H787" s="1" t="str">
        <f t="shared" ca="1" si="12"/>
        <v>Other</v>
      </c>
      <c r="J787" s="1" t="str">
        <f t="shared" si="3"/>
        <v/>
      </c>
      <c r="K787" s="1" t="s">
        <v>4364</v>
      </c>
      <c r="L787" s="1">
        <f t="shared" si="39"/>
        <v>8</v>
      </c>
      <c r="M787" s="1" t="s">
        <v>1604</v>
      </c>
      <c r="N787" s="1" t="str">
        <f t="shared" si="5"/>
        <v>512GB</v>
      </c>
      <c r="O787" s="1" t="str">
        <f t="shared" si="6"/>
        <v>512GB</v>
      </c>
      <c r="P787" s="1" t="s">
        <v>120</v>
      </c>
      <c r="Q787" s="1" t="str">
        <f t="shared" si="7"/>
        <v>1920x1080</v>
      </c>
      <c r="R787" s="1" t="s">
        <v>971</v>
      </c>
      <c r="S787" s="1" t="str">
        <f t="shared" si="8"/>
        <v>60Hz</v>
      </c>
      <c r="T787" s="1" t="s">
        <v>90</v>
      </c>
      <c r="U787" s="1" t="str">
        <f t="shared" si="9"/>
        <v>Windows 11 Home</v>
      </c>
      <c r="V787" s="1" t="s">
        <v>3468</v>
      </c>
      <c r="W787" s="1" t="str">
        <f t="shared" si="10"/>
        <v>1.5 kg</v>
      </c>
      <c r="X787" s="1" t="s">
        <v>339</v>
      </c>
      <c r="Y787" s="1" t="str">
        <f t="shared" si="11"/>
        <v>2 Years</v>
      </c>
      <c r="Z787" s="4">
        <v>24899</v>
      </c>
      <c r="AA787" s="1" t="s">
        <v>1082</v>
      </c>
    </row>
    <row r="788" spans="1:27" ht="15.75" customHeight="1" x14ac:dyDescent="0.35">
      <c r="A788" s="1" t="s">
        <v>234</v>
      </c>
      <c r="B788" s="1" t="str">
        <f t="shared" si="16"/>
        <v>ASUS</v>
      </c>
      <c r="C788" s="1" t="s">
        <v>4489</v>
      </c>
      <c r="D788" s="1" t="str">
        <f t="shared" si="1"/>
        <v>Vivobook Flip 14 TP470EA-EC007W</v>
      </c>
      <c r="E788" s="1" t="str">
        <f t="array" aca="1" ref="E788" ca="1">IFERROR(
INDEX(Family_Map!$B$2:$B$35,
_xludf.AGGREGATE(14,6,(ROW(Family_Map!$A$2:$A$35)-ROW(Family_Map!$A$2)+1)/(ISNUMBER(SEARCH(Family_Map!$A$2:$A$35,D788))),1)
),
"Other")</f>
        <v>Other</v>
      </c>
      <c r="F788" s="1" t="s">
        <v>3748</v>
      </c>
      <c r="G788" s="1" t="e">
        <f t="shared" ca="1" si="2"/>
        <v>#NAME?</v>
      </c>
      <c r="H788" s="1" t="str">
        <f t="shared" ca="1" si="12"/>
        <v>Other</v>
      </c>
      <c r="J788" s="1" t="str">
        <f t="shared" si="3"/>
        <v/>
      </c>
      <c r="K788" s="1" t="s">
        <v>4364</v>
      </c>
      <c r="L788" s="1">
        <f t="shared" si="39"/>
        <v>8</v>
      </c>
      <c r="M788" s="1" t="s">
        <v>1604</v>
      </c>
      <c r="N788" s="1" t="str">
        <f t="shared" si="5"/>
        <v>512GB</v>
      </c>
      <c r="O788" s="1" t="str">
        <f t="shared" si="6"/>
        <v>512GB</v>
      </c>
      <c r="P788" s="1" t="s">
        <v>120</v>
      </c>
      <c r="Q788" s="1" t="str">
        <f t="shared" si="7"/>
        <v>1920x1080</v>
      </c>
      <c r="R788" s="1" t="s">
        <v>971</v>
      </c>
      <c r="S788" s="1" t="str">
        <f t="shared" si="8"/>
        <v>60Hz</v>
      </c>
      <c r="T788" s="1" t="s">
        <v>90</v>
      </c>
      <c r="U788" s="1" t="str">
        <f t="shared" si="9"/>
        <v>Windows 11 Home</v>
      </c>
      <c r="V788" s="1" t="s">
        <v>3468</v>
      </c>
      <c r="W788" s="1" t="str">
        <f t="shared" si="10"/>
        <v>1.5 kg</v>
      </c>
      <c r="X788" s="1" t="s">
        <v>165</v>
      </c>
      <c r="Y788" s="1" t="str">
        <f t="shared" si="11"/>
        <v>2 Years</v>
      </c>
      <c r="Z788" s="4">
        <v>29699</v>
      </c>
      <c r="AA788" s="1" t="s">
        <v>1082</v>
      </c>
    </row>
    <row r="789" spans="1:27" ht="15.75" customHeight="1" x14ac:dyDescent="0.35">
      <c r="A789" s="1" t="s">
        <v>112</v>
      </c>
      <c r="B789" s="1" t="str">
        <f t="shared" si="16"/>
        <v>HP</v>
      </c>
      <c r="C789" s="1" t="s">
        <v>4492</v>
      </c>
      <c r="D789" s="1" t="str">
        <f t="shared" si="1"/>
        <v>255 G8</v>
      </c>
      <c r="E789" s="1" t="str">
        <f t="array" aca="1" ref="E789" ca="1">IFERROR(
INDEX(Family_Map!$B$2:$B$35,
_xludf.AGGREGATE(14,6,(ROW(Family_Map!$A$2:$A$35)-ROW(Family_Map!$A$2)+1)/(ISNUMBER(SEARCH(Family_Map!$A$2:$A$35,D789))),1)
),
"Other")</f>
        <v>Other</v>
      </c>
      <c r="F789" s="1" t="s">
        <v>4108</v>
      </c>
      <c r="G789" s="1" t="e">
        <f t="shared" ca="1" si="2"/>
        <v>#NAME?</v>
      </c>
      <c r="H789" s="1" t="str">
        <f t="shared" ca="1" si="12"/>
        <v>Other</v>
      </c>
      <c r="J789" s="1" t="str">
        <f t="shared" si="3"/>
        <v/>
      </c>
      <c r="K789" s="1" t="s">
        <v>351</v>
      </c>
      <c r="L789" s="1">
        <f t="shared" si="39"/>
        <v>8</v>
      </c>
      <c r="M789" s="1" t="s">
        <v>1120</v>
      </c>
      <c r="N789" s="1" t="str">
        <f t="shared" si="5"/>
        <v>512GB</v>
      </c>
      <c r="O789" s="1" t="str">
        <f t="shared" si="6"/>
        <v>512GB</v>
      </c>
      <c r="P789" s="1" t="s">
        <v>120</v>
      </c>
      <c r="Q789" s="1" t="str">
        <f t="shared" si="7"/>
        <v>1920x1080</v>
      </c>
      <c r="S789" s="1" t="str">
        <f t="shared" si="8"/>
        <v/>
      </c>
      <c r="T789" s="1" t="s">
        <v>101</v>
      </c>
      <c r="U789" s="1" t="str">
        <f t="shared" si="9"/>
        <v>DOS</v>
      </c>
      <c r="V789" s="1" t="s">
        <v>3850</v>
      </c>
      <c r="W789" s="1" t="str">
        <f t="shared" si="10"/>
        <v>1.74 kg</v>
      </c>
      <c r="X789" s="1" t="s">
        <v>78</v>
      </c>
      <c r="Y789" s="1" t="str">
        <f t="shared" si="11"/>
        <v>1 Year</v>
      </c>
      <c r="Z789" s="4">
        <v>17499</v>
      </c>
      <c r="AA789" s="1" t="s">
        <v>5735</v>
      </c>
    </row>
    <row r="790" spans="1:27" ht="15.75" customHeight="1" x14ac:dyDescent="0.35">
      <c r="A790" s="1" t="s">
        <v>66</v>
      </c>
      <c r="B790" s="1" t="str">
        <f t="shared" si="16"/>
        <v>Acer</v>
      </c>
      <c r="C790" s="1" t="s">
        <v>4499</v>
      </c>
      <c r="D790" s="1" t="str">
        <f t="shared" si="1"/>
        <v>Aspire 3 A315-58-39P3</v>
      </c>
      <c r="E790" s="1" t="str">
        <f t="array" aca="1" ref="E790" ca="1">IFERROR(
INDEX(Family_Map!$B$2:$B$35,
_xludf.AGGREGATE(14,6,(ROW(Family_Map!$A$2:$A$35)-ROW(Family_Map!$A$2)+1)/(ISNUMBER(SEARCH(Family_Map!$A$2:$A$35,D790))),1)
),
"Other")</f>
        <v>Other</v>
      </c>
      <c r="F790" s="1" t="s">
        <v>4295</v>
      </c>
      <c r="G790" s="1" t="e">
        <f t="shared" ca="1" si="2"/>
        <v>#NAME?</v>
      </c>
      <c r="H790" s="1" t="str">
        <f t="shared" ca="1" si="12"/>
        <v>Other</v>
      </c>
      <c r="J790" s="1" t="str">
        <f t="shared" si="3"/>
        <v/>
      </c>
      <c r="K790" s="1" t="s">
        <v>4500</v>
      </c>
      <c r="L790" s="1">
        <f t="shared" si="39"/>
        <v>4</v>
      </c>
      <c r="M790" s="1" t="s">
        <v>4061</v>
      </c>
      <c r="N790" s="1" t="str">
        <f t="shared" si="5"/>
        <v>1 TB</v>
      </c>
      <c r="O790" s="1" t="str">
        <f t="shared" si="6"/>
        <v>1024GB</v>
      </c>
      <c r="P790" s="1" t="s">
        <v>120</v>
      </c>
      <c r="Q790" s="1" t="str">
        <f t="shared" si="7"/>
        <v>1920x1080</v>
      </c>
      <c r="S790" s="1" t="str">
        <f t="shared" si="8"/>
        <v/>
      </c>
      <c r="T790" s="1" t="s">
        <v>101</v>
      </c>
      <c r="U790" s="1" t="str">
        <f t="shared" si="9"/>
        <v>DOS</v>
      </c>
      <c r="V790" s="1" t="s">
        <v>4429</v>
      </c>
      <c r="W790" s="1" t="str">
        <f t="shared" si="10"/>
        <v>1.7 kg</v>
      </c>
      <c r="X790" s="1" t="s">
        <v>339</v>
      </c>
      <c r="Y790" s="1" t="str">
        <f t="shared" si="11"/>
        <v>2 Years</v>
      </c>
      <c r="Z790" s="4">
        <v>22000</v>
      </c>
      <c r="AA790" s="1" t="s">
        <v>1082</v>
      </c>
    </row>
    <row r="791" spans="1:27" ht="15.75" customHeight="1" x14ac:dyDescent="0.35">
      <c r="A791" s="1" t="s">
        <v>66</v>
      </c>
      <c r="B791" s="1" t="str">
        <f t="shared" si="16"/>
        <v>Acer</v>
      </c>
      <c r="C791" s="1" t="s">
        <v>4507</v>
      </c>
      <c r="D791" s="1" t="str">
        <f t="shared" si="1"/>
        <v>Aspire 3 A315-58G-5657</v>
      </c>
      <c r="E791" s="1" t="str">
        <f t="array" aca="1" ref="E791" ca="1">IFERROR(
INDEX(Family_Map!$B$2:$B$35,
_xludf.AGGREGATE(14,6,(ROW(Family_Map!$A$2:$A$35)-ROW(Family_Map!$A$2)+1)/(ISNUMBER(SEARCH(Family_Map!$A$2:$A$35,D791))),1)
),
"Other")</f>
        <v>Other</v>
      </c>
      <c r="F791" s="1" t="s">
        <v>4071</v>
      </c>
      <c r="G791" s="1" t="e">
        <f t="shared" ca="1" si="2"/>
        <v>#NAME?</v>
      </c>
      <c r="H791" s="1" t="str">
        <f t="shared" ca="1" si="12"/>
        <v>Other</v>
      </c>
      <c r="I791" s="1" t="s">
        <v>4073</v>
      </c>
      <c r="J791" s="1" t="str">
        <f t="shared" si="3"/>
        <v>2GB</v>
      </c>
      <c r="K791" s="1" t="s">
        <v>4508</v>
      </c>
      <c r="L791" s="1">
        <f t="shared" si="39"/>
        <v>8</v>
      </c>
      <c r="M791" s="1" t="s">
        <v>2343</v>
      </c>
      <c r="N791" s="1" t="str">
        <f t="shared" si="5"/>
        <v>1TB</v>
      </c>
      <c r="O791" s="1" t="str">
        <f t="shared" si="6"/>
        <v>1024GB</v>
      </c>
      <c r="P791" s="1" t="s">
        <v>120</v>
      </c>
      <c r="Q791" s="1" t="str">
        <f t="shared" si="7"/>
        <v>1920x1080</v>
      </c>
      <c r="S791" s="1" t="str">
        <f t="shared" si="8"/>
        <v/>
      </c>
      <c r="T791" s="1" t="s">
        <v>101</v>
      </c>
      <c r="U791" s="1" t="str">
        <f t="shared" si="9"/>
        <v>DOS</v>
      </c>
      <c r="V791" s="1" t="s">
        <v>4346</v>
      </c>
      <c r="W791" s="1" t="str">
        <f t="shared" si="10"/>
        <v>1.1 kg</v>
      </c>
      <c r="X791" s="1" t="s">
        <v>339</v>
      </c>
      <c r="Y791" s="1" t="str">
        <f t="shared" si="11"/>
        <v>2 Years</v>
      </c>
      <c r="Z791" s="4">
        <v>29999</v>
      </c>
      <c r="AA791" s="1" t="s">
        <v>1082</v>
      </c>
    </row>
    <row r="792" spans="1:27" ht="15.75" customHeight="1" x14ac:dyDescent="0.35">
      <c r="A792" s="1" t="s">
        <v>112</v>
      </c>
      <c r="B792" s="1" t="str">
        <f t="shared" si="16"/>
        <v>HP</v>
      </c>
      <c r="C792" s="1" t="s">
        <v>4511</v>
      </c>
      <c r="D792" s="1" t="str">
        <f t="shared" si="1"/>
        <v>15s-EQ2383NIA</v>
      </c>
      <c r="E792" s="1" t="str">
        <f t="array" aca="1" ref="E792" ca="1">IFERROR(
INDEX(Family_Map!$B$2:$B$35,
_xludf.AGGREGATE(14,6,(ROW(Family_Map!$A$2:$A$35)-ROW(Family_Map!$A$2)+1)/(ISNUMBER(SEARCH(Family_Map!$A$2:$A$35,D792))),1)
),
"Other")</f>
        <v>Other</v>
      </c>
      <c r="F792" s="1" t="s">
        <v>4512</v>
      </c>
      <c r="G792" s="1" t="e">
        <f t="shared" ca="1" si="2"/>
        <v>#NAME?</v>
      </c>
      <c r="H792" s="1" t="str">
        <f t="shared" ca="1" si="12"/>
        <v>Other</v>
      </c>
      <c r="J792" s="1" t="str">
        <f t="shared" si="3"/>
        <v/>
      </c>
      <c r="K792" s="1" t="s">
        <v>1525</v>
      </c>
      <c r="L792" s="1">
        <f t="shared" si="39"/>
        <v>8</v>
      </c>
      <c r="M792" s="1" t="s">
        <v>1813</v>
      </c>
      <c r="N792" s="1" t="str">
        <f t="shared" si="5"/>
        <v>512 GB</v>
      </c>
      <c r="O792" s="1" t="str">
        <f t="shared" si="6"/>
        <v>512 GB</v>
      </c>
      <c r="P792" s="1" t="s">
        <v>120</v>
      </c>
      <c r="Q792" s="1" t="str">
        <f t="shared" si="7"/>
        <v>1920x1080</v>
      </c>
      <c r="S792" s="1" t="str">
        <f t="shared" si="8"/>
        <v/>
      </c>
      <c r="T792" s="1" t="s">
        <v>101</v>
      </c>
      <c r="U792" s="1" t="str">
        <f t="shared" si="9"/>
        <v>DOS</v>
      </c>
      <c r="V792" s="1" t="s">
        <v>4092</v>
      </c>
      <c r="W792" s="1" t="str">
        <f t="shared" si="10"/>
        <v>1.69 kg</v>
      </c>
      <c r="X792" s="1" t="s">
        <v>78</v>
      </c>
      <c r="Y792" s="1" t="str">
        <f t="shared" si="11"/>
        <v>1 Year</v>
      </c>
      <c r="Z792" s="4">
        <v>16199</v>
      </c>
      <c r="AA792" s="1" t="s">
        <v>5735</v>
      </c>
    </row>
    <row r="793" spans="1:27" ht="15.75" customHeight="1" x14ac:dyDescent="0.35">
      <c r="A793" s="1" t="s">
        <v>112</v>
      </c>
      <c r="B793" s="1" t="str">
        <f t="shared" si="16"/>
        <v>HP</v>
      </c>
      <c r="C793" s="1" t="s">
        <v>4517</v>
      </c>
      <c r="D793" s="1" t="str">
        <f t="shared" si="1"/>
        <v>15-DW3049NE</v>
      </c>
      <c r="E793" s="1" t="str">
        <f t="array" aca="1" ref="E793" ca="1">IFERROR(
INDEX(Family_Map!$B$2:$B$35,
_xludf.AGGREGATE(14,6,(ROW(Family_Map!$A$2:$A$35)-ROW(Family_Map!$A$2)+1)/(ISNUMBER(SEARCH(Family_Map!$A$2:$A$35,D793))),1)
),
"Other")</f>
        <v>Other</v>
      </c>
      <c r="F793" s="1" t="s">
        <v>4295</v>
      </c>
      <c r="G793" s="1" t="e">
        <f t="shared" ca="1" si="2"/>
        <v>#NAME?</v>
      </c>
      <c r="H793" s="1" t="str">
        <f t="shared" ca="1" si="12"/>
        <v>Other</v>
      </c>
      <c r="J793" s="1" t="str">
        <f t="shared" si="3"/>
        <v/>
      </c>
      <c r="K793" s="1" t="s">
        <v>4518</v>
      </c>
      <c r="L793" s="1">
        <f t="shared" si="39"/>
        <v>4</v>
      </c>
      <c r="M793" s="1" t="s">
        <v>3940</v>
      </c>
      <c r="N793" s="1" t="str">
        <f t="shared" si="5"/>
        <v>256 GB</v>
      </c>
      <c r="O793" s="1" t="str">
        <f t="shared" si="6"/>
        <v>256 GB</v>
      </c>
      <c r="P793" s="1" t="s">
        <v>3653</v>
      </c>
      <c r="Q793" s="1" t="str">
        <f t="shared" si="7"/>
        <v>1366x768</v>
      </c>
      <c r="S793" s="1" t="str">
        <f t="shared" si="8"/>
        <v/>
      </c>
      <c r="T793" s="1" t="s">
        <v>101</v>
      </c>
      <c r="U793" s="1" t="str">
        <f t="shared" si="9"/>
        <v>DOS</v>
      </c>
      <c r="V793" s="1" t="s">
        <v>3276</v>
      </c>
      <c r="W793" s="1" t="str">
        <f t="shared" si="10"/>
        <v>1.75 kg</v>
      </c>
      <c r="X793" s="1" t="s">
        <v>78</v>
      </c>
      <c r="Y793" s="1" t="str">
        <f t="shared" si="11"/>
        <v>1 Year</v>
      </c>
      <c r="Z793" s="4">
        <v>11777</v>
      </c>
      <c r="AA793" s="1" t="s">
        <v>1082</v>
      </c>
    </row>
    <row r="794" spans="1:27" ht="15.75" customHeight="1" x14ac:dyDescent="0.35">
      <c r="A794" s="1" t="s">
        <v>81</v>
      </c>
      <c r="B794" s="1" t="str">
        <f t="shared" si="16"/>
        <v>Dell</v>
      </c>
      <c r="C794" s="1" t="s">
        <v>4524</v>
      </c>
      <c r="D794" s="1" t="str">
        <f t="shared" si="1"/>
        <v>VOSTRO 15 3510</v>
      </c>
      <c r="E794" s="1" t="str">
        <f t="array" aca="1" ref="E794" ca="1">IFERROR(
INDEX(Family_Map!$B$2:$B$35,
_xludf.AGGREGATE(14,6,(ROW(Family_Map!$A$2:$A$35)-ROW(Family_Map!$A$2)+1)/(ISNUMBER(SEARCH(Family_Map!$A$2:$A$35,D794))),1)
),
"Other")</f>
        <v>Other</v>
      </c>
      <c r="F794" s="1" t="s">
        <v>4071</v>
      </c>
      <c r="G794" s="1" t="e">
        <f t="shared" ca="1" si="2"/>
        <v>#NAME?</v>
      </c>
      <c r="H794" s="1" t="str">
        <f t="shared" ca="1" si="12"/>
        <v>Other</v>
      </c>
      <c r="I794" s="1" t="s">
        <v>4177</v>
      </c>
      <c r="J794" s="1" t="str">
        <f t="shared" si="3"/>
        <v>2GB</v>
      </c>
      <c r="K794" s="1" t="s">
        <v>2342</v>
      </c>
      <c r="L794" s="1">
        <f t="shared" si="39"/>
        <v>4</v>
      </c>
      <c r="M794" s="1" t="s">
        <v>2388</v>
      </c>
      <c r="N794" s="1" t="str">
        <f t="shared" si="5"/>
        <v>256GB</v>
      </c>
      <c r="O794" s="1" t="str">
        <f t="shared" si="6"/>
        <v>256GB</v>
      </c>
      <c r="P794" s="1" t="s">
        <v>3653</v>
      </c>
      <c r="Q794" s="1" t="str">
        <f t="shared" si="7"/>
        <v>1366x768</v>
      </c>
      <c r="S794" s="1" t="str">
        <f t="shared" si="8"/>
        <v/>
      </c>
      <c r="T794" s="1" t="s">
        <v>121</v>
      </c>
      <c r="U794" s="1" t="str">
        <f t="shared" si="9"/>
        <v>DOS</v>
      </c>
      <c r="V794" s="1" t="s">
        <v>4328</v>
      </c>
      <c r="W794" s="1" t="str">
        <f t="shared" si="10"/>
        <v>1.69 kg</v>
      </c>
      <c r="X794" s="1" t="s">
        <v>78</v>
      </c>
      <c r="Y794" s="1" t="str">
        <f t="shared" si="11"/>
        <v>1 Year</v>
      </c>
      <c r="Z794" s="4">
        <v>19999</v>
      </c>
      <c r="AA794" s="1" t="s">
        <v>1082</v>
      </c>
    </row>
    <row r="795" spans="1:27" ht="15.75" customHeight="1" x14ac:dyDescent="0.35">
      <c r="A795" s="1" t="s">
        <v>81</v>
      </c>
      <c r="B795" s="1" t="str">
        <f t="shared" si="16"/>
        <v>Dell</v>
      </c>
      <c r="C795" s="1" t="s">
        <v>4524</v>
      </c>
      <c r="D795" s="1" t="str">
        <f t="shared" si="1"/>
        <v>VOSTRO 15 3510</v>
      </c>
      <c r="E795" s="1" t="str">
        <f t="array" aca="1" ref="E795" ca="1">IFERROR(
INDEX(Family_Map!$B$2:$B$35,
_xludf.AGGREGATE(14,6,(ROW(Family_Map!$A$2:$A$35)-ROW(Family_Map!$A$2)+1)/(ISNUMBER(SEARCH(Family_Map!$A$2:$A$35,D795))),1)
),
"Other")</f>
        <v>Other</v>
      </c>
      <c r="F795" s="1" t="s">
        <v>4071</v>
      </c>
      <c r="G795" s="1" t="e">
        <f t="shared" ca="1" si="2"/>
        <v>#NAME?</v>
      </c>
      <c r="H795" s="1" t="str">
        <f t="shared" ca="1" si="12"/>
        <v>Other</v>
      </c>
      <c r="J795" s="1" t="str">
        <f t="shared" si="3"/>
        <v/>
      </c>
      <c r="K795" s="1" t="s">
        <v>512</v>
      </c>
      <c r="L795" s="1">
        <f t="shared" si="39"/>
        <v>8</v>
      </c>
      <c r="M795" s="1" t="s">
        <v>2388</v>
      </c>
      <c r="N795" s="1" t="str">
        <f t="shared" si="5"/>
        <v>256GB</v>
      </c>
      <c r="O795" s="1" t="str">
        <f t="shared" si="6"/>
        <v>256GB</v>
      </c>
      <c r="P795" s="1" t="s">
        <v>120</v>
      </c>
      <c r="Q795" s="1" t="str">
        <f t="shared" si="7"/>
        <v>1920x1080</v>
      </c>
      <c r="S795" s="1" t="str">
        <f t="shared" si="8"/>
        <v/>
      </c>
      <c r="T795" s="1" t="s">
        <v>121</v>
      </c>
      <c r="U795" s="1" t="str">
        <f t="shared" si="9"/>
        <v>DOS</v>
      </c>
      <c r="V795" s="1" t="s">
        <v>4328</v>
      </c>
      <c r="W795" s="1" t="str">
        <f t="shared" si="10"/>
        <v>1.69 kg</v>
      </c>
      <c r="X795" s="1" t="s">
        <v>78</v>
      </c>
      <c r="Y795" s="1" t="str">
        <f t="shared" si="11"/>
        <v>1 Year</v>
      </c>
      <c r="Z795" s="4">
        <v>16666</v>
      </c>
      <c r="AA795" s="1" t="s">
        <v>1082</v>
      </c>
    </row>
    <row r="796" spans="1:27" ht="15.75" customHeight="1" x14ac:dyDescent="0.35">
      <c r="A796" s="1" t="s">
        <v>30</v>
      </c>
      <c r="B796" s="1" t="str">
        <f t="shared" si="16"/>
        <v>MSI</v>
      </c>
      <c r="C796" s="1" t="s">
        <v>4527</v>
      </c>
      <c r="D796" s="1" t="str">
        <f t="shared" si="1"/>
        <v>Modern 14 B11M-803XEG</v>
      </c>
      <c r="E796" s="1" t="str">
        <f t="array" aca="1" ref="E796" ca="1">IFERROR(
INDEX(Family_Map!$B$2:$B$35,
_xludf.AGGREGATE(14,6,(ROW(Family_Map!$A$2:$A$35)-ROW(Family_Map!$A$2)+1)/(ISNUMBER(SEARCH(Family_Map!$A$2:$A$35,D796))),1)
),
"Other")</f>
        <v>Other</v>
      </c>
      <c r="F796" s="1" t="s">
        <v>4528</v>
      </c>
      <c r="G796" s="1" t="e">
        <f t="shared" ca="1" si="2"/>
        <v>#NAME?</v>
      </c>
      <c r="H796" s="1" t="str">
        <f t="shared" ca="1" si="12"/>
        <v>Other</v>
      </c>
      <c r="J796" s="1" t="str">
        <f t="shared" si="3"/>
        <v/>
      </c>
      <c r="K796" s="1" t="s">
        <v>2110</v>
      </c>
      <c r="L796" s="1">
        <f t="shared" si="39"/>
        <v>8</v>
      </c>
      <c r="M796" s="1" t="s">
        <v>1120</v>
      </c>
      <c r="N796" s="1" t="str">
        <f t="shared" si="5"/>
        <v>512GB</v>
      </c>
      <c r="O796" s="1" t="str">
        <f t="shared" si="6"/>
        <v>512GB</v>
      </c>
      <c r="P796" s="1" t="s">
        <v>120</v>
      </c>
      <c r="Q796" s="1" t="str">
        <f t="shared" si="7"/>
        <v>1920x1080</v>
      </c>
      <c r="S796" s="1" t="str">
        <f t="shared" si="8"/>
        <v/>
      </c>
      <c r="U796" s="1" t="str">
        <f t="shared" si="9"/>
        <v>Unknown</v>
      </c>
      <c r="V796" s="1" t="s">
        <v>4249</v>
      </c>
      <c r="W796" s="1" t="str">
        <f t="shared" si="10"/>
        <v>1.3 kg</v>
      </c>
      <c r="X796" s="1" t="s">
        <v>78</v>
      </c>
      <c r="Y796" s="1" t="str">
        <f t="shared" si="11"/>
        <v>1 Year</v>
      </c>
      <c r="Z796" s="4">
        <v>20250</v>
      </c>
      <c r="AA796" s="1" t="s">
        <v>1082</v>
      </c>
    </row>
    <row r="797" spans="1:27" ht="15.75" customHeight="1" x14ac:dyDescent="0.35">
      <c r="A797" s="1" t="s">
        <v>234</v>
      </c>
      <c r="B797" s="1" t="str">
        <f t="shared" si="16"/>
        <v>ASUS</v>
      </c>
      <c r="C797" s="1" t="s">
        <v>4536</v>
      </c>
      <c r="D797" s="1" t="str">
        <f t="shared" si="1"/>
        <v>X515EP-EJ007W</v>
      </c>
      <c r="E797" s="1" t="str">
        <f t="array" aca="1" ref="E797" ca="1">IFERROR(
INDEX(Family_Map!$B$2:$B$35,
_xludf.AGGREGATE(14,6,(ROW(Family_Map!$A$2:$A$35)-ROW(Family_Map!$A$2)+1)/(ISNUMBER(SEARCH(Family_Map!$A$2:$A$35,D797))),1)
),
"Other")</f>
        <v>Other</v>
      </c>
      <c r="F797" s="1" t="s">
        <v>3748</v>
      </c>
      <c r="G797" s="1" t="e">
        <f t="shared" ca="1" si="2"/>
        <v>#NAME?</v>
      </c>
      <c r="H797" s="1" t="str">
        <f t="shared" ca="1" si="12"/>
        <v>Other</v>
      </c>
      <c r="I797" s="1" t="s">
        <v>4177</v>
      </c>
      <c r="J797" s="1" t="str">
        <f t="shared" si="3"/>
        <v>2GB</v>
      </c>
      <c r="K797" s="1" t="s">
        <v>2110</v>
      </c>
      <c r="L797" s="1">
        <f t="shared" si="39"/>
        <v>8</v>
      </c>
      <c r="M797" s="1" t="s">
        <v>1120</v>
      </c>
      <c r="N797" s="1" t="str">
        <f t="shared" si="5"/>
        <v>512GB</v>
      </c>
      <c r="O797" s="1" t="str">
        <f t="shared" si="6"/>
        <v>512GB</v>
      </c>
      <c r="P797" s="1" t="s">
        <v>120</v>
      </c>
      <c r="Q797" s="1" t="str">
        <f t="shared" si="7"/>
        <v>1920x1080</v>
      </c>
      <c r="R797" s="1" t="s">
        <v>971</v>
      </c>
      <c r="S797" s="1" t="str">
        <f t="shared" si="8"/>
        <v>60Hz</v>
      </c>
      <c r="T797" s="1" t="s">
        <v>555</v>
      </c>
      <c r="U797" s="1" t="str">
        <f t="shared" si="9"/>
        <v>Windows 11 Home</v>
      </c>
      <c r="V797" s="1" t="s">
        <v>4542</v>
      </c>
      <c r="W797" s="1" t="str">
        <f t="shared" si="10"/>
        <v>1.8 kg</v>
      </c>
      <c r="X797" s="1" t="s">
        <v>78</v>
      </c>
      <c r="Y797" s="1" t="str">
        <f t="shared" si="11"/>
        <v>1 Year</v>
      </c>
      <c r="Z797" s="4">
        <v>19999</v>
      </c>
      <c r="AA797" s="1" t="s">
        <v>1082</v>
      </c>
    </row>
    <row r="798" spans="1:27" ht="15.75" customHeight="1" x14ac:dyDescent="0.35">
      <c r="A798" s="1" t="s">
        <v>151</v>
      </c>
      <c r="B798" s="1" t="str">
        <f t="shared" si="16"/>
        <v>Lenovo</v>
      </c>
      <c r="C798" s="1" t="s">
        <v>4545</v>
      </c>
      <c r="D798" s="1" t="str">
        <f t="shared" si="1"/>
        <v>Ideapad 3-15ITL6</v>
      </c>
      <c r="E798" s="1" t="str">
        <f t="array" aca="1" ref="E798" ca="1">IFERROR(
INDEX(Family_Map!$B$2:$B$35,
_xludf.AGGREGATE(14,6,(ROW(Family_Map!$A$2:$A$35)-ROW(Family_Map!$A$2)+1)/(ISNUMBER(SEARCH(Family_Map!$A$2:$A$35,D798))),1)
),
"Other")</f>
        <v>Other</v>
      </c>
      <c r="F798" s="1" t="s">
        <v>3668</v>
      </c>
      <c r="G798" s="1" t="e">
        <f t="shared" ca="1" si="2"/>
        <v>#NAME?</v>
      </c>
      <c r="H798" s="1" t="str">
        <f t="shared" ca="1" si="12"/>
        <v>Other</v>
      </c>
      <c r="I798" s="1" t="s">
        <v>4073</v>
      </c>
      <c r="J798" s="1" t="str">
        <f t="shared" si="3"/>
        <v>2GB</v>
      </c>
      <c r="K798" s="1" t="s">
        <v>4547</v>
      </c>
      <c r="L798" s="1">
        <f t="shared" si="39"/>
        <v>4</v>
      </c>
      <c r="M798" s="1" t="s">
        <v>4101</v>
      </c>
      <c r="N798" s="1" t="str">
        <f t="shared" si="5"/>
        <v>1TB</v>
      </c>
      <c r="O798" s="1" t="str">
        <f t="shared" si="6"/>
        <v>1024GB</v>
      </c>
      <c r="P798" s="1" t="s">
        <v>74</v>
      </c>
      <c r="Q798" s="1" t="str">
        <f t="shared" si="7"/>
        <v>1920x1080</v>
      </c>
      <c r="S798" s="1" t="str">
        <f t="shared" si="8"/>
        <v/>
      </c>
      <c r="T798" s="1" t="s">
        <v>121</v>
      </c>
      <c r="U798" s="1" t="str">
        <f t="shared" si="9"/>
        <v>DOS</v>
      </c>
      <c r="V798" s="1" t="s">
        <v>1879</v>
      </c>
      <c r="W798" s="1" t="str">
        <f t="shared" si="10"/>
        <v>1.65 kg</v>
      </c>
      <c r="X798" s="1" t="s">
        <v>78</v>
      </c>
      <c r="Y798" s="1" t="str">
        <f t="shared" si="11"/>
        <v>1 Year</v>
      </c>
      <c r="Z798" s="4">
        <v>20999</v>
      </c>
      <c r="AA798" s="1" t="s">
        <v>1082</v>
      </c>
    </row>
    <row r="799" spans="1:27" ht="15.75" customHeight="1" x14ac:dyDescent="0.35">
      <c r="A799" s="1" t="s">
        <v>4553</v>
      </c>
      <c r="B799" s="1" t="str">
        <f t="shared" si="16"/>
        <v>Infinix</v>
      </c>
      <c r="C799" s="1" t="s">
        <v>4554</v>
      </c>
      <c r="D799" s="1" t="str">
        <f t="shared" si="1"/>
        <v>In Book X2</v>
      </c>
      <c r="E799" s="1" t="str">
        <f t="array" aca="1" ref="E799" ca="1">IFERROR(
INDEX(Family_Map!$B$2:$B$35,
_xludf.AGGREGATE(14,6,(ROW(Family_Map!$A$2:$A$35)-ROW(Family_Map!$A$2)+1)/(ISNUMBER(SEARCH(Family_Map!$A$2:$A$35,D799))),1)
),
"Other")</f>
        <v>Other</v>
      </c>
      <c r="F799" s="1" t="s">
        <v>4555</v>
      </c>
      <c r="G799" s="1" t="e">
        <f t="shared" ca="1" si="2"/>
        <v>#NAME?</v>
      </c>
      <c r="H799" s="1" t="str">
        <f t="shared" ca="1" si="12"/>
        <v>Other</v>
      </c>
      <c r="J799" s="1" t="str">
        <f t="shared" si="3"/>
        <v/>
      </c>
      <c r="K799" s="1" t="s">
        <v>2110</v>
      </c>
      <c r="L799" s="1">
        <f t="shared" si="39"/>
        <v>8</v>
      </c>
      <c r="M799" s="1" t="s">
        <v>1120</v>
      </c>
      <c r="N799" s="1" t="str">
        <f t="shared" si="5"/>
        <v>512GB</v>
      </c>
      <c r="O799" s="1" t="str">
        <f t="shared" si="6"/>
        <v>512GB</v>
      </c>
      <c r="P799" s="1" t="s">
        <v>120</v>
      </c>
      <c r="Q799" s="1" t="str">
        <f t="shared" si="7"/>
        <v>1920x1080</v>
      </c>
      <c r="S799" s="1" t="str">
        <f t="shared" si="8"/>
        <v/>
      </c>
      <c r="T799" s="1" t="s">
        <v>90</v>
      </c>
      <c r="U799" s="1" t="str">
        <f t="shared" si="9"/>
        <v>Windows 11 Home</v>
      </c>
      <c r="V799" s="1" t="s">
        <v>4562</v>
      </c>
      <c r="W799" s="1" t="str">
        <f t="shared" si="10"/>
        <v>1.24 kg</v>
      </c>
      <c r="X799" s="1" t="s">
        <v>78</v>
      </c>
      <c r="Y799" s="1" t="str">
        <f t="shared" si="11"/>
        <v>1 Year</v>
      </c>
      <c r="Z799" s="4">
        <v>12500</v>
      </c>
      <c r="AA799" s="1" t="s">
        <v>2181</v>
      </c>
    </row>
    <row r="800" spans="1:27" ht="15.75" customHeight="1" x14ac:dyDescent="0.35">
      <c r="A800" s="1" t="s">
        <v>112</v>
      </c>
      <c r="B800" s="1" t="str">
        <f t="shared" si="16"/>
        <v>HP</v>
      </c>
      <c r="C800" s="1" t="s">
        <v>4564</v>
      </c>
      <c r="D800" s="1" t="str">
        <f t="shared" si="1"/>
        <v>15S-EQ2002NE</v>
      </c>
      <c r="E800" s="1" t="str">
        <f t="array" aca="1" ref="E800" ca="1">IFERROR(
INDEX(Family_Map!$B$2:$B$35,
_xludf.AGGREGATE(14,6,(ROW(Family_Map!$A$2:$A$35)-ROW(Family_Map!$A$2)+1)/(ISNUMBER(SEARCH(Family_Map!$A$2:$A$35,D800))),1)
),
"Other")</f>
        <v>Other</v>
      </c>
      <c r="F800" s="1" t="s">
        <v>4565</v>
      </c>
      <c r="G800" s="1" t="e">
        <f t="shared" ca="1" si="2"/>
        <v>#NAME?</v>
      </c>
      <c r="H800" s="1" t="str">
        <f t="shared" ca="1" si="12"/>
        <v>Other</v>
      </c>
      <c r="J800" s="1" t="str">
        <f t="shared" si="3"/>
        <v/>
      </c>
      <c r="K800" s="1" t="s">
        <v>1525</v>
      </c>
      <c r="L800" s="1">
        <f t="shared" si="39"/>
        <v>8</v>
      </c>
      <c r="M800" s="1" t="s">
        <v>2718</v>
      </c>
      <c r="N800" s="1" t="str">
        <f t="shared" si="5"/>
        <v>512 GB</v>
      </c>
      <c r="O800" s="1" t="str">
        <f t="shared" si="6"/>
        <v>512 GB</v>
      </c>
      <c r="P800" s="1" t="s">
        <v>120</v>
      </c>
      <c r="Q800" s="1" t="str">
        <f t="shared" si="7"/>
        <v>1920x1080</v>
      </c>
      <c r="S800" s="1" t="str">
        <f t="shared" si="8"/>
        <v/>
      </c>
      <c r="T800" s="1" t="s">
        <v>90</v>
      </c>
      <c r="U800" s="1" t="str">
        <f t="shared" si="9"/>
        <v>Windows 11 Home</v>
      </c>
      <c r="V800" s="1" t="s">
        <v>4092</v>
      </c>
      <c r="W800" s="1" t="str">
        <f t="shared" si="10"/>
        <v>1.69 kg</v>
      </c>
      <c r="X800" s="1" t="s">
        <v>129</v>
      </c>
      <c r="Y800" s="1" t="str">
        <f t="shared" si="11"/>
        <v>1 Year</v>
      </c>
      <c r="Z800" s="4">
        <v>21499</v>
      </c>
      <c r="AA800" s="1" t="s">
        <v>5735</v>
      </c>
    </row>
    <row r="801" spans="1:27" ht="15.75" customHeight="1" x14ac:dyDescent="0.35">
      <c r="A801" s="1" t="s">
        <v>112</v>
      </c>
      <c r="B801" s="1" t="str">
        <f t="shared" si="16"/>
        <v>HP</v>
      </c>
      <c r="C801" s="1" t="s">
        <v>4568</v>
      </c>
      <c r="D801" s="1" t="str">
        <f t="shared" si="1"/>
        <v>15S-EQ2012NE</v>
      </c>
      <c r="E801" s="1" t="str">
        <f t="array" aca="1" ref="E801" ca="1">IFERROR(
INDEX(Family_Map!$B$2:$B$35,
_xludf.AGGREGATE(14,6,(ROW(Family_Map!$A$2:$A$35)-ROW(Family_Map!$A$2)+1)/(ISNUMBER(SEARCH(Family_Map!$A$2:$A$35,D801))),1)
),
"Other")</f>
        <v>Other</v>
      </c>
      <c r="F801" s="1" t="s">
        <v>4244</v>
      </c>
      <c r="G801" s="1" t="e">
        <f t="shared" ca="1" si="2"/>
        <v>#NAME?</v>
      </c>
      <c r="H801" s="1" t="str">
        <f t="shared" ca="1" si="12"/>
        <v>Other</v>
      </c>
      <c r="J801" s="1" t="str">
        <f t="shared" si="3"/>
        <v/>
      </c>
      <c r="K801" s="1" t="s">
        <v>4570</v>
      </c>
      <c r="L801" s="1">
        <f t="shared" si="39"/>
        <v>8</v>
      </c>
      <c r="M801" s="1" t="s">
        <v>2718</v>
      </c>
      <c r="N801" s="1" t="str">
        <f t="shared" si="5"/>
        <v>512 GB</v>
      </c>
      <c r="O801" s="1" t="str">
        <f t="shared" si="6"/>
        <v>512 GB</v>
      </c>
      <c r="P801" s="1" t="s">
        <v>120</v>
      </c>
      <c r="Q801" s="1" t="str">
        <f t="shared" si="7"/>
        <v>1920x1080</v>
      </c>
      <c r="S801" s="1" t="str">
        <f t="shared" si="8"/>
        <v/>
      </c>
      <c r="T801" s="1" t="s">
        <v>121</v>
      </c>
      <c r="U801" s="1" t="str">
        <f t="shared" si="9"/>
        <v>DOS</v>
      </c>
      <c r="V801" s="1" t="s">
        <v>4092</v>
      </c>
      <c r="W801" s="1" t="str">
        <f t="shared" si="10"/>
        <v>1.69 kg</v>
      </c>
      <c r="X801" s="1" t="s">
        <v>78</v>
      </c>
      <c r="Y801" s="1" t="str">
        <f t="shared" si="11"/>
        <v>1 Year</v>
      </c>
      <c r="Z801" s="4">
        <v>14999</v>
      </c>
      <c r="AA801" s="1" t="s">
        <v>5735</v>
      </c>
    </row>
    <row r="802" spans="1:27" ht="15.75" customHeight="1" x14ac:dyDescent="0.35">
      <c r="A802" s="1" t="s">
        <v>151</v>
      </c>
      <c r="B802" s="1" t="str">
        <f t="shared" si="16"/>
        <v>Lenovo</v>
      </c>
      <c r="C802" s="1" t="s">
        <v>4575</v>
      </c>
      <c r="D802" s="1" t="str">
        <f t="shared" si="1"/>
        <v>V14 ADA</v>
      </c>
      <c r="E802" s="1" t="str">
        <f t="array" aca="1" ref="E802" ca="1">IFERROR(
INDEX(Family_Map!$B$2:$B$35,
_xludf.AGGREGATE(14,6,(ROW(Family_Map!$A$2:$A$35)-ROW(Family_Map!$A$2)+1)/(ISNUMBER(SEARCH(Family_Map!$A$2:$A$35,D802))),1)
),
"Other")</f>
        <v>Other</v>
      </c>
      <c r="F802" s="1" t="s">
        <v>4576</v>
      </c>
      <c r="G802" s="1" t="e">
        <f t="shared" ca="1" si="2"/>
        <v>#NAME?</v>
      </c>
      <c r="H802" s="1" t="str">
        <f t="shared" ca="1" si="12"/>
        <v>Other</v>
      </c>
      <c r="J802" s="1" t="str">
        <f t="shared" si="3"/>
        <v/>
      </c>
      <c r="K802" s="1" t="s">
        <v>4577</v>
      </c>
      <c r="L802" s="1">
        <f t="shared" si="39"/>
        <v>4</v>
      </c>
      <c r="M802" s="1" t="s">
        <v>4101</v>
      </c>
      <c r="N802" s="1" t="str">
        <f t="shared" si="5"/>
        <v>1TB</v>
      </c>
      <c r="O802" s="1" t="str">
        <f t="shared" si="6"/>
        <v>1024GB</v>
      </c>
      <c r="P802" s="1" t="s">
        <v>3653</v>
      </c>
      <c r="Q802" s="1" t="str">
        <f t="shared" si="7"/>
        <v>1366x768</v>
      </c>
      <c r="S802" s="1" t="str">
        <f t="shared" si="8"/>
        <v/>
      </c>
      <c r="U802" s="1" t="str">
        <f t="shared" si="9"/>
        <v>Unknown</v>
      </c>
      <c r="V802" s="1" t="s">
        <v>4581</v>
      </c>
      <c r="W802" s="1" t="str">
        <f t="shared" si="10"/>
        <v>1.6 kg</v>
      </c>
      <c r="X802" s="1" t="s">
        <v>78</v>
      </c>
      <c r="Y802" s="1" t="str">
        <f t="shared" si="11"/>
        <v>1 Year</v>
      </c>
      <c r="Z802" s="4">
        <v>6499</v>
      </c>
      <c r="AA802" s="1" t="s">
        <v>5735</v>
      </c>
    </row>
    <row r="803" spans="1:27" ht="15.75" customHeight="1" x14ac:dyDescent="0.35">
      <c r="A803" s="1" t="s">
        <v>3729</v>
      </c>
      <c r="B803" s="1" t="str">
        <f t="shared" si="16"/>
        <v>Microsoft</v>
      </c>
      <c r="C803" s="1" t="s">
        <v>4368</v>
      </c>
      <c r="D803" s="1" t="str">
        <f t="shared" si="1"/>
        <v>Surface Pro 9</v>
      </c>
      <c r="E803" s="1" t="str">
        <f t="array" aca="1" ref="E803" ca="1">IFERROR(
INDEX(Family_Map!$B$2:$B$35,
_xludf.AGGREGATE(14,6,(ROW(Family_Map!$A$2:$A$35)-ROW(Family_Map!$A$2)+1)/(ISNUMBER(SEARCH(Family_Map!$A$2:$A$35,D803))),1)
),
"Other")</f>
        <v>Other</v>
      </c>
      <c r="F803" s="1" t="s">
        <v>3945</v>
      </c>
      <c r="G803" s="1" t="e">
        <f t="shared" ca="1" si="2"/>
        <v>#NAME?</v>
      </c>
      <c r="H803" s="1" t="str">
        <f t="shared" ca="1" si="12"/>
        <v>Other</v>
      </c>
      <c r="J803" s="1" t="str">
        <f t="shared" si="3"/>
        <v/>
      </c>
      <c r="K803" s="1" t="s">
        <v>4583</v>
      </c>
      <c r="L803" s="1">
        <f t="shared" si="39"/>
        <v>8</v>
      </c>
      <c r="M803" s="1" t="s">
        <v>2388</v>
      </c>
      <c r="N803" s="1" t="str">
        <f t="shared" si="5"/>
        <v>256GB</v>
      </c>
      <c r="O803" s="1" t="str">
        <f t="shared" si="6"/>
        <v>256GB</v>
      </c>
      <c r="P803" s="1" t="s">
        <v>4585</v>
      </c>
      <c r="Q803" s="1" t="str">
        <f t="shared" si="7"/>
        <v>2880x1920</v>
      </c>
      <c r="S803" s="1" t="str">
        <f t="shared" si="8"/>
        <v/>
      </c>
      <c r="T803" s="1" t="s">
        <v>90</v>
      </c>
      <c r="U803" s="1" t="str">
        <f t="shared" si="9"/>
        <v>Windows 11 Home</v>
      </c>
      <c r="V803" s="1" t="s">
        <v>4588</v>
      </c>
      <c r="W803" s="1" t="str">
        <f t="shared" si="10"/>
        <v>0.88 kg</v>
      </c>
      <c r="X803" s="1" t="s">
        <v>78</v>
      </c>
      <c r="Y803" s="1" t="str">
        <f t="shared" si="11"/>
        <v>1 Year</v>
      </c>
      <c r="Z803" s="4">
        <v>65599</v>
      </c>
      <c r="AA803" s="1" t="s">
        <v>166</v>
      </c>
    </row>
    <row r="804" spans="1:27" ht="15.75" customHeight="1" x14ac:dyDescent="0.35">
      <c r="A804" s="1" t="s">
        <v>234</v>
      </c>
      <c r="B804" s="1" t="str">
        <f t="shared" si="16"/>
        <v>ASUS</v>
      </c>
      <c r="C804" s="1" t="s">
        <v>4589</v>
      </c>
      <c r="D804" s="1" t="str">
        <f t="shared" si="1"/>
        <v>X515EP-BQ8G5W</v>
      </c>
      <c r="E804" s="1" t="str">
        <f t="array" aca="1" ref="E804" ca="1">IFERROR(
INDEX(Family_Map!$B$2:$B$35,
_xludf.AGGREGATE(14,6,(ROW(Family_Map!$A$2:$A$35)-ROW(Family_Map!$A$2)+1)/(ISNUMBER(SEARCH(Family_Map!$A$2:$A$35,D804))),1)
),
"Other")</f>
        <v>Other</v>
      </c>
      <c r="F804" s="1" t="s">
        <v>4590</v>
      </c>
      <c r="G804" s="1" t="e">
        <f t="shared" ca="1" si="2"/>
        <v>#NAME?</v>
      </c>
      <c r="H804" s="1" t="str">
        <f t="shared" ca="1" si="12"/>
        <v>Other</v>
      </c>
      <c r="I804" s="1" t="s">
        <v>4073</v>
      </c>
      <c r="J804" s="1" t="str">
        <f t="shared" si="3"/>
        <v>2GB</v>
      </c>
      <c r="K804" s="1" t="s">
        <v>628</v>
      </c>
      <c r="L804" s="1">
        <f t="shared" si="39"/>
        <v>8</v>
      </c>
      <c r="M804" s="1" t="s">
        <v>1604</v>
      </c>
      <c r="N804" s="1" t="str">
        <f t="shared" si="5"/>
        <v>512GB</v>
      </c>
      <c r="O804" s="1" t="str">
        <f t="shared" si="6"/>
        <v>512GB</v>
      </c>
      <c r="P804" s="1" t="s">
        <v>120</v>
      </c>
      <c r="Q804" s="1" t="str">
        <f t="shared" si="7"/>
        <v>1920x1080</v>
      </c>
      <c r="S804" s="1" t="str">
        <f t="shared" si="8"/>
        <v/>
      </c>
      <c r="T804" s="1" t="s">
        <v>90</v>
      </c>
      <c r="U804" s="1" t="str">
        <f t="shared" si="9"/>
        <v>Windows 11 Home</v>
      </c>
      <c r="V804" s="1" t="s">
        <v>636</v>
      </c>
      <c r="W804" s="1" t="str">
        <f t="shared" si="10"/>
        <v>1.8 kg</v>
      </c>
      <c r="X804" s="1" t="s">
        <v>165</v>
      </c>
      <c r="Y804" s="1" t="str">
        <f t="shared" si="11"/>
        <v>2 Years</v>
      </c>
      <c r="Z804" s="4">
        <v>16999</v>
      </c>
      <c r="AA804" s="1" t="s">
        <v>1082</v>
      </c>
    </row>
    <row r="805" spans="1:27" ht="15.75" customHeight="1" x14ac:dyDescent="0.35">
      <c r="A805" s="1" t="s">
        <v>81</v>
      </c>
      <c r="B805" s="1" t="str">
        <f t="shared" si="16"/>
        <v>Dell</v>
      </c>
      <c r="C805" s="1" t="s">
        <v>3491</v>
      </c>
      <c r="D805" s="1" t="str">
        <f t="shared" si="1"/>
        <v>Vostro 3515</v>
      </c>
      <c r="E805" s="1" t="str">
        <f t="array" aca="1" ref="E805" ca="1">IFERROR(
INDEX(Family_Map!$B$2:$B$35,
_xludf.AGGREGATE(14,6,(ROW(Family_Map!$A$2:$A$35)-ROW(Family_Map!$A$2)+1)/(ISNUMBER(SEARCH(Family_Map!$A$2:$A$35,D805))),1)
),
"Other")</f>
        <v>Other</v>
      </c>
      <c r="F805" s="1" t="s">
        <v>4594</v>
      </c>
      <c r="G805" s="1" t="e">
        <f t="shared" ca="1" si="2"/>
        <v>#NAME?</v>
      </c>
      <c r="H805" s="1" t="str">
        <f t="shared" ca="1" si="12"/>
        <v>Other</v>
      </c>
      <c r="J805" s="1" t="str">
        <f t="shared" si="3"/>
        <v/>
      </c>
      <c r="K805" s="1" t="s">
        <v>3494</v>
      </c>
      <c r="L805" s="1">
        <f t="shared" si="39"/>
        <v>8</v>
      </c>
      <c r="M805" s="1" t="s">
        <v>2521</v>
      </c>
      <c r="N805" s="1" t="str">
        <f t="shared" si="5"/>
        <v>512GB</v>
      </c>
      <c r="O805" s="1" t="str">
        <f t="shared" si="6"/>
        <v>512GB</v>
      </c>
      <c r="P805" s="1" t="s">
        <v>120</v>
      </c>
      <c r="Q805" s="1" t="str">
        <f t="shared" si="7"/>
        <v>1920x1080</v>
      </c>
      <c r="S805" s="1" t="str">
        <f t="shared" si="8"/>
        <v/>
      </c>
      <c r="T805" s="1" t="s">
        <v>121</v>
      </c>
      <c r="U805" s="1" t="str">
        <f t="shared" si="9"/>
        <v>DOS</v>
      </c>
      <c r="V805" s="1" t="s">
        <v>3500</v>
      </c>
      <c r="W805" s="1" t="str">
        <f t="shared" si="10"/>
        <v>1.7 kg</v>
      </c>
      <c r="X805" s="1" t="s">
        <v>129</v>
      </c>
      <c r="Y805" s="1" t="str">
        <f t="shared" si="11"/>
        <v>1 Year</v>
      </c>
      <c r="Z805" s="4">
        <v>21499</v>
      </c>
      <c r="AA805" s="1" t="s">
        <v>5735</v>
      </c>
    </row>
    <row r="806" spans="1:27" ht="15.75" customHeight="1" x14ac:dyDescent="0.35">
      <c r="A806" s="1" t="s">
        <v>151</v>
      </c>
      <c r="B806" s="1" t="str">
        <f t="shared" si="16"/>
        <v>Lenovo</v>
      </c>
      <c r="C806" s="1" t="s">
        <v>4308</v>
      </c>
      <c r="D806" s="1" t="str">
        <f t="shared" si="1"/>
        <v>IdeaPad 3 15ITL6</v>
      </c>
      <c r="E806" s="1" t="str">
        <f t="array" aca="1" ref="E806" ca="1">IFERROR(
INDEX(Family_Map!$B$2:$B$35,
_xludf.AGGREGATE(14,6,(ROW(Family_Map!$A$2:$A$35)-ROW(Family_Map!$A$2)+1)/(ISNUMBER(SEARCH(Family_Map!$A$2:$A$35,D806))),1)
),
"Other")</f>
        <v>Other</v>
      </c>
      <c r="F806" s="1" t="s">
        <v>4590</v>
      </c>
      <c r="G806" s="1" t="e">
        <f t="shared" ca="1" si="2"/>
        <v>#NAME?</v>
      </c>
      <c r="H806" s="1" t="str">
        <f t="shared" ca="1" si="12"/>
        <v>Other</v>
      </c>
      <c r="I806" s="1" t="s">
        <v>4073</v>
      </c>
      <c r="J806" s="1" t="str">
        <f t="shared" si="3"/>
        <v>2GB</v>
      </c>
      <c r="K806" s="1" t="s">
        <v>4109</v>
      </c>
      <c r="L806" s="1">
        <f t="shared" si="39"/>
        <v>8</v>
      </c>
      <c r="M806" s="1" t="s">
        <v>4101</v>
      </c>
      <c r="N806" s="1" t="str">
        <f t="shared" si="5"/>
        <v>1TB</v>
      </c>
      <c r="O806" s="1" t="str">
        <f t="shared" si="6"/>
        <v>1024GB</v>
      </c>
      <c r="P806" s="1" t="s">
        <v>120</v>
      </c>
      <c r="Q806" s="1" t="str">
        <f t="shared" si="7"/>
        <v>1920x1080</v>
      </c>
      <c r="S806" s="1" t="str">
        <f t="shared" si="8"/>
        <v/>
      </c>
      <c r="T806" s="1" t="s">
        <v>2507</v>
      </c>
      <c r="U806" s="1" t="str">
        <f t="shared" si="9"/>
        <v>DOS</v>
      </c>
      <c r="V806" s="1" t="s">
        <v>1609</v>
      </c>
      <c r="W806" s="1" t="str">
        <f t="shared" si="10"/>
        <v>1.65 kg</v>
      </c>
      <c r="X806" s="1" t="s">
        <v>78</v>
      </c>
      <c r="Y806" s="1" t="str">
        <f t="shared" si="11"/>
        <v>1 Year</v>
      </c>
      <c r="Z806" s="4">
        <v>19999</v>
      </c>
      <c r="AA806" s="1" t="s">
        <v>1082</v>
      </c>
    </row>
    <row r="807" spans="1:27" ht="15.75" customHeight="1" x14ac:dyDescent="0.35">
      <c r="A807" s="1" t="s">
        <v>151</v>
      </c>
      <c r="B807" s="1" t="str">
        <f t="shared" si="16"/>
        <v>Lenovo</v>
      </c>
      <c r="C807" s="1" t="s">
        <v>4606</v>
      </c>
      <c r="D807" s="1" t="str">
        <f t="shared" si="1"/>
        <v>IdeaPad 5 Pro 16IHU6</v>
      </c>
      <c r="E807" s="1" t="str">
        <f t="array" aca="1" ref="E807" ca="1">IFERROR(
INDEX(Family_Map!$B$2:$B$35,
_xludf.AGGREGATE(14,6,(ROW(Family_Map!$A$2:$A$35)-ROW(Family_Map!$A$2)+1)/(ISNUMBER(SEARCH(Family_Map!$A$2:$A$35,D807))),1)
),
"Other")</f>
        <v>Other</v>
      </c>
      <c r="F807" s="1" t="s">
        <v>2716</v>
      </c>
      <c r="G807" s="1" t="e">
        <f t="shared" ca="1" si="2"/>
        <v>#NAME?</v>
      </c>
      <c r="H807" s="1" t="str">
        <f t="shared" ca="1" si="12"/>
        <v>Other</v>
      </c>
      <c r="I807" s="1" t="s">
        <v>3670</v>
      </c>
      <c r="J807" s="1" t="str">
        <f t="shared" si="3"/>
        <v>2GB</v>
      </c>
      <c r="K807" s="1" t="s">
        <v>3860</v>
      </c>
      <c r="L807" s="1">
        <f t="shared" si="39"/>
        <v>16</v>
      </c>
      <c r="M807" s="1" t="s">
        <v>2545</v>
      </c>
      <c r="N807" s="1" t="str">
        <f t="shared" si="5"/>
        <v>1TB</v>
      </c>
      <c r="O807" s="1" t="str">
        <f t="shared" si="6"/>
        <v>1024GB</v>
      </c>
      <c r="P807" s="1" t="s">
        <v>224</v>
      </c>
      <c r="Q807" s="1" t="str">
        <f t="shared" si="7"/>
        <v>2560x1600</v>
      </c>
      <c r="R807" s="1" t="s">
        <v>39</v>
      </c>
      <c r="S807" s="1" t="str">
        <f t="shared" si="8"/>
        <v>120Hz</v>
      </c>
      <c r="T807" s="1" t="s">
        <v>101</v>
      </c>
      <c r="U807" s="1" t="str">
        <f t="shared" si="9"/>
        <v>DOS</v>
      </c>
      <c r="V807" s="1" t="s">
        <v>230</v>
      </c>
      <c r="W807" s="1" t="str">
        <f t="shared" si="10"/>
        <v>1.9 kg</v>
      </c>
      <c r="X807" s="1" t="s">
        <v>78</v>
      </c>
      <c r="Y807" s="1" t="str">
        <f t="shared" si="11"/>
        <v>1 Year</v>
      </c>
      <c r="Z807" s="4">
        <v>46749</v>
      </c>
      <c r="AA807" s="1" t="s">
        <v>1082</v>
      </c>
    </row>
    <row r="808" spans="1:27" ht="15.75" customHeight="1" x14ac:dyDescent="0.35">
      <c r="A808" s="1" t="s">
        <v>151</v>
      </c>
      <c r="B808" s="1" t="str">
        <f t="shared" si="16"/>
        <v>Lenovo</v>
      </c>
      <c r="C808" s="1" t="s">
        <v>4612</v>
      </c>
      <c r="D808" s="1" t="str">
        <f t="shared" si="1"/>
        <v>IdeaPad 5 14ALC05</v>
      </c>
      <c r="E808" s="1" t="str">
        <f t="array" aca="1" ref="E808" ca="1">IFERROR(
INDEX(Family_Map!$B$2:$B$35,
_xludf.AGGREGATE(14,6,(ROW(Family_Map!$A$2:$A$35)-ROW(Family_Map!$A$2)+1)/(ISNUMBER(SEARCH(Family_Map!$A$2:$A$35,D808))),1)
),
"Other")</f>
        <v>Other</v>
      </c>
      <c r="F808" s="1" t="s">
        <v>4108</v>
      </c>
      <c r="G808" s="1" t="e">
        <f t="shared" ca="1" si="2"/>
        <v>#NAME?</v>
      </c>
      <c r="H808" s="1" t="str">
        <f t="shared" ca="1" si="12"/>
        <v>Other</v>
      </c>
      <c r="J808" s="1" t="str">
        <f t="shared" si="3"/>
        <v/>
      </c>
      <c r="K808" s="1" t="s">
        <v>3327</v>
      </c>
      <c r="L808" s="1">
        <f t="shared" si="39"/>
        <v>8</v>
      </c>
      <c r="M808" s="1" t="s">
        <v>829</v>
      </c>
      <c r="N808" s="1" t="str">
        <f t="shared" si="5"/>
        <v>512GB</v>
      </c>
      <c r="O808" s="1" t="str">
        <f t="shared" si="6"/>
        <v>512GB</v>
      </c>
      <c r="P808" s="1" t="s">
        <v>120</v>
      </c>
      <c r="Q808" s="1" t="str">
        <f t="shared" si="7"/>
        <v>1920x1080</v>
      </c>
      <c r="S808" s="1" t="str">
        <f t="shared" si="8"/>
        <v/>
      </c>
      <c r="T808" s="1" t="s">
        <v>2755</v>
      </c>
      <c r="U808" s="1" t="str">
        <f t="shared" si="9"/>
        <v>Windows 11 Home</v>
      </c>
      <c r="V808" s="1" t="s">
        <v>4389</v>
      </c>
      <c r="W808" s="1" t="str">
        <f t="shared" si="10"/>
        <v>1.38 kg</v>
      </c>
      <c r="X808" s="1" t="s">
        <v>78</v>
      </c>
      <c r="Y808" s="1" t="str">
        <f t="shared" si="11"/>
        <v>1 Year</v>
      </c>
      <c r="Z808" s="4">
        <v>19999</v>
      </c>
      <c r="AA808" s="1" t="s">
        <v>5735</v>
      </c>
    </row>
    <row r="809" spans="1:27" ht="15.75" customHeight="1" x14ac:dyDescent="0.35">
      <c r="A809" s="1" t="s">
        <v>151</v>
      </c>
      <c r="B809" s="1" t="str">
        <f t="shared" si="16"/>
        <v>Lenovo</v>
      </c>
      <c r="C809" s="1" t="s">
        <v>4107</v>
      </c>
      <c r="D809" s="1" t="str">
        <f t="shared" si="1"/>
        <v>IdeaPad 3 15ALC6</v>
      </c>
      <c r="E809" s="1" t="str">
        <f t="array" aca="1" ref="E809" ca="1">IFERROR(
INDEX(Family_Map!$B$2:$B$35,
_xludf.AGGREGATE(14,6,(ROW(Family_Map!$A$2:$A$35)-ROW(Family_Map!$A$2)+1)/(ISNUMBER(SEARCH(Family_Map!$A$2:$A$35,D809))),1)
),
"Other")</f>
        <v>Other</v>
      </c>
      <c r="F809" s="1" t="s">
        <v>4446</v>
      </c>
      <c r="G809" s="1" t="e">
        <f t="shared" ca="1" si="2"/>
        <v>#NAME?</v>
      </c>
      <c r="H809" s="1" t="str">
        <f t="shared" ca="1" si="12"/>
        <v>Other</v>
      </c>
      <c r="J809" s="1" t="str">
        <f t="shared" si="3"/>
        <v/>
      </c>
      <c r="K809" s="1" t="s">
        <v>4109</v>
      </c>
      <c r="L809" s="1">
        <f t="shared" si="39"/>
        <v>8</v>
      </c>
      <c r="M809" s="1" t="s">
        <v>829</v>
      </c>
      <c r="N809" s="1" t="str">
        <f t="shared" si="5"/>
        <v>512GB</v>
      </c>
      <c r="O809" s="1" t="str">
        <f t="shared" si="6"/>
        <v>512GB</v>
      </c>
      <c r="P809" s="1" t="s">
        <v>120</v>
      </c>
      <c r="Q809" s="1" t="str">
        <f t="shared" si="7"/>
        <v>1920x1080</v>
      </c>
      <c r="S809" s="1" t="str">
        <f t="shared" si="8"/>
        <v/>
      </c>
      <c r="T809" s="1" t="s">
        <v>2755</v>
      </c>
      <c r="U809" s="1" t="str">
        <f t="shared" si="9"/>
        <v>Windows 11 Home</v>
      </c>
      <c r="V809" s="1" t="s">
        <v>1609</v>
      </c>
      <c r="W809" s="1" t="str">
        <f t="shared" si="10"/>
        <v>1.65 kg</v>
      </c>
      <c r="X809" s="1" t="s">
        <v>78</v>
      </c>
      <c r="Y809" s="1" t="str">
        <f t="shared" si="11"/>
        <v>1 Year</v>
      </c>
      <c r="Z809" s="4">
        <v>17999</v>
      </c>
      <c r="AA809" s="1" t="s">
        <v>5735</v>
      </c>
    </row>
    <row r="810" spans="1:27" ht="15.75" customHeight="1" x14ac:dyDescent="0.35">
      <c r="A810" s="1" t="s">
        <v>151</v>
      </c>
      <c r="B810" s="1" t="str">
        <f t="shared" si="16"/>
        <v>Lenovo</v>
      </c>
      <c r="C810" s="1" t="s">
        <v>4107</v>
      </c>
      <c r="D810" s="1" t="str">
        <f t="shared" si="1"/>
        <v>IdeaPad 3 15ALC6</v>
      </c>
      <c r="E810" s="1" t="str">
        <f t="array" aca="1" ref="E810" ca="1">IFERROR(
INDEX(Family_Map!$B$2:$B$35,
_xludf.AGGREGATE(14,6,(ROW(Family_Map!$A$2:$A$35)-ROW(Family_Map!$A$2)+1)/(ISNUMBER(SEARCH(Family_Map!$A$2:$A$35,D810))),1)
),
"Other")</f>
        <v>Other</v>
      </c>
      <c r="F810" s="1" t="s">
        <v>4446</v>
      </c>
      <c r="G810" s="1" t="e">
        <f t="shared" ca="1" si="2"/>
        <v>#NAME?</v>
      </c>
      <c r="H810" s="1" t="str">
        <f t="shared" ca="1" si="12"/>
        <v>Other</v>
      </c>
      <c r="J810" s="1" t="str">
        <f t="shared" si="3"/>
        <v/>
      </c>
      <c r="K810" s="1" t="s">
        <v>4109</v>
      </c>
      <c r="L810" s="1">
        <f t="shared" si="39"/>
        <v>8</v>
      </c>
      <c r="M810" s="1" t="s">
        <v>829</v>
      </c>
      <c r="N810" s="1" t="str">
        <f t="shared" si="5"/>
        <v>512GB</v>
      </c>
      <c r="O810" s="1" t="str">
        <f t="shared" si="6"/>
        <v>512GB</v>
      </c>
      <c r="P810" s="1" t="s">
        <v>120</v>
      </c>
      <c r="Q810" s="1" t="str">
        <f t="shared" si="7"/>
        <v>1920x1080</v>
      </c>
      <c r="S810" s="1" t="str">
        <f t="shared" si="8"/>
        <v/>
      </c>
      <c r="T810" s="1" t="s">
        <v>2507</v>
      </c>
      <c r="U810" s="1" t="str">
        <f t="shared" si="9"/>
        <v>DOS</v>
      </c>
      <c r="V810" s="1" t="s">
        <v>1609</v>
      </c>
      <c r="W810" s="1" t="str">
        <f t="shared" si="10"/>
        <v>1.65 kg</v>
      </c>
      <c r="X810" s="1" t="s">
        <v>78</v>
      </c>
      <c r="Y810" s="1" t="str">
        <f t="shared" si="11"/>
        <v>1 Year</v>
      </c>
      <c r="Z810" s="4">
        <v>19349</v>
      </c>
      <c r="AA810" s="1" t="s">
        <v>5735</v>
      </c>
    </row>
    <row r="811" spans="1:27" ht="15.75" customHeight="1" x14ac:dyDescent="0.35">
      <c r="A811" s="1" t="s">
        <v>151</v>
      </c>
      <c r="B811" s="1" t="str">
        <f t="shared" si="16"/>
        <v>Lenovo</v>
      </c>
      <c r="C811" s="1" t="s">
        <v>4308</v>
      </c>
      <c r="D811" s="1" t="str">
        <f t="shared" si="1"/>
        <v>IdeaPad 3 15ITL6</v>
      </c>
      <c r="E811" s="1" t="str">
        <f t="array" aca="1" ref="E811" ca="1">IFERROR(
INDEX(Family_Map!$B$2:$B$35,
_xludf.AGGREGATE(14,6,(ROW(Family_Map!$A$2:$A$35)-ROW(Family_Map!$A$2)+1)/(ISNUMBER(SEARCH(Family_Map!$A$2:$A$35,D811))),1)
),
"Other")</f>
        <v>Other</v>
      </c>
      <c r="F811" s="1" t="s">
        <v>4295</v>
      </c>
      <c r="G811" s="1" t="e">
        <f t="shared" ca="1" si="2"/>
        <v>#NAME?</v>
      </c>
      <c r="H811" s="1" t="str">
        <f t="shared" ca="1" si="12"/>
        <v>Other</v>
      </c>
      <c r="J811" s="1" t="str">
        <f t="shared" si="3"/>
        <v/>
      </c>
      <c r="K811" s="1" t="s">
        <v>4012</v>
      </c>
      <c r="L811" s="1">
        <f t="shared" si="39"/>
        <v>4</v>
      </c>
      <c r="M811" s="1" t="s">
        <v>4101</v>
      </c>
      <c r="N811" s="1" t="str">
        <f t="shared" si="5"/>
        <v>1TB</v>
      </c>
      <c r="O811" s="1" t="str">
        <f t="shared" si="6"/>
        <v>1024GB</v>
      </c>
      <c r="P811" s="1" t="s">
        <v>120</v>
      </c>
      <c r="Q811" s="1" t="str">
        <f t="shared" si="7"/>
        <v>1920x1080</v>
      </c>
      <c r="S811" s="1" t="str">
        <f t="shared" si="8"/>
        <v/>
      </c>
      <c r="T811" s="1" t="s">
        <v>2755</v>
      </c>
      <c r="U811" s="1" t="str">
        <f t="shared" si="9"/>
        <v>Windows 11 Home</v>
      </c>
      <c r="V811" s="1" t="s">
        <v>1609</v>
      </c>
      <c r="W811" s="1" t="str">
        <f t="shared" si="10"/>
        <v>1.65 kg</v>
      </c>
      <c r="X811" s="1" t="s">
        <v>78</v>
      </c>
      <c r="Y811" s="1" t="str">
        <f t="shared" si="11"/>
        <v>1 Year</v>
      </c>
      <c r="Z811" s="4">
        <v>14500</v>
      </c>
      <c r="AA811" s="1" t="s">
        <v>1082</v>
      </c>
    </row>
    <row r="812" spans="1:27" ht="15.75" customHeight="1" x14ac:dyDescent="0.35">
      <c r="A812" s="1" t="s">
        <v>81</v>
      </c>
      <c r="B812" s="1" t="str">
        <f t="shared" si="16"/>
        <v>Dell</v>
      </c>
      <c r="C812" s="1" t="s">
        <v>3491</v>
      </c>
      <c r="D812" s="1" t="str">
        <f t="shared" si="1"/>
        <v>Vostro 3515</v>
      </c>
      <c r="E812" s="1" t="str">
        <f t="array" aca="1" ref="E812" ca="1">IFERROR(
INDEX(Family_Map!$B$2:$B$35,
_xludf.AGGREGATE(14,6,(ROW(Family_Map!$A$2:$A$35)-ROW(Family_Map!$A$2)+1)/(ISNUMBER(SEARCH(Family_Map!$A$2:$A$35,D812))),1)
),
"Other")</f>
        <v>Other</v>
      </c>
      <c r="F812" s="1" t="s">
        <v>4624</v>
      </c>
      <c r="G812" s="1" t="e">
        <f t="shared" ca="1" si="2"/>
        <v>#NAME?</v>
      </c>
      <c r="H812" s="1" t="str">
        <f t="shared" ca="1" si="12"/>
        <v>Other</v>
      </c>
      <c r="J812" s="1" t="str">
        <f t="shared" si="3"/>
        <v/>
      </c>
      <c r="K812" s="1" t="s">
        <v>4625</v>
      </c>
      <c r="L812" s="1">
        <f t="shared" si="39"/>
        <v>4</v>
      </c>
      <c r="M812" s="1" t="s">
        <v>4626</v>
      </c>
      <c r="N812" s="1" t="str">
        <f t="shared" si="5"/>
        <v>128GB</v>
      </c>
      <c r="O812" s="1" t="str">
        <f t="shared" si="6"/>
        <v>128GB</v>
      </c>
      <c r="P812" s="1" t="s">
        <v>3653</v>
      </c>
      <c r="Q812" s="1" t="str">
        <f t="shared" si="7"/>
        <v>1366x768</v>
      </c>
      <c r="S812" s="1" t="str">
        <f t="shared" si="8"/>
        <v/>
      </c>
      <c r="T812" s="1" t="s">
        <v>2507</v>
      </c>
      <c r="U812" s="1" t="str">
        <f t="shared" si="9"/>
        <v>DOS</v>
      </c>
      <c r="V812" s="1" t="s">
        <v>3500</v>
      </c>
      <c r="W812" s="1" t="str">
        <f t="shared" si="10"/>
        <v>1.7 kg</v>
      </c>
      <c r="X812" s="1" t="s">
        <v>78</v>
      </c>
      <c r="Y812" s="1" t="str">
        <f t="shared" si="11"/>
        <v>1 Year</v>
      </c>
      <c r="Z812" s="4">
        <v>8999</v>
      </c>
      <c r="AA812" s="1" t="s">
        <v>5735</v>
      </c>
    </row>
    <row r="813" spans="1:27" ht="15.75" customHeight="1" x14ac:dyDescent="0.35">
      <c r="A813" s="1" t="s">
        <v>112</v>
      </c>
      <c r="B813" s="1" t="str">
        <f t="shared" si="16"/>
        <v>HP</v>
      </c>
      <c r="C813" s="1" t="s">
        <v>4629</v>
      </c>
      <c r="D813" s="1" t="str">
        <f t="shared" si="1"/>
        <v>15S-FQ5021NE</v>
      </c>
      <c r="E813" s="1" t="str">
        <f t="array" aca="1" ref="E813" ca="1">IFERROR(
INDEX(Family_Map!$B$2:$B$35,
_xludf.AGGREGATE(14,6,(ROW(Family_Map!$A$2:$A$35)-ROW(Family_Map!$A$2)+1)/(ISNUMBER(SEARCH(Family_Map!$A$2:$A$35,D813))),1)
),
"Other")</f>
        <v>Other</v>
      </c>
      <c r="F813" s="1" t="s">
        <v>3516</v>
      </c>
      <c r="G813" s="1" t="e">
        <f t="shared" ca="1" si="2"/>
        <v>#NAME?</v>
      </c>
      <c r="H813" s="1" t="str">
        <f t="shared" ca="1" si="12"/>
        <v>Other</v>
      </c>
      <c r="J813" s="1" t="str">
        <f t="shared" si="3"/>
        <v/>
      </c>
      <c r="K813" s="1" t="s">
        <v>1429</v>
      </c>
      <c r="L813" s="1">
        <f t="shared" si="39"/>
        <v>8</v>
      </c>
      <c r="M813" s="1" t="s">
        <v>2718</v>
      </c>
      <c r="N813" s="1" t="str">
        <f t="shared" si="5"/>
        <v>512 GB</v>
      </c>
      <c r="O813" s="1" t="str">
        <f t="shared" si="6"/>
        <v>512 GB</v>
      </c>
      <c r="P813" s="1" t="s">
        <v>3653</v>
      </c>
      <c r="Q813" s="1" t="str">
        <f t="shared" si="7"/>
        <v>1366x768</v>
      </c>
      <c r="S813" s="1" t="str">
        <f t="shared" si="8"/>
        <v/>
      </c>
      <c r="T813" s="1" t="s">
        <v>2507</v>
      </c>
      <c r="U813" s="1" t="str">
        <f t="shared" si="9"/>
        <v>DOS</v>
      </c>
      <c r="V813" s="1" t="s">
        <v>4092</v>
      </c>
      <c r="W813" s="1" t="str">
        <f t="shared" si="10"/>
        <v>1.69 kg</v>
      </c>
      <c r="X813" s="1" t="s">
        <v>78</v>
      </c>
      <c r="Y813" s="1" t="str">
        <f t="shared" si="11"/>
        <v>1 Year</v>
      </c>
      <c r="Z813" s="4">
        <v>18400</v>
      </c>
      <c r="AA813" s="1" t="s">
        <v>166</v>
      </c>
    </row>
    <row r="814" spans="1:27" ht="15.75" customHeight="1" x14ac:dyDescent="0.35">
      <c r="A814" s="1" t="s">
        <v>112</v>
      </c>
      <c r="B814" s="1" t="str">
        <f t="shared" si="16"/>
        <v>HP</v>
      </c>
      <c r="C814" s="1" t="s">
        <v>4631</v>
      </c>
      <c r="D814" s="1" t="str">
        <f t="shared" si="1"/>
        <v>DW3089NE</v>
      </c>
      <c r="E814" s="1" t="str">
        <f t="array" aca="1" ref="E814" ca="1">IFERROR(
INDEX(Family_Map!$B$2:$B$35,
_xludf.AGGREGATE(14,6,(ROW(Family_Map!$A$2:$A$35)-ROW(Family_Map!$A$2)+1)/(ISNUMBER(SEARCH(Family_Map!$A$2:$A$35,D814))),1)
),
"Other")</f>
        <v>Other</v>
      </c>
      <c r="F814" s="1" t="s">
        <v>4071</v>
      </c>
      <c r="G814" s="1" t="e">
        <f t="shared" ca="1" si="2"/>
        <v>#NAME?</v>
      </c>
      <c r="H814" s="1" t="str">
        <f t="shared" ca="1" si="12"/>
        <v>Other</v>
      </c>
      <c r="I814" s="1" t="s">
        <v>4073</v>
      </c>
      <c r="J814" s="1" t="str">
        <f t="shared" si="3"/>
        <v>2GB</v>
      </c>
      <c r="K814" s="1" t="s">
        <v>4060</v>
      </c>
      <c r="L814" s="1">
        <f t="shared" si="39"/>
        <v>8</v>
      </c>
      <c r="M814" s="1" t="s">
        <v>2718</v>
      </c>
      <c r="N814" s="1" t="str">
        <f t="shared" si="5"/>
        <v>512 GB</v>
      </c>
      <c r="O814" s="1" t="str">
        <f t="shared" si="6"/>
        <v>512 GB</v>
      </c>
      <c r="P814" s="1" t="s">
        <v>3653</v>
      </c>
      <c r="Q814" s="1" t="str">
        <f t="shared" si="7"/>
        <v>1366x768</v>
      </c>
      <c r="S814" s="1" t="str">
        <f t="shared" si="8"/>
        <v/>
      </c>
      <c r="T814" s="1" t="s">
        <v>2507</v>
      </c>
      <c r="U814" s="1" t="str">
        <f t="shared" si="9"/>
        <v>DOS</v>
      </c>
      <c r="V814" s="1" t="s">
        <v>3276</v>
      </c>
      <c r="W814" s="1" t="str">
        <f t="shared" si="10"/>
        <v>1.75 kg</v>
      </c>
      <c r="X814" s="1" t="s">
        <v>78</v>
      </c>
      <c r="Y814" s="1" t="str">
        <f t="shared" si="11"/>
        <v>1 Year</v>
      </c>
      <c r="Z814" s="4">
        <v>20400</v>
      </c>
      <c r="AA814" s="1" t="s">
        <v>1082</v>
      </c>
    </row>
    <row r="815" spans="1:27" ht="15.75" customHeight="1" x14ac:dyDescent="0.35">
      <c r="A815" s="1" t="s">
        <v>112</v>
      </c>
      <c r="B815" s="1" t="str">
        <f t="shared" si="16"/>
        <v>HP</v>
      </c>
      <c r="C815" s="1" t="s">
        <v>4634</v>
      </c>
      <c r="D815" s="1" t="str">
        <f t="shared" si="1"/>
        <v>15s-EQ2003NE</v>
      </c>
      <c r="E815" s="1" t="str">
        <f t="array" aca="1" ref="E815" ca="1">IFERROR(
INDEX(Family_Map!$B$2:$B$35,
_xludf.AGGREGATE(14,6,(ROW(Family_Map!$A$2:$A$35)-ROW(Family_Map!$A$2)+1)/(ISNUMBER(SEARCH(Family_Map!$A$2:$A$35,D815))),1)
),
"Other")</f>
        <v>Other</v>
      </c>
      <c r="F815" s="1" t="s">
        <v>4446</v>
      </c>
      <c r="G815" s="1" t="e">
        <f t="shared" ca="1" si="2"/>
        <v>#NAME?</v>
      </c>
      <c r="H815" s="1" t="str">
        <f t="shared" ca="1" si="12"/>
        <v>Other</v>
      </c>
      <c r="J815" s="1" t="str">
        <f t="shared" si="3"/>
        <v/>
      </c>
      <c r="K815" s="1" t="s">
        <v>1525</v>
      </c>
      <c r="L815" s="1">
        <f t="shared" si="39"/>
        <v>8</v>
      </c>
      <c r="M815" s="1" t="s">
        <v>2718</v>
      </c>
      <c r="N815" s="1" t="str">
        <f t="shared" si="5"/>
        <v>512 GB</v>
      </c>
      <c r="O815" s="1" t="str">
        <f t="shared" si="6"/>
        <v>512 GB</v>
      </c>
      <c r="P815" s="1" t="s">
        <v>120</v>
      </c>
      <c r="Q815" s="1" t="str">
        <f t="shared" si="7"/>
        <v>1920x1080</v>
      </c>
      <c r="S815" s="1" t="str">
        <f t="shared" si="8"/>
        <v/>
      </c>
      <c r="T815" s="1" t="s">
        <v>1722</v>
      </c>
      <c r="U815" s="1" t="str">
        <f t="shared" si="9"/>
        <v>Windows 10 Home</v>
      </c>
      <c r="V815" s="1" t="s">
        <v>4092</v>
      </c>
      <c r="W815" s="1" t="str">
        <f t="shared" si="10"/>
        <v>1.69 kg</v>
      </c>
      <c r="X815" s="1" t="s">
        <v>78</v>
      </c>
      <c r="Y815" s="1" t="str">
        <f t="shared" si="11"/>
        <v>1 Year</v>
      </c>
      <c r="Z815" s="4">
        <v>15499</v>
      </c>
      <c r="AA815" s="1" t="s">
        <v>5735</v>
      </c>
    </row>
    <row r="816" spans="1:27" ht="15.75" customHeight="1" x14ac:dyDescent="0.35">
      <c r="A816" s="1" t="s">
        <v>112</v>
      </c>
      <c r="B816" s="1" t="str">
        <f t="shared" si="16"/>
        <v>HP</v>
      </c>
      <c r="C816" s="1" t="s">
        <v>4639</v>
      </c>
      <c r="D816" s="1" t="str">
        <f t="shared" si="1"/>
        <v>15s-FQ5009NE</v>
      </c>
      <c r="E816" s="1" t="str">
        <f t="array" aca="1" ref="E816" ca="1">IFERROR(
INDEX(Family_Map!$B$2:$B$35,
_xludf.AGGREGATE(14,6,(ROW(Family_Map!$A$2:$A$35)-ROW(Family_Map!$A$2)+1)/(ISNUMBER(SEARCH(Family_Map!$A$2:$A$35,D816))),1)
),
"Other")</f>
        <v>Other</v>
      </c>
      <c r="F816" s="1" t="s">
        <v>3739</v>
      </c>
      <c r="G816" s="1" t="e">
        <f t="shared" ca="1" si="2"/>
        <v>#NAME?</v>
      </c>
      <c r="H816" s="1" t="str">
        <f t="shared" ca="1" si="12"/>
        <v>Other</v>
      </c>
      <c r="J816" s="1" t="str">
        <f t="shared" si="3"/>
        <v/>
      </c>
      <c r="K816" s="1" t="s">
        <v>3939</v>
      </c>
      <c r="L816" s="1">
        <f t="shared" si="39"/>
        <v>4</v>
      </c>
      <c r="M816" s="1" t="s">
        <v>2718</v>
      </c>
      <c r="N816" s="1" t="str">
        <f t="shared" si="5"/>
        <v>512 GB</v>
      </c>
      <c r="O816" s="1" t="str">
        <f t="shared" si="6"/>
        <v>512 GB</v>
      </c>
      <c r="P816" s="1" t="s">
        <v>3653</v>
      </c>
      <c r="Q816" s="1" t="str">
        <f t="shared" si="7"/>
        <v>1366x768</v>
      </c>
      <c r="S816" s="1" t="str">
        <f t="shared" si="8"/>
        <v/>
      </c>
      <c r="T816" s="1" t="s">
        <v>2507</v>
      </c>
      <c r="U816" s="1" t="str">
        <f t="shared" si="9"/>
        <v>DOS</v>
      </c>
      <c r="V816" s="1" t="s">
        <v>4092</v>
      </c>
      <c r="W816" s="1" t="str">
        <f t="shared" si="10"/>
        <v>1.69 kg</v>
      </c>
      <c r="X816" s="1" t="s">
        <v>78</v>
      </c>
      <c r="Y816" s="1" t="str">
        <f t="shared" si="11"/>
        <v>1 Year</v>
      </c>
      <c r="Z816" s="4">
        <v>12499</v>
      </c>
      <c r="AA816" s="1" t="s">
        <v>166</v>
      </c>
    </row>
    <row r="817" spans="1:27" ht="15.75" customHeight="1" x14ac:dyDescent="0.35">
      <c r="A817" s="1" t="s">
        <v>234</v>
      </c>
      <c r="B817" s="1" t="str">
        <f t="shared" si="16"/>
        <v>ASUS</v>
      </c>
      <c r="C817" s="1" t="s">
        <v>4643</v>
      </c>
      <c r="D817" s="1" t="str">
        <f t="shared" si="1"/>
        <v>X415EA-BL003W</v>
      </c>
      <c r="E817" s="1" t="str">
        <f t="array" aca="1" ref="E817" ca="1">IFERROR(
INDEX(Family_Map!$B$2:$B$35,
_xludf.AGGREGATE(14,6,(ROW(Family_Map!$A$2:$A$35)-ROW(Family_Map!$A$2)+1)/(ISNUMBER(SEARCH(Family_Map!$A$2:$A$35,D817))),1)
),
"Other")</f>
        <v>Other</v>
      </c>
      <c r="F817" s="1" t="s">
        <v>4295</v>
      </c>
      <c r="G817" s="1" t="e">
        <f t="shared" ca="1" si="2"/>
        <v>#NAME?</v>
      </c>
      <c r="H817" s="1" t="str">
        <f t="shared" ca="1" si="12"/>
        <v>Other</v>
      </c>
      <c r="J817" s="1" t="str">
        <f t="shared" si="3"/>
        <v/>
      </c>
      <c r="K817" s="1" t="s">
        <v>4644</v>
      </c>
      <c r="L817" s="1">
        <f t="shared" si="39"/>
        <v>4</v>
      </c>
      <c r="M817" s="1" t="s">
        <v>3799</v>
      </c>
      <c r="N817" s="1" t="str">
        <f t="shared" si="5"/>
        <v>256GB</v>
      </c>
      <c r="O817" s="1" t="str">
        <f t="shared" si="6"/>
        <v>256GB</v>
      </c>
      <c r="P817" s="1" t="s">
        <v>120</v>
      </c>
      <c r="Q817" s="1" t="str">
        <f t="shared" si="7"/>
        <v>1920x1080</v>
      </c>
      <c r="S817" s="1" t="str">
        <f t="shared" si="8"/>
        <v/>
      </c>
      <c r="T817" s="1" t="s">
        <v>555</v>
      </c>
      <c r="U817" s="1" t="str">
        <f t="shared" si="9"/>
        <v>Windows 11 Home</v>
      </c>
      <c r="V817" s="1" t="s">
        <v>4649</v>
      </c>
      <c r="W817" s="1" t="str">
        <f t="shared" si="10"/>
        <v>1.6 kg</v>
      </c>
      <c r="X817" s="1" t="s">
        <v>339</v>
      </c>
      <c r="Y817" s="1" t="str">
        <f t="shared" si="11"/>
        <v>2 Years</v>
      </c>
      <c r="Z817" s="4">
        <v>12000</v>
      </c>
      <c r="AA817" s="1" t="s">
        <v>1082</v>
      </c>
    </row>
    <row r="818" spans="1:27" ht="15.75" customHeight="1" x14ac:dyDescent="0.35">
      <c r="A818" s="1" t="s">
        <v>234</v>
      </c>
      <c r="B818" s="1" t="str">
        <f t="shared" si="16"/>
        <v>ASUS</v>
      </c>
      <c r="C818" s="1" t="s">
        <v>4652</v>
      </c>
      <c r="D818" s="1" t="str">
        <f t="shared" si="1"/>
        <v>VivoBook S14 S433EQ-AM0R7W</v>
      </c>
      <c r="E818" s="1" t="str">
        <f t="array" aca="1" ref="E818" ca="1">IFERROR(
INDEX(Family_Map!$B$2:$B$35,
_xludf.AGGREGATE(14,6,(ROW(Family_Map!$A$2:$A$35)-ROW(Family_Map!$A$2)+1)/(ISNUMBER(SEARCH(Family_Map!$A$2:$A$35,D818))),1)
),
"Other")</f>
        <v>Other</v>
      </c>
      <c r="F818" s="1" t="s">
        <v>3748</v>
      </c>
      <c r="G818" s="1" t="e">
        <f t="shared" ca="1" si="2"/>
        <v>#NAME?</v>
      </c>
      <c r="H818" s="1" t="str">
        <f t="shared" ca="1" si="12"/>
        <v>Other</v>
      </c>
      <c r="I818" s="1" t="s">
        <v>4073</v>
      </c>
      <c r="J818" s="1" t="str">
        <f t="shared" si="3"/>
        <v>2GB</v>
      </c>
      <c r="K818" s="1" t="s">
        <v>1603</v>
      </c>
      <c r="L818" s="1">
        <v>16</v>
      </c>
      <c r="M818" s="1" t="s">
        <v>1604</v>
      </c>
      <c r="N818" s="1" t="str">
        <f t="shared" si="5"/>
        <v>512GB</v>
      </c>
      <c r="O818" s="1" t="str">
        <f t="shared" si="6"/>
        <v>512GB</v>
      </c>
      <c r="P818" s="1" t="s">
        <v>120</v>
      </c>
      <c r="Q818" s="1" t="str">
        <f t="shared" si="7"/>
        <v>1920x1080</v>
      </c>
      <c r="S818" s="1" t="str">
        <f t="shared" si="8"/>
        <v/>
      </c>
      <c r="T818" s="1" t="s">
        <v>555</v>
      </c>
      <c r="U818" s="1" t="str">
        <f t="shared" si="9"/>
        <v>Windows 11 Home</v>
      </c>
      <c r="V818" s="1" t="s">
        <v>4207</v>
      </c>
      <c r="W818" s="1" t="str">
        <f t="shared" si="10"/>
        <v>1.4 kg</v>
      </c>
      <c r="X818" s="1" t="s">
        <v>339</v>
      </c>
      <c r="Y818" s="1" t="str">
        <f t="shared" si="11"/>
        <v>2 Years</v>
      </c>
      <c r="Z818" s="4">
        <v>27930</v>
      </c>
      <c r="AA818" s="1" t="s">
        <v>1082</v>
      </c>
    </row>
    <row r="819" spans="1:27" ht="15.75" customHeight="1" x14ac:dyDescent="0.35">
      <c r="A819" s="1" t="s">
        <v>4381</v>
      </c>
      <c r="B819" s="1" t="str">
        <f t="shared" si="16"/>
        <v>Huawei</v>
      </c>
      <c r="C819" s="1" t="s">
        <v>4657</v>
      </c>
      <c r="D819" s="1" t="str">
        <f t="shared" si="1"/>
        <v>MateBook B3-520</v>
      </c>
      <c r="E819" s="1" t="str">
        <f t="array" aca="1" ref="E819" ca="1">IFERROR(
INDEX(Family_Map!$B$2:$B$35,
_xludf.AGGREGATE(14,6,(ROW(Family_Map!$A$2:$A$35)-ROW(Family_Map!$A$2)+1)/(ISNUMBER(SEARCH(Family_Map!$A$2:$A$35,D819))),1)
),
"Other")</f>
        <v>Other</v>
      </c>
      <c r="F819" s="1" t="s">
        <v>4071</v>
      </c>
      <c r="G819" s="1" t="e">
        <f t="shared" ca="1" si="2"/>
        <v>#NAME?</v>
      </c>
      <c r="H819" s="1" t="str">
        <f t="shared" ca="1" si="12"/>
        <v>Other</v>
      </c>
      <c r="J819" s="1" t="str">
        <f t="shared" si="3"/>
        <v/>
      </c>
      <c r="K819" s="1" t="s">
        <v>2110</v>
      </c>
      <c r="L819" s="1">
        <f t="shared" ref="L819:L939" si="40">IFERROR(
VALUE(SUBSTITUTE(SUBSTITUTE(LEFT(UPPER(TRIM(K819)),FIND("GB",UPPER(K819)&amp;"GB")+1),"GB","")," ","")),
IFERROR(
VALUE(SUBSTITUTE(SUBSTITUTE(MID(UPPER(K819),FIND("GB",UPPER(K819)&amp;"GB")-3,3),"GB","")," ",""))
*
IF(
OR(
ISNUMBER(SEARCH("2X",UPPER(K819))),
ISNUMBER(SEARCH("X 2",UPPER(K819))),
ISNUMBER(SEARCH("*2",UPPER(K819))),
ISNUMBER(SEARCH("2*",UPPER(K819))),
ISNUMBER(SEARCH("(2 X",UPPER(K819)))
),
2,1),
"")
)</f>
        <v>8</v>
      </c>
      <c r="M819" s="1" t="s">
        <v>4383</v>
      </c>
      <c r="N819" s="1" t="str">
        <f t="shared" si="5"/>
        <v>512 GB</v>
      </c>
      <c r="O819" s="1" t="str">
        <f t="shared" si="6"/>
        <v>512 GB</v>
      </c>
      <c r="P819" s="1" t="s">
        <v>120</v>
      </c>
      <c r="Q819" s="1" t="str">
        <f t="shared" si="7"/>
        <v>1920x1080</v>
      </c>
      <c r="S819" s="1" t="str">
        <f t="shared" si="8"/>
        <v/>
      </c>
      <c r="T819" s="1" t="s">
        <v>2507</v>
      </c>
      <c r="U819" s="1" t="str">
        <f t="shared" si="9"/>
        <v>DOS</v>
      </c>
      <c r="V819" s="1" t="s">
        <v>3928</v>
      </c>
      <c r="W819" s="1" t="str">
        <f t="shared" si="10"/>
        <v>1.56 kg</v>
      </c>
      <c r="X819" s="1" t="s">
        <v>78</v>
      </c>
      <c r="Y819" s="1" t="str">
        <f t="shared" si="11"/>
        <v>1 Year</v>
      </c>
      <c r="Z819" s="4">
        <v>17499</v>
      </c>
      <c r="AA819" s="1" t="s">
        <v>1082</v>
      </c>
    </row>
    <row r="820" spans="1:27" ht="15.75" customHeight="1" x14ac:dyDescent="0.35">
      <c r="A820" s="1" t="s">
        <v>81</v>
      </c>
      <c r="B820" s="1" t="str">
        <f t="shared" si="16"/>
        <v>Dell</v>
      </c>
      <c r="C820" s="1" t="s">
        <v>4664</v>
      </c>
      <c r="D820" s="1" t="str">
        <f t="shared" si="1"/>
        <v>Inspiron 13 5310</v>
      </c>
      <c r="E820" s="1" t="str">
        <f t="array" aca="1" ref="E820" ca="1">IFERROR(
INDEX(Family_Map!$B$2:$B$35,
_xludf.AGGREGATE(14,6,(ROW(Family_Map!$A$2:$A$35)-ROW(Family_Map!$A$2)+1)/(ISNUMBER(SEARCH(Family_Map!$A$2:$A$35,D820))),1)
),
"Other")</f>
        <v>Other</v>
      </c>
      <c r="F820" s="1" t="s">
        <v>4665</v>
      </c>
      <c r="G820" s="1" t="e">
        <f t="shared" ca="1" si="2"/>
        <v>#NAME?</v>
      </c>
      <c r="H820" s="1" t="str">
        <f t="shared" ca="1" si="12"/>
        <v>Other</v>
      </c>
      <c r="I820" s="1" t="s">
        <v>3670</v>
      </c>
      <c r="J820" s="1" t="str">
        <f t="shared" si="3"/>
        <v>2GB</v>
      </c>
      <c r="K820" s="1" t="s">
        <v>4666</v>
      </c>
      <c r="L820" s="1">
        <f t="shared" si="40"/>
        <v>16</v>
      </c>
      <c r="M820" s="1" t="s">
        <v>4667</v>
      </c>
      <c r="N820" s="1" t="str">
        <f t="shared" si="5"/>
        <v>512GB</v>
      </c>
      <c r="O820" s="1" t="str">
        <f t="shared" si="6"/>
        <v>512GB</v>
      </c>
      <c r="P820" s="1" t="s">
        <v>89</v>
      </c>
      <c r="Q820" s="1" t="str">
        <f t="shared" si="7"/>
        <v>2560x1600</v>
      </c>
      <c r="S820" s="1" t="str">
        <f t="shared" si="8"/>
        <v/>
      </c>
      <c r="T820" s="1" t="s">
        <v>555</v>
      </c>
      <c r="U820" s="1" t="str">
        <f t="shared" si="9"/>
        <v>Windows 11 Home</v>
      </c>
      <c r="V820" s="1" t="s">
        <v>4562</v>
      </c>
      <c r="W820" s="1" t="str">
        <f t="shared" si="10"/>
        <v>1.24 kg</v>
      </c>
      <c r="X820" s="1" t="s">
        <v>129</v>
      </c>
      <c r="Y820" s="1" t="str">
        <f t="shared" si="11"/>
        <v>1 Year</v>
      </c>
      <c r="Z820" s="4">
        <v>35599</v>
      </c>
      <c r="AA820" s="1" t="s">
        <v>1082</v>
      </c>
    </row>
    <row r="821" spans="1:27" ht="15.75" customHeight="1" x14ac:dyDescent="0.35">
      <c r="B821" s="1" t="str">
        <f t="shared" si="16"/>
        <v/>
      </c>
      <c r="C821" s="1" t="s">
        <v>4672</v>
      </c>
      <c r="D821" s="1" t="str">
        <f t="shared" si="1"/>
        <v>D515UA-BQ007W</v>
      </c>
      <c r="E821" s="1" t="str">
        <f t="array" aca="1" ref="E821" ca="1">IFERROR(
INDEX(Family_Map!$B$2:$B$35,
_xludf.AGGREGATE(14,6,(ROW(Family_Map!$A$2:$A$35)-ROW(Family_Map!$A$2)+1)/(ISNUMBER(SEARCH(Family_Map!$A$2:$A$35,D821))),1)
),
"Other")</f>
        <v>Other</v>
      </c>
      <c r="F821" s="1" t="s">
        <v>3325</v>
      </c>
      <c r="G821" s="1" t="e">
        <f t="shared" ca="1" si="2"/>
        <v>#NAME?</v>
      </c>
      <c r="H821" s="1" t="str">
        <f t="shared" ca="1" si="12"/>
        <v>Other</v>
      </c>
      <c r="J821" s="1" t="str">
        <f t="shared" si="3"/>
        <v/>
      </c>
      <c r="K821" s="1" t="s">
        <v>4673</v>
      </c>
      <c r="L821" s="1">
        <f t="shared" si="40"/>
        <v>8</v>
      </c>
      <c r="M821" s="1" t="s">
        <v>1604</v>
      </c>
      <c r="N821" s="1" t="str">
        <f t="shared" si="5"/>
        <v>512GB</v>
      </c>
      <c r="O821" s="1" t="str">
        <f t="shared" si="6"/>
        <v>512GB</v>
      </c>
      <c r="P821" s="1" t="s">
        <v>120</v>
      </c>
      <c r="Q821" s="1" t="str">
        <f t="shared" si="7"/>
        <v>1920x1080</v>
      </c>
      <c r="S821" s="1" t="str">
        <f t="shared" si="8"/>
        <v/>
      </c>
      <c r="T821" s="1" t="s">
        <v>555</v>
      </c>
      <c r="U821" s="1" t="str">
        <f t="shared" si="9"/>
        <v>Windows 11 Home</v>
      </c>
      <c r="V821" s="1" t="s">
        <v>4678</v>
      </c>
      <c r="W821" s="1" t="str">
        <f t="shared" si="10"/>
        <v>1.8 kg</v>
      </c>
      <c r="X821" s="1" t="s">
        <v>165</v>
      </c>
      <c r="Y821" s="1" t="str">
        <f t="shared" si="11"/>
        <v>2 Years</v>
      </c>
      <c r="Z821" s="4">
        <v>15499</v>
      </c>
      <c r="AA821" s="1" t="s">
        <v>5735</v>
      </c>
    </row>
    <row r="822" spans="1:27" ht="15.75" customHeight="1" x14ac:dyDescent="0.35">
      <c r="B822" s="1" t="str">
        <f t="shared" si="16"/>
        <v/>
      </c>
      <c r="C822" s="1" t="s">
        <v>4681</v>
      </c>
      <c r="D822" s="1" t="str">
        <f t="shared" si="1"/>
        <v>X515FA-BQ003W</v>
      </c>
      <c r="E822" s="1" t="str">
        <f t="array" aca="1" ref="E822" ca="1">IFERROR(
INDEX(Family_Map!$B$2:$B$35,
_xludf.AGGREGATE(14,6,(ROW(Family_Map!$A$2:$A$35)-ROW(Family_Map!$A$2)+1)/(ISNUMBER(SEARCH(Family_Map!$A$2:$A$35,D822))),1)
),
"Other")</f>
        <v>Other</v>
      </c>
      <c r="F822" s="1" t="s">
        <v>4682</v>
      </c>
      <c r="G822" s="1" t="e">
        <f t="shared" ca="1" si="2"/>
        <v>#NAME?</v>
      </c>
      <c r="H822" s="1" t="str">
        <f t="shared" ca="1" si="12"/>
        <v>Other</v>
      </c>
      <c r="J822" s="1" t="str">
        <f t="shared" si="3"/>
        <v/>
      </c>
      <c r="K822" s="1" t="s">
        <v>4334</v>
      </c>
      <c r="L822" s="1">
        <f t="shared" si="40"/>
        <v>4</v>
      </c>
      <c r="M822" s="1" t="s">
        <v>4683</v>
      </c>
      <c r="N822" s="1" t="str">
        <f t="shared" si="5"/>
        <v>1TB</v>
      </c>
      <c r="O822" s="1" t="str">
        <f t="shared" si="6"/>
        <v>1024GB</v>
      </c>
      <c r="P822" s="1" t="s">
        <v>120</v>
      </c>
      <c r="Q822" s="1" t="str">
        <f t="shared" si="7"/>
        <v>1920x1080</v>
      </c>
      <c r="S822" s="1" t="str">
        <f t="shared" si="8"/>
        <v/>
      </c>
      <c r="T822" s="1" t="s">
        <v>90</v>
      </c>
      <c r="U822" s="1" t="str">
        <f t="shared" si="9"/>
        <v>Windows 11 Home</v>
      </c>
      <c r="V822" s="1" t="s">
        <v>636</v>
      </c>
      <c r="W822" s="1" t="str">
        <f t="shared" si="10"/>
        <v>1.8 kg</v>
      </c>
      <c r="X822" s="1" t="s">
        <v>339</v>
      </c>
      <c r="Y822" s="1" t="str">
        <f t="shared" si="11"/>
        <v>2 Years</v>
      </c>
      <c r="Z822" s="4">
        <v>10500</v>
      </c>
      <c r="AA822" s="1" t="s">
        <v>2181</v>
      </c>
    </row>
    <row r="823" spans="1:27" ht="15.75" customHeight="1" x14ac:dyDescent="0.35">
      <c r="A823" s="1" t="s">
        <v>151</v>
      </c>
      <c r="B823" s="1" t="str">
        <f t="shared" si="16"/>
        <v>Lenovo</v>
      </c>
      <c r="C823" s="1" t="s">
        <v>3988</v>
      </c>
      <c r="D823" s="1" t="str">
        <f t="shared" si="1"/>
        <v>IdeaPad 3 15ADA05</v>
      </c>
      <c r="E823" s="1" t="str">
        <f t="array" aca="1" ref="E823" ca="1">IFERROR(
INDEX(Family_Map!$B$2:$B$35,
_xludf.AGGREGATE(14,6,(ROW(Family_Map!$A$2:$A$35)-ROW(Family_Map!$A$2)+1)/(ISNUMBER(SEARCH(Family_Map!$A$2:$A$35,D823))),1)
),
"Other")</f>
        <v>Other</v>
      </c>
      <c r="F823" s="1" t="s">
        <v>4688</v>
      </c>
      <c r="G823" s="1" t="e">
        <f t="shared" ca="1" si="2"/>
        <v>#NAME?</v>
      </c>
      <c r="H823" s="1" t="str">
        <f t="shared" ca="1" si="12"/>
        <v>Other</v>
      </c>
      <c r="J823" s="1" t="str">
        <f t="shared" si="3"/>
        <v/>
      </c>
      <c r="K823" s="1" t="s">
        <v>4690</v>
      </c>
      <c r="L823" s="1">
        <f t="shared" si="40"/>
        <v>4</v>
      </c>
      <c r="M823" s="1" t="s">
        <v>4101</v>
      </c>
      <c r="N823" s="1" t="str">
        <f t="shared" si="5"/>
        <v>1TB</v>
      </c>
      <c r="O823" s="1" t="str">
        <f t="shared" si="6"/>
        <v>1024GB</v>
      </c>
      <c r="P823" s="1" t="s">
        <v>3653</v>
      </c>
      <c r="Q823" s="1" t="str">
        <f t="shared" si="7"/>
        <v>1366x768</v>
      </c>
      <c r="S823" s="1" t="str">
        <f t="shared" si="8"/>
        <v/>
      </c>
      <c r="T823" s="1" t="s">
        <v>2507</v>
      </c>
      <c r="U823" s="1" t="str">
        <f t="shared" si="9"/>
        <v>DOS</v>
      </c>
      <c r="V823" s="1" t="s">
        <v>976</v>
      </c>
      <c r="W823" s="1" t="str">
        <f t="shared" si="10"/>
        <v>1.85 kg</v>
      </c>
      <c r="X823" s="1" t="s">
        <v>78</v>
      </c>
      <c r="Y823" s="1" t="str">
        <f t="shared" si="11"/>
        <v>1 Year</v>
      </c>
      <c r="Z823" s="4">
        <v>13499</v>
      </c>
      <c r="AA823" s="1" t="s">
        <v>5735</v>
      </c>
    </row>
    <row r="824" spans="1:27" ht="15.75" customHeight="1" x14ac:dyDescent="0.35">
      <c r="A824" s="1" t="s">
        <v>112</v>
      </c>
      <c r="B824" s="1" t="str">
        <f t="shared" si="16"/>
        <v>HP</v>
      </c>
      <c r="C824" s="1" t="s">
        <v>4695</v>
      </c>
      <c r="D824" s="1" t="str">
        <f t="shared" si="1"/>
        <v>250 g7</v>
      </c>
      <c r="E824" s="1" t="str">
        <f t="array" aca="1" ref="E824" ca="1">IFERROR(
INDEX(Family_Map!$B$2:$B$35,
_xludf.AGGREGATE(14,6,(ROW(Family_Map!$A$2:$A$35)-ROW(Family_Map!$A$2)+1)/(ISNUMBER(SEARCH(Family_Map!$A$2:$A$35,D824))),1)
),
"Other")</f>
        <v>Other</v>
      </c>
      <c r="F824" s="1" t="s">
        <v>4450</v>
      </c>
      <c r="G824" s="1" t="e">
        <f t="shared" ca="1" si="2"/>
        <v>#NAME?</v>
      </c>
      <c r="H824" s="1" t="str">
        <f t="shared" ca="1" si="12"/>
        <v>Other</v>
      </c>
      <c r="J824" s="1" t="str">
        <f t="shared" si="3"/>
        <v/>
      </c>
      <c r="K824" s="1" t="s">
        <v>4696</v>
      </c>
      <c r="L824" s="1">
        <f t="shared" si="40"/>
        <v>4</v>
      </c>
      <c r="M824" s="1" t="s">
        <v>3845</v>
      </c>
      <c r="N824" s="1" t="str">
        <f t="shared" si="5"/>
        <v>1TB</v>
      </c>
      <c r="O824" s="1" t="str">
        <f t="shared" si="6"/>
        <v>1024GB</v>
      </c>
      <c r="P824" s="1" t="s">
        <v>3653</v>
      </c>
      <c r="Q824" s="1" t="str">
        <f t="shared" si="7"/>
        <v>1366x768</v>
      </c>
      <c r="S824" s="1" t="str">
        <f t="shared" si="8"/>
        <v/>
      </c>
      <c r="T824" s="1" t="s">
        <v>4698</v>
      </c>
      <c r="U824" s="1" t="str">
        <f t="shared" si="9"/>
        <v>Windows 10 Home</v>
      </c>
      <c r="V824" s="1" t="s">
        <v>4704</v>
      </c>
      <c r="W824" s="1" t="str">
        <f t="shared" si="10"/>
        <v>2 kg</v>
      </c>
      <c r="X824" s="1" t="s">
        <v>78</v>
      </c>
      <c r="Y824" s="1" t="str">
        <f t="shared" si="11"/>
        <v>1 Year</v>
      </c>
      <c r="Z824" s="4">
        <v>10999</v>
      </c>
      <c r="AA824" s="1" t="s">
        <v>2181</v>
      </c>
    </row>
    <row r="825" spans="1:27" ht="15.75" customHeight="1" x14ac:dyDescent="0.35">
      <c r="A825" s="1" t="s">
        <v>112</v>
      </c>
      <c r="B825" s="1" t="str">
        <f t="shared" si="16"/>
        <v>HP</v>
      </c>
      <c r="C825" s="1" t="s">
        <v>4707</v>
      </c>
      <c r="D825" s="1" t="str">
        <f t="shared" si="1"/>
        <v>15-DW3033DX</v>
      </c>
      <c r="E825" s="1" t="str">
        <f t="array" aca="1" ref="E825" ca="1">IFERROR(
INDEX(Family_Map!$B$2:$B$35,
_xludf.AGGREGATE(14,6,(ROW(Family_Map!$A$2:$A$35)-ROW(Family_Map!$A$2)+1)/(ISNUMBER(SEARCH(Family_Map!$A$2:$A$35,D825))),1)
),
"Other")</f>
        <v>Other</v>
      </c>
      <c r="F825" s="1" t="s">
        <v>4708</v>
      </c>
      <c r="G825" s="1" t="e">
        <f t="shared" ca="1" si="2"/>
        <v>#NAME?</v>
      </c>
      <c r="H825" s="1" t="str">
        <f t="shared" ca="1" si="12"/>
        <v>Other</v>
      </c>
      <c r="J825" s="1" t="str">
        <f t="shared" si="3"/>
        <v/>
      </c>
      <c r="K825" s="1" t="s">
        <v>4060</v>
      </c>
      <c r="L825" s="1">
        <f t="shared" si="40"/>
        <v>8</v>
      </c>
      <c r="M825" s="1" t="s">
        <v>3940</v>
      </c>
      <c r="N825" s="1" t="str">
        <f t="shared" si="5"/>
        <v>256 GB</v>
      </c>
      <c r="O825" s="1" t="str">
        <f t="shared" si="6"/>
        <v>256 GB</v>
      </c>
      <c r="P825" s="1" t="s">
        <v>120</v>
      </c>
      <c r="Q825" s="1" t="str">
        <f t="shared" si="7"/>
        <v>1920x1080</v>
      </c>
      <c r="S825" s="1" t="str">
        <f t="shared" si="8"/>
        <v/>
      </c>
      <c r="T825" s="1" t="s">
        <v>1722</v>
      </c>
      <c r="U825" s="1" t="str">
        <f t="shared" si="9"/>
        <v>Windows 10 Home</v>
      </c>
      <c r="V825" s="1" t="s">
        <v>3276</v>
      </c>
      <c r="W825" s="1" t="str">
        <f t="shared" si="10"/>
        <v>1.75 kg</v>
      </c>
      <c r="X825" s="1" t="s">
        <v>78</v>
      </c>
      <c r="Y825" s="1" t="str">
        <f t="shared" si="11"/>
        <v>1 Year</v>
      </c>
      <c r="Z825" s="4">
        <v>11999</v>
      </c>
      <c r="AA825" s="1" t="s">
        <v>1082</v>
      </c>
    </row>
    <row r="826" spans="1:27" ht="15.75" customHeight="1" x14ac:dyDescent="0.35">
      <c r="A826" s="1" t="s">
        <v>112</v>
      </c>
      <c r="B826" s="1" t="str">
        <f t="shared" si="16"/>
        <v>HP</v>
      </c>
      <c r="C826" s="1" t="s">
        <v>4710</v>
      </c>
      <c r="D826" s="1" t="str">
        <f t="shared" si="1"/>
        <v>DW3140NE</v>
      </c>
      <c r="E826" s="1" t="str">
        <f t="array" aca="1" ref="E826" ca="1">IFERROR(
INDEX(Family_Map!$B$2:$B$35,
_xludf.AGGREGATE(14,6,(ROW(Family_Map!$A$2:$A$35)-ROW(Family_Map!$A$2)+1)/(ISNUMBER(SEARCH(Family_Map!$A$2:$A$35,D826))),1)
),
"Other")</f>
        <v>Other</v>
      </c>
      <c r="F826" s="1" t="s">
        <v>4590</v>
      </c>
      <c r="G826" s="1" t="e">
        <f t="shared" ca="1" si="2"/>
        <v>#NAME?</v>
      </c>
      <c r="H826" s="1" t="str">
        <f t="shared" ca="1" si="12"/>
        <v>Other</v>
      </c>
      <c r="J826" s="1" t="str">
        <f t="shared" si="3"/>
        <v/>
      </c>
      <c r="K826" s="1" t="s">
        <v>1429</v>
      </c>
      <c r="L826" s="1">
        <f t="shared" si="40"/>
        <v>8</v>
      </c>
      <c r="M826" s="1" t="s">
        <v>2718</v>
      </c>
      <c r="N826" s="1" t="str">
        <f t="shared" si="5"/>
        <v>512 GB</v>
      </c>
      <c r="O826" s="1" t="str">
        <f t="shared" si="6"/>
        <v>512 GB</v>
      </c>
      <c r="P826" s="1" t="s">
        <v>3653</v>
      </c>
      <c r="Q826" s="1" t="str">
        <f t="shared" si="7"/>
        <v>1366x768</v>
      </c>
      <c r="S826" s="1" t="str">
        <f t="shared" si="8"/>
        <v/>
      </c>
      <c r="T826" s="1" t="s">
        <v>2507</v>
      </c>
      <c r="U826" s="1" t="str">
        <f t="shared" si="9"/>
        <v>DOS</v>
      </c>
      <c r="V826" s="1" t="s">
        <v>3713</v>
      </c>
      <c r="W826" s="1" t="str">
        <f t="shared" si="10"/>
        <v>1.82 kg</v>
      </c>
      <c r="X826" s="1" t="s">
        <v>129</v>
      </c>
      <c r="Y826" s="1" t="str">
        <f t="shared" si="11"/>
        <v>1 Year</v>
      </c>
      <c r="Z826" s="4">
        <v>12199</v>
      </c>
      <c r="AA826" s="1" t="s">
        <v>1082</v>
      </c>
    </row>
    <row r="827" spans="1:27" ht="15.75" customHeight="1" x14ac:dyDescent="0.35">
      <c r="A827" s="1" t="s">
        <v>4714</v>
      </c>
      <c r="B827" s="1" t="str">
        <f t="shared" si="16"/>
        <v>Dynabook</v>
      </c>
      <c r="C827" s="1" t="s">
        <v>4715</v>
      </c>
      <c r="D827" s="1" t="str">
        <f t="shared" si="1"/>
        <v>Satellite Pro C50-H-114</v>
      </c>
      <c r="E827" s="1" t="str">
        <f t="array" aca="1" ref="E827" ca="1">IFERROR(
INDEX(Family_Map!$B$2:$B$35,
_xludf.AGGREGATE(14,6,(ROW(Family_Map!$A$2:$A$35)-ROW(Family_Map!$A$2)+1)/(ISNUMBER(SEARCH(Family_Map!$A$2:$A$35,D827))),1)
),
"Other")</f>
        <v>Other</v>
      </c>
      <c r="F827" s="1" t="s">
        <v>4716</v>
      </c>
      <c r="G827" s="1" t="e">
        <f t="shared" ca="1" si="2"/>
        <v>#NAME?</v>
      </c>
      <c r="H827" s="1" t="str">
        <f t="shared" ca="1" si="12"/>
        <v>Other</v>
      </c>
      <c r="J827" s="1" t="str">
        <f t="shared" si="3"/>
        <v/>
      </c>
      <c r="K827" s="1" t="s">
        <v>4718</v>
      </c>
      <c r="L827" s="1">
        <f t="shared" si="40"/>
        <v>8</v>
      </c>
      <c r="M827" s="1" t="s">
        <v>1120</v>
      </c>
      <c r="N827" s="1" t="str">
        <f t="shared" si="5"/>
        <v>512GB</v>
      </c>
      <c r="O827" s="1" t="str">
        <f t="shared" si="6"/>
        <v>512GB</v>
      </c>
      <c r="P827" s="1" t="s">
        <v>120</v>
      </c>
      <c r="Q827" s="1" t="str">
        <f t="shared" si="7"/>
        <v>1920x1080</v>
      </c>
      <c r="S827" s="1" t="str">
        <f t="shared" si="8"/>
        <v/>
      </c>
      <c r="T827" s="1" t="s">
        <v>101</v>
      </c>
      <c r="U827" s="1" t="str">
        <f t="shared" si="9"/>
        <v>DOS</v>
      </c>
      <c r="V827" s="1" t="s">
        <v>4054</v>
      </c>
      <c r="W827" s="1" t="str">
        <f t="shared" si="10"/>
        <v>1.76 kg</v>
      </c>
      <c r="X827" s="1" t="s">
        <v>78</v>
      </c>
      <c r="Y827" s="1" t="str">
        <f t="shared" si="11"/>
        <v>1 Year</v>
      </c>
      <c r="Z827" s="4">
        <v>23777</v>
      </c>
      <c r="AA827" s="1" t="s">
        <v>2181</v>
      </c>
    </row>
    <row r="828" spans="1:27" ht="15.75" customHeight="1" x14ac:dyDescent="0.35">
      <c r="A828" s="1" t="s">
        <v>4714</v>
      </c>
      <c r="B828" s="1" t="str">
        <f t="shared" si="16"/>
        <v>Dynabook</v>
      </c>
      <c r="C828" s="1" t="s">
        <v>4724</v>
      </c>
      <c r="D828" s="1" t="str">
        <f t="shared" si="1"/>
        <v>Satellite Pro C50-H-12A</v>
      </c>
      <c r="E828" s="1" t="str">
        <f t="array" aca="1" ref="E828" ca="1">IFERROR(
INDEX(Family_Map!$B$2:$B$35,
_xludf.AGGREGATE(14,6,(ROW(Family_Map!$A$2:$A$35)-ROW(Family_Map!$A$2)+1)/(ISNUMBER(SEARCH(Family_Map!$A$2:$A$35,D828))),1)
),
"Other")</f>
        <v>Other</v>
      </c>
      <c r="F828" s="1" t="s">
        <v>3897</v>
      </c>
      <c r="G828" s="1" t="e">
        <f t="shared" ca="1" si="2"/>
        <v>#NAME?</v>
      </c>
      <c r="H828" s="1" t="str">
        <f t="shared" ca="1" si="12"/>
        <v>Other</v>
      </c>
      <c r="J828" s="1" t="str">
        <f t="shared" si="3"/>
        <v/>
      </c>
      <c r="K828" s="1" t="s">
        <v>4725</v>
      </c>
      <c r="L828" s="1">
        <f t="shared" si="40"/>
        <v>8</v>
      </c>
      <c r="M828" s="1" t="s">
        <v>2388</v>
      </c>
      <c r="N828" s="1" t="str">
        <f t="shared" si="5"/>
        <v>256GB</v>
      </c>
      <c r="O828" s="1" t="str">
        <f t="shared" si="6"/>
        <v>256GB</v>
      </c>
      <c r="P828" s="1" t="s">
        <v>3653</v>
      </c>
      <c r="Q828" s="1" t="str">
        <f t="shared" si="7"/>
        <v>1366x768</v>
      </c>
      <c r="S828" s="1" t="str">
        <f t="shared" si="8"/>
        <v/>
      </c>
      <c r="T828" s="1" t="s">
        <v>101</v>
      </c>
      <c r="U828" s="1" t="str">
        <f t="shared" si="9"/>
        <v>DOS</v>
      </c>
      <c r="V828" s="1" t="s">
        <v>4054</v>
      </c>
      <c r="W828" s="1" t="str">
        <f t="shared" si="10"/>
        <v>1.76 kg</v>
      </c>
      <c r="X828" s="1" t="s">
        <v>78</v>
      </c>
      <c r="Y828" s="1" t="str">
        <f t="shared" si="11"/>
        <v>1 Year</v>
      </c>
      <c r="Z828" s="4">
        <v>14999</v>
      </c>
      <c r="AA828" s="1" t="s">
        <v>2181</v>
      </c>
    </row>
    <row r="829" spans="1:27" ht="15.75" customHeight="1" x14ac:dyDescent="0.35">
      <c r="A829" s="1" t="s">
        <v>112</v>
      </c>
      <c r="B829" s="1" t="str">
        <f t="shared" si="16"/>
        <v>HP</v>
      </c>
      <c r="C829" s="1" t="s">
        <v>4727</v>
      </c>
      <c r="D829" s="1" t="str">
        <f t="shared" si="1"/>
        <v>15-dw3103ne</v>
      </c>
      <c r="E829" s="1" t="str">
        <f t="array" aca="1" ref="E829" ca="1">IFERROR(
INDEX(Family_Map!$B$2:$B$35,
_xludf.AGGREGATE(14,6,(ROW(Family_Map!$A$2:$A$35)-ROW(Family_Map!$A$2)+1)/(ISNUMBER(SEARCH(Family_Map!$A$2:$A$35,D829))),1)
),
"Other")</f>
        <v>Other</v>
      </c>
      <c r="F829" s="1" t="s">
        <v>3668</v>
      </c>
      <c r="G829" s="1" t="e">
        <f t="shared" ca="1" si="2"/>
        <v>#NAME?</v>
      </c>
      <c r="H829" s="1" t="str">
        <f t="shared" ca="1" si="12"/>
        <v>Other</v>
      </c>
      <c r="I829" s="1" t="s">
        <v>4073</v>
      </c>
      <c r="J829" s="1" t="str">
        <f t="shared" si="3"/>
        <v>2GB</v>
      </c>
      <c r="K829" s="1" t="s">
        <v>4060</v>
      </c>
      <c r="L829" s="1">
        <f t="shared" si="40"/>
        <v>8</v>
      </c>
      <c r="M829" s="1" t="s">
        <v>2718</v>
      </c>
      <c r="N829" s="1" t="str">
        <f t="shared" si="5"/>
        <v>512 GB</v>
      </c>
      <c r="O829" s="1" t="str">
        <f t="shared" si="6"/>
        <v>512 GB</v>
      </c>
      <c r="P829" s="1" t="s">
        <v>3653</v>
      </c>
      <c r="Q829" s="1" t="str">
        <f t="shared" si="7"/>
        <v>1366x768</v>
      </c>
      <c r="S829" s="1" t="str">
        <f t="shared" si="8"/>
        <v/>
      </c>
      <c r="T829" s="1" t="s">
        <v>101</v>
      </c>
      <c r="U829" s="1" t="str">
        <f t="shared" si="9"/>
        <v>DOS</v>
      </c>
      <c r="V829" s="1" t="s">
        <v>3276</v>
      </c>
      <c r="W829" s="1" t="str">
        <f t="shared" si="10"/>
        <v>1.75 kg</v>
      </c>
      <c r="X829" s="1" t="s">
        <v>78</v>
      </c>
      <c r="Y829" s="1" t="str">
        <f t="shared" si="11"/>
        <v>1 Year</v>
      </c>
      <c r="Z829" s="4">
        <v>21999</v>
      </c>
      <c r="AA829" s="1" t="s">
        <v>1082</v>
      </c>
    </row>
    <row r="830" spans="1:27" ht="15.75" customHeight="1" x14ac:dyDescent="0.35">
      <c r="A830" s="1" t="s">
        <v>112</v>
      </c>
      <c r="B830" s="1" t="str">
        <f t="shared" si="16"/>
        <v>HP</v>
      </c>
      <c r="C830" s="1" t="s">
        <v>4732</v>
      </c>
      <c r="D830" s="1" t="str">
        <f t="shared" si="1"/>
        <v>255 G7</v>
      </c>
      <c r="E830" s="1" t="str">
        <f t="array" aca="1" ref="E830" ca="1">IFERROR(
INDEX(Family_Map!$B$2:$B$35,
_xludf.AGGREGATE(14,6,(ROW(Family_Map!$A$2:$A$35)-ROW(Family_Map!$A$2)+1)/(ISNUMBER(SEARCH(Family_Map!$A$2:$A$35,D830))),1)
),
"Other")</f>
        <v>Other</v>
      </c>
      <c r="F830" s="1" t="s">
        <v>4733</v>
      </c>
      <c r="G830" s="1" t="e">
        <f t="shared" ca="1" si="2"/>
        <v>#NAME?</v>
      </c>
      <c r="H830" s="1" t="str">
        <f t="shared" ca="1" si="12"/>
        <v>Other</v>
      </c>
      <c r="J830" s="1" t="str">
        <f t="shared" si="3"/>
        <v/>
      </c>
      <c r="K830" s="1" t="s">
        <v>4735</v>
      </c>
      <c r="L830" s="1">
        <f t="shared" si="40"/>
        <v>4</v>
      </c>
      <c r="M830" s="1" t="s">
        <v>4736</v>
      </c>
      <c r="N830" s="1" t="str">
        <f t="shared" si="5"/>
        <v>1 TB</v>
      </c>
      <c r="O830" s="1" t="str">
        <f t="shared" si="6"/>
        <v>1024GB</v>
      </c>
      <c r="P830" s="1" t="s">
        <v>3653</v>
      </c>
      <c r="Q830" s="1" t="str">
        <f t="shared" si="7"/>
        <v>1366x768</v>
      </c>
      <c r="S830" s="1" t="str">
        <f t="shared" si="8"/>
        <v/>
      </c>
      <c r="T830" s="1" t="s">
        <v>101</v>
      </c>
      <c r="U830" s="1" t="str">
        <f t="shared" si="9"/>
        <v>DOS</v>
      </c>
      <c r="V830" s="1" t="s">
        <v>3367</v>
      </c>
      <c r="W830" s="1" t="str">
        <f t="shared" si="10"/>
        <v>1.78 kg</v>
      </c>
      <c r="X830" s="1" t="s">
        <v>78</v>
      </c>
      <c r="Y830" s="1" t="str">
        <f t="shared" si="11"/>
        <v>1 Year</v>
      </c>
      <c r="Z830" s="4">
        <v>9999</v>
      </c>
      <c r="AA830" s="1" t="s">
        <v>5735</v>
      </c>
    </row>
    <row r="831" spans="1:27" ht="15.75" customHeight="1" x14ac:dyDescent="0.35">
      <c r="B831" s="1" t="str">
        <f t="shared" si="16"/>
        <v/>
      </c>
      <c r="C831" s="1" t="s">
        <v>4742</v>
      </c>
      <c r="D831" s="1" t="str">
        <f t="shared" si="1"/>
        <v>ZenBook Q408UG-211.BL-11</v>
      </c>
      <c r="E831" s="1" t="str">
        <f t="array" aca="1" ref="E831" ca="1">IFERROR(
INDEX(Family_Map!$B$2:$B$35,
_xludf.AGGREGATE(14,6,(ROW(Family_Map!$A$2:$A$35)-ROW(Family_Map!$A$2)+1)/(ISNUMBER(SEARCH(Family_Map!$A$2:$A$35,D831))),1)
),
"Other")</f>
        <v>Other</v>
      </c>
      <c r="F831" s="1" t="s">
        <v>4316</v>
      </c>
      <c r="G831" s="1" t="e">
        <f t="shared" ca="1" si="2"/>
        <v>#NAME?</v>
      </c>
      <c r="H831" s="1" t="str">
        <f t="shared" ca="1" si="12"/>
        <v>Other</v>
      </c>
      <c r="I831" s="1" t="s">
        <v>3670</v>
      </c>
      <c r="J831" s="1" t="str">
        <f t="shared" si="3"/>
        <v>2GB</v>
      </c>
      <c r="K831" s="1" t="s">
        <v>4364</v>
      </c>
      <c r="L831" s="1">
        <f t="shared" si="40"/>
        <v>8</v>
      </c>
      <c r="M831" s="1" t="s">
        <v>3799</v>
      </c>
      <c r="N831" s="1" t="str">
        <f t="shared" si="5"/>
        <v>256GB</v>
      </c>
      <c r="O831" s="1" t="str">
        <f t="shared" si="6"/>
        <v>256GB</v>
      </c>
      <c r="P831" s="1" t="s">
        <v>120</v>
      </c>
      <c r="Q831" s="1" t="str">
        <f t="shared" si="7"/>
        <v>1920x1080</v>
      </c>
      <c r="S831" s="1" t="str">
        <f t="shared" si="8"/>
        <v/>
      </c>
      <c r="T831" s="1" t="s">
        <v>555</v>
      </c>
      <c r="U831" s="1" t="str">
        <f t="shared" si="9"/>
        <v>Windows 11 Home</v>
      </c>
      <c r="V831" s="1" t="s">
        <v>3420</v>
      </c>
      <c r="W831" s="1" t="str">
        <f t="shared" si="10"/>
        <v>1.3 kg</v>
      </c>
      <c r="X831" s="1" t="s">
        <v>78</v>
      </c>
      <c r="Y831" s="1" t="str">
        <f t="shared" si="11"/>
        <v>1 Year</v>
      </c>
      <c r="Z831" s="4">
        <v>17499</v>
      </c>
      <c r="AA831" s="1" t="s">
        <v>5735</v>
      </c>
    </row>
    <row r="832" spans="1:27" ht="15.75" customHeight="1" x14ac:dyDescent="0.35">
      <c r="A832" s="1" t="s">
        <v>151</v>
      </c>
      <c r="B832" s="1" t="str">
        <f t="shared" si="16"/>
        <v>Lenovo</v>
      </c>
      <c r="C832" s="1" t="s">
        <v>4308</v>
      </c>
      <c r="D832" s="1" t="str">
        <f t="shared" si="1"/>
        <v>IdeaPad 3 15ITL6</v>
      </c>
      <c r="E832" s="1" t="str">
        <f t="array" aca="1" ref="E832" ca="1">IFERROR(
INDEX(Family_Map!$B$2:$B$35,
_xludf.AGGREGATE(14,6,(ROW(Family_Map!$A$2:$A$35)-ROW(Family_Map!$A$2)+1)/(ISNUMBER(SEARCH(Family_Map!$A$2:$A$35,D832))),1)
),
"Other")</f>
        <v>Other</v>
      </c>
      <c r="F832" s="1" t="s">
        <v>4295</v>
      </c>
      <c r="G832" s="1" t="e">
        <f t="shared" ca="1" si="2"/>
        <v>#NAME?</v>
      </c>
      <c r="H832" s="1" t="str">
        <f t="shared" ca="1" si="12"/>
        <v>Other</v>
      </c>
      <c r="J832" s="1" t="str">
        <f t="shared" si="3"/>
        <v/>
      </c>
      <c r="K832" s="1" t="s">
        <v>4012</v>
      </c>
      <c r="L832" s="1">
        <f t="shared" si="40"/>
        <v>4</v>
      </c>
      <c r="M832" s="1" t="s">
        <v>4101</v>
      </c>
      <c r="N832" s="1" t="str">
        <f t="shared" si="5"/>
        <v>1TB</v>
      </c>
      <c r="O832" s="1" t="str">
        <f t="shared" si="6"/>
        <v>1024GB</v>
      </c>
      <c r="P832" s="1" t="s">
        <v>120</v>
      </c>
      <c r="Q832" s="1" t="str">
        <f t="shared" si="7"/>
        <v>1920x1080</v>
      </c>
      <c r="S832" s="1" t="str">
        <f t="shared" si="8"/>
        <v/>
      </c>
      <c r="T832" s="1" t="s">
        <v>101</v>
      </c>
      <c r="U832" s="1" t="str">
        <f t="shared" si="9"/>
        <v>DOS</v>
      </c>
      <c r="V832" s="1" t="s">
        <v>1609</v>
      </c>
      <c r="W832" s="1" t="str">
        <f t="shared" si="10"/>
        <v>1.65 kg</v>
      </c>
      <c r="X832" s="1" t="s">
        <v>78</v>
      </c>
      <c r="Y832" s="1" t="str">
        <f t="shared" si="11"/>
        <v>1 Year</v>
      </c>
      <c r="Z832" s="4">
        <v>10300</v>
      </c>
      <c r="AA832" s="1" t="s">
        <v>1082</v>
      </c>
    </row>
    <row r="833" spans="1:27" ht="15.75" customHeight="1" x14ac:dyDescent="0.35">
      <c r="A833" s="1" t="s">
        <v>4381</v>
      </c>
      <c r="B833" s="1" t="str">
        <f t="shared" si="16"/>
        <v>Huawei</v>
      </c>
      <c r="C833" s="1" t="s">
        <v>4751</v>
      </c>
      <c r="D833" s="1" t="str">
        <f t="shared" si="1"/>
        <v>MateBook D15</v>
      </c>
      <c r="E833" s="1" t="str">
        <f t="array" aca="1" ref="E833" ca="1">IFERROR(
INDEX(Family_Map!$B$2:$B$35,
_xludf.AGGREGATE(14,6,(ROW(Family_Map!$A$2:$A$35)-ROW(Family_Map!$A$2)+1)/(ISNUMBER(SEARCH(Family_Map!$A$2:$A$35,D833))),1)
),
"Other")</f>
        <v>Other</v>
      </c>
      <c r="F833" s="1" t="s">
        <v>4590</v>
      </c>
      <c r="G833" s="1" t="e">
        <f t="shared" ca="1" si="2"/>
        <v>#NAME?</v>
      </c>
      <c r="H833" s="1" t="str">
        <f t="shared" ca="1" si="12"/>
        <v>Other</v>
      </c>
      <c r="J833" s="1" t="str">
        <f t="shared" si="3"/>
        <v/>
      </c>
      <c r="K833" s="1" t="s">
        <v>2110</v>
      </c>
      <c r="L833" s="1">
        <f t="shared" si="40"/>
        <v>8</v>
      </c>
      <c r="M833" s="1" t="s">
        <v>4752</v>
      </c>
      <c r="N833" s="1" t="str">
        <f t="shared" si="5"/>
        <v>256 GB</v>
      </c>
      <c r="O833" s="1" t="str">
        <f t="shared" si="6"/>
        <v>256 GB</v>
      </c>
      <c r="P833" s="1" t="s">
        <v>120</v>
      </c>
      <c r="Q833" s="1" t="str">
        <f t="shared" si="7"/>
        <v>1920x1080</v>
      </c>
      <c r="S833" s="1" t="str">
        <f t="shared" si="8"/>
        <v/>
      </c>
      <c r="T833" s="1" t="s">
        <v>90</v>
      </c>
      <c r="U833" s="1" t="str">
        <f t="shared" si="9"/>
        <v>Windows 11 Home</v>
      </c>
      <c r="V833" s="1" t="s">
        <v>4756</v>
      </c>
      <c r="W833" s="1" t="str">
        <f t="shared" si="10"/>
        <v>2.38 kg</v>
      </c>
      <c r="X833" s="1" t="s">
        <v>78</v>
      </c>
      <c r="Y833" s="1" t="str">
        <f t="shared" si="11"/>
        <v>1 Year</v>
      </c>
      <c r="Z833" s="4">
        <v>18999</v>
      </c>
      <c r="AA833" s="1" t="s">
        <v>1082</v>
      </c>
    </row>
    <row r="834" spans="1:27" ht="15.75" customHeight="1" x14ac:dyDescent="0.35">
      <c r="A834" s="1" t="s">
        <v>4381</v>
      </c>
      <c r="B834" s="1" t="str">
        <f t="shared" si="16"/>
        <v>Huawei</v>
      </c>
      <c r="C834" s="1" t="s">
        <v>4751</v>
      </c>
      <c r="D834" s="1" t="str">
        <f t="shared" si="1"/>
        <v>MateBook D15</v>
      </c>
      <c r="E834" s="1" t="str">
        <f t="array" aca="1" ref="E834" ca="1">IFERROR(
INDEX(Family_Map!$B$2:$B$35,
_xludf.AGGREGATE(14,6,(ROW(Family_Map!$A$2:$A$35)-ROW(Family_Map!$A$2)+1)/(ISNUMBER(SEARCH(Family_Map!$A$2:$A$35,D834))),1)
),
"Other")</f>
        <v>Other</v>
      </c>
      <c r="F834" s="1" t="s">
        <v>4708</v>
      </c>
      <c r="G834" s="1" t="e">
        <f t="shared" ca="1" si="2"/>
        <v>#NAME?</v>
      </c>
      <c r="H834" s="1" t="str">
        <f t="shared" ca="1" si="12"/>
        <v>Other</v>
      </c>
      <c r="J834" s="1" t="str">
        <f t="shared" si="3"/>
        <v/>
      </c>
      <c r="K834" s="1" t="s">
        <v>3485</v>
      </c>
      <c r="L834" s="1">
        <f t="shared" si="40"/>
        <v>8</v>
      </c>
      <c r="M834" s="1" t="s">
        <v>4752</v>
      </c>
      <c r="N834" s="1" t="str">
        <f t="shared" si="5"/>
        <v>256 GB</v>
      </c>
      <c r="O834" s="1" t="str">
        <f t="shared" si="6"/>
        <v>256 GB</v>
      </c>
      <c r="P834" s="1" t="s">
        <v>120</v>
      </c>
      <c r="Q834" s="1" t="str">
        <f t="shared" si="7"/>
        <v>1920x1080</v>
      </c>
      <c r="S834" s="1" t="str">
        <f t="shared" si="8"/>
        <v/>
      </c>
      <c r="T834" s="1" t="s">
        <v>555</v>
      </c>
      <c r="U834" s="1" t="str">
        <f t="shared" si="9"/>
        <v>Windows 11 Home</v>
      </c>
      <c r="V834" s="1" t="s">
        <v>4756</v>
      </c>
      <c r="W834" s="1" t="str">
        <f t="shared" si="10"/>
        <v>2.38 kg</v>
      </c>
      <c r="X834" s="1" t="s">
        <v>78</v>
      </c>
      <c r="Y834" s="1" t="str">
        <f t="shared" si="11"/>
        <v>1 Year</v>
      </c>
      <c r="Z834" s="4">
        <v>13499</v>
      </c>
      <c r="AA834" s="1" t="s">
        <v>1082</v>
      </c>
    </row>
    <row r="835" spans="1:27" ht="15.75" customHeight="1" x14ac:dyDescent="0.35">
      <c r="A835" s="1" t="s">
        <v>81</v>
      </c>
      <c r="B835" s="1" t="str">
        <f t="shared" si="16"/>
        <v>Dell</v>
      </c>
      <c r="C835" s="1" t="s">
        <v>4759</v>
      </c>
      <c r="D835" s="1" t="str">
        <f t="shared" si="1"/>
        <v>VOSTRO 5510</v>
      </c>
      <c r="E835" s="1" t="str">
        <f t="array" aca="1" ref="E835" ca="1">IFERROR(
INDEX(Family_Map!$B$2:$B$35,
_xludf.AGGREGATE(14,6,(ROW(Family_Map!$A$2:$A$35)-ROW(Family_Map!$A$2)+1)/(ISNUMBER(SEARCH(Family_Map!$A$2:$A$35,D835))),1)
),
"Other")</f>
        <v>Other</v>
      </c>
      <c r="F835" s="1" t="s">
        <v>4760</v>
      </c>
      <c r="G835" s="1" t="e">
        <f t="shared" ca="1" si="2"/>
        <v>#NAME?</v>
      </c>
      <c r="H835" s="1" t="str">
        <f t="shared" ca="1" si="12"/>
        <v>Other</v>
      </c>
      <c r="I835" s="1" t="s">
        <v>3670</v>
      </c>
      <c r="J835" s="1" t="str">
        <f t="shared" si="3"/>
        <v>2GB</v>
      </c>
      <c r="K835" s="1" t="s">
        <v>3943</v>
      </c>
      <c r="L835" s="1">
        <f t="shared" si="40"/>
        <v>8</v>
      </c>
      <c r="M835" s="1" t="s">
        <v>2521</v>
      </c>
      <c r="N835" s="1" t="str">
        <f t="shared" si="5"/>
        <v>512GB</v>
      </c>
      <c r="O835" s="1" t="str">
        <f t="shared" si="6"/>
        <v>512GB</v>
      </c>
      <c r="P835" s="1" t="s">
        <v>120</v>
      </c>
      <c r="Q835" s="1" t="str">
        <f t="shared" si="7"/>
        <v>1920x1080</v>
      </c>
      <c r="S835" s="1" t="str">
        <f t="shared" si="8"/>
        <v/>
      </c>
      <c r="T835" s="1" t="s">
        <v>101</v>
      </c>
      <c r="U835" s="1" t="str">
        <f t="shared" si="9"/>
        <v>DOS</v>
      </c>
      <c r="V835" s="1" t="s">
        <v>4764</v>
      </c>
      <c r="W835" s="1" t="str">
        <f t="shared" si="10"/>
        <v>1.63 kg</v>
      </c>
      <c r="X835" s="1" t="s">
        <v>78</v>
      </c>
      <c r="Y835" s="1" t="str">
        <f t="shared" si="11"/>
        <v>1 Year</v>
      </c>
      <c r="Z835" s="4">
        <v>15549</v>
      </c>
      <c r="AA835" s="1" t="s">
        <v>1082</v>
      </c>
    </row>
    <row r="836" spans="1:27" ht="15.75" customHeight="1" x14ac:dyDescent="0.35">
      <c r="A836" s="1" t="s">
        <v>3729</v>
      </c>
      <c r="B836" s="1" t="str">
        <f t="shared" si="16"/>
        <v>Microsoft</v>
      </c>
      <c r="C836" s="1" t="s">
        <v>4767</v>
      </c>
      <c r="D836" s="1" t="str">
        <f t="shared" si="1"/>
        <v>Surface Pro 8</v>
      </c>
      <c r="E836" s="1" t="str">
        <f t="array" aca="1" ref="E836" ca="1">IFERROR(
INDEX(Family_Map!$B$2:$B$35,
_xludf.AGGREGATE(14,6,(ROW(Family_Map!$A$2:$A$35)-ROW(Family_Map!$A$2)+1)/(ISNUMBER(SEARCH(Family_Map!$A$2:$A$35,D836))),1)
),
"Other")</f>
        <v>Other</v>
      </c>
      <c r="F836" s="1" t="s">
        <v>4768</v>
      </c>
      <c r="G836" s="1" t="e">
        <f t="shared" ca="1" si="2"/>
        <v>#NAME?</v>
      </c>
      <c r="H836" s="1" t="str">
        <f t="shared" ca="1" si="12"/>
        <v>Other</v>
      </c>
      <c r="J836" s="1" t="str">
        <f t="shared" si="3"/>
        <v/>
      </c>
      <c r="K836" s="1" t="s">
        <v>4769</v>
      </c>
      <c r="L836" s="1">
        <f t="shared" si="40"/>
        <v>16</v>
      </c>
      <c r="M836" s="1" t="s">
        <v>1120</v>
      </c>
      <c r="N836" s="1" t="str">
        <f t="shared" si="5"/>
        <v>512GB</v>
      </c>
      <c r="O836" s="1" t="str">
        <f t="shared" si="6"/>
        <v>512GB</v>
      </c>
      <c r="P836" s="1" t="s">
        <v>4771</v>
      </c>
      <c r="Q836" s="1" t="str">
        <f t="shared" si="7"/>
        <v>2880x1920</v>
      </c>
      <c r="R836" s="1" t="s">
        <v>39</v>
      </c>
      <c r="S836" s="1" t="str">
        <f t="shared" si="8"/>
        <v>120Hz</v>
      </c>
      <c r="T836" s="1" t="s">
        <v>90</v>
      </c>
      <c r="U836" s="1" t="str">
        <f t="shared" si="9"/>
        <v>Windows 11 Home</v>
      </c>
      <c r="V836" s="1" t="s">
        <v>4773</v>
      </c>
      <c r="W836" s="1" t="str">
        <f t="shared" si="10"/>
        <v>0.89 kg</v>
      </c>
      <c r="X836" s="1" t="s">
        <v>78</v>
      </c>
      <c r="Y836" s="1" t="str">
        <f t="shared" si="11"/>
        <v>1 Year</v>
      </c>
      <c r="Z836" s="4">
        <v>76999</v>
      </c>
      <c r="AA836" s="1" t="s">
        <v>1082</v>
      </c>
    </row>
    <row r="837" spans="1:27" ht="15.75" customHeight="1" x14ac:dyDescent="0.35">
      <c r="A837" s="1" t="s">
        <v>3729</v>
      </c>
      <c r="B837" s="1" t="str">
        <f t="shared" si="16"/>
        <v>Microsoft</v>
      </c>
      <c r="C837" s="1" t="s">
        <v>4767</v>
      </c>
      <c r="D837" s="1" t="str">
        <f t="shared" si="1"/>
        <v>Surface Pro 8</v>
      </c>
      <c r="E837" s="1" t="str">
        <f t="array" aca="1" ref="E837" ca="1">IFERROR(
INDEX(Family_Map!$B$2:$B$35,
_xludf.AGGREGATE(14,6,(ROW(Family_Map!$A$2:$A$35)-ROW(Family_Map!$A$2)+1)/(ISNUMBER(SEARCH(Family_Map!$A$2:$A$35,D837))),1)
),
"Other")</f>
        <v>Other</v>
      </c>
      <c r="F837" s="1" t="s">
        <v>4768</v>
      </c>
      <c r="G837" s="1" t="e">
        <f t="shared" ca="1" si="2"/>
        <v>#NAME?</v>
      </c>
      <c r="H837" s="1" t="str">
        <f t="shared" ca="1" si="12"/>
        <v>Other</v>
      </c>
      <c r="J837" s="1" t="str">
        <f t="shared" si="3"/>
        <v/>
      </c>
      <c r="K837" s="1" t="s">
        <v>4769</v>
      </c>
      <c r="L837" s="1">
        <f t="shared" si="40"/>
        <v>16</v>
      </c>
      <c r="M837" s="1" t="s">
        <v>2388</v>
      </c>
      <c r="N837" s="1" t="str">
        <f t="shared" si="5"/>
        <v>256GB</v>
      </c>
      <c r="O837" s="1" t="str">
        <f t="shared" si="6"/>
        <v>256GB</v>
      </c>
      <c r="P837" s="1" t="s">
        <v>4771</v>
      </c>
      <c r="Q837" s="1" t="str">
        <f t="shared" si="7"/>
        <v>2880x1920</v>
      </c>
      <c r="R837" s="1" t="s">
        <v>39</v>
      </c>
      <c r="S837" s="1" t="str">
        <f t="shared" si="8"/>
        <v>120Hz</v>
      </c>
      <c r="T837" s="1" t="s">
        <v>90</v>
      </c>
      <c r="U837" s="1" t="str">
        <f t="shared" si="9"/>
        <v>Windows 11 Home</v>
      </c>
      <c r="V837" s="1" t="s">
        <v>4773</v>
      </c>
      <c r="W837" s="1" t="str">
        <f t="shared" si="10"/>
        <v>0.89 kg</v>
      </c>
      <c r="X837" s="1" t="s">
        <v>78</v>
      </c>
      <c r="Y837" s="1" t="str">
        <f t="shared" si="11"/>
        <v>1 Year</v>
      </c>
      <c r="Z837" s="4">
        <v>72999</v>
      </c>
      <c r="AA837" s="1" t="s">
        <v>1082</v>
      </c>
    </row>
    <row r="838" spans="1:27" ht="15.75" customHeight="1" x14ac:dyDescent="0.35">
      <c r="A838" s="1" t="s">
        <v>151</v>
      </c>
      <c r="B838" s="1" t="str">
        <f t="shared" si="16"/>
        <v>Lenovo</v>
      </c>
      <c r="C838" s="1" t="s">
        <v>4774</v>
      </c>
      <c r="D838" s="1" t="str">
        <f t="shared" si="1"/>
        <v>V15 ADA</v>
      </c>
      <c r="E838" s="1" t="str">
        <f t="array" aca="1" ref="E838" ca="1">IFERROR(
INDEX(Family_Map!$B$2:$B$35,
_xludf.AGGREGATE(14,6,(ROW(Family_Map!$A$2:$A$35)-ROW(Family_Map!$A$2)+1)/(ISNUMBER(SEARCH(Family_Map!$A$2:$A$35,D838))),1)
),
"Other")</f>
        <v>Other</v>
      </c>
      <c r="F838" s="1" t="s">
        <v>4688</v>
      </c>
      <c r="G838" s="1" t="e">
        <f t="shared" ca="1" si="2"/>
        <v>#NAME?</v>
      </c>
      <c r="H838" s="1" t="str">
        <f t="shared" ca="1" si="12"/>
        <v>Other</v>
      </c>
      <c r="J838" s="1" t="str">
        <f t="shared" si="3"/>
        <v/>
      </c>
      <c r="K838" s="1" t="s">
        <v>4690</v>
      </c>
      <c r="L838" s="1">
        <f t="shared" si="40"/>
        <v>4</v>
      </c>
      <c r="M838" s="1" t="s">
        <v>4101</v>
      </c>
      <c r="N838" s="1" t="str">
        <f t="shared" si="5"/>
        <v>1TB</v>
      </c>
      <c r="O838" s="1" t="str">
        <f t="shared" si="6"/>
        <v>1024GB</v>
      </c>
      <c r="P838" s="1" t="s">
        <v>3653</v>
      </c>
      <c r="Q838" s="1" t="str">
        <f t="shared" si="7"/>
        <v>1366x768</v>
      </c>
      <c r="S838" s="1" t="str">
        <f t="shared" si="8"/>
        <v/>
      </c>
      <c r="T838" s="1" t="s">
        <v>2507</v>
      </c>
      <c r="U838" s="1" t="str">
        <f t="shared" si="9"/>
        <v>DOS</v>
      </c>
      <c r="V838" s="1" t="s">
        <v>976</v>
      </c>
      <c r="W838" s="1" t="str">
        <f t="shared" si="10"/>
        <v>1.85 kg</v>
      </c>
      <c r="X838" s="1" t="s">
        <v>78</v>
      </c>
      <c r="Y838" s="1" t="str">
        <f t="shared" si="11"/>
        <v>1 Year</v>
      </c>
      <c r="Z838" s="4">
        <v>7600</v>
      </c>
      <c r="AA838" s="1" t="s">
        <v>5735</v>
      </c>
    </row>
    <row r="839" spans="1:27" ht="15.75" customHeight="1" x14ac:dyDescent="0.35">
      <c r="A839" s="1" t="s">
        <v>4553</v>
      </c>
      <c r="B839" s="1" t="str">
        <f t="shared" si="16"/>
        <v>Infinix</v>
      </c>
      <c r="C839" s="1" t="s">
        <v>4778</v>
      </c>
      <c r="D839" s="1" t="str">
        <f t="shared" si="1"/>
        <v>InBook X1</v>
      </c>
      <c r="E839" s="1" t="str">
        <f t="array" aca="1" ref="E839" ca="1">IFERROR(
INDEX(Family_Map!$B$2:$B$35,
_xludf.AGGREGATE(14,6,(ROW(Family_Map!$A$2:$A$35)-ROW(Family_Map!$A$2)+1)/(ISNUMBER(SEARCH(Family_Map!$A$2:$A$35,D839))),1)
),
"Other")</f>
        <v>Other</v>
      </c>
      <c r="F839" s="1" t="s">
        <v>4450</v>
      </c>
      <c r="G839" s="1" t="e">
        <f t="shared" ca="1" si="2"/>
        <v>#NAME?</v>
      </c>
      <c r="H839" s="1" t="str">
        <f t="shared" ca="1" si="12"/>
        <v>Other</v>
      </c>
      <c r="J839" s="1" t="str">
        <f t="shared" si="3"/>
        <v/>
      </c>
      <c r="K839" s="1" t="s">
        <v>2110</v>
      </c>
      <c r="L839" s="1">
        <f t="shared" si="40"/>
        <v>8</v>
      </c>
      <c r="M839" s="1" t="s">
        <v>4779</v>
      </c>
      <c r="N839" s="1" t="str">
        <f t="shared" si="5"/>
        <v>256GB</v>
      </c>
      <c r="O839" s="1" t="str">
        <f t="shared" si="6"/>
        <v>256GB</v>
      </c>
      <c r="P839" s="1" t="s">
        <v>120</v>
      </c>
      <c r="Q839" s="1" t="str">
        <f t="shared" si="7"/>
        <v>1920x1080</v>
      </c>
      <c r="S839" s="1" t="str">
        <f t="shared" si="8"/>
        <v/>
      </c>
      <c r="T839" s="1" t="s">
        <v>2892</v>
      </c>
      <c r="U839" s="1" t="str">
        <f t="shared" si="9"/>
        <v>Windows 10 Home</v>
      </c>
      <c r="V839" s="1" t="s">
        <v>4784</v>
      </c>
      <c r="W839" s="1" t="str">
        <f t="shared" si="10"/>
        <v>1.48 kg</v>
      </c>
      <c r="X839" s="1" t="s">
        <v>78</v>
      </c>
      <c r="Y839" s="1" t="str">
        <f t="shared" si="11"/>
        <v>1 Year</v>
      </c>
      <c r="Z839" s="4">
        <v>8499</v>
      </c>
      <c r="AA839" s="1" t="s">
        <v>2181</v>
      </c>
    </row>
    <row r="840" spans="1:27" ht="15.75" customHeight="1" x14ac:dyDescent="0.35">
      <c r="A840" s="1" t="s">
        <v>112</v>
      </c>
      <c r="B840" s="1" t="str">
        <f t="shared" si="16"/>
        <v>HP</v>
      </c>
      <c r="C840" s="1" t="s">
        <v>4785</v>
      </c>
      <c r="D840" s="1" t="str">
        <f t="shared" si="1"/>
        <v>15-dy2095wm</v>
      </c>
      <c r="E840" s="1" t="str">
        <f t="array" aca="1" ref="E840" ca="1">IFERROR(
INDEX(Family_Map!$B$2:$B$35,
_xludf.AGGREGATE(14,6,(ROW(Family_Map!$A$2:$A$35)-ROW(Family_Map!$A$2)+1)/(ISNUMBER(SEARCH(Family_Map!$A$2:$A$35,D840))),1)
),
"Other")</f>
        <v>Other</v>
      </c>
      <c r="F840" s="1" t="s">
        <v>4071</v>
      </c>
      <c r="G840" s="1" t="e">
        <f t="shared" ca="1" si="2"/>
        <v>#NAME?</v>
      </c>
      <c r="H840" s="1" t="str">
        <f t="shared" ca="1" si="12"/>
        <v>Other</v>
      </c>
      <c r="J840" s="1" t="str">
        <f t="shared" si="3"/>
        <v/>
      </c>
      <c r="K840" s="1" t="s">
        <v>4786</v>
      </c>
      <c r="L840" s="1">
        <f t="shared" si="40"/>
        <v>8</v>
      </c>
      <c r="M840" s="1" t="s">
        <v>3940</v>
      </c>
      <c r="N840" s="1" t="str">
        <f t="shared" si="5"/>
        <v>256 GB</v>
      </c>
      <c r="O840" s="1" t="str">
        <f t="shared" si="6"/>
        <v>256 GB</v>
      </c>
      <c r="P840" s="1" t="s">
        <v>120</v>
      </c>
      <c r="Q840" s="1" t="str">
        <f t="shared" si="7"/>
        <v>1920x1080</v>
      </c>
      <c r="S840" s="1" t="str">
        <f t="shared" si="8"/>
        <v/>
      </c>
      <c r="T840" s="1" t="s">
        <v>1722</v>
      </c>
      <c r="U840" s="1" t="str">
        <f t="shared" si="9"/>
        <v>Windows 10 Home</v>
      </c>
      <c r="V840" s="1" t="s">
        <v>4092</v>
      </c>
      <c r="W840" s="1" t="str">
        <f t="shared" si="10"/>
        <v>1.69 kg</v>
      </c>
      <c r="X840" s="1" t="s">
        <v>78</v>
      </c>
      <c r="Y840" s="1" t="str">
        <f t="shared" si="11"/>
        <v>1 Year</v>
      </c>
      <c r="Z840" s="4">
        <v>11749</v>
      </c>
      <c r="AA840" s="1" t="s">
        <v>1082</v>
      </c>
    </row>
    <row r="841" spans="1:27" ht="15.75" customHeight="1" x14ac:dyDescent="0.35">
      <c r="A841" s="1" t="s">
        <v>112</v>
      </c>
      <c r="B841" s="1" t="str">
        <f t="shared" si="16"/>
        <v>HP</v>
      </c>
      <c r="C841" s="1" t="s">
        <v>4789</v>
      </c>
      <c r="D841" s="1" t="str">
        <f t="shared" si="1"/>
        <v>Pavilion 15-Eg0101ne</v>
      </c>
      <c r="E841" s="1" t="str">
        <f t="array" aca="1" ref="E841" ca="1">IFERROR(
INDEX(Family_Map!$B$2:$B$35,
_xludf.AGGREGATE(14,6,(ROW(Family_Map!$A$2:$A$35)-ROW(Family_Map!$A$2)+1)/(ISNUMBER(SEARCH(Family_Map!$A$2:$A$35,D841))),1)
),
"Other")</f>
        <v>Other</v>
      </c>
      <c r="F841" s="1" t="s">
        <v>4071</v>
      </c>
      <c r="G841" s="1" t="e">
        <f t="shared" ca="1" si="2"/>
        <v>#NAME?</v>
      </c>
      <c r="H841" s="1" t="str">
        <f t="shared" ca="1" si="12"/>
        <v>Other</v>
      </c>
      <c r="I841" s="1" t="s">
        <v>4073</v>
      </c>
      <c r="J841" s="1" t="str">
        <f t="shared" si="3"/>
        <v>2GB</v>
      </c>
      <c r="K841" s="1" t="s">
        <v>4790</v>
      </c>
      <c r="L841" s="1">
        <f t="shared" si="40"/>
        <v>8</v>
      </c>
      <c r="M841" s="1" t="s">
        <v>2718</v>
      </c>
      <c r="N841" s="1" t="str">
        <f t="shared" si="5"/>
        <v>512 GB</v>
      </c>
      <c r="O841" s="1" t="str">
        <f t="shared" si="6"/>
        <v>512 GB</v>
      </c>
      <c r="P841" s="1" t="s">
        <v>3653</v>
      </c>
      <c r="Q841" s="1" t="str">
        <f t="shared" si="7"/>
        <v>1366x768</v>
      </c>
      <c r="S841" s="1" t="str">
        <f t="shared" si="8"/>
        <v/>
      </c>
      <c r="T841" s="1" t="s">
        <v>101</v>
      </c>
      <c r="U841" s="1" t="str">
        <f t="shared" si="9"/>
        <v>DOS</v>
      </c>
      <c r="V841" s="1" t="s">
        <v>3276</v>
      </c>
      <c r="W841" s="1" t="str">
        <f t="shared" si="10"/>
        <v>1.75 kg</v>
      </c>
      <c r="X841" s="1" t="s">
        <v>78</v>
      </c>
      <c r="Y841" s="1" t="str">
        <f t="shared" si="11"/>
        <v>1 Year</v>
      </c>
      <c r="Z841" s="4">
        <v>20999</v>
      </c>
      <c r="AA841" s="1" t="s">
        <v>1082</v>
      </c>
    </row>
    <row r="842" spans="1:27" ht="15.75" customHeight="1" x14ac:dyDescent="0.35">
      <c r="A842" s="1" t="s">
        <v>112</v>
      </c>
      <c r="B842" s="1" t="str">
        <f t="shared" si="16"/>
        <v>HP</v>
      </c>
      <c r="C842" s="1" t="s">
        <v>4793</v>
      </c>
      <c r="D842" s="1" t="str">
        <f t="shared" si="1"/>
        <v>15-DW3095NE</v>
      </c>
      <c r="E842" s="1" t="str">
        <f t="array" aca="1" ref="E842" ca="1">IFERROR(
INDEX(Family_Map!$B$2:$B$35,
_xludf.AGGREGATE(14,6,(ROW(Family_Map!$A$2:$A$35)-ROW(Family_Map!$A$2)+1)/(ISNUMBER(SEARCH(Family_Map!$A$2:$A$35,D842))),1)
),
"Other")</f>
        <v>Other</v>
      </c>
      <c r="F842" s="1" t="s">
        <v>4071</v>
      </c>
      <c r="G842" s="1" t="e">
        <f t="shared" ca="1" si="2"/>
        <v>#NAME?</v>
      </c>
      <c r="H842" s="1" t="str">
        <f t="shared" ca="1" si="12"/>
        <v>Other</v>
      </c>
      <c r="I842" s="1" t="s">
        <v>4073</v>
      </c>
      <c r="J842" s="1" t="str">
        <f t="shared" si="3"/>
        <v>2GB</v>
      </c>
      <c r="K842" s="1" t="s">
        <v>3939</v>
      </c>
      <c r="L842" s="1">
        <f t="shared" si="40"/>
        <v>4</v>
      </c>
      <c r="M842" s="1" t="s">
        <v>2718</v>
      </c>
      <c r="N842" s="1" t="str">
        <f t="shared" si="5"/>
        <v>512 GB</v>
      </c>
      <c r="O842" s="1" t="str">
        <f t="shared" si="6"/>
        <v>512 GB</v>
      </c>
      <c r="P842" s="1" t="s">
        <v>3653</v>
      </c>
      <c r="Q842" s="1" t="str">
        <f t="shared" si="7"/>
        <v>1366x768</v>
      </c>
      <c r="S842" s="1" t="str">
        <f t="shared" si="8"/>
        <v/>
      </c>
      <c r="T842" s="1" t="s">
        <v>101</v>
      </c>
      <c r="U842" s="1" t="str">
        <f t="shared" si="9"/>
        <v>DOS</v>
      </c>
      <c r="V842" s="1" t="s">
        <v>3276</v>
      </c>
      <c r="W842" s="1" t="str">
        <f t="shared" si="10"/>
        <v>1.75 kg</v>
      </c>
      <c r="X842" s="1" t="s">
        <v>78</v>
      </c>
      <c r="Y842" s="1" t="str">
        <f t="shared" si="11"/>
        <v>1 Year</v>
      </c>
      <c r="Z842" s="4">
        <v>15499</v>
      </c>
      <c r="AA842" s="1" t="s">
        <v>1082</v>
      </c>
    </row>
    <row r="843" spans="1:27" ht="15.75" customHeight="1" x14ac:dyDescent="0.35">
      <c r="B843" s="1" t="str">
        <f t="shared" si="16"/>
        <v/>
      </c>
      <c r="C843" s="1" t="s">
        <v>4796</v>
      </c>
      <c r="D843" s="1" t="str">
        <f t="shared" si="1"/>
        <v>ZenBook Duo14 UX482EG-HY007T</v>
      </c>
      <c r="E843" s="1" t="str">
        <f t="array" aca="1" ref="E843" ca="1">IFERROR(
INDEX(Family_Map!$B$2:$B$35,
_xludf.AGGREGATE(14,6,(ROW(Family_Map!$A$2:$A$35)-ROW(Family_Map!$A$2)+1)/(ISNUMBER(SEARCH(Family_Map!$A$2:$A$35,D843))),1)
),
"Other")</f>
        <v>Other</v>
      </c>
      <c r="F843" s="1" t="s">
        <v>3748</v>
      </c>
      <c r="G843" s="1" t="e">
        <f t="shared" ca="1" si="2"/>
        <v>#NAME?</v>
      </c>
      <c r="H843" s="1" t="str">
        <f t="shared" ca="1" si="12"/>
        <v>Other</v>
      </c>
      <c r="I843" s="1" t="s">
        <v>3670</v>
      </c>
      <c r="J843" s="1" t="str">
        <f t="shared" si="3"/>
        <v>2GB</v>
      </c>
      <c r="K843" s="1" t="s">
        <v>4797</v>
      </c>
      <c r="L843" s="1">
        <f t="shared" si="40"/>
        <v>16</v>
      </c>
      <c r="M843" s="1" t="s">
        <v>1936</v>
      </c>
      <c r="N843" s="1" t="str">
        <f t="shared" si="5"/>
        <v>1TB</v>
      </c>
      <c r="O843" s="1" t="str">
        <f t="shared" si="6"/>
        <v>1024GB</v>
      </c>
      <c r="P843" s="1" t="s">
        <v>120</v>
      </c>
      <c r="Q843" s="1" t="str">
        <f t="shared" si="7"/>
        <v>1920x1080</v>
      </c>
      <c r="S843" s="1" t="str">
        <f t="shared" si="8"/>
        <v/>
      </c>
      <c r="T843" s="1" t="s">
        <v>1722</v>
      </c>
      <c r="U843" s="1" t="str">
        <f t="shared" si="9"/>
        <v>Windows 10 Home</v>
      </c>
      <c r="V843" s="1" t="s">
        <v>3383</v>
      </c>
      <c r="W843" s="1" t="str">
        <f t="shared" si="10"/>
        <v>1.62 kg</v>
      </c>
      <c r="X843" s="1" t="s">
        <v>2139</v>
      </c>
      <c r="Y843" s="1" t="str">
        <f t="shared" si="11"/>
        <v>2 Years</v>
      </c>
      <c r="Z843" s="4">
        <v>39349</v>
      </c>
      <c r="AA843" s="1" t="s">
        <v>1082</v>
      </c>
    </row>
    <row r="844" spans="1:27" ht="15.75" customHeight="1" x14ac:dyDescent="0.35">
      <c r="B844" s="1" t="str">
        <f t="shared" si="16"/>
        <v/>
      </c>
      <c r="C844" s="1" t="s">
        <v>4801</v>
      </c>
      <c r="D844" s="1" t="str">
        <f t="shared" si="1"/>
        <v>Vivobook Flip 14</v>
      </c>
      <c r="E844" s="1" t="str">
        <f t="array" aca="1" ref="E844" ca="1">IFERROR(
INDEX(Family_Map!$B$2:$B$35,
_xludf.AGGREGATE(14,6,(ROW(Family_Map!$A$2:$A$35)-ROW(Family_Map!$A$2)+1)/(ISNUMBER(SEARCH(Family_Map!$A$2:$A$35,D844))),1)
),
"Other")</f>
        <v>Other</v>
      </c>
      <c r="F844" s="1" t="s">
        <v>4244</v>
      </c>
      <c r="G844" s="1" t="e">
        <f t="shared" ca="1" si="2"/>
        <v>#NAME?</v>
      </c>
      <c r="H844" s="1" t="str">
        <f t="shared" ca="1" si="12"/>
        <v>Other</v>
      </c>
      <c r="J844" s="1" t="str">
        <f t="shared" si="3"/>
        <v/>
      </c>
      <c r="K844" s="1" t="s">
        <v>4802</v>
      </c>
      <c r="L844" s="1">
        <f t="shared" si="40"/>
        <v>8</v>
      </c>
      <c r="M844" s="1" t="s">
        <v>1604</v>
      </c>
      <c r="N844" s="1" t="str">
        <f t="shared" si="5"/>
        <v>512GB</v>
      </c>
      <c r="O844" s="1" t="str">
        <f t="shared" si="6"/>
        <v>512GB</v>
      </c>
      <c r="P844" s="1" t="s">
        <v>120</v>
      </c>
      <c r="Q844" s="1" t="str">
        <f t="shared" si="7"/>
        <v>1920x1080</v>
      </c>
      <c r="S844" s="1" t="str">
        <f t="shared" si="8"/>
        <v/>
      </c>
      <c r="T844" s="1" t="s">
        <v>2892</v>
      </c>
      <c r="U844" s="1" t="str">
        <f t="shared" si="9"/>
        <v>Windows 10 Home</v>
      </c>
      <c r="V844" s="1" t="s">
        <v>4807</v>
      </c>
      <c r="W844" s="1" t="str">
        <f t="shared" si="10"/>
        <v>1.5 kg</v>
      </c>
      <c r="X844" s="1" t="s">
        <v>165</v>
      </c>
      <c r="Y844" s="1" t="str">
        <f t="shared" si="11"/>
        <v>2 Years</v>
      </c>
      <c r="Z844" s="4">
        <v>21999</v>
      </c>
      <c r="AA844" s="1" t="s">
        <v>5735</v>
      </c>
    </row>
    <row r="845" spans="1:27" ht="15.75" customHeight="1" x14ac:dyDescent="0.35">
      <c r="B845" s="1" t="str">
        <f t="shared" si="16"/>
        <v/>
      </c>
      <c r="C845" s="1" t="s">
        <v>4811</v>
      </c>
      <c r="D845" s="1" t="str">
        <f t="shared" si="1"/>
        <v>Asus ZenBook Flip 15 UM562IQ-EZ007T</v>
      </c>
      <c r="E845" s="1" t="str">
        <f t="array" aca="1" ref="E845" ca="1">IFERROR(
INDEX(Family_Map!$B$2:$B$35,
_xludf.AGGREGATE(14,6,(ROW(Family_Map!$A$2:$A$35)-ROW(Family_Map!$A$2)+1)/(ISNUMBER(SEARCH(Family_Map!$A$2:$A$35,D845))),1)
),
"Other")</f>
        <v>Other</v>
      </c>
      <c r="F845" s="1" t="s">
        <v>4812</v>
      </c>
      <c r="G845" s="1" t="e">
        <f t="shared" ca="1" si="2"/>
        <v>#NAME?</v>
      </c>
      <c r="H845" s="1" t="str">
        <f t="shared" ca="1" si="12"/>
        <v>Other</v>
      </c>
      <c r="I845" s="1" t="s">
        <v>4177</v>
      </c>
      <c r="J845" s="1" t="str">
        <f t="shared" si="3"/>
        <v>2GB</v>
      </c>
      <c r="K845" s="1" t="s">
        <v>4213</v>
      </c>
      <c r="L845" s="1">
        <f t="shared" si="40"/>
        <v>16</v>
      </c>
      <c r="M845" s="1" t="s">
        <v>1936</v>
      </c>
      <c r="N845" s="1" t="str">
        <f t="shared" si="5"/>
        <v>1TB</v>
      </c>
      <c r="O845" s="1" t="str">
        <f t="shared" si="6"/>
        <v>1024GB</v>
      </c>
      <c r="P845" s="1" t="s">
        <v>120</v>
      </c>
      <c r="Q845" s="1" t="str">
        <f t="shared" si="7"/>
        <v>1920x1080</v>
      </c>
      <c r="S845" s="1" t="str">
        <f t="shared" si="8"/>
        <v/>
      </c>
      <c r="T845" s="1" t="s">
        <v>4815</v>
      </c>
      <c r="U845" s="1" t="str">
        <f t="shared" si="9"/>
        <v>Windows 10 Home</v>
      </c>
      <c r="V845" s="1" t="s">
        <v>1923</v>
      </c>
      <c r="W845" s="1" t="str">
        <f t="shared" si="10"/>
        <v>1.9 kg</v>
      </c>
      <c r="X845" s="1" t="s">
        <v>165</v>
      </c>
      <c r="Y845" s="1" t="str">
        <f t="shared" si="11"/>
        <v>2 Years</v>
      </c>
      <c r="Z845" s="4">
        <v>55000</v>
      </c>
      <c r="AA845" s="1" t="s">
        <v>5735</v>
      </c>
    </row>
    <row r="846" spans="1:27" ht="15.75" customHeight="1" x14ac:dyDescent="0.35">
      <c r="A846" s="1" t="s">
        <v>4381</v>
      </c>
      <c r="B846" s="1" t="str">
        <f t="shared" si="16"/>
        <v>Huawei</v>
      </c>
      <c r="C846" s="1" t="s">
        <v>4751</v>
      </c>
      <c r="D846" s="1" t="str">
        <f t="shared" si="1"/>
        <v>MateBook D15</v>
      </c>
      <c r="E846" s="1" t="str">
        <f t="array" aca="1" ref="E846" ca="1">IFERROR(
INDEX(Family_Map!$B$2:$B$35,
_xludf.AGGREGATE(14,6,(ROW(Family_Map!$A$2:$A$35)-ROW(Family_Map!$A$2)+1)/(ISNUMBER(SEARCH(Family_Map!$A$2:$A$35,D846))),1)
),
"Other")</f>
        <v>Other</v>
      </c>
      <c r="F846" s="1" t="s">
        <v>3748</v>
      </c>
      <c r="G846" s="1" t="e">
        <f t="shared" ca="1" si="2"/>
        <v>#NAME?</v>
      </c>
      <c r="H846" s="1" t="str">
        <f t="shared" ca="1" si="12"/>
        <v>Other</v>
      </c>
      <c r="J846" s="1" t="str">
        <f t="shared" si="3"/>
        <v/>
      </c>
      <c r="K846" s="1" t="s">
        <v>965</v>
      </c>
      <c r="L846" s="1">
        <f t="shared" si="40"/>
        <v>16</v>
      </c>
      <c r="M846" s="1" t="s">
        <v>4821</v>
      </c>
      <c r="N846" s="1" t="str">
        <f t="shared" si="5"/>
        <v>512GB</v>
      </c>
      <c r="O846" s="1" t="str">
        <f t="shared" si="6"/>
        <v>512GB</v>
      </c>
      <c r="P846" s="1" t="s">
        <v>120</v>
      </c>
      <c r="Q846" s="1" t="str">
        <f t="shared" si="7"/>
        <v>1920x1080</v>
      </c>
      <c r="S846" s="1" t="str">
        <f t="shared" si="8"/>
        <v/>
      </c>
      <c r="T846" s="1" t="s">
        <v>2425</v>
      </c>
      <c r="U846" s="1" t="str">
        <f t="shared" si="9"/>
        <v>Windows 11 Home</v>
      </c>
      <c r="V846" s="1" t="s">
        <v>4827</v>
      </c>
      <c r="W846" s="1" t="str">
        <f t="shared" si="10"/>
        <v>1.56 kg</v>
      </c>
      <c r="X846" s="1" t="s">
        <v>78</v>
      </c>
      <c r="Y846" s="1" t="str">
        <f t="shared" si="11"/>
        <v>1 Year</v>
      </c>
      <c r="Z846" s="4">
        <v>23149</v>
      </c>
      <c r="AA846" s="1" t="s">
        <v>1082</v>
      </c>
    </row>
    <row r="847" spans="1:27" ht="15.75" customHeight="1" x14ac:dyDescent="0.35">
      <c r="A847" s="1" t="s">
        <v>151</v>
      </c>
      <c r="B847" s="1" t="str">
        <f t="shared" si="16"/>
        <v>Lenovo</v>
      </c>
      <c r="C847" s="1" t="s">
        <v>4829</v>
      </c>
      <c r="D847" s="1" t="str">
        <f t="shared" si="1"/>
        <v>V14 G1 IML</v>
      </c>
      <c r="E847" s="1" t="str">
        <f t="array" aca="1" ref="E847" ca="1">IFERROR(
INDEX(Family_Map!$B$2:$B$35,
_xludf.AGGREGATE(14,6,(ROW(Family_Map!$A$2:$A$35)-ROW(Family_Map!$A$2)+1)/(ISNUMBER(SEARCH(Family_Map!$A$2:$A$35,D847))),1)
),
"Other")</f>
        <v>Other</v>
      </c>
      <c r="F847" s="1" t="s">
        <v>4099</v>
      </c>
      <c r="G847" s="1" t="e">
        <f t="shared" ca="1" si="2"/>
        <v>#NAME?</v>
      </c>
      <c r="H847" s="1" t="str">
        <f t="shared" ca="1" si="12"/>
        <v>Other</v>
      </c>
      <c r="J847" s="1" t="str">
        <f t="shared" si="3"/>
        <v/>
      </c>
      <c r="K847" s="1" t="s">
        <v>4830</v>
      </c>
      <c r="L847" s="1">
        <f t="shared" si="40"/>
        <v>4</v>
      </c>
      <c r="M847" s="1" t="s">
        <v>4101</v>
      </c>
      <c r="N847" s="1" t="str">
        <f t="shared" si="5"/>
        <v>1TB</v>
      </c>
      <c r="O847" s="1" t="str">
        <f t="shared" si="6"/>
        <v>1024GB</v>
      </c>
      <c r="P847" s="1" t="s">
        <v>120</v>
      </c>
      <c r="Q847" s="1" t="str">
        <f t="shared" si="7"/>
        <v>1920x1080</v>
      </c>
      <c r="S847" s="1" t="str">
        <f t="shared" si="8"/>
        <v/>
      </c>
      <c r="T847" s="1" t="s">
        <v>121</v>
      </c>
      <c r="U847" s="1" t="str">
        <f t="shared" si="9"/>
        <v>DOS</v>
      </c>
      <c r="V847" s="1" t="s">
        <v>4581</v>
      </c>
      <c r="W847" s="1" t="str">
        <f t="shared" si="10"/>
        <v>1.6 kg</v>
      </c>
      <c r="X847" s="1" t="s">
        <v>78</v>
      </c>
      <c r="Y847" s="1" t="str">
        <f t="shared" si="11"/>
        <v>1 Year</v>
      </c>
      <c r="Z847" s="4">
        <v>14499</v>
      </c>
      <c r="AA847" s="1" t="s">
        <v>2181</v>
      </c>
    </row>
    <row r="848" spans="1:27" ht="15.75" customHeight="1" x14ac:dyDescent="0.35">
      <c r="A848" s="1" t="s">
        <v>30</v>
      </c>
      <c r="B848" s="1" t="str">
        <f t="shared" si="16"/>
        <v>MSI</v>
      </c>
      <c r="C848" s="1" t="s">
        <v>4834</v>
      </c>
      <c r="D848" s="1" t="str">
        <f t="shared" si="1"/>
        <v>B11M-802EG</v>
      </c>
      <c r="E848" s="1" t="str">
        <f t="array" aca="1" ref="E848" ca="1">IFERROR(
INDEX(Family_Map!$B$2:$B$35,
_xludf.AGGREGATE(14,6,(ROW(Family_Map!$A$2:$A$35)-ROW(Family_Map!$A$2)+1)/(ISNUMBER(SEARCH(Family_Map!$A$2:$A$35,D848))),1)
),
"Other")</f>
        <v>Other</v>
      </c>
      <c r="F848" s="1" t="s">
        <v>4234</v>
      </c>
      <c r="G848" s="1" t="e">
        <f t="shared" ca="1" si="2"/>
        <v>#NAME?</v>
      </c>
      <c r="H848" s="1" t="str">
        <f t="shared" ca="1" si="12"/>
        <v>Other</v>
      </c>
      <c r="J848" s="1" t="str">
        <f t="shared" si="3"/>
        <v/>
      </c>
      <c r="K848" s="1" t="s">
        <v>2110</v>
      </c>
      <c r="L848" s="1">
        <f t="shared" si="40"/>
        <v>8</v>
      </c>
      <c r="M848" s="1" t="s">
        <v>72</v>
      </c>
      <c r="N848" s="1" t="str">
        <f t="shared" si="5"/>
        <v>512 GB</v>
      </c>
      <c r="O848" s="1" t="str">
        <f t="shared" si="6"/>
        <v>512 GB</v>
      </c>
      <c r="P848" s="1" t="s">
        <v>120</v>
      </c>
      <c r="Q848" s="1" t="str">
        <f t="shared" si="7"/>
        <v>1920x1080</v>
      </c>
      <c r="S848" s="1" t="str">
        <f t="shared" si="8"/>
        <v/>
      </c>
      <c r="T848" s="1" t="s">
        <v>90</v>
      </c>
      <c r="U848" s="1" t="str">
        <f t="shared" si="9"/>
        <v>Windows 11 Home</v>
      </c>
      <c r="V848" s="1" t="s">
        <v>4249</v>
      </c>
      <c r="W848" s="1" t="str">
        <f t="shared" si="10"/>
        <v>1.3 kg</v>
      </c>
      <c r="X848" s="1" t="s">
        <v>78</v>
      </c>
      <c r="Y848" s="1" t="str">
        <f t="shared" si="11"/>
        <v>1 Year</v>
      </c>
      <c r="Z848" s="4">
        <v>23799</v>
      </c>
      <c r="AA848" s="1" t="s">
        <v>1082</v>
      </c>
    </row>
    <row r="849" spans="1:27" ht="15.75" customHeight="1" x14ac:dyDescent="0.35">
      <c r="A849" s="1" t="s">
        <v>30</v>
      </c>
      <c r="B849" s="1" t="str">
        <f t="shared" si="16"/>
        <v>MSI</v>
      </c>
      <c r="C849" s="1" t="s">
        <v>4840</v>
      </c>
      <c r="D849" s="1" t="str">
        <f t="shared" si="1"/>
        <v>B5M-207EXG</v>
      </c>
      <c r="E849" s="1" t="str">
        <f t="array" aca="1" ref="E849" ca="1">IFERROR(
INDEX(Family_Map!$B$2:$B$35,
_xludf.AGGREGATE(14,6,(ROW(Family_Map!$A$2:$A$35)-ROW(Family_Map!$A$2)+1)/(ISNUMBER(SEARCH(Family_Map!$A$2:$A$35,D849))),1)
),
"Other")</f>
        <v>Other</v>
      </c>
      <c r="F849" s="1" t="s">
        <v>4565</v>
      </c>
      <c r="G849" s="1" t="e">
        <f t="shared" ca="1" si="2"/>
        <v>#NAME?</v>
      </c>
      <c r="H849" s="1" t="str">
        <f t="shared" ca="1" si="12"/>
        <v>Other</v>
      </c>
      <c r="J849" s="1" t="str">
        <f t="shared" si="3"/>
        <v/>
      </c>
      <c r="K849" s="1" t="s">
        <v>1134</v>
      </c>
      <c r="L849" s="1">
        <f t="shared" si="40"/>
        <v>8</v>
      </c>
      <c r="M849" s="1" t="s">
        <v>72</v>
      </c>
      <c r="N849" s="1" t="str">
        <f t="shared" si="5"/>
        <v>512 GB</v>
      </c>
      <c r="O849" s="1" t="str">
        <f t="shared" si="6"/>
        <v>512 GB</v>
      </c>
      <c r="P849" s="1" t="s">
        <v>120</v>
      </c>
      <c r="Q849" s="1" t="str">
        <f t="shared" si="7"/>
        <v>1920x1080</v>
      </c>
      <c r="S849" s="1" t="str">
        <f t="shared" si="8"/>
        <v/>
      </c>
      <c r="U849" s="1" t="str">
        <f t="shared" si="9"/>
        <v>Unknown</v>
      </c>
      <c r="V849" s="1" t="s">
        <v>4249</v>
      </c>
      <c r="W849" s="1" t="str">
        <f t="shared" si="10"/>
        <v>1.3 kg</v>
      </c>
      <c r="X849" s="1" t="s">
        <v>129</v>
      </c>
      <c r="Y849" s="1" t="str">
        <f t="shared" si="11"/>
        <v>1 Year</v>
      </c>
      <c r="Z849" s="4">
        <v>21000</v>
      </c>
      <c r="AA849" s="1" t="s">
        <v>5735</v>
      </c>
    </row>
    <row r="850" spans="1:27" ht="15.75" customHeight="1" x14ac:dyDescent="0.35">
      <c r="A850" s="1" t="s">
        <v>151</v>
      </c>
      <c r="B850" s="1" t="str">
        <f t="shared" si="16"/>
        <v>Lenovo</v>
      </c>
      <c r="C850" s="1" t="s">
        <v>4844</v>
      </c>
      <c r="D850" s="1" t="str">
        <f t="shared" si="1"/>
        <v>IdeaPad L3 15ITL6</v>
      </c>
      <c r="E850" s="1" t="str">
        <f t="array" aca="1" ref="E850" ca="1">IFERROR(
INDEX(Family_Map!$B$2:$B$35,
_xludf.AGGREGATE(14,6,(ROW(Family_Map!$A$2:$A$35)-ROW(Family_Map!$A$2)+1)/(ISNUMBER(SEARCH(Family_Map!$A$2:$A$35,D850))),1)
),
"Other")</f>
        <v>Other</v>
      </c>
      <c r="F850" s="1" t="s">
        <v>4071</v>
      </c>
      <c r="G850" s="1" t="e">
        <f t="shared" ca="1" si="2"/>
        <v>#NAME?</v>
      </c>
      <c r="H850" s="1" t="str">
        <f t="shared" ca="1" si="12"/>
        <v>Other</v>
      </c>
      <c r="J850" s="1" t="str">
        <f t="shared" si="3"/>
        <v/>
      </c>
      <c r="K850" s="1" t="s">
        <v>4845</v>
      </c>
      <c r="L850" s="1">
        <f t="shared" si="40"/>
        <v>8</v>
      </c>
      <c r="M850" s="1" t="s">
        <v>4101</v>
      </c>
      <c r="N850" s="1" t="str">
        <f t="shared" si="5"/>
        <v>1TB</v>
      </c>
      <c r="O850" s="1" t="str">
        <f t="shared" si="6"/>
        <v>1024GB</v>
      </c>
      <c r="P850" s="1" t="s">
        <v>120</v>
      </c>
      <c r="Q850" s="1" t="str">
        <f t="shared" si="7"/>
        <v>1920x1080</v>
      </c>
      <c r="S850" s="1" t="str">
        <f t="shared" si="8"/>
        <v/>
      </c>
      <c r="T850" s="1" t="s">
        <v>2725</v>
      </c>
      <c r="U850" s="1" t="str">
        <f t="shared" si="9"/>
        <v>Windows 11 Home</v>
      </c>
      <c r="V850" s="1" t="s">
        <v>2878</v>
      </c>
      <c r="W850" s="1" t="str">
        <f t="shared" si="10"/>
        <v>2.2 kg</v>
      </c>
      <c r="X850" s="1" t="s">
        <v>78</v>
      </c>
      <c r="Y850" s="1" t="str">
        <f t="shared" si="11"/>
        <v>1 Year</v>
      </c>
      <c r="Z850" s="4">
        <v>12099</v>
      </c>
      <c r="AA850" s="1" t="s">
        <v>1082</v>
      </c>
    </row>
    <row r="851" spans="1:27" ht="15.75" customHeight="1" x14ac:dyDescent="0.35">
      <c r="A851" s="1" t="s">
        <v>112</v>
      </c>
      <c r="B851" s="1" t="str">
        <f t="shared" si="16"/>
        <v>HP</v>
      </c>
      <c r="C851" s="1" t="s">
        <v>4850</v>
      </c>
      <c r="D851" s="1" t="str">
        <f t="shared" si="1"/>
        <v>Pavilion x360 Convertible 14-DY0017NE</v>
      </c>
      <c r="E851" s="1" t="str">
        <f t="array" aca="1" ref="E851" ca="1">IFERROR(
INDEX(Family_Map!$B$2:$B$35,
_xludf.AGGREGATE(14,6,(ROW(Family_Map!$A$2:$A$35)-ROW(Family_Map!$A$2)+1)/(ISNUMBER(SEARCH(Family_Map!$A$2:$A$35,D851))),1)
),
"Other")</f>
        <v>Other</v>
      </c>
      <c r="F851" s="1" t="s">
        <v>4851</v>
      </c>
      <c r="G851" s="1" t="e">
        <f t="shared" ca="1" si="2"/>
        <v>#NAME?</v>
      </c>
      <c r="H851" s="1" t="str">
        <f t="shared" ca="1" si="12"/>
        <v>Other</v>
      </c>
      <c r="J851" s="1" t="str">
        <f t="shared" si="3"/>
        <v/>
      </c>
      <c r="K851" s="1" t="s">
        <v>3939</v>
      </c>
      <c r="L851" s="1">
        <f t="shared" si="40"/>
        <v>4</v>
      </c>
      <c r="M851" s="1" t="s">
        <v>3940</v>
      </c>
      <c r="N851" s="1" t="str">
        <f t="shared" si="5"/>
        <v>256 GB</v>
      </c>
      <c r="O851" s="1" t="str">
        <f t="shared" si="6"/>
        <v>256 GB</v>
      </c>
      <c r="P851" s="1" t="s">
        <v>120</v>
      </c>
      <c r="Q851" s="1" t="str">
        <f t="shared" si="7"/>
        <v>1920x1080</v>
      </c>
      <c r="S851" s="1" t="str">
        <f t="shared" si="8"/>
        <v/>
      </c>
      <c r="T851" s="1" t="s">
        <v>555</v>
      </c>
      <c r="U851" s="1" t="str">
        <f t="shared" si="9"/>
        <v>Windows 11 Home</v>
      </c>
      <c r="V851" s="1" t="s">
        <v>3928</v>
      </c>
      <c r="W851" s="1" t="str">
        <f t="shared" si="10"/>
        <v>1.56 kg</v>
      </c>
      <c r="X851" s="1" t="s">
        <v>78</v>
      </c>
      <c r="Y851" s="1" t="str">
        <f t="shared" si="11"/>
        <v>1 Year</v>
      </c>
      <c r="Z851" s="4">
        <v>17499</v>
      </c>
      <c r="AA851" s="1" t="s">
        <v>1082</v>
      </c>
    </row>
    <row r="852" spans="1:27" ht="15.75" customHeight="1" x14ac:dyDescent="0.35">
      <c r="A852" s="1" t="s">
        <v>81</v>
      </c>
      <c r="B852" s="1" t="str">
        <f t="shared" si="16"/>
        <v>Dell</v>
      </c>
      <c r="C852" s="1" t="s">
        <v>3491</v>
      </c>
      <c r="D852" s="1" t="str">
        <f t="shared" si="1"/>
        <v>Vostro 3515</v>
      </c>
      <c r="E852" s="1" t="str">
        <f t="array" aca="1" ref="E852" ca="1">IFERROR(
INDEX(Family_Map!$B$2:$B$35,
_xludf.AGGREGATE(14,6,(ROW(Family_Map!$A$2:$A$35)-ROW(Family_Map!$A$2)+1)/(ISNUMBER(SEARCH(Family_Map!$A$2:$A$35,D852))),1)
),
"Other")</f>
        <v>Other</v>
      </c>
      <c r="F852" s="1" t="s">
        <v>4856</v>
      </c>
      <c r="G852" s="1" t="e">
        <f t="shared" ca="1" si="2"/>
        <v>#NAME?</v>
      </c>
      <c r="H852" s="1" t="str">
        <f t="shared" ca="1" si="12"/>
        <v>Other</v>
      </c>
      <c r="J852" s="1" t="str">
        <f t="shared" si="3"/>
        <v/>
      </c>
      <c r="K852" s="1" t="s">
        <v>4857</v>
      </c>
      <c r="L852" s="1">
        <f t="shared" si="40"/>
        <v>16</v>
      </c>
      <c r="M852" s="1" t="s">
        <v>2521</v>
      </c>
      <c r="N852" s="1" t="str">
        <f t="shared" si="5"/>
        <v>512GB</v>
      </c>
      <c r="O852" s="1" t="str">
        <f t="shared" si="6"/>
        <v>512GB</v>
      </c>
      <c r="P852" s="1" t="s">
        <v>120</v>
      </c>
      <c r="Q852" s="1" t="str">
        <f t="shared" si="7"/>
        <v>1920x1080</v>
      </c>
      <c r="S852" s="1" t="str">
        <f t="shared" si="8"/>
        <v/>
      </c>
      <c r="T852" s="1" t="s">
        <v>101</v>
      </c>
      <c r="U852" s="1" t="str">
        <f t="shared" si="9"/>
        <v>DOS</v>
      </c>
      <c r="V852" s="1" t="s">
        <v>3500</v>
      </c>
      <c r="W852" s="1" t="str">
        <f t="shared" si="10"/>
        <v>1.7 kg</v>
      </c>
      <c r="X852" s="1" t="s">
        <v>78</v>
      </c>
      <c r="Y852" s="1" t="str">
        <f t="shared" si="11"/>
        <v>1 Year</v>
      </c>
      <c r="Z852" s="4">
        <v>12649</v>
      </c>
      <c r="AA852" s="1" t="s">
        <v>5735</v>
      </c>
    </row>
    <row r="853" spans="1:27" ht="15.75" customHeight="1" x14ac:dyDescent="0.35">
      <c r="A853" s="1" t="s">
        <v>151</v>
      </c>
      <c r="B853" s="1" t="str">
        <f t="shared" si="16"/>
        <v>Lenovo</v>
      </c>
      <c r="C853" s="1" t="s">
        <v>4308</v>
      </c>
      <c r="D853" s="1" t="str">
        <f t="shared" si="1"/>
        <v>IdeaPad 3 15ITL6</v>
      </c>
      <c r="E853" s="1" t="str">
        <f t="array" aca="1" ref="E853" ca="1">IFERROR(
INDEX(Family_Map!$B$2:$B$35,
_xludf.AGGREGATE(14,6,(ROW(Family_Map!$A$2:$A$35)-ROW(Family_Map!$A$2)+1)/(ISNUMBER(SEARCH(Family_Map!$A$2:$A$35,D853))),1)
),
"Other")</f>
        <v>Other</v>
      </c>
      <c r="F853" s="1" t="s">
        <v>4590</v>
      </c>
      <c r="G853" s="1" t="e">
        <f t="shared" ca="1" si="2"/>
        <v>#NAME?</v>
      </c>
      <c r="H853" s="1" t="str">
        <f t="shared" ca="1" si="12"/>
        <v>Other</v>
      </c>
      <c r="I853" s="1" t="s">
        <v>4073</v>
      </c>
      <c r="J853" s="1" t="str">
        <f t="shared" si="3"/>
        <v>2GB</v>
      </c>
      <c r="K853" s="1" t="s">
        <v>4109</v>
      </c>
      <c r="L853" s="1">
        <f t="shared" si="40"/>
        <v>8</v>
      </c>
      <c r="M853" s="1" t="s">
        <v>4101</v>
      </c>
      <c r="N853" s="1" t="str">
        <f t="shared" si="5"/>
        <v>1TB</v>
      </c>
      <c r="O853" s="1" t="str">
        <f t="shared" si="6"/>
        <v>1024GB</v>
      </c>
      <c r="P853" s="1" t="s">
        <v>120</v>
      </c>
      <c r="Q853" s="1" t="str">
        <f t="shared" si="7"/>
        <v>1920x1080</v>
      </c>
      <c r="S853" s="1" t="str">
        <f t="shared" si="8"/>
        <v/>
      </c>
      <c r="T853" s="1" t="s">
        <v>101</v>
      </c>
      <c r="U853" s="1" t="str">
        <f t="shared" si="9"/>
        <v>DOS</v>
      </c>
      <c r="V853" s="1" t="s">
        <v>1609</v>
      </c>
      <c r="W853" s="1" t="str">
        <f t="shared" si="10"/>
        <v>1.65 kg</v>
      </c>
      <c r="X853" s="1" t="s">
        <v>78</v>
      </c>
      <c r="Y853" s="1" t="str">
        <f t="shared" si="11"/>
        <v>1 Year</v>
      </c>
      <c r="Z853" s="4">
        <v>17999</v>
      </c>
      <c r="AA853" s="1" t="s">
        <v>1082</v>
      </c>
    </row>
    <row r="854" spans="1:27" ht="15.75" customHeight="1" x14ac:dyDescent="0.35">
      <c r="A854" s="1" t="s">
        <v>112</v>
      </c>
      <c r="B854" s="1" t="str">
        <f t="shared" si="16"/>
        <v>HP</v>
      </c>
      <c r="C854" s="1" t="s">
        <v>4860</v>
      </c>
      <c r="D854" s="1" t="str">
        <f t="shared" si="1"/>
        <v>Pavilion 15-EG0062NE</v>
      </c>
      <c r="E854" s="1" t="str">
        <f t="array" aca="1" ref="E854" ca="1">IFERROR(
INDEX(Family_Map!$B$2:$B$35,
_xludf.AGGREGATE(14,6,(ROW(Family_Map!$A$2:$A$35)-ROW(Family_Map!$A$2)+1)/(ISNUMBER(SEARCH(Family_Map!$A$2:$A$35,D854))),1)
),
"Other")</f>
        <v>Other</v>
      </c>
      <c r="F854" s="1" t="s">
        <v>4071</v>
      </c>
      <c r="G854" s="1" t="e">
        <f t="shared" ca="1" si="2"/>
        <v>#NAME?</v>
      </c>
      <c r="H854" s="1" t="str">
        <f t="shared" ca="1" si="12"/>
        <v>Other</v>
      </c>
      <c r="I854" s="1" t="s">
        <v>4177</v>
      </c>
      <c r="J854" s="1" t="str">
        <f t="shared" si="3"/>
        <v>2GB</v>
      </c>
      <c r="K854" s="1" t="s">
        <v>4861</v>
      </c>
      <c r="L854" s="1">
        <f t="shared" si="40"/>
        <v>8</v>
      </c>
      <c r="M854" s="1" t="s">
        <v>2718</v>
      </c>
      <c r="N854" s="1" t="str">
        <f t="shared" si="5"/>
        <v>512 GB</v>
      </c>
      <c r="O854" s="1" t="str">
        <f t="shared" si="6"/>
        <v>512 GB</v>
      </c>
      <c r="P854" s="1" t="s">
        <v>120</v>
      </c>
      <c r="Q854" s="1" t="str">
        <f t="shared" si="7"/>
        <v>1920x1080</v>
      </c>
      <c r="S854" s="1" t="str">
        <f t="shared" si="8"/>
        <v/>
      </c>
      <c r="T854" s="1" t="s">
        <v>1722</v>
      </c>
      <c r="U854" s="1" t="str">
        <f t="shared" si="9"/>
        <v>Windows 10 Home</v>
      </c>
      <c r="V854" s="1" t="s">
        <v>3276</v>
      </c>
      <c r="W854" s="1" t="str">
        <f t="shared" si="10"/>
        <v>1.75 kg</v>
      </c>
      <c r="X854" s="1" t="s">
        <v>78</v>
      </c>
      <c r="Y854" s="1" t="str">
        <f t="shared" si="11"/>
        <v>1 Year</v>
      </c>
      <c r="Z854" s="4">
        <v>20999</v>
      </c>
      <c r="AA854" s="1" t="s">
        <v>1082</v>
      </c>
    </row>
    <row r="855" spans="1:27" ht="15.75" customHeight="1" x14ac:dyDescent="0.35">
      <c r="A855" s="1" t="s">
        <v>112</v>
      </c>
      <c r="B855" s="1" t="str">
        <f t="shared" si="16"/>
        <v>HP</v>
      </c>
      <c r="C855" s="1" t="s">
        <v>4863</v>
      </c>
      <c r="D855" s="1" t="str">
        <f t="shared" si="1"/>
        <v>Pavilion 13-BB0011NE</v>
      </c>
      <c r="E855" s="1" t="str">
        <f t="array" aca="1" ref="E855" ca="1">IFERROR(
INDEX(Family_Map!$B$2:$B$35,
_xludf.AGGREGATE(14,6,(ROW(Family_Map!$A$2:$A$35)-ROW(Family_Map!$A$2)+1)/(ISNUMBER(SEARCH(Family_Map!$A$2:$A$35,D855))),1)
),
"Other")</f>
        <v>Other</v>
      </c>
      <c r="F855" s="1" t="s">
        <v>4071</v>
      </c>
      <c r="G855" s="1" t="e">
        <f t="shared" ca="1" si="2"/>
        <v>#NAME?</v>
      </c>
      <c r="H855" s="1" t="str">
        <f t="shared" ca="1" si="12"/>
        <v>Other</v>
      </c>
      <c r="J855" s="1" t="str">
        <f t="shared" si="3"/>
        <v/>
      </c>
      <c r="K855" s="1" t="s">
        <v>4141</v>
      </c>
      <c r="L855" s="1">
        <f t="shared" si="40"/>
        <v>8</v>
      </c>
      <c r="M855" s="1" t="s">
        <v>2718</v>
      </c>
      <c r="N855" s="1" t="str">
        <f t="shared" si="5"/>
        <v>512 GB</v>
      </c>
      <c r="O855" s="1" t="str">
        <f t="shared" si="6"/>
        <v>512 GB</v>
      </c>
      <c r="P855" s="1" t="s">
        <v>120</v>
      </c>
      <c r="Q855" s="1" t="str">
        <f t="shared" si="7"/>
        <v>1920x1080</v>
      </c>
      <c r="S855" s="1" t="str">
        <f t="shared" si="8"/>
        <v/>
      </c>
      <c r="T855" s="1" t="s">
        <v>1722</v>
      </c>
      <c r="U855" s="1" t="str">
        <f t="shared" si="9"/>
        <v>Windows 10 Home</v>
      </c>
      <c r="V855" s="1" t="s">
        <v>4562</v>
      </c>
      <c r="W855" s="1" t="str">
        <f t="shared" si="10"/>
        <v>1.24 kg</v>
      </c>
      <c r="X855" s="1" t="s">
        <v>78</v>
      </c>
      <c r="Y855" s="1" t="str">
        <f t="shared" si="11"/>
        <v>1 Year</v>
      </c>
      <c r="Z855" s="4">
        <v>17999</v>
      </c>
      <c r="AA855" s="1" t="s">
        <v>1082</v>
      </c>
    </row>
    <row r="856" spans="1:27" ht="15.75" customHeight="1" x14ac:dyDescent="0.35">
      <c r="A856" s="1" t="s">
        <v>112</v>
      </c>
      <c r="B856" s="1" t="str">
        <f t="shared" si="16"/>
        <v>HP</v>
      </c>
      <c r="C856" s="1" t="s">
        <v>4868</v>
      </c>
      <c r="D856" s="1" t="str">
        <f t="shared" si="1"/>
        <v>Pavilion 15-EG0053NE</v>
      </c>
      <c r="E856" s="1" t="str">
        <f t="array" aca="1" ref="E856" ca="1">IFERROR(
INDEX(Family_Map!$B$2:$B$35,
_xludf.AGGREGATE(14,6,(ROW(Family_Map!$A$2:$A$35)-ROW(Family_Map!$A$2)+1)/(ISNUMBER(SEARCH(Family_Map!$A$2:$A$35,D856))),1)
),
"Other")</f>
        <v>Other</v>
      </c>
      <c r="F856" s="1" t="s">
        <v>4071</v>
      </c>
      <c r="G856" s="1" t="e">
        <f t="shared" ca="1" si="2"/>
        <v>#NAME?</v>
      </c>
      <c r="H856" s="1" t="str">
        <f t="shared" ca="1" si="12"/>
        <v>Other</v>
      </c>
      <c r="I856" s="1" t="s">
        <v>4177</v>
      </c>
      <c r="J856" s="1" t="str">
        <f t="shared" si="3"/>
        <v>2GB</v>
      </c>
      <c r="K856" s="1" t="s">
        <v>4861</v>
      </c>
      <c r="L856" s="1">
        <f t="shared" si="40"/>
        <v>8</v>
      </c>
      <c r="M856" s="1" t="s">
        <v>4869</v>
      </c>
      <c r="N856" s="1" t="str">
        <f t="shared" si="5"/>
        <v>1TB</v>
      </c>
      <c r="O856" s="1" t="str">
        <f t="shared" si="6"/>
        <v>1024GB</v>
      </c>
      <c r="P856" s="1" t="s">
        <v>120</v>
      </c>
      <c r="Q856" s="1" t="str">
        <f t="shared" si="7"/>
        <v>1920x1080</v>
      </c>
      <c r="S856" s="1" t="str">
        <f t="shared" si="8"/>
        <v/>
      </c>
      <c r="T856" s="1" t="s">
        <v>1722</v>
      </c>
      <c r="U856" s="1" t="str">
        <f t="shared" si="9"/>
        <v>Windows 10 Home</v>
      </c>
      <c r="V856" s="1" t="s">
        <v>3276</v>
      </c>
      <c r="W856" s="1" t="str">
        <f t="shared" si="10"/>
        <v>1.75 kg</v>
      </c>
      <c r="X856" s="1" t="s">
        <v>78</v>
      </c>
      <c r="Y856" s="1" t="str">
        <f t="shared" si="11"/>
        <v>1 Year</v>
      </c>
      <c r="Z856" s="4">
        <v>17499</v>
      </c>
      <c r="AA856" s="1" t="s">
        <v>1082</v>
      </c>
    </row>
    <row r="857" spans="1:27" ht="15.75" customHeight="1" x14ac:dyDescent="0.35">
      <c r="A857" s="1" t="s">
        <v>112</v>
      </c>
      <c r="B857" s="1" t="str">
        <f t="shared" si="16"/>
        <v>HP</v>
      </c>
      <c r="C857" s="1" t="s">
        <v>4871</v>
      </c>
      <c r="D857" s="1" t="str">
        <f t="shared" si="1"/>
        <v>14-DY0142NE</v>
      </c>
      <c r="E857" s="1" t="str">
        <f t="array" aca="1" ref="E857" ca="1">IFERROR(
INDEX(Family_Map!$B$2:$B$35,
_xludf.AGGREGATE(14,6,(ROW(Family_Map!$A$2:$A$35)-ROW(Family_Map!$A$2)+1)/(ISNUMBER(SEARCH(Family_Map!$A$2:$A$35,D857))),1)
),
"Other")</f>
        <v>Other</v>
      </c>
      <c r="F857" s="1" t="s">
        <v>3748</v>
      </c>
      <c r="G857" s="1" t="e">
        <f t="shared" ca="1" si="2"/>
        <v>#NAME?</v>
      </c>
      <c r="H857" s="1" t="str">
        <f t="shared" ca="1" si="12"/>
        <v>Other</v>
      </c>
      <c r="J857" s="1" t="str">
        <f t="shared" si="3"/>
        <v/>
      </c>
      <c r="K857" s="1" t="s">
        <v>1429</v>
      </c>
      <c r="L857" s="1">
        <f t="shared" si="40"/>
        <v>8</v>
      </c>
      <c r="M857" s="1" t="s">
        <v>2488</v>
      </c>
      <c r="N857" s="1" t="str">
        <f t="shared" si="5"/>
        <v>512 GB</v>
      </c>
      <c r="O857" s="1" t="str">
        <f t="shared" si="6"/>
        <v>512 GB</v>
      </c>
      <c r="P857" s="1" t="s">
        <v>120</v>
      </c>
      <c r="Q857" s="1" t="str">
        <f t="shared" si="7"/>
        <v>1920x1080</v>
      </c>
      <c r="S857" s="1" t="str">
        <f t="shared" si="8"/>
        <v/>
      </c>
      <c r="T857" s="1" t="s">
        <v>121</v>
      </c>
      <c r="U857" s="1" t="str">
        <f t="shared" si="9"/>
        <v>DOS</v>
      </c>
      <c r="V857" s="1" t="s">
        <v>4873</v>
      </c>
      <c r="W857" s="1" t="str">
        <f t="shared" si="10"/>
        <v>1.52 kg</v>
      </c>
      <c r="X857" s="1" t="s">
        <v>78</v>
      </c>
      <c r="Y857" s="1" t="str">
        <f t="shared" si="11"/>
        <v>1 Year</v>
      </c>
      <c r="Z857" s="4">
        <v>20499</v>
      </c>
      <c r="AA857" s="1" t="s">
        <v>1082</v>
      </c>
    </row>
    <row r="858" spans="1:27" ht="15.75" customHeight="1" x14ac:dyDescent="0.35">
      <c r="A858" s="1" t="s">
        <v>112</v>
      </c>
      <c r="B858" s="1" t="str">
        <f t="shared" si="16"/>
        <v>HP</v>
      </c>
      <c r="C858" s="1" t="s">
        <v>4877</v>
      </c>
      <c r="D858" s="1" t="str">
        <f t="shared" si="1"/>
        <v>HP Envy X360</v>
      </c>
      <c r="E858" s="1" t="str">
        <f t="array" aca="1" ref="E858" ca="1">IFERROR(
INDEX(Family_Map!$B$2:$B$35,
_xludf.AGGREGATE(14,6,(ROW(Family_Map!$A$2:$A$35)-ROW(Family_Map!$A$2)+1)/(ISNUMBER(SEARCH(Family_Map!$A$2:$A$35,D858))),1)
),
"Other")</f>
        <v>Other</v>
      </c>
      <c r="F858" s="1" t="s">
        <v>4590</v>
      </c>
      <c r="G858" s="1" t="e">
        <f t="shared" ca="1" si="2"/>
        <v>#NAME?</v>
      </c>
      <c r="H858" s="1" t="str">
        <f t="shared" ca="1" si="12"/>
        <v>Other</v>
      </c>
      <c r="J858" s="1" t="str">
        <f t="shared" si="3"/>
        <v/>
      </c>
      <c r="K858" s="1" t="s">
        <v>4878</v>
      </c>
      <c r="L858" s="1">
        <f t="shared" si="40"/>
        <v>8</v>
      </c>
      <c r="M858" s="1" t="s">
        <v>3940</v>
      </c>
      <c r="N858" s="1" t="str">
        <f t="shared" si="5"/>
        <v>256 GB</v>
      </c>
      <c r="O858" s="1" t="str">
        <f t="shared" si="6"/>
        <v>256 GB</v>
      </c>
      <c r="P858" s="1" t="s">
        <v>74</v>
      </c>
      <c r="Q858" s="1" t="str">
        <f t="shared" si="7"/>
        <v>1920x1080</v>
      </c>
      <c r="S858" s="1" t="str">
        <f t="shared" si="8"/>
        <v/>
      </c>
      <c r="T858" s="1" t="s">
        <v>1722</v>
      </c>
      <c r="U858" s="1" t="str">
        <f t="shared" si="9"/>
        <v>Windows 10 Home</v>
      </c>
      <c r="V858" s="1" t="s">
        <v>4884</v>
      </c>
      <c r="W858" s="1" t="str">
        <f t="shared" si="10"/>
        <v>1.32 kg</v>
      </c>
      <c r="X858" s="1" t="s">
        <v>129</v>
      </c>
      <c r="Y858" s="1" t="str">
        <f t="shared" si="11"/>
        <v>1 Year</v>
      </c>
      <c r="Z858" s="4">
        <v>19999</v>
      </c>
      <c r="AA858" s="1" t="s">
        <v>1082</v>
      </c>
    </row>
    <row r="859" spans="1:27" ht="15.75" customHeight="1" x14ac:dyDescent="0.35">
      <c r="A859" s="1" t="s">
        <v>30</v>
      </c>
      <c r="B859" s="1" t="str">
        <f t="shared" si="16"/>
        <v>MSI</v>
      </c>
      <c r="C859" s="1" t="s">
        <v>4886</v>
      </c>
      <c r="D859" s="1" t="str">
        <f t="shared" si="1"/>
        <v>Msi Modern 14 B11MO</v>
      </c>
      <c r="E859" s="1" t="str">
        <f t="array" aca="1" ref="E859" ca="1">IFERROR(
INDEX(Family_Map!$B$2:$B$35,
_xludf.AGGREGATE(14,6,(ROW(Family_Map!$A$2:$A$35)-ROW(Family_Map!$A$2)+1)/(ISNUMBER(SEARCH(Family_Map!$A$2:$A$35,D859))),1)
),
"Other")</f>
        <v>Other</v>
      </c>
      <c r="F859" s="1" t="s">
        <v>3748</v>
      </c>
      <c r="G859" s="1" t="e">
        <f t="shared" ca="1" si="2"/>
        <v>#NAME?</v>
      </c>
      <c r="H859" s="1" t="str">
        <f t="shared" ca="1" si="12"/>
        <v>Other</v>
      </c>
      <c r="J859" s="1" t="str">
        <f t="shared" si="3"/>
        <v/>
      </c>
      <c r="K859" s="1" t="s">
        <v>2110</v>
      </c>
      <c r="L859" s="1">
        <f t="shared" si="40"/>
        <v>8</v>
      </c>
      <c r="M859" s="1" t="s">
        <v>1120</v>
      </c>
      <c r="N859" s="1" t="str">
        <f t="shared" si="5"/>
        <v>512GB</v>
      </c>
      <c r="O859" s="1" t="str">
        <f t="shared" si="6"/>
        <v>512GB</v>
      </c>
      <c r="P859" s="1" t="s">
        <v>120</v>
      </c>
      <c r="Q859" s="1" t="str">
        <f t="shared" si="7"/>
        <v>1920x1080</v>
      </c>
      <c r="S859" s="1" t="str">
        <f t="shared" si="8"/>
        <v/>
      </c>
      <c r="T859" s="1" t="s">
        <v>1722</v>
      </c>
      <c r="U859" s="1" t="str">
        <f t="shared" si="9"/>
        <v>Windows 10 Home</v>
      </c>
      <c r="V859" s="1" t="s">
        <v>4249</v>
      </c>
      <c r="W859" s="1" t="str">
        <f t="shared" si="10"/>
        <v>1.3 kg</v>
      </c>
      <c r="X859" s="1" t="s">
        <v>78</v>
      </c>
      <c r="Y859" s="1" t="str">
        <f t="shared" si="11"/>
        <v>1 Year</v>
      </c>
      <c r="Z859" s="4">
        <v>17499</v>
      </c>
      <c r="AA859" s="1" t="s">
        <v>1082</v>
      </c>
    </row>
    <row r="860" spans="1:27" ht="15.75" customHeight="1" x14ac:dyDescent="0.35">
      <c r="A860" s="1" t="s">
        <v>151</v>
      </c>
      <c r="B860" s="1" t="str">
        <f t="shared" si="16"/>
        <v>Lenovo</v>
      </c>
      <c r="C860" s="1" t="s">
        <v>4890</v>
      </c>
      <c r="D860" s="1" t="str">
        <f t="shared" si="1"/>
        <v>Yoga 7 15ITL5</v>
      </c>
      <c r="E860" s="1" t="str">
        <f t="array" aca="1" ref="E860" ca="1">IFERROR(
INDEX(Family_Map!$B$2:$B$35,
_xludf.AGGREGATE(14,6,(ROW(Family_Map!$A$2:$A$35)-ROW(Family_Map!$A$2)+1)/(ISNUMBER(SEARCH(Family_Map!$A$2:$A$35,D860))),1)
),
"Other")</f>
        <v>Other</v>
      </c>
      <c r="F860" s="1" t="s">
        <v>3668</v>
      </c>
      <c r="G860" s="1" t="e">
        <f t="shared" ca="1" si="2"/>
        <v>#NAME?</v>
      </c>
      <c r="H860" s="1" t="str">
        <f t="shared" ca="1" si="12"/>
        <v>Other</v>
      </c>
      <c r="J860" s="1" t="str">
        <f t="shared" si="3"/>
        <v/>
      </c>
      <c r="K860" s="1" t="s">
        <v>4891</v>
      </c>
      <c r="L860" s="1">
        <f t="shared" si="40"/>
        <v>12</v>
      </c>
      <c r="M860" s="1" t="s">
        <v>2016</v>
      </c>
      <c r="N860" s="1" t="str">
        <f t="shared" si="5"/>
        <v>512GB</v>
      </c>
      <c r="O860" s="1" t="str">
        <f t="shared" si="6"/>
        <v>512GB</v>
      </c>
      <c r="P860" s="1" t="s">
        <v>616</v>
      </c>
      <c r="Q860" s="1" t="str">
        <f t="shared" si="7"/>
        <v>1920x1080</v>
      </c>
      <c r="S860" s="1" t="str">
        <f t="shared" si="8"/>
        <v/>
      </c>
      <c r="T860" s="1" t="s">
        <v>90</v>
      </c>
      <c r="U860" s="1" t="str">
        <f t="shared" si="9"/>
        <v>Windows 11 Home</v>
      </c>
      <c r="V860" s="1" t="s">
        <v>230</v>
      </c>
      <c r="W860" s="1" t="str">
        <f t="shared" si="10"/>
        <v>1.9 kg</v>
      </c>
      <c r="X860" s="1" t="s">
        <v>129</v>
      </c>
      <c r="Y860" s="1" t="str">
        <f t="shared" si="11"/>
        <v>1 Year</v>
      </c>
      <c r="Z860" s="4">
        <v>39499</v>
      </c>
      <c r="AA860" s="1" t="s">
        <v>1082</v>
      </c>
    </row>
    <row r="861" spans="1:27" ht="15.75" customHeight="1" x14ac:dyDescent="0.35">
      <c r="B861" s="1" t="str">
        <f t="shared" si="16"/>
        <v/>
      </c>
      <c r="C861" s="1" t="s">
        <v>4898</v>
      </c>
      <c r="D861" s="1" t="str">
        <f t="shared" si="1"/>
        <v>K513EP-Oled005T</v>
      </c>
      <c r="E861" s="1" t="str">
        <f t="array" aca="1" ref="E861" ca="1">IFERROR(
INDEX(Family_Map!$B$2:$B$35,
_xludf.AGGREGATE(14,6,(ROW(Family_Map!$A$2:$A$35)-ROW(Family_Map!$A$2)+1)/(ISNUMBER(SEARCH(Family_Map!$A$2:$A$35,D861))),1)
),
"Other")</f>
        <v>Other</v>
      </c>
      <c r="F861" s="1" t="s">
        <v>3960</v>
      </c>
      <c r="G861" s="1" t="e">
        <f t="shared" ca="1" si="2"/>
        <v>#NAME?</v>
      </c>
      <c r="H861" s="1" t="str">
        <f t="shared" ca="1" si="12"/>
        <v>Other</v>
      </c>
      <c r="I861" s="1" t="s">
        <v>4900</v>
      </c>
      <c r="J861" s="1" t="str">
        <f t="shared" si="3"/>
        <v>2GB</v>
      </c>
      <c r="K861" s="1" t="s">
        <v>4901</v>
      </c>
      <c r="L861" s="1">
        <f t="shared" si="40"/>
        <v>8</v>
      </c>
      <c r="M861" s="1" t="s">
        <v>1604</v>
      </c>
      <c r="N861" s="1" t="str">
        <f t="shared" si="5"/>
        <v>512GB</v>
      </c>
      <c r="O861" s="1" t="str">
        <f t="shared" si="6"/>
        <v>512GB</v>
      </c>
      <c r="P861" s="1" t="s">
        <v>120</v>
      </c>
      <c r="Q861" s="1" t="str">
        <f t="shared" si="7"/>
        <v>1920x1080</v>
      </c>
      <c r="S861" s="1" t="str">
        <f t="shared" si="8"/>
        <v/>
      </c>
      <c r="T861" s="1" t="s">
        <v>1722</v>
      </c>
      <c r="U861" s="1" t="str">
        <f t="shared" si="9"/>
        <v>Windows 10 Home</v>
      </c>
      <c r="V861" s="1" t="s">
        <v>636</v>
      </c>
      <c r="W861" s="1" t="str">
        <f t="shared" si="10"/>
        <v>1.8 kg</v>
      </c>
      <c r="X861" s="1" t="s">
        <v>2139</v>
      </c>
      <c r="Y861" s="1" t="str">
        <f t="shared" si="11"/>
        <v>2 Years</v>
      </c>
      <c r="Z861" s="4">
        <v>17000</v>
      </c>
      <c r="AA861" s="1" t="s">
        <v>1082</v>
      </c>
    </row>
    <row r="862" spans="1:27" ht="15.75" customHeight="1" x14ac:dyDescent="0.35">
      <c r="B862" s="1" t="str">
        <f t="shared" si="16"/>
        <v/>
      </c>
      <c r="C862" s="1" t="s">
        <v>4906</v>
      </c>
      <c r="D862" s="1" t="str">
        <f t="shared" si="1"/>
        <v>UX371EA-OLED007T</v>
      </c>
      <c r="E862" s="1" t="str">
        <f t="array" aca="1" ref="E862" ca="1">IFERROR(
INDEX(Family_Map!$B$2:$B$35,
_xludf.AGGREGATE(14,6,(ROW(Family_Map!$A$2:$A$35)-ROW(Family_Map!$A$2)+1)/(ISNUMBER(SEARCH(Family_Map!$A$2:$A$35,D862))),1)
),
"Other")</f>
        <v>Other</v>
      </c>
      <c r="F862" s="1" t="s">
        <v>3748</v>
      </c>
      <c r="G862" s="1" t="e">
        <f t="shared" ca="1" si="2"/>
        <v>#NAME?</v>
      </c>
      <c r="H862" s="1" t="str">
        <f t="shared" ca="1" si="12"/>
        <v>Other</v>
      </c>
      <c r="J862" s="1" t="str">
        <f t="shared" si="3"/>
        <v/>
      </c>
      <c r="K862" s="1" t="s">
        <v>4907</v>
      </c>
      <c r="L862" s="1">
        <f t="shared" si="40"/>
        <v>16</v>
      </c>
      <c r="M862" s="1" t="s">
        <v>4908</v>
      </c>
      <c r="N862" s="1" t="str">
        <f t="shared" si="5"/>
        <v>1TB</v>
      </c>
      <c r="O862" s="1" t="str">
        <f t="shared" si="6"/>
        <v>1024GB</v>
      </c>
      <c r="P862" s="1" t="s">
        <v>1890</v>
      </c>
      <c r="Q862" s="1" t="str">
        <f t="shared" si="7"/>
        <v>3840x2160</v>
      </c>
      <c r="S862" s="1" t="str">
        <f t="shared" si="8"/>
        <v/>
      </c>
      <c r="T862" s="1" t="s">
        <v>4815</v>
      </c>
      <c r="U862" s="1" t="str">
        <f t="shared" si="9"/>
        <v>Windows 10 Home</v>
      </c>
      <c r="V862" s="1" t="s">
        <v>4912</v>
      </c>
      <c r="W862" s="1" t="str">
        <f t="shared" si="10"/>
        <v>1.2 kg</v>
      </c>
      <c r="X862" s="1" t="s">
        <v>165</v>
      </c>
      <c r="Y862" s="1" t="str">
        <f t="shared" si="11"/>
        <v>2 Years</v>
      </c>
      <c r="Z862" s="4">
        <v>38150</v>
      </c>
      <c r="AA862" s="1" t="s">
        <v>1082</v>
      </c>
    </row>
    <row r="863" spans="1:27" ht="15.75" customHeight="1" x14ac:dyDescent="0.35">
      <c r="A863" s="1" t="s">
        <v>81</v>
      </c>
      <c r="B863" s="1" t="str">
        <f t="shared" si="16"/>
        <v>Dell</v>
      </c>
      <c r="C863" s="1" t="s">
        <v>4915</v>
      </c>
      <c r="D863" s="1" t="str">
        <f t="shared" si="1"/>
        <v>Vostro 3500</v>
      </c>
      <c r="E863" s="1" t="str">
        <f t="array" aca="1" ref="E863" ca="1">IFERROR(
INDEX(Family_Map!$B$2:$B$35,
_xludf.AGGREGATE(14,6,(ROW(Family_Map!$A$2:$A$35)-ROW(Family_Map!$A$2)+1)/(ISNUMBER(SEARCH(Family_Map!$A$2:$A$35,D863))),1)
),
"Other")</f>
        <v>Other</v>
      </c>
      <c r="F863" s="1" t="s">
        <v>4590</v>
      </c>
      <c r="G863" s="1" t="e">
        <f t="shared" ca="1" si="2"/>
        <v>#NAME?</v>
      </c>
      <c r="H863" s="1" t="str">
        <f t="shared" ca="1" si="12"/>
        <v>Other</v>
      </c>
      <c r="I863" s="1" t="s">
        <v>4900</v>
      </c>
      <c r="J863" s="1" t="str">
        <f t="shared" si="3"/>
        <v>2GB</v>
      </c>
      <c r="K863" s="1" t="s">
        <v>2110</v>
      </c>
      <c r="L863" s="1">
        <f t="shared" si="40"/>
        <v>8</v>
      </c>
      <c r="M863" s="1" t="s">
        <v>3898</v>
      </c>
      <c r="N863" s="1" t="str">
        <f t="shared" si="5"/>
        <v>1TB</v>
      </c>
      <c r="O863" s="1" t="str">
        <f t="shared" si="6"/>
        <v>1024GB</v>
      </c>
      <c r="P863" s="1" t="s">
        <v>3653</v>
      </c>
      <c r="Q863" s="1" t="str">
        <f t="shared" si="7"/>
        <v>1366x768</v>
      </c>
      <c r="S863" s="1" t="str">
        <f t="shared" si="8"/>
        <v/>
      </c>
      <c r="T863" s="1" t="s">
        <v>101</v>
      </c>
      <c r="U863" s="1" t="str">
        <f t="shared" si="9"/>
        <v>DOS</v>
      </c>
      <c r="V863" s="1" t="s">
        <v>3367</v>
      </c>
      <c r="W863" s="1" t="str">
        <f t="shared" si="10"/>
        <v>1.78 kg</v>
      </c>
      <c r="X863" s="1" t="s">
        <v>78</v>
      </c>
      <c r="Y863" s="1" t="str">
        <f t="shared" si="11"/>
        <v>1 Year</v>
      </c>
      <c r="Z863" s="4">
        <v>18000</v>
      </c>
      <c r="AA863" s="1" t="s">
        <v>1082</v>
      </c>
    </row>
    <row r="864" spans="1:27" ht="15.75" customHeight="1" x14ac:dyDescent="0.35">
      <c r="A864" s="1" t="s">
        <v>81</v>
      </c>
      <c r="B864" s="1" t="str">
        <f t="shared" si="16"/>
        <v>Dell</v>
      </c>
      <c r="C864" s="1" t="s">
        <v>4524</v>
      </c>
      <c r="D864" s="1" t="str">
        <f t="shared" si="1"/>
        <v>VOSTRO 15 3510</v>
      </c>
      <c r="E864" s="1" t="str">
        <f t="array" aca="1" ref="E864" ca="1">IFERROR(
INDEX(Family_Map!$B$2:$B$35,
_xludf.AGGREGATE(14,6,(ROW(Family_Map!$A$2:$A$35)-ROW(Family_Map!$A$2)+1)/(ISNUMBER(SEARCH(Family_Map!$A$2:$A$35,D864))),1)
),
"Other")</f>
        <v>Other</v>
      </c>
      <c r="F864" s="1" t="s">
        <v>4922</v>
      </c>
      <c r="G864" s="1" t="e">
        <f t="shared" ca="1" si="2"/>
        <v>#NAME?</v>
      </c>
      <c r="H864" s="1" t="str">
        <f t="shared" ca="1" si="12"/>
        <v>Other</v>
      </c>
      <c r="I864" s="1" t="s">
        <v>4923</v>
      </c>
      <c r="J864" s="1" t="str">
        <f t="shared" si="3"/>
        <v>2 GB</v>
      </c>
      <c r="K864" s="1" t="s">
        <v>3943</v>
      </c>
      <c r="L864" s="1">
        <f t="shared" si="40"/>
        <v>8</v>
      </c>
      <c r="M864" s="1" t="s">
        <v>4924</v>
      </c>
      <c r="N864" s="1" t="str">
        <f t="shared" si="5"/>
        <v>512GB</v>
      </c>
      <c r="O864" s="1" t="str">
        <f t="shared" si="6"/>
        <v>512GB</v>
      </c>
      <c r="P864" s="1" t="s">
        <v>120</v>
      </c>
      <c r="Q864" s="1" t="str">
        <f t="shared" si="7"/>
        <v>1920x1080</v>
      </c>
      <c r="S864" s="1" t="str">
        <f t="shared" si="8"/>
        <v/>
      </c>
      <c r="T864" s="1" t="s">
        <v>121</v>
      </c>
      <c r="U864" s="1" t="str">
        <f t="shared" si="9"/>
        <v>DOS</v>
      </c>
      <c r="V864" s="1" t="s">
        <v>4328</v>
      </c>
      <c r="W864" s="1" t="str">
        <f t="shared" si="10"/>
        <v>1.69 kg</v>
      </c>
      <c r="X864" s="1" t="s">
        <v>78</v>
      </c>
      <c r="Y864" s="1" t="str">
        <f t="shared" si="11"/>
        <v>1 Year</v>
      </c>
      <c r="Z864" s="4">
        <v>26499</v>
      </c>
      <c r="AA864" s="1" t="s">
        <v>1082</v>
      </c>
    </row>
    <row r="865" spans="1:27" ht="15.75" customHeight="1" x14ac:dyDescent="0.35">
      <c r="A865" s="1" t="s">
        <v>81</v>
      </c>
      <c r="B865" s="1" t="str">
        <f t="shared" si="16"/>
        <v>Dell</v>
      </c>
      <c r="C865" s="1" t="s">
        <v>4524</v>
      </c>
      <c r="D865" s="1" t="str">
        <f t="shared" si="1"/>
        <v>VOSTRO 15 3510</v>
      </c>
      <c r="E865" s="1" t="str">
        <f t="array" aca="1" ref="E865" ca="1">IFERROR(
INDEX(Family_Map!$B$2:$B$35,
_xludf.AGGREGATE(14,6,(ROW(Family_Map!$A$2:$A$35)-ROW(Family_Map!$A$2)+1)/(ISNUMBER(SEARCH(Family_Map!$A$2:$A$35,D865))),1)
),
"Other")</f>
        <v>Other</v>
      </c>
      <c r="F865" s="1" t="s">
        <v>3748</v>
      </c>
      <c r="G865" s="1" t="e">
        <f t="shared" ca="1" si="2"/>
        <v>#NAME?</v>
      </c>
      <c r="H865" s="1" t="str">
        <f t="shared" ca="1" si="12"/>
        <v>Other</v>
      </c>
      <c r="I865" s="1" t="s">
        <v>4177</v>
      </c>
      <c r="J865" s="1" t="str">
        <f t="shared" si="3"/>
        <v>2GB</v>
      </c>
      <c r="K865" s="1" t="s">
        <v>4094</v>
      </c>
      <c r="L865" s="1">
        <f t="shared" si="40"/>
        <v>16</v>
      </c>
      <c r="M865" s="1" t="s">
        <v>4930</v>
      </c>
      <c r="N865" s="1" t="str">
        <f t="shared" si="5"/>
        <v>1TB</v>
      </c>
      <c r="O865" s="1" t="str">
        <f t="shared" si="6"/>
        <v>1024GB</v>
      </c>
      <c r="P865" s="1" t="s">
        <v>120</v>
      </c>
      <c r="Q865" s="1" t="str">
        <f t="shared" si="7"/>
        <v>1920x1080</v>
      </c>
      <c r="S865" s="1" t="str">
        <f t="shared" si="8"/>
        <v/>
      </c>
      <c r="T865" s="1" t="s">
        <v>121</v>
      </c>
      <c r="U865" s="1" t="str">
        <f t="shared" si="9"/>
        <v>DOS</v>
      </c>
      <c r="V865" s="1" t="s">
        <v>4328</v>
      </c>
      <c r="W865" s="1" t="str">
        <f t="shared" si="10"/>
        <v>1.69 kg</v>
      </c>
      <c r="X865" s="1" t="s">
        <v>78</v>
      </c>
      <c r="Y865" s="1" t="str">
        <f t="shared" si="11"/>
        <v>1 Year</v>
      </c>
      <c r="Z865" s="4">
        <v>27499</v>
      </c>
      <c r="AA865" s="1" t="s">
        <v>1082</v>
      </c>
    </row>
    <row r="866" spans="1:27" ht="15.75" customHeight="1" x14ac:dyDescent="0.35">
      <c r="A866" s="1" t="s">
        <v>112</v>
      </c>
      <c r="B866" s="1" t="str">
        <f t="shared" si="16"/>
        <v>HP</v>
      </c>
      <c r="C866" s="1" t="s">
        <v>4932</v>
      </c>
      <c r="D866" s="1" t="str">
        <f t="shared" si="1"/>
        <v>Pavilion x360-14T</v>
      </c>
      <c r="E866" s="1" t="str">
        <f t="array" aca="1" ref="E866" ca="1">IFERROR(
INDEX(Family_Map!$B$2:$B$35,
_xludf.AGGREGATE(14,6,(ROW(Family_Map!$A$2:$A$35)-ROW(Family_Map!$A$2)+1)/(ISNUMBER(SEARCH(Family_Map!$A$2:$A$35,D866))),1)
),
"Other")</f>
        <v>Other</v>
      </c>
      <c r="F866" s="1" t="s">
        <v>4933</v>
      </c>
      <c r="G866" s="1" t="e">
        <f t="shared" ca="1" si="2"/>
        <v>#NAME?</v>
      </c>
      <c r="H866" s="1" t="str">
        <f t="shared" ca="1" si="12"/>
        <v>Other</v>
      </c>
      <c r="J866" s="1" t="str">
        <f t="shared" si="3"/>
        <v/>
      </c>
      <c r="K866" s="1" t="s">
        <v>599</v>
      </c>
      <c r="L866" s="1">
        <f t="shared" si="40"/>
        <v>16</v>
      </c>
      <c r="M866" s="1" t="s">
        <v>72</v>
      </c>
      <c r="N866" s="1" t="str">
        <f t="shared" si="5"/>
        <v>512 GB</v>
      </c>
      <c r="O866" s="1" t="str">
        <f t="shared" si="6"/>
        <v>512 GB</v>
      </c>
      <c r="P866" s="1" t="s">
        <v>120</v>
      </c>
      <c r="Q866" s="1" t="str">
        <f t="shared" si="7"/>
        <v>1920x1080</v>
      </c>
      <c r="S866" s="1" t="str">
        <f t="shared" si="8"/>
        <v/>
      </c>
      <c r="T866" s="1" t="s">
        <v>90</v>
      </c>
      <c r="U866" s="1" t="str">
        <f t="shared" si="9"/>
        <v>Windows 11 Home</v>
      </c>
      <c r="V866" s="1" t="s">
        <v>4940</v>
      </c>
      <c r="W866" s="1" t="str">
        <f t="shared" si="10"/>
        <v>1.61 kg</v>
      </c>
      <c r="X866" s="1" t="s">
        <v>78</v>
      </c>
      <c r="Y866" s="1" t="str">
        <f t="shared" si="11"/>
        <v>1 Year</v>
      </c>
      <c r="Z866" s="4">
        <v>31500</v>
      </c>
      <c r="AA866" s="1" t="s">
        <v>1082</v>
      </c>
    </row>
    <row r="867" spans="1:27" ht="15.75" customHeight="1" x14ac:dyDescent="0.35">
      <c r="A867" s="1" t="s">
        <v>81</v>
      </c>
      <c r="B867" s="1" t="str">
        <f t="shared" si="16"/>
        <v>Dell</v>
      </c>
      <c r="C867" s="1" t="s">
        <v>4759</v>
      </c>
      <c r="D867" s="1" t="str">
        <f t="shared" si="1"/>
        <v>VOSTRO 5510</v>
      </c>
      <c r="E867" s="1" t="str">
        <f t="array" aca="1" ref="E867" ca="1">IFERROR(
INDEX(Family_Map!$B$2:$B$35,
_xludf.AGGREGATE(14,6,(ROW(Family_Map!$A$2:$A$35)-ROW(Family_Map!$A$2)+1)/(ISNUMBER(SEARCH(Family_Map!$A$2:$A$35,D867))),1)
),
"Other")</f>
        <v>Other</v>
      </c>
      <c r="F867" s="1" t="s">
        <v>2380</v>
      </c>
      <c r="G867" s="1" t="e">
        <f t="shared" ca="1" si="2"/>
        <v>#NAME?</v>
      </c>
      <c r="H867" s="1" t="str">
        <f t="shared" ca="1" si="12"/>
        <v>Other</v>
      </c>
      <c r="I867" s="1" t="s">
        <v>3670</v>
      </c>
      <c r="J867" s="1" t="str">
        <f t="shared" si="3"/>
        <v>2GB</v>
      </c>
      <c r="K867" s="1" t="s">
        <v>4943</v>
      </c>
      <c r="L867" s="1">
        <f t="shared" si="40"/>
        <v>8</v>
      </c>
      <c r="M867" s="1" t="s">
        <v>4944</v>
      </c>
      <c r="N867" s="1" t="str">
        <f t="shared" si="5"/>
        <v>512GB</v>
      </c>
      <c r="O867" s="1" t="str">
        <f t="shared" si="6"/>
        <v>512GB</v>
      </c>
      <c r="P867" s="1" t="s">
        <v>120</v>
      </c>
      <c r="Q867" s="1" t="str">
        <f t="shared" si="7"/>
        <v>1920x1080</v>
      </c>
      <c r="S867" s="1" t="str">
        <f t="shared" si="8"/>
        <v/>
      </c>
      <c r="T867" s="1" t="s">
        <v>101</v>
      </c>
      <c r="U867" s="1" t="str">
        <f t="shared" si="9"/>
        <v>DOS</v>
      </c>
      <c r="V867" s="1">
        <v>1.6319999999999999</v>
      </c>
      <c r="W867" s="1" t="str">
        <f t="shared" si="10"/>
        <v>1.63 kg</v>
      </c>
      <c r="X867" s="1" t="s">
        <v>4949</v>
      </c>
      <c r="Y867" s="1" t="str">
        <f t="shared" si="11"/>
        <v>1 Year</v>
      </c>
      <c r="Z867" s="4">
        <v>18549</v>
      </c>
      <c r="AA867" s="1" t="s">
        <v>1082</v>
      </c>
    </row>
    <row r="868" spans="1:27" ht="15.75" customHeight="1" x14ac:dyDescent="0.35">
      <c r="B868" s="1" t="str">
        <f t="shared" si="16"/>
        <v/>
      </c>
      <c r="C868" s="1" t="s">
        <v>4951</v>
      </c>
      <c r="D868" s="1" t="str">
        <f t="shared" si="1"/>
        <v>UX363EA-OLED007T</v>
      </c>
      <c r="E868" s="1" t="str">
        <f t="array" aca="1" ref="E868" ca="1">IFERROR(
INDEX(Family_Map!$B$2:$B$35,
_xludf.AGGREGATE(14,6,(ROW(Family_Map!$A$2:$A$35)-ROW(Family_Map!$A$2)+1)/(ISNUMBER(SEARCH(Family_Map!$A$2:$A$35,D868))),1)
),
"Other")</f>
        <v>Other</v>
      </c>
      <c r="F868" s="1" t="s">
        <v>3748</v>
      </c>
      <c r="G868" s="1" t="e">
        <f t="shared" ca="1" si="2"/>
        <v>#NAME?</v>
      </c>
      <c r="H868" s="1" t="str">
        <f t="shared" ca="1" si="12"/>
        <v>Other</v>
      </c>
      <c r="J868" s="1" t="str">
        <f t="shared" si="3"/>
        <v/>
      </c>
      <c r="K868" s="1" t="s">
        <v>4952</v>
      </c>
      <c r="L868" s="1">
        <f t="shared" si="40"/>
        <v>16</v>
      </c>
      <c r="M868" s="1" t="s">
        <v>4953</v>
      </c>
      <c r="N868" s="1" t="str">
        <f t="shared" si="5"/>
        <v>1TB</v>
      </c>
      <c r="O868" s="1" t="str">
        <f t="shared" si="6"/>
        <v>1024GB</v>
      </c>
      <c r="P868" s="1" t="s">
        <v>120</v>
      </c>
      <c r="Q868" s="1" t="str">
        <f t="shared" si="7"/>
        <v>1920x1080</v>
      </c>
      <c r="S868" s="1" t="str">
        <f t="shared" si="8"/>
        <v/>
      </c>
      <c r="T868" s="1" t="s">
        <v>2447</v>
      </c>
      <c r="U868" s="1" t="str">
        <f t="shared" si="9"/>
        <v>Windows 11 Home</v>
      </c>
      <c r="V868" s="1" t="s">
        <v>4249</v>
      </c>
      <c r="W868" s="1" t="str">
        <f t="shared" si="10"/>
        <v>1.3 kg</v>
      </c>
      <c r="X868" s="1" t="s">
        <v>4949</v>
      </c>
      <c r="Y868" s="1" t="str">
        <f t="shared" si="11"/>
        <v>1 Year</v>
      </c>
      <c r="Z868" s="4">
        <v>42700</v>
      </c>
      <c r="AA868" s="1" t="s">
        <v>1082</v>
      </c>
    </row>
    <row r="869" spans="1:27" ht="15.75" customHeight="1" x14ac:dyDescent="0.35">
      <c r="B869" s="1" t="str">
        <f t="shared" si="16"/>
        <v/>
      </c>
      <c r="C869" s="1" t="s">
        <v>4960</v>
      </c>
      <c r="D869" s="1" t="str">
        <f t="shared" si="1"/>
        <v>X515EP-BQ254T</v>
      </c>
      <c r="E869" s="1" t="str">
        <f t="array" aca="1" ref="E869" ca="1">IFERROR(
INDEX(Family_Map!$B$2:$B$35,
_xludf.AGGREGATE(14,6,(ROW(Family_Map!$A$2:$A$35)-ROW(Family_Map!$A$2)+1)/(ISNUMBER(SEARCH(Family_Map!$A$2:$A$35,D869))),1)
),
"Other")</f>
        <v>Other</v>
      </c>
      <c r="F869" s="1" t="s">
        <v>3748</v>
      </c>
      <c r="G869" s="1" t="e">
        <f t="shared" ca="1" si="2"/>
        <v>#NAME?</v>
      </c>
      <c r="H869" s="1" t="str">
        <f t="shared" ca="1" si="12"/>
        <v>Other</v>
      </c>
      <c r="I869" s="1" t="s">
        <v>4073</v>
      </c>
      <c r="J869" s="1" t="str">
        <f t="shared" si="3"/>
        <v>2GB</v>
      </c>
      <c r="K869" s="1" t="s">
        <v>4961</v>
      </c>
      <c r="L869" s="1">
        <f t="shared" si="40"/>
        <v>8</v>
      </c>
      <c r="M869" s="1" t="s">
        <v>1604</v>
      </c>
      <c r="N869" s="1" t="str">
        <f t="shared" si="5"/>
        <v>512GB</v>
      </c>
      <c r="O869" s="1" t="str">
        <f t="shared" si="6"/>
        <v>512GB</v>
      </c>
      <c r="P869" s="1" t="s">
        <v>120</v>
      </c>
      <c r="Q869" s="1" t="str">
        <f t="shared" si="7"/>
        <v>1920x1080</v>
      </c>
      <c r="S869" s="1" t="str">
        <f t="shared" si="8"/>
        <v/>
      </c>
      <c r="T869" s="1" t="s">
        <v>1722</v>
      </c>
      <c r="U869" s="1" t="str">
        <f t="shared" si="9"/>
        <v>Windows 10 Home</v>
      </c>
      <c r="V869" s="1" t="s">
        <v>359</v>
      </c>
      <c r="W869" s="1" t="str">
        <f t="shared" si="10"/>
        <v>1.8 kg</v>
      </c>
      <c r="X869" s="1" t="s">
        <v>2139</v>
      </c>
      <c r="Y869" s="1" t="str">
        <f t="shared" si="11"/>
        <v>2 Years</v>
      </c>
      <c r="Z869" s="4">
        <v>18250</v>
      </c>
      <c r="AA869" s="1" t="s">
        <v>1082</v>
      </c>
    </row>
    <row r="870" spans="1:27" ht="15.75" customHeight="1" x14ac:dyDescent="0.35">
      <c r="A870" s="1" t="s">
        <v>151</v>
      </c>
      <c r="B870" s="1" t="str">
        <f t="shared" si="16"/>
        <v>Lenovo</v>
      </c>
      <c r="C870" s="1" t="s">
        <v>3022</v>
      </c>
      <c r="D870" s="1" t="str">
        <f t="shared" si="1"/>
        <v>Lenovo 5 15ITL05</v>
      </c>
      <c r="E870" s="1" t="str">
        <f t="array" aca="1" ref="E870" ca="1">IFERROR(
INDEX(Family_Map!$B$2:$B$35,
_xludf.AGGREGATE(14,6,(ROW(Family_Map!$A$2:$A$35)-ROW(Family_Map!$A$2)+1)/(ISNUMBER(SEARCH(Family_Map!$A$2:$A$35,D870))),1)
),
"Other")</f>
        <v>Other</v>
      </c>
      <c r="F870" s="1" t="s">
        <v>4590</v>
      </c>
      <c r="G870" s="1" t="e">
        <f t="shared" ca="1" si="2"/>
        <v>#NAME?</v>
      </c>
      <c r="H870" s="1" t="str">
        <f t="shared" ca="1" si="12"/>
        <v>Other</v>
      </c>
      <c r="J870" s="1" t="str">
        <f t="shared" si="3"/>
        <v/>
      </c>
      <c r="K870" s="1" t="s">
        <v>4968</v>
      </c>
      <c r="L870" s="1">
        <f t="shared" si="40"/>
        <v>8</v>
      </c>
      <c r="M870" s="1" t="s">
        <v>4969</v>
      </c>
      <c r="N870" s="1" t="str">
        <f t="shared" si="5"/>
        <v>1 TB</v>
      </c>
      <c r="O870" s="1" t="str">
        <f t="shared" si="6"/>
        <v>1024GB</v>
      </c>
      <c r="P870" s="1" t="s">
        <v>616</v>
      </c>
      <c r="Q870" s="1" t="str">
        <f t="shared" si="7"/>
        <v>1920x1080</v>
      </c>
      <c r="S870" s="1" t="str">
        <f t="shared" si="8"/>
        <v/>
      </c>
      <c r="T870" s="1" t="s">
        <v>121</v>
      </c>
      <c r="U870" s="1" t="str">
        <f t="shared" si="9"/>
        <v>DOS</v>
      </c>
      <c r="V870" s="1" t="s">
        <v>4389</v>
      </c>
      <c r="W870" s="1" t="str">
        <f t="shared" si="10"/>
        <v>1.38 kg</v>
      </c>
      <c r="X870" s="1" t="s">
        <v>78</v>
      </c>
      <c r="Y870" s="1" t="str">
        <f t="shared" si="11"/>
        <v>1 Year</v>
      </c>
      <c r="Z870" s="4">
        <v>28000</v>
      </c>
      <c r="AA870" s="1" t="s">
        <v>1082</v>
      </c>
    </row>
    <row r="871" spans="1:27" ht="15.75" customHeight="1" x14ac:dyDescent="0.35">
      <c r="A871" s="1" t="s">
        <v>81</v>
      </c>
      <c r="B871" s="1" t="str">
        <f t="shared" si="16"/>
        <v>Dell</v>
      </c>
      <c r="C871" s="1" t="s">
        <v>4524</v>
      </c>
      <c r="D871" s="1" t="str">
        <f t="shared" si="1"/>
        <v>VOSTRO 15 3510</v>
      </c>
      <c r="E871" s="1" t="str">
        <f t="array" aca="1" ref="E871" ca="1">IFERROR(
INDEX(Family_Map!$B$2:$B$35,
_xludf.AGGREGATE(14,6,(ROW(Family_Map!$A$2:$A$35)-ROW(Family_Map!$A$2)+1)/(ISNUMBER(SEARCH(Family_Map!$A$2:$A$35,D871))),1)
),
"Other")</f>
        <v>Other</v>
      </c>
      <c r="F871" s="1" t="s">
        <v>4974</v>
      </c>
      <c r="G871" s="1" t="e">
        <f t="shared" ca="1" si="2"/>
        <v>#NAME?</v>
      </c>
      <c r="H871" s="1" t="str">
        <f t="shared" ca="1" si="12"/>
        <v>Other</v>
      </c>
      <c r="I871" s="1" t="s">
        <v>4177</v>
      </c>
      <c r="J871" s="1" t="str">
        <f t="shared" si="3"/>
        <v>2GB</v>
      </c>
      <c r="K871" s="1" t="s">
        <v>4975</v>
      </c>
      <c r="L871" s="1">
        <f t="shared" si="40"/>
        <v>4</v>
      </c>
      <c r="M871" s="1" t="s">
        <v>3898</v>
      </c>
      <c r="N871" s="1" t="str">
        <f t="shared" si="5"/>
        <v>1TB</v>
      </c>
      <c r="O871" s="1" t="str">
        <f t="shared" si="6"/>
        <v>1024GB</v>
      </c>
      <c r="P871" s="1" t="s">
        <v>3653</v>
      </c>
      <c r="Q871" s="1" t="str">
        <f t="shared" si="7"/>
        <v>1366x768</v>
      </c>
      <c r="S871" s="1" t="str">
        <f t="shared" si="8"/>
        <v/>
      </c>
      <c r="T871" s="1" t="s">
        <v>101</v>
      </c>
      <c r="U871" s="1" t="str">
        <f t="shared" si="9"/>
        <v>DOS</v>
      </c>
      <c r="V871" s="1" t="s">
        <v>4092</v>
      </c>
      <c r="W871" s="1" t="str">
        <f t="shared" si="10"/>
        <v>1.69 kg</v>
      </c>
      <c r="X871" s="1" t="s">
        <v>78</v>
      </c>
      <c r="Y871" s="1" t="str">
        <f t="shared" si="11"/>
        <v>1 Year</v>
      </c>
      <c r="Z871" s="4">
        <v>25000</v>
      </c>
      <c r="AA871" s="1" t="s">
        <v>1082</v>
      </c>
    </row>
    <row r="872" spans="1:27" ht="15.75" customHeight="1" x14ac:dyDescent="0.35">
      <c r="A872" s="1" t="s">
        <v>112</v>
      </c>
      <c r="B872" s="1" t="str">
        <f t="shared" si="16"/>
        <v>HP</v>
      </c>
      <c r="C872" s="1" t="s">
        <v>4978</v>
      </c>
      <c r="D872" s="1" t="str">
        <f t="shared" si="1"/>
        <v>15-dw3012ne</v>
      </c>
      <c r="E872" s="1" t="str">
        <f t="array" aca="1" ref="E872" ca="1">IFERROR(
INDEX(Family_Map!$B$2:$B$35,
_xludf.AGGREGATE(14,6,(ROW(Family_Map!$A$2:$A$35)-ROW(Family_Map!$A$2)+1)/(ISNUMBER(SEARCH(Family_Map!$A$2:$A$35,D872))),1)
),
"Other")</f>
        <v>Other</v>
      </c>
      <c r="F872" s="1" t="s">
        <v>4590</v>
      </c>
      <c r="G872" s="1" t="e">
        <f t="shared" ca="1" si="2"/>
        <v>#NAME?</v>
      </c>
      <c r="H872" s="1" t="str">
        <f t="shared" ca="1" si="12"/>
        <v>Other</v>
      </c>
      <c r="I872" s="1" t="s">
        <v>4923</v>
      </c>
      <c r="J872" s="1" t="str">
        <f t="shared" si="3"/>
        <v>2 GB</v>
      </c>
      <c r="K872" s="1" t="s">
        <v>4979</v>
      </c>
      <c r="L872" s="1">
        <f t="shared" si="40"/>
        <v>16</v>
      </c>
      <c r="M872" s="1" t="s">
        <v>1120</v>
      </c>
      <c r="N872" s="1" t="str">
        <f t="shared" si="5"/>
        <v>512GB</v>
      </c>
      <c r="O872" s="1" t="str">
        <f t="shared" si="6"/>
        <v>512GB</v>
      </c>
      <c r="P872" s="1" t="s">
        <v>616</v>
      </c>
      <c r="Q872" s="1" t="str">
        <f t="shared" si="7"/>
        <v>1920x1080</v>
      </c>
      <c r="R872" s="1" t="s">
        <v>971</v>
      </c>
      <c r="S872" s="1" t="str">
        <f t="shared" si="8"/>
        <v>60Hz</v>
      </c>
      <c r="T872" s="1" t="s">
        <v>121</v>
      </c>
      <c r="U872" s="1" t="str">
        <f t="shared" si="9"/>
        <v>DOS</v>
      </c>
      <c r="V872" s="1" t="s">
        <v>3276</v>
      </c>
      <c r="W872" s="1" t="str">
        <f t="shared" si="10"/>
        <v>1.75 kg</v>
      </c>
      <c r="X872" s="1" t="s">
        <v>78</v>
      </c>
      <c r="Y872" s="1" t="str">
        <f t="shared" si="11"/>
        <v>1 Year</v>
      </c>
      <c r="Z872" s="4">
        <v>25000</v>
      </c>
      <c r="AA872" s="1" t="s">
        <v>1082</v>
      </c>
    </row>
    <row r="873" spans="1:27" ht="15.75" customHeight="1" x14ac:dyDescent="0.35">
      <c r="A873" s="1" t="s">
        <v>112</v>
      </c>
      <c r="B873" s="1" t="str">
        <f t="shared" si="16"/>
        <v>HP</v>
      </c>
      <c r="C873" s="1" t="s">
        <v>4984</v>
      </c>
      <c r="D873" s="1" t="str">
        <f t="shared" si="1"/>
        <v>15-dw3014ne</v>
      </c>
      <c r="E873" s="1" t="str">
        <f t="array" aca="1" ref="E873" ca="1">IFERROR(
INDEX(Family_Map!$B$2:$B$35,
_xludf.AGGREGATE(14,6,(ROW(Family_Map!$A$2:$A$35)-ROW(Family_Map!$A$2)+1)/(ISNUMBER(SEARCH(Family_Map!$A$2:$A$35,D873))),1)
),
"Other")</f>
        <v>Other</v>
      </c>
      <c r="F873" s="1" t="s">
        <v>4071</v>
      </c>
      <c r="G873" s="1" t="e">
        <f t="shared" ca="1" si="2"/>
        <v>#NAME?</v>
      </c>
      <c r="H873" s="1" t="str">
        <f t="shared" ca="1" si="12"/>
        <v>Other</v>
      </c>
      <c r="I873" s="1" t="s">
        <v>4073</v>
      </c>
      <c r="J873" s="1" t="str">
        <f t="shared" si="3"/>
        <v>2GB</v>
      </c>
      <c r="K873" s="1" t="s">
        <v>4060</v>
      </c>
      <c r="L873" s="1">
        <f t="shared" si="40"/>
        <v>8</v>
      </c>
      <c r="M873" s="1" t="s">
        <v>3940</v>
      </c>
      <c r="N873" s="1" t="str">
        <f t="shared" si="5"/>
        <v>256 GB</v>
      </c>
      <c r="O873" s="1" t="str">
        <f t="shared" si="6"/>
        <v>256 GB</v>
      </c>
      <c r="P873" s="1" t="s">
        <v>120</v>
      </c>
      <c r="Q873" s="1" t="str">
        <f t="shared" si="7"/>
        <v>1920x1080</v>
      </c>
      <c r="R873" s="1" t="s">
        <v>971</v>
      </c>
      <c r="S873" s="1" t="str">
        <f t="shared" si="8"/>
        <v>60Hz</v>
      </c>
      <c r="T873" s="1" t="s">
        <v>121</v>
      </c>
      <c r="U873" s="1" t="str">
        <f t="shared" si="9"/>
        <v>DOS</v>
      </c>
      <c r="V873" s="1" t="s">
        <v>3276</v>
      </c>
      <c r="W873" s="1" t="str">
        <f t="shared" si="10"/>
        <v>1.75 kg</v>
      </c>
      <c r="X873" s="1" t="s">
        <v>129</v>
      </c>
      <c r="Y873" s="1" t="str">
        <f t="shared" si="11"/>
        <v>1 Year</v>
      </c>
      <c r="Z873" s="4">
        <v>25000</v>
      </c>
      <c r="AA873" s="1" t="s">
        <v>1082</v>
      </c>
    </row>
    <row r="874" spans="1:27" ht="15.75" customHeight="1" x14ac:dyDescent="0.35">
      <c r="A874" s="1" t="s">
        <v>112</v>
      </c>
      <c r="B874" s="1" t="str">
        <f t="shared" si="16"/>
        <v>HP</v>
      </c>
      <c r="C874" s="1" t="s">
        <v>4058</v>
      </c>
      <c r="D874" s="1" t="str">
        <f t="shared" si="1"/>
        <v>250 G8</v>
      </c>
      <c r="E874" s="1" t="str">
        <f t="array" aca="1" ref="E874" ca="1">IFERROR(
INDEX(Family_Map!$B$2:$B$35,
_xludf.AGGREGATE(14,6,(ROW(Family_Map!$A$2:$A$35)-ROW(Family_Map!$A$2)+1)/(ISNUMBER(SEARCH(Family_Map!$A$2:$A$35,D874))),1)
),
"Other")</f>
        <v>Other</v>
      </c>
      <c r="F874" s="1" t="s">
        <v>4988</v>
      </c>
      <c r="G874" s="1" t="e">
        <f t="shared" ca="1" si="2"/>
        <v>#NAME?</v>
      </c>
      <c r="H874" s="1" t="str">
        <f t="shared" ca="1" si="12"/>
        <v>Other</v>
      </c>
      <c r="J874" s="1" t="str">
        <f t="shared" si="3"/>
        <v/>
      </c>
      <c r="K874" s="1" t="s">
        <v>4696</v>
      </c>
      <c r="L874" s="1">
        <f t="shared" si="40"/>
        <v>4</v>
      </c>
      <c r="M874" s="1" t="s">
        <v>4342</v>
      </c>
      <c r="N874" s="1" t="str">
        <f t="shared" si="5"/>
        <v>1 TB</v>
      </c>
      <c r="O874" s="1" t="str">
        <f t="shared" si="6"/>
        <v>1024GB</v>
      </c>
      <c r="P874" s="1" t="s">
        <v>3653</v>
      </c>
      <c r="Q874" s="1" t="str">
        <f t="shared" si="7"/>
        <v>1366x768</v>
      </c>
      <c r="R874" s="1" t="s">
        <v>971</v>
      </c>
      <c r="S874" s="1" t="str">
        <f t="shared" si="8"/>
        <v>60Hz</v>
      </c>
      <c r="T874" s="1" t="s">
        <v>101</v>
      </c>
      <c r="U874" s="1" t="str">
        <f t="shared" si="9"/>
        <v>DOS</v>
      </c>
      <c r="V874" s="1" t="s">
        <v>2078</v>
      </c>
      <c r="W874" s="1" t="str">
        <f t="shared" si="10"/>
        <v>2 kg</v>
      </c>
      <c r="X874" s="1" t="s">
        <v>78</v>
      </c>
      <c r="Y874" s="1" t="str">
        <f t="shared" si="11"/>
        <v>1 Year</v>
      </c>
      <c r="Z874" s="4">
        <v>16000</v>
      </c>
      <c r="AA874" s="1" t="s">
        <v>2181</v>
      </c>
    </row>
    <row r="875" spans="1:27" ht="15.75" customHeight="1" x14ac:dyDescent="0.35">
      <c r="A875" s="1" t="s">
        <v>81</v>
      </c>
      <c r="B875" s="1" t="str">
        <f t="shared" si="16"/>
        <v>Dell</v>
      </c>
      <c r="C875" s="1" t="s">
        <v>4991</v>
      </c>
      <c r="D875" s="1" t="str">
        <f t="shared" si="1"/>
        <v>Dell VOSTRO 3500</v>
      </c>
      <c r="E875" s="1" t="str">
        <f t="array" aca="1" ref="E875" ca="1">IFERROR(
INDEX(Family_Map!$B$2:$B$35,
_xludf.AGGREGATE(14,6,(ROW(Family_Map!$A$2:$A$35)-ROW(Family_Map!$A$2)+1)/(ISNUMBER(SEARCH(Family_Map!$A$2:$A$35,D875))),1)
),
"Other")</f>
        <v>Other</v>
      </c>
      <c r="F875" s="1" t="s">
        <v>3668</v>
      </c>
      <c r="G875" s="1" t="e">
        <f t="shared" ca="1" si="2"/>
        <v>#NAME?</v>
      </c>
      <c r="H875" s="1" t="str">
        <f t="shared" ca="1" si="12"/>
        <v>Other</v>
      </c>
      <c r="I875" s="1" t="s">
        <v>4177</v>
      </c>
      <c r="J875" s="1" t="str">
        <f t="shared" si="3"/>
        <v>2GB</v>
      </c>
      <c r="K875" s="1" t="s">
        <v>3943</v>
      </c>
      <c r="L875" s="1">
        <f t="shared" si="40"/>
        <v>8</v>
      </c>
      <c r="M875" s="1" t="s">
        <v>2521</v>
      </c>
      <c r="N875" s="1" t="str">
        <f t="shared" si="5"/>
        <v>512GB</v>
      </c>
      <c r="O875" s="1" t="str">
        <f t="shared" si="6"/>
        <v>512GB</v>
      </c>
      <c r="P875" s="1" t="s">
        <v>120</v>
      </c>
      <c r="Q875" s="1" t="str">
        <f t="shared" si="7"/>
        <v>1920x1080</v>
      </c>
      <c r="S875" s="1" t="str">
        <f t="shared" si="8"/>
        <v/>
      </c>
      <c r="T875" s="1" t="s">
        <v>101</v>
      </c>
      <c r="U875" s="1" t="str">
        <f t="shared" si="9"/>
        <v>DOS</v>
      </c>
      <c r="V875" s="1" t="s">
        <v>4995</v>
      </c>
      <c r="W875" s="1" t="str">
        <f t="shared" si="10"/>
        <v>1.98 kg</v>
      </c>
      <c r="X875" s="1" t="s">
        <v>78</v>
      </c>
      <c r="Y875" s="1" t="str">
        <f t="shared" si="11"/>
        <v>1 Year</v>
      </c>
      <c r="Z875" s="4">
        <v>38000</v>
      </c>
      <c r="AA875" s="1" t="s">
        <v>1082</v>
      </c>
    </row>
    <row r="876" spans="1:27" ht="15.75" customHeight="1" x14ac:dyDescent="0.35">
      <c r="A876" s="1" t="s">
        <v>112</v>
      </c>
      <c r="B876" s="1" t="str">
        <f t="shared" si="16"/>
        <v>HP</v>
      </c>
      <c r="C876" s="1" t="s">
        <v>4996</v>
      </c>
      <c r="D876" s="1" t="str">
        <f t="shared" si="1"/>
        <v>DW3021NIA</v>
      </c>
      <c r="E876" s="1" t="str">
        <f t="array" aca="1" ref="E876" ca="1">IFERROR(
INDEX(Family_Map!$B$2:$B$35,
_xludf.AGGREGATE(14,6,(ROW(Family_Map!$A$2:$A$35)-ROW(Family_Map!$A$2)+1)/(ISNUMBER(SEARCH(Family_Map!$A$2:$A$35,D876))),1)
),
"Other")</f>
        <v>Other</v>
      </c>
      <c r="F876" s="1" t="s">
        <v>4590</v>
      </c>
      <c r="G876" s="1" t="e">
        <f t="shared" ca="1" si="2"/>
        <v>#NAME?</v>
      </c>
      <c r="H876" s="1" t="str">
        <f t="shared" ca="1" si="12"/>
        <v>Other</v>
      </c>
      <c r="I876" s="1" t="s">
        <v>4923</v>
      </c>
      <c r="J876" s="1" t="str">
        <f t="shared" si="3"/>
        <v>2 GB</v>
      </c>
      <c r="K876" s="1" t="s">
        <v>4997</v>
      </c>
      <c r="L876" s="1">
        <f t="shared" si="40"/>
        <v>4</v>
      </c>
      <c r="M876" s="1" t="s">
        <v>3940</v>
      </c>
      <c r="N876" s="1" t="str">
        <f t="shared" si="5"/>
        <v>256 GB</v>
      </c>
      <c r="O876" s="1" t="str">
        <f t="shared" si="6"/>
        <v>256 GB</v>
      </c>
      <c r="P876" s="1" t="s">
        <v>3653</v>
      </c>
      <c r="Q876" s="1" t="str">
        <f t="shared" si="7"/>
        <v>1366x768</v>
      </c>
      <c r="R876" s="1" t="s">
        <v>971</v>
      </c>
      <c r="S876" s="1" t="str">
        <f t="shared" si="8"/>
        <v>60Hz</v>
      </c>
      <c r="T876" s="1" t="s">
        <v>2507</v>
      </c>
      <c r="U876" s="1" t="str">
        <f t="shared" si="9"/>
        <v>DOS</v>
      </c>
      <c r="V876" s="1" t="s">
        <v>3276</v>
      </c>
      <c r="W876" s="1" t="str">
        <f t="shared" si="10"/>
        <v>1.75 kg</v>
      </c>
      <c r="X876" s="1" t="s">
        <v>78</v>
      </c>
      <c r="Y876" s="1" t="str">
        <f t="shared" si="11"/>
        <v>1 Year</v>
      </c>
      <c r="Z876" s="4">
        <v>38000</v>
      </c>
      <c r="AA876" s="1" t="s">
        <v>1082</v>
      </c>
    </row>
    <row r="877" spans="1:27" ht="15.75" customHeight="1" x14ac:dyDescent="0.35">
      <c r="A877" s="1" t="s">
        <v>81</v>
      </c>
      <c r="B877" s="1" t="str">
        <f t="shared" si="16"/>
        <v>Dell</v>
      </c>
      <c r="C877" s="1" t="s">
        <v>5000</v>
      </c>
      <c r="D877" s="1" t="str">
        <f t="shared" si="1"/>
        <v>Inspiron 14 5406</v>
      </c>
      <c r="E877" s="1" t="str">
        <f t="array" aca="1" ref="E877" ca="1">IFERROR(
INDEX(Family_Map!$B$2:$B$35,
_xludf.AGGREGATE(14,6,(ROW(Family_Map!$A$2:$A$35)-ROW(Family_Map!$A$2)+1)/(ISNUMBER(SEARCH(Family_Map!$A$2:$A$35,D877))),1)
),
"Other")</f>
        <v>Other</v>
      </c>
      <c r="F877" s="1" t="s">
        <v>4708</v>
      </c>
      <c r="G877" s="1" t="e">
        <f t="shared" ca="1" si="2"/>
        <v>#NAME?</v>
      </c>
      <c r="H877" s="1" t="str">
        <f t="shared" ca="1" si="12"/>
        <v>Other</v>
      </c>
      <c r="I877" s="1" t="s">
        <v>5001</v>
      </c>
      <c r="J877" s="1" t="str">
        <f t="shared" si="3"/>
        <v/>
      </c>
      <c r="K877" s="1" t="s">
        <v>5002</v>
      </c>
      <c r="L877" s="1">
        <f t="shared" si="40"/>
        <v>8</v>
      </c>
      <c r="M877" s="1" t="s">
        <v>4089</v>
      </c>
      <c r="N877" s="1" t="str">
        <f t="shared" si="5"/>
        <v>256GB</v>
      </c>
      <c r="O877" s="1" t="str">
        <f t="shared" si="6"/>
        <v>256GB</v>
      </c>
      <c r="P877" s="1" t="s">
        <v>120</v>
      </c>
      <c r="Q877" s="1" t="str">
        <f t="shared" si="7"/>
        <v>1920x1080</v>
      </c>
      <c r="R877" s="1" t="s">
        <v>971</v>
      </c>
      <c r="S877" s="1" t="str">
        <f t="shared" si="8"/>
        <v>60Hz</v>
      </c>
      <c r="T877" s="1" t="s">
        <v>5004</v>
      </c>
      <c r="U877" s="1" t="str">
        <f t="shared" si="9"/>
        <v>Windows 10 Home</v>
      </c>
      <c r="V877" s="1" t="s">
        <v>5009</v>
      </c>
      <c r="W877" s="1" t="str">
        <f t="shared" si="10"/>
        <v>1.72 kg</v>
      </c>
      <c r="X877" s="1" t="s">
        <v>5010</v>
      </c>
      <c r="Y877" s="1" t="str">
        <f t="shared" si="11"/>
        <v>1 Year</v>
      </c>
      <c r="Z877" s="4">
        <v>38000</v>
      </c>
      <c r="AA877" s="1" t="s">
        <v>1082</v>
      </c>
    </row>
    <row r="878" spans="1:27" ht="15.75" customHeight="1" x14ac:dyDescent="0.35">
      <c r="A878" s="1" t="s">
        <v>151</v>
      </c>
      <c r="B878" s="1" t="str">
        <f t="shared" si="16"/>
        <v>Lenovo</v>
      </c>
      <c r="C878" s="1" t="s">
        <v>5013</v>
      </c>
      <c r="D878" s="1" t="str">
        <f t="shared" si="1"/>
        <v>IdeaPad 3 15IML05</v>
      </c>
      <c r="E878" s="1" t="str">
        <f t="array" aca="1" ref="E878" ca="1">IFERROR(
INDEX(Family_Map!$B$2:$B$35,
_xludf.AGGREGATE(14,6,(ROW(Family_Map!$A$2:$A$35)-ROW(Family_Map!$A$2)+1)/(ISNUMBER(SEARCH(Family_Map!$A$2:$A$35,D878))),1)
),
"Other")</f>
        <v>Other</v>
      </c>
      <c r="F878" s="1" t="s">
        <v>4099</v>
      </c>
      <c r="G878" s="1" t="e">
        <f t="shared" ca="1" si="2"/>
        <v>#NAME?</v>
      </c>
      <c r="H878" s="1" t="str">
        <f t="shared" ca="1" si="12"/>
        <v>Other</v>
      </c>
      <c r="J878" s="1" t="str">
        <f t="shared" si="3"/>
        <v/>
      </c>
      <c r="K878" s="1" t="s">
        <v>5014</v>
      </c>
      <c r="L878" s="1">
        <f t="shared" si="40"/>
        <v>4</v>
      </c>
      <c r="M878" s="1" t="s">
        <v>4061</v>
      </c>
      <c r="N878" s="1" t="str">
        <f t="shared" si="5"/>
        <v>1 TB</v>
      </c>
      <c r="O878" s="1" t="str">
        <f t="shared" si="6"/>
        <v>1024GB</v>
      </c>
      <c r="P878" s="1" t="s">
        <v>120</v>
      </c>
      <c r="Q878" s="1" t="str">
        <f t="shared" si="7"/>
        <v>1920x1080</v>
      </c>
      <c r="R878" s="1" t="s">
        <v>971</v>
      </c>
      <c r="S878" s="1" t="str">
        <f t="shared" si="8"/>
        <v>60Hz</v>
      </c>
      <c r="T878" s="1" t="s">
        <v>2507</v>
      </c>
      <c r="U878" s="1" t="str">
        <f t="shared" si="9"/>
        <v>DOS</v>
      </c>
      <c r="V878" s="1" t="s">
        <v>3321</v>
      </c>
      <c r="W878" s="1" t="str">
        <f t="shared" si="10"/>
        <v>1.7 kg</v>
      </c>
      <c r="X878" s="1" t="s">
        <v>78</v>
      </c>
      <c r="Y878" s="1" t="str">
        <f t="shared" si="11"/>
        <v>1 Year</v>
      </c>
      <c r="Z878" s="4">
        <v>19000</v>
      </c>
      <c r="AA878" s="1" t="s">
        <v>2181</v>
      </c>
    </row>
    <row r="879" spans="1:27" ht="15.75" customHeight="1" x14ac:dyDescent="0.35">
      <c r="A879" s="1" t="s">
        <v>30</v>
      </c>
      <c r="B879" s="1" t="str">
        <f t="shared" si="16"/>
        <v>MSI</v>
      </c>
      <c r="C879" s="1" t="s">
        <v>5021</v>
      </c>
      <c r="D879" s="1" t="str">
        <f t="shared" si="1"/>
        <v>Modern 14 B10MW</v>
      </c>
      <c r="E879" s="1" t="str">
        <f t="array" aca="1" ref="E879" ca="1">IFERROR(
INDEX(Family_Map!$B$2:$B$35,
_xludf.AGGREGATE(14,6,(ROW(Family_Map!$A$2:$A$35)-ROW(Family_Map!$A$2)+1)/(ISNUMBER(SEARCH(Family_Map!$A$2:$A$35,D879))),1)
),
"Other")</f>
        <v>Other</v>
      </c>
      <c r="F879" s="1" t="s">
        <v>4099</v>
      </c>
      <c r="G879" s="1" t="e">
        <f t="shared" ca="1" si="2"/>
        <v>#NAME?</v>
      </c>
      <c r="H879" s="1" t="str">
        <f t="shared" ca="1" si="12"/>
        <v>Other</v>
      </c>
      <c r="J879" s="1" t="str">
        <f t="shared" si="3"/>
        <v/>
      </c>
      <c r="K879" s="1" t="s">
        <v>5022</v>
      </c>
      <c r="L879" s="1">
        <f t="shared" si="40"/>
        <v>4</v>
      </c>
      <c r="M879" s="1" t="s">
        <v>5023</v>
      </c>
      <c r="N879" s="1" t="str">
        <f t="shared" si="5"/>
        <v>256GB</v>
      </c>
      <c r="O879" s="1" t="str">
        <f t="shared" si="6"/>
        <v>256GB</v>
      </c>
      <c r="P879" s="1" t="s">
        <v>120</v>
      </c>
      <c r="Q879" s="1" t="str">
        <f t="shared" si="7"/>
        <v>1920x1080</v>
      </c>
      <c r="R879" s="1" t="s">
        <v>971</v>
      </c>
      <c r="S879" s="1" t="str">
        <f t="shared" si="8"/>
        <v>60Hz</v>
      </c>
      <c r="T879" s="1" t="s">
        <v>2507</v>
      </c>
      <c r="U879" s="1" t="str">
        <f t="shared" si="9"/>
        <v>DOS</v>
      </c>
      <c r="V879" s="1" t="s">
        <v>4249</v>
      </c>
      <c r="W879" s="1" t="str">
        <f t="shared" si="10"/>
        <v>1.3 kg</v>
      </c>
      <c r="X879" s="1" t="s">
        <v>129</v>
      </c>
      <c r="Y879" s="1" t="str">
        <f t="shared" si="11"/>
        <v>1 Year</v>
      </c>
      <c r="Z879" s="4">
        <v>19000</v>
      </c>
      <c r="AA879" s="1" t="s">
        <v>2181</v>
      </c>
    </row>
    <row r="880" spans="1:27" ht="15.75" customHeight="1" x14ac:dyDescent="0.35">
      <c r="A880" s="1" t="s">
        <v>3729</v>
      </c>
      <c r="B880" s="1" t="str">
        <f t="shared" si="16"/>
        <v>Microsoft</v>
      </c>
      <c r="C880" s="1" t="s">
        <v>5028</v>
      </c>
      <c r="D880" s="1" t="str">
        <f t="shared" si="1"/>
        <v>Surface Pro 11th Edition Copilot+</v>
      </c>
      <c r="E880" s="1" t="str">
        <f t="array" aca="1" ref="E880" ca="1">IFERROR(
INDEX(Family_Map!$B$2:$B$35,
_xludf.AGGREGATE(14,6,(ROW(Family_Map!$A$2:$A$35)-ROW(Family_Map!$A$2)+1)/(ISNUMBER(SEARCH(Family_Map!$A$2:$A$35,D880))),1)
),
"Other")</f>
        <v>Other</v>
      </c>
      <c r="F880" s="1" t="s">
        <v>3731</v>
      </c>
      <c r="G880" s="1" t="e">
        <f t="shared" ca="1" si="2"/>
        <v>#NAME?</v>
      </c>
      <c r="H880" s="1" t="str">
        <f t="shared" ca="1" si="12"/>
        <v>Other</v>
      </c>
      <c r="J880" s="1" t="str">
        <f t="shared" si="3"/>
        <v/>
      </c>
      <c r="K880" s="1" t="s">
        <v>491</v>
      </c>
      <c r="L880" s="1">
        <f t="shared" si="40"/>
        <v>16</v>
      </c>
      <c r="M880" s="1" t="s">
        <v>322</v>
      </c>
      <c r="N880" s="1" t="str">
        <f t="shared" si="5"/>
        <v>1TB</v>
      </c>
      <c r="O880" s="1" t="str">
        <f t="shared" si="6"/>
        <v>1024GB</v>
      </c>
      <c r="Q880" s="1" t="str">
        <f t="shared" si="7"/>
        <v/>
      </c>
      <c r="S880" s="1" t="str">
        <f t="shared" si="8"/>
        <v/>
      </c>
      <c r="T880" s="1" t="s">
        <v>555</v>
      </c>
      <c r="U880" s="1" t="str">
        <f t="shared" si="9"/>
        <v>Windows 11 Home</v>
      </c>
      <c r="V880" s="1" t="s">
        <v>3735</v>
      </c>
      <c r="W880" s="1" t="str">
        <f t="shared" si="10"/>
        <v>0.9 kg</v>
      </c>
      <c r="X880" s="1" t="s">
        <v>78</v>
      </c>
      <c r="Y880" s="1" t="str">
        <f t="shared" si="11"/>
        <v>1 Year</v>
      </c>
      <c r="Z880" s="4">
        <v>135000</v>
      </c>
      <c r="AA880" s="1" t="s">
        <v>5735</v>
      </c>
    </row>
    <row r="881" spans="1:27" ht="15.75" customHeight="1" x14ac:dyDescent="0.35">
      <c r="A881" s="1" t="s">
        <v>151</v>
      </c>
      <c r="B881" s="1" t="str">
        <f t="shared" si="16"/>
        <v>Lenovo</v>
      </c>
      <c r="C881" s="1" t="s">
        <v>5033</v>
      </c>
      <c r="D881" s="1" t="str">
        <f t="shared" si="1"/>
        <v>ThinkPad E16 Gen 2</v>
      </c>
      <c r="E881" s="1" t="str">
        <f t="array" aca="1" ref="E881" ca="1">IFERROR(
INDEX(Family_Map!$B$2:$B$35,
_xludf.AGGREGATE(14,6,(ROW(Family_Map!$A$2:$A$35)-ROW(Family_Map!$A$2)+1)/(ISNUMBER(SEARCH(Family_Map!$A$2:$A$35,D881))),1)
),
"Other")</f>
        <v>Other</v>
      </c>
      <c r="F881" s="1" t="s">
        <v>5034</v>
      </c>
      <c r="G881" s="1" t="e">
        <f t="shared" ca="1" si="2"/>
        <v>#NAME?</v>
      </c>
      <c r="H881" s="1" t="str">
        <f t="shared" ca="1" si="12"/>
        <v>Other</v>
      </c>
      <c r="J881" s="1" t="str">
        <f t="shared" si="3"/>
        <v/>
      </c>
      <c r="K881" s="1" t="s">
        <v>5035</v>
      </c>
      <c r="L881" s="1">
        <f t="shared" si="40"/>
        <v>16</v>
      </c>
      <c r="M881" s="1" t="s">
        <v>5036</v>
      </c>
      <c r="N881" s="1" t="str">
        <f t="shared" si="5"/>
        <v>512 GB</v>
      </c>
      <c r="O881" s="1" t="str">
        <f t="shared" si="6"/>
        <v>512 GB</v>
      </c>
      <c r="P881" s="1" t="s">
        <v>1015</v>
      </c>
      <c r="Q881" s="1" t="str">
        <f t="shared" si="7"/>
        <v>1920x1200</v>
      </c>
      <c r="S881" s="1" t="str">
        <f t="shared" si="8"/>
        <v/>
      </c>
      <c r="T881" s="1" t="s">
        <v>101</v>
      </c>
      <c r="U881" s="1" t="str">
        <f t="shared" si="9"/>
        <v>DOS</v>
      </c>
      <c r="W881" s="1" t="str">
        <f t="shared" si="10"/>
        <v/>
      </c>
      <c r="X881" s="1" t="s">
        <v>78</v>
      </c>
      <c r="Y881" s="1" t="str">
        <f t="shared" si="11"/>
        <v>1 Year</v>
      </c>
      <c r="Z881" s="4">
        <v>35777</v>
      </c>
      <c r="AA881" s="1" t="s">
        <v>5735</v>
      </c>
    </row>
    <row r="882" spans="1:27" ht="15.75" customHeight="1" x14ac:dyDescent="0.35">
      <c r="A882" s="1" t="s">
        <v>151</v>
      </c>
      <c r="B882" s="1" t="str">
        <f t="shared" si="16"/>
        <v>Lenovo</v>
      </c>
      <c r="C882" s="1" t="s">
        <v>3976</v>
      </c>
      <c r="D882" s="1" t="str">
        <f t="shared" si="1"/>
        <v>V15 G3 IAP</v>
      </c>
      <c r="E882" s="1" t="str">
        <f t="array" aca="1" ref="E882" ca="1">IFERROR(
INDEX(Family_Map!$B$2:$B$35,
_xludf.AGGREGATE(14,6,(ROW(Family_Map!$A$2:$A$35)-ROW(Family_Map!$A$2)+1)/(ISNUMBER(SEARCH(Family_Map!$A$2:$A$35,D882))),1)
),
"Other")</f>
        <v>Other</v>
      </c>
      <c r="F882" s="1" t="s">
        <v>5041</v>
      </c>
      <c r="G882" s="1" t="e">
        <f t="shared" ca="1" si="2"/>
        <v>#NAME?</v>
      </c>
      <c r="H882" s="1" t="str">
        <f t="shared" ca="1" si="12"/>
        <v>Other</v>
      </c>
      <c r="J882" s="1" t="str">
        <f t="shared" si="3"/>
        <v/>
      </c>
      <c r="K882" s="1" t="s">
        <v>3327</v>
      </c>
      <c r="L882" s="1">
        <f t="shared" si="40"/>
        <v>8</v>
      </c>
      <c r="M882" s="1" t="s">
        <v>156</v>
      </c>
      <c r="N882" s="1" t="str">
        <f t="shared" si="5"/>
        <v>512GB</v>
      </c>
      <c r="O882" s="1" t="str">
        <f t="shared" si="6"/>
        <v>512GB</v>
      </c>
      <c r="P882" s="1" t="s">
        <v>74</v>
      </c>
      <c r="Q882" s="1" t="str">
        <f t="shared" si="7"/>
        <v>1920x1080</v>
      </c>
      <c r="S882" s="1" t="str">
        <f t="shared" si="8"/>
        <v/>
      </c>
      <c r="T882" s="1" t="s">
        <v>121</v>
      </c>
      <c r="U882" s="1" t="str">
        <f t="shared" si="9"/>
        <v>DOS</v>
      </c>
      <c r="V882" s="1" t="s">
        <v>3321</v>
      </c>
      <c r="W882" s="1" t="str">
        <f t="shared" si="10"/>
        <v>1.7 kg</v>
      </c>
      <c r="X882" s="1" t="s">
        <v>129</v>
      </c>
      <c r="Y882" s="1" t="str">
        <f t="shared" si="11"/>
        <v>1 Year</v>
      </c>
      <c r="Z882" s="4">
        <v>19999</v>
      </c>
      <c r="AA882" s="1" t="s">
        <v>166</v>
      </c>
    </row>
    <row r="883" spans="1:27" ht="15.75" customHeight="1" x14ac:dyDescent="0.35">
      <c r="A883" s="1" t="s">
        <v>151</v>
      </c>
      <c r="B883" s="1" t="str">
        <f t="shared" si="16"/>
        <v>Lenovo</v>
      </c>
      <c r="C883" s="1" t="s">
        <v>5043</v>
      </c>
      <c r="D883" s="1" t="str">
        <f t="shared" si="1"/>
        <v>ThinkPad E14 Gen 5</v>
      </c>
      <c r="E883" s="1" t="str">
        <f t="array" aca="1" ref="E883" ca="1">IFERROR(
INDEX(Family_Map!$B$2:$B$35,
_xludf.AGGREGATE(14,6,(ROW(Family_Map!$A$2:$A$35)-ROW(Family_Map!$A$2)+1)/(ISNUMBER(SEARCH(Family_Map!$A$2:$A$35,D883))),1)
),
"Other")</f>
        <v>Other</v>
      </c>
      <c r="F883" s="1" t="s">
        <v>5044</v>
      </c>
      <c r="G883" s="1" t="e">
        <f t="shared" ca="1" si="2"/>
        <v>#NAME?</v>
      </c>
      <c r="H883" s="1" t="str">
        <f t="shared" ca="1" si="12"/>
        <v>Other</v>
      </c>
      <c r="J883" s="1" t="str">
        <f t="shared" si="3"/>
        <v/>
      </c>
      <c r="K883" s="1" t="s">
        <v>5045</v>
      </c>
      <c r="L883" s="1">
        <f t="shared" si="40"/>
        <v>8</v>
      </c>
      <c r="M883" s="1" t="s">
        <v>5046</v>
      </c>
      <c r="N883" s="1" t="str">
        <f t="shared" si="5"/>
        <v>512GB</v>
      </c>
      <c r="O883" s="1" t="str">
        <f t="shared" si="6"/>
        <v>512GB</v>
      </c>
      <c r="P883" s="1" t="s">
        <v>1015</v>
      </c>
      <c r="Q883" s="1" t="str">
        <f t="shared" si="7"/>
        <v>1920x1200</v>
      </c>
      <c r="S883" s="1" t="str">
        <f t="shared" si="8"/>
        <v/>
      </c>
      <c r="T883" s="1" t="s">
        <v>101</v>
      </c>
      <c r="U883" s="1" t="str">
        <f t="shared" si="9"/>
        <v>DOS</v>
      </c>
      <c r="V883" s="1" t="s">
        <v>5051</v>
      </c>
      <c r="W883" s="1" t="str">
        <f t="shared" si="10"/>
        <v>1.43 kg</v>
      </c>
      <c r="X883" s="1" t="s">
        <v>78</v>
      </c>
      <c r="Y883" s="1" t="str">
        <f t="shared" si="11"/>
        <v>1 Year</v>
      </c>
      <c r="Z883" s="4">
        <v>37999</v>
      </c>
      <c r="AA883" s="1" t="s">
        <v>79</v>
      </c>
    </row>
    <row r="884" spans="1:27" ht="15.75" customHeight="1" x14ac:dyDescent="0.35">
      <c r="A884" s="1" t="s">
        <v>234</v>
      </c>
      <c r="B884" s="1" t="str">
        <f t="shared" si="16"/>
        <v>ASUS</v>
      </c>
      <c r="C884" s="1" t="s">
        <v>5054</v>
      </c>
      <c r="D884" s="1" t="str">
        <f t="shared" si="1"/>
        <v>ExpertBook B1502CBA-NJ3220</v>
      </c>
      <c r="E884" s="1" t="str">
        <f t="array" aca="1" ref="E884" ca="1">IFERROR(
INDEX(Family_Map!$B$2:$B$35,
_xludf.AGGREGATE(14,6,(ROW(Family_Map!$A$2:$A$35)-ROW(Family_Map!$A$2)+1)/(ISNUMBER(SEARCH(Family_Map!$A$2:$A$35,D884))),1)
),
"Other")</f>
        <v>Other</v>
      </c>
      <c r="F884" s="1" t="s">
        <v>3894</v>
      </c>
      <c r="G884" s="1" t="e">
        <f t="shared" ca="1" si="2"/>
        <v>#NAME?</v>
      </c>
      <c r="H884" s="1" t="str">
        <f t="shared" ca="1" si="12"/>
        <v>Other</v>
      </c>
      <c r="J884" s="1" t="str">
        <f t="shared" si="3"/>
        <v/>
      </c>
      <c r="K884" s="1" t="s">
        <v>5055</v>
      </c>
      <c r="L884" s="1">
        <f t="shared" si="40"/>
        <v>8</v>
      </c>
      <c r="M884" s="1" t="s">
        <v>5056</v>
      </c>
      <c r="N884" s="1" t="str">
        <f t="shared" si="5"/>
        <v>512GB</v>
      </c>
      <c r="O884" s="1" t="str">
        <f t="shared" si="6"/>
        <v>512GB</v>
      </c>
      <c r="P884" s="1" t="s">
        <v>120</v>
      </c>
      <c r="Q884" s="1" t="str">
        <f t="shared" si="7"/>
        <v>1920x1080</v>
      </c>
      <c r="S884" s="1" t="str">
        <f t="shared" si="8"/>
        <v/>
      </c>
      <c r="T884" s="1" t="s">
        <v>101</v>
      </c>
      <c r="U884" s="1" t="str">
        <f t="shared" si="9"/>
        <v>DOS</v>
      </c>
      <c r="V884" s="1" t="s">
        <v>4092</v>
      </c>
      <c r="W884" s="1" t="str">
        <f t="shared" si="10"/>
        <v>1.69 kg</v>
      </c>
      <c r="X884" s="1" t="s">
        <v>78</v>
      </c>
      <c r="Y884" s="1" t="str">
        <f t="shared" si="11"/>
        <v>1 Year</v>
      </c>
      <c r="Z884" s="4">
        <v>23999</v>
      </c>
      <c r="AA884" s="1" t="s">
        <v>166</v>
      </c>
    </row>
    <row r="885" spans="1:27" ht="15.75" customHeight="1" x14ac:dyDescent="0.35">
      <c r="A885" s="1" t="s">
        <v>81</v>
      </c>
      <c r="B885" s="1" t="str">
        <f t="shared" si="16"/>
        <v>Dell</v>
      </c>
      <c r="C885" s="1" t="s">
        <v>5063</v>
      </c>
      <c r="D885" s="1" t="str">
        <f t="shared" si="1"/>
        <v>Pro 16 PC16250</v>
      </c>
      <c r="E885" s="1" t="str">
        <f t="array" aca="1" ref="E885" ca="1">IFERROR(
INDEX(Family_Map!$B$2:$B$35,
_xludf.AGGREGATE(14,6,(ROW(Family_Map!$A$2:$A$35)-ROW(Family_Map!$A$2)+1)/(ISNUMBER(SEARCH(Family_Map!$A$2:$A$35,D885))),1)
),
"Other")</f>
        <v>Other</v>
      </c>
      <c r="F885" s="1" t="s">
        <v>5064</v>
      </c>
      <c r="G885" s="1" t="e">
        <f t="shared" ca="1" si="2"/>
        <v>#NAME?</v>
      </c>
      <c r="H885" s="1" t="str">
        <f t="shared" ca="1" si="12"/>
        <v>Other</v>
      </c>
      <c r="J885" s="1" t="str">
        <f t="shared" si="3"/>
        <v/>
      </c>
      <c r="K885" s="1" t="s">
        <v>5066</v>
      </c>
      <c r="L885" s="1">
        <f t="shared" si="40"/>
        <v>16</v>
      </c>
      <c r="M885" s="1" t="s">
        <v>72</v>
      </c>
      <c r="N885" s="1" t="str">
        <f t="shared" si="5"/>
        <v>512 GB</v>
      </c>
      <c r="O885" s="1" t="str">
        <f t="shared" si="6"/>
        <v>512 GB</v>
      </c>
      <c r="Q885" s="1" t="str">
        <f t="shared" si="7"/>
        <v/>
      </c>
      <c r="S885" s="1" t="str">
        <f t="shared" si="8"/>
        <v/>
      </c>
      <c r="T885" s="1" t="s">
        <v>101</v>
      </c>
      <c r="U885" s="1" t="str">
        <f t="shared" si="9"/>
        <v>DOS</v>
      </c>
      <c r="W885" s="1" t="str">
        <f t="shared" si="10"/>
        <v/>
      </c>
      <c r="X885" s="1" t="s">
        <v>425</v>
      </c>
      <c r="Y885" s="1" t="str">
        <f t="shared" si="11"/>
        <v>3 Years</v>
      </c>
      <c r="Z885" s="4">
        <v>57777</v>
      </c>
      <c r="AA885" s="1" t="s">
        <v>5735</v>
      </c>
    </row>
    <row r="886" spans="1:27" ht="15.75" customHeight="1" x14ac:dyDescent="0.35">
      <c r="A886" s="1" t="s">
        <v>81</v>
      </c>
      <c r="B886" s="1" t="str">
        <f t="shared" si="16"/>
        <v>Dell</v>
      </c>
      <c r="C886" s="1" t="s">
        <v>5063</v>
      </c>
      <c r="D886" s="1" t="str">
        <f t="shared" si="1"/>
        <v>Pro 16 PC16250</v>
      </c>
      <c r="E886" s="1" t="str">
        <f t="array" aca="1" ref="E886" ca="1">IFERROR(
INDEX(Family_Map!$B$2:$B$35,
_xludf.AGGREGATE(14,6,(ROW(Family_Map!$A$2:$A$35)-ROW(Family_Map!$A$2)+1)/(ISNUMBER(SEARCH(Family_Map!$A$2:$A$35,D886))),1)
),
"Other")</f>
        <v>Other</v>
      </c>
      <c r="F886" s="1" t="s">
        <v>5064</v>
      </c>
      <c r="G886" s="1" t="e">
        <f t="shared" ca="1" si="2"/>
        <v>#NAME?</v>
      </c>
      <c r="H886" s="1" t="str">
        <f t="shared" ca="1" si="12"/>
        <v>Other</v>
      </c>
      <c r="J886" s="1" t="str">
        <f t="shared" si="3"/>
        <v/>
      </c>
      <c r="K886" s="1" t="s">
        <v>5072</v>
      </c>
      <c r="L886" s="1">
        <f t="shared" si="40"/>
        <v>8</v>
      </c>
      <c r="M886" s="1" t="s">
        <v>72</v>
      </c>
      <c r="N886" s="1" t="str">
        <f t="shared" si="5"/>
        <v>512 GB</v>
      </c>
      <c r="O886" s="1" t="str">
        <f t="shared" si="6"/>
        <v>512 GB</v>
      </c>
      <c r="Q886" s="1" t="str">
        <f t="shared" si="7"/>
        <v/>
      </c>
      <c r="S886" s="1" t="str">
        <f t="shared" si="8"/>
        <v/>
      </c>
      <c r="T886" s="1" t="s">
        <v>101</v>
      </c>
      <c r="U886" s="1" t="str">
        <f t="shared" si="9"/>
        <v>DOS</v>
      </c>
      <c r="W886" s="1" t="str">
        <f t="shared" si="10"/>
        <v/>
      </c>
      <c r="X886" s="1" t="s">
        <v>425</v>
      </c>
      <c r="Y886" s="1" t="str">
        <f t="shared" si="11"/>
        <v>3 Years</v>
      </c>
      <c r="Z886" s="4">
        <v>56999</v>
      </c>
      <c r="AA886" s="1" t="s">
        <v>5735</v>
      </c>
    </row>
    <row r="887" spans="1:27" ht="15.75" customHeight="1" x14ac:dyDescent="0.35">
      <c r="A887" s="1" t="s">
        <v>81</v>
      </c>
      <c r="B887" s="1" t="str">
        <f t="shared" si="16"/>
        <v>Dell</v>
      </c>
      <c r="C887" s="1" t="s">
        <v>5073</v>
      </c>
      <c r="D887" s="1" t="str">
        <f t="shared" si="1"/>
        <v>Pro 14 PC14250</v>
      </c>
      <c r="E887" s="1" t="str">
        <f t="array" aca="1" ref="E887" ca="1">IFERROR(
INDEX(Family_Map!$B$2:$B$35,
_xludf.AGGREGATE(14,6,(ROW(Family_Map!$A$2:$A$35)-ROW(Family_Map!$A$2)+1)/(ISNUMBER(SEARCH(Family_Map!$A$2:$A$35,D887))),1)
),
"Other")</f>
        <v>Other</v>
      </c>
      <c r="F887" s="1" t="s">
        <v>5074</v>
      </c>
      <c r="G887" s="1" t="e">
        <f t="shared" ca="1" si="2"/>
        <v>#NAME?</v>
      </c>
      <c r="H887" s="1" t="str">
        <f t="shared" ca="1" si="12"/>
        <v>Other</v>
      </c>
      <c r="J887" s="1" t="str">
        <f t="shared" si="3"/>
        <v/>
      </c>
      <c r="K887" s="1" t="s">
        <v>5066</v>
      </c>
      <c r="L887" s="1">
        <f t="shared" si="40"/>
        <v>16</v>
      </c>
      <c r="M887" s="1" t="s">
        <v>5075</v>
      </c>
      <c r="N887" s="1" t="str">
        <f t="shared" si="5"/>
        <v>512 GB</v>
      </c>
      <c r="O887" s="1" t="str">
        <f t="shared" si="6"/>
        <v>512 GB</v>
      </c>
      <c r="Q887" s="1" t="str">
        <f t="shared" si="7"/>
        <v/>
      </c>
      <c r="S887" s="1" t="str">
        <f t="shared" si="8"/>
        <v/>
      </c>
      <c r="T887" s="1" t="s">
        <v>101</v>
      </c>
      <c r="U887" s="1" t="str">
        <f t="shared" si="9"/>
        <v>DOS</v>
      </c>
      <c r="W887" s="1" t="str">
        <f t="shared" si="10"/>
        <v/>
      </c>
      <c r="X887" s="1" t="s">
        <v>425</v>
      </c>
      <c r="Y887" s="1" t="str">
        <f t="shared" si="11"/>
        <v>3 Years</v>
      </c>
      <c r="Z887" s="4">
        <v>57777</v>
      </c>
      <c r="AA887" s="1" t="s">
        <v>5735</v>
      </c>
    </row>
    <row r="888" spans="1:27" ht="15.75" customHeight="1" x14ac:dyDescent="0.35">
      <c r="A888" s="1" t="s">
        <v>81</v>
      </c>
      <c r="B888" s="1" t="str">
        <f t="shared" si="16"/>
        <v>Dell</v>
      </c>
      <c r="C888" s="1" t="s">
        <v>5073</v>
      </c>
      <c r="D888" s="1" t="str">
        <f t="shared" si="1"/>
        <v>Pro 14 PC14250</v>
      </c>
      <c r="E888" s="1" t="str">
        <f t="array" aca="1" ref="E888" ca="1">IFERROR(
INDEX(Family_Map!$B$2:$B$35,
_xludf.AGGREGATE(14,6,(ROW(Family_Map!$A$2:$A$35)-ROW(Family_Map!$A$2)+1)/(ISNUMBER(SEARCH(Family_Map!$A$2:$A$35,D888))),1)
),
"Other")</f>
        <v>Other</v>
      </c>
      <c r="F888" s="1" t="s">
        <v>5080</v>
      </c>
      <c r="G888" s="1" t="e">
        <f t="shared" ca="1" si="2"/>
        <v>#NAME?</v>
      </c>
      <c r="H888" s="1" t="str">
        <f t="shared" ca="1" si="12"/>
        <v>Other</v>
      </c>
      <c r="J888" s="1" t="str">
        <f t="shared" si="3"/>
        <v/>
      </c>
      <c r="K888" s="1" t="s">
        <v>5081</v>
      </c>
      <c r="L888" s="1">
        <f t="shared" si="40"/>
        <v>8</v>
      </c>
      <c r="M888" s="1" t="s">
        <v>72</v>
      </c>
      <c r="N888" s="1" t="str">
        <f t="shared" si="5"/>
        <v>512 GB</v>
      </c>
      <c r="O888" s="1" t="str">
        <f t="shared" si="6"/>
        <v>512 GB</v>
      </c>
      <c r="Q888" s="1" t="str">
        <f t="shared" si="7"/>
        <v/>
      </c>
      <c r="S888" s="1" t="str">
        <f t="shared" si="8"/>
        <v/>
      </c>
      <c r="T888" s="1" t="s">
        <v>101</v>
      </c>
      <c r="U888" s="1" t="str">
        <f t="shared" si="9"/>
        <v>DOS</v>
      </c>
      <c r="W888" s="1" t="str">
        <f t="shared" si="10"/>
        <v/>
      </c>
      <c r="X888" s="1" t="s">
        <v>425</v>
      </c>
      <c r="Y888" s="1" t="str">
        <f t="shared" si="11"/>
        <v>3 Years</v>
      </c>
      <c r="Z888" s="4">
        <v>43499</v>
      </c>
      <c r="AA888" s="1" t="s">
        <v>5735</v>
      </c>
    </row>
    <row r="889" spans="1:27" ht="15.75" customHeight="1" x14ac:dyDescent="0.35">
      <c r="A889" s="1" t="s">
        <v>81</v>
      </c>
      <c r="B889" s="1" t="str">
        <f t="shared" si="16"/>
        <v>Dell</v>
      </c>
      <c r="C889" s="1" t="s">
        <v>5073</v>
      </c>
      <c r="D889" s="1" t="str">
        <f t="shared" si="1"/>
        <v>Pro 14 PC14250</v>
      </c>
      <c r="E889" s="1" t="str">
        <f t="array" aca="1" ref="E889" ca="1">IFERROR(
INDEX(Family_Map!$B$2:$B$35,
_xludf.AGGREGATE(14,6,(ROW(Family_Map!$A$2:$A$35)-ROW(Family_Map!$A$2)+1)/(ISNUMBER(SEARCH(Family_Map!$A$2:$A$35,D889))),1)
),
"Other")</f>
        <v>Other</v>
      </c>
      <c r="F889" s="1" t="s">
        <v>3376</v>
      </c>
      <c r="G889" s="1" t="e">
        <f t="shared" ca="1" si="2"/>
        <v>#NAME?</v>
      </c>
      <c r="H889" s="1" t="str">
        <f t="shared" ca="1" si="12"/>
        <v>Other</v>
      </c>
      <c r="J889" s="1" t="str">
        <f t="shared" si="3"/>
        <v/>
      </c>
      <c r="K889" s="1" t="s">
        <v>5087</v>
      </c>
      <c r="L889" s="1">
        <f t="shared" si="40"/>
        <v>8</v>
      </c>
      <c r="M889" s="1" t="s">
        <v>72</v>
      </c>
      <c r="N889" s="1" t="str">
        <f t="shared" si="5"/>
        <v>512 GB</v>
      </c>
      <c r="O889" s="1" t="str">
        <f t="shared" si="6"/>
        <v>512 GB</v>
      </c>
      <c r="Q889" s="1" t="str">
        <f t="shared" si="7"/>
        <v/>
      </c>
      <c r="S889" s="1" t="str">
        <f t="shared" si="8"/>
        <v/>
      </c>
      <c r="T889" s="1" t="s">
        <v>101</v>
      </c>
      <c r="U889" s="1" t="str">
        <f t="shared" si="9"/>
        <v>DOS</v>
      </c>
      <c r="W889" s="1" t="str">
        <f t="shared" si="10"/>
        <v/>
      </c>
      <c r="X889" s="1" t="s">
        <v>425</v>
      </c>
      <c r="Y889" s="1" t="str">
        <f t="shared" si="11"/>
        <v>3 Years</v>
      </c>
      <c r="Z889" s="4">
        <v>37999</v>
      </c>
      <c r="AA889" s="1" t="s">
        <v>166</v>
      </c>
    </row>
    <row r="890" spans="1:27" ht="15.75" customHeight="1" x14ac:dyDescent="0.35">
      <c r="A890" s="1" t="s">
        <v>112</v>
      </c>
      <c r="B890" s="1" t="str">
        <f t="shared" si="16"/>
        <v>HP</v>
      </c>
      <c r="C890" s="1" t="s">
        <v>5092</v>
      </c>
      <c r="D890" s="1" t="str">
        <f t="shared" si="1"/>
        <v>ProBook 460 G11</v>
      </c>
      <c r="E890" s="1" t="str">
        <f t="array" aca="1" ref="E890" ca="1">IFERROR(
INDEX(Family_Map!$B$2:$B$35,
_xludf.AGGREGATE(14,6,(ROW(Family_Map!$A$2:$A$35)-ROW(Family_Map!$A$2)+1)/(ISNUMBER(SEARCH(Family_Map!$A$2:$A$35,D890))),1)
),
"Other")</f>
        <v>Other</v>
      </c>
      <c r="F890" s="1" t="s">
        <v>3594</v>
      </c>
      <c r="G890" s="1" t="e">
        <f t="shared" ca="1" si="2"/>
        <v>#NAME?</v>
      </c>
      <c r="H890" s="1" t="str">
        <f t="shared" ca="1" si="12"/>
        <v>Other</v>
      </c>
      <c r="J890" s="1" t="str">
        <f t="shared" si="3"/>
        <v/>
      </c>
      <c r="K890" s="1" t="s">
        <v>5093</v>
      </c>
      <c r="L890" s="1">
        <f t="shared" si="40"/>
        <v>16</v>
      </c>
      <c r="M890" s="1" t="s">
        <v>5094</v>
      </c>
      <c r="N890" s="1" t="str">
        <f t="shared" si="5"/>
        <v>512 GB</v>
      </c>
      <c r="O890" s="1" t="str">
        <f t="shared" si="6"/>
        <v>512 GB</v>
      </c>
      <c r="P890" s="1" t="s">
        <v>275</v>
      </c>
      <c r="Q890" s="1" t="str">
        <f t="shared" si="7"/>
        <v>1920x1200</v>
      </c>
      <c r="S890" s="1" t="str">
        <f t="shared" si="8"/>
        <v/>
      </c>
      <c r="T890" s="1" t="s">
        <v>101</v>
      </c>
      <c r="U890" s="1" t="str">
        <f t="shared" si="9"/>
        <v>DOS</v>
      </c>
      <c r="V890" s="1" t="s">
        <v>3850</v>
      </c>
      <c r="W890" s="1" t="str">
        <f t="shared" si="10"/>
        <v>1.74 kg</v>
      </c>
      <c r="X890" s="1" t="s">
        <v>78</v>
      </c>
      <c r="Y890" s="1" t="str">
        <f t="shared" si="11"/>
        <v>1 Year</v>
      </c>
      <c r="Z890" s="4">
        <v>35999</v>
      </c>
      <c r="AA890" s="1" t="s">
        <v>5735</v>
      </c>
    </row>
    <row r="891" spans="1:27" ht="15.75" customHeight="1" x14ac:dyDescent="0.35">
      <c r="A891" s="1" t="s">
        <v>112</v>
      </c>
      <c r="B891" s="1" t="str">
        <f t="shared" si="16"/>
        <v>HP</v>
      </c>
      <c r="C891" s="1" t="s">
        <v>5102</v>
      </c>
      <c r="D891" s="1" t="str">
        <f t="shared" si="1"/>
        <v>ProBook 450 G10</v>
      </c>
      <c r="E891" s="1" t="str">
        <f t="array" aca="1" ref="E891" ca="1">IFERROR(
INDEX(Family_Map!$B$2:$B$35,
_xludf.AGGREGATE(14,6,(ROW(Family_Map!$A$2:$A$35)-ROW(Family_Map!$A$2)+1)/(ISNUMBER(SEARCH(Family_Map!$A$2:$A$35,D891))),1)
),
"Other")</f>
        <v>Other</v>
      </c>
      <c r="F891" s="1" t="s">
        <v>3314</v>
      </c>
      <c r="G891" s="1" t="e">
        <f t="shared" ca="1" si="2"/>
        <v>#NAME?</v>
      </c>
      <c r="H891" s="1" t="str">
        <f t="shared" ca="1" si="12"/>
        <v>Other</v>
      </c>
      <c r="J891" s="1" t="str">
        <f t="shared" si="3"/>
        <v/>
      </c>
      <c r="K891" s="1" t="s">
        <v>117</v>
      </c>
      <c r="L891" s="1">
        <f t="shared" si="40"/>
        <v>16</v>
      </c>
      <c r="M891" s="1" t="s">
        <v>5094</v>
      </c>
      <c r="N891" s="1" t="str">
        <f t="shared" si="5"/>
        <v>512 GB</v>
      </c>
      <c r="O891" s="1" t="str">
        <f t="shared" si="6"/>
        <v>512 GB</v>
      </c>
      <c r="P891" s="1" t="s">
        <v>120</v>
      </c>
      <c r="Q891" s="1" t="str">
        <f t="shared" si="7"/>
        <v>1920x1080</v>
      </c>
      <c r="S891" s="1" t="str">
        <f t="shared" si="8"/>
        <v/>
      </c>
      <c r="T891" s="1" t="s">
        <v>101</v>
      </c>
      <c r="U891" s="1" t="str">
        <f t="shared" si="9"/>
        <v>DOS</v>
      </c>
      <c r="V891" s="1" t="s">
        <v>5107</v>
      </c>
      <c r="W891" s="1" t="str">
        <f t="shared" si="10"/>
        <v>1.79 kg</v>
      </c>
      <c r="X891" s="1" t="s">
        <v>78</v>
      </c>
      <c r="Y891" s="1" t="str">
        <f t="shared" si="11"/>
        <v>1 Year</v>
      </c>
      <c r="Z891" s="4">
        <v>28777</v>
      </c>
      <c r="AA891" s="1" t="s">
        <v>79</v>
      </c>
    </row>
    <row r="892" spans="1:27" ht="15.75" customHeight="1" x14ac:dyDescent="0.35">
      <c r="A892" s="1" t="s">
        <v>112</v>
      </c>
      <c r="B892" s="1" t="str">
        <f t="shared" si="16"/>
        <v>HP</v>
      </c>
      <c r="C892" s="1" t="s">
        <v>5102</v>
      </c>
      <c r="D892" s="1" t="str">
        <f t="shared" si="1"/>
        <v>ProBook 450 G10</v>
      </c>
      <c r="E892" s="1" t="str">
        <f t="array" aca="1" ref="E892" ca="1">IFERROR(
INDEX(Family_Map!$B$2:$B$35,
_xludf.AGGREGATE(14,6,(ROW(Family_Map!$A$2:$A$35)-ROW(Family_Map!$A$2)+1)/(ISNUMBER(SEARCH(Family_Map!$A$2:$A$35,D892))),1)
),
"Other")</f>
        <v>Other</v>
      </c>
      <c r="F892" s="1" t="s">
        <v>3758</v>
      </c>
      <c r="G892" s="1" t="e">
        <f t="shared" ca="1" si="2"/>
        <v>#NAME?</v>
      </c>
      <c r="H892" s="1" t="str">
        <f t="shared" ca="1" si="12"/>
        <v>Other</v>
      </c>
      <c r="J892" s="1" t="str">
        <f t="shared" si="3"/>
        <v/>
      </c>
      <c r="K892" s="1" t="s">
        <v>363</v>
      </c>
      <c r="L892" s="1">
        <f t="shared" si="40"/>
        <v>8</v>
      </c>
      <c r="M892" s="1" t="s">
        <v>5094</v>
      </c>
      <c r="N892" s="1" t="str">
        <f t="shared" si="5"/>
        <v>512 GB</v>
      </c>
      <c r="O892" s="1" t="str">
        <f t="shared" si="6"/>
        <v>512 GB</v>
      </c>
      <c r="P892" s="1" t="s">
        <v>120</v>
      </c>
      <c r="Q892" s="1" t="str">
        <f t="shared" si="7"/>
        <v>1920x1080</v>
      </c>
      <c r="S892" s="1" t="str">
        <f t="shared" si="8"/>
        <v/>
      </c>
      <c r="T892" s="1" t="s">
        <v>101</v>
      </c>
      <c r="U892" s="1" t="str">
        <f t="shared" si="9"/>
        <v>DOS</v>
      </c>
      <c r="V892" s="1" t="s">
        <v>5107</v>
      </c>
      <c r="W892" s="1" t="str">
        <f t="shared" si="10"/>
        <v>1.79 kg</v>
      </c>
      <c r="X892" s="1" t="s">
        <v>78</v>
      </c>
      <c r="Y892" s="1" t="str">
        <f t="shared" si="11"/>
        <v>1 Year</v>
      </c>
      <c r="Z892" s="4">
        <v>28999</v>
      </c>
      <c r="AA892" s="1" t="s">
        <v>79</v>
      </c>
    </row>
    <row r="893" spans="1:27" ht="15.75" customHeight="1" x14ac:dyDescent="0.35">
      <c r="A893" s="1" t="s">
        <v>151</v>
      </c>
      <c r="B893" s="1" t="str">
        <f t="shared" si="16"/>
        <v>Lenovo</v>
      </c>
      <c r="C893" s="1" t="s">
        <v>5111</v>
      </c>
      <c r="D893" s="1" t="str">
        <f t="shared" si="1"/>
        <v>ThinkPad E14 Gen 7</v>
      </c>
      <c r="E893" s="1" t="str">
        <f t="array" aca="1" ref="E893" ca="1">IFERROR(
INDEX(Family_Map!$B$2:$B$35,
_xludf.AGGREGATE(14,6,(ROW(Family_Map!$A$2:$A$35)-ROW(Family_Map!$A$2)+1)/(ISNUMBER(SEARCH(Family_Map!$A$2:$A$35,D893))),1)
),
"Other")</f>
        <v>Other</v>
      </c>
      <c r="F893" s="1" t="s">
        <v>3437</v>
      </c>
      <c r="G893" s="1" t="e">
        <f t="shared" ca="1" si="2"/>
        <v>#NAME?</v>
      </c>
      <c r="H893" s="1" t="str">
        <f t="shared" ca="1" si="12"/>
        <v>Other</v>
      </c>
      <c r="J893" s="1" t="str">
        <f t="shared" si="3"/>
        <v/>
      </c>
      <c r="K893" s="1" t="s">
        <v>1349</v>
      </c>
      <c r="L893" s="1">
        <f t="shared" si="40"/>
        <v>16</v>
      </c>
      <c r="M893" s="1" t="s">
        <v>5046</v>
      </c>
      <c r="N893" s="1" t="str">
        <f t="shared" si="5"/>
        <v>512GB</v>
      </c>
      <c r="O893" s="1" t="str">
        <f t="shared" si="6"/>
        <v>512GB</v>
      </c>
      <c r="P893" s="1" t="s">
        <v>1015</v>
      </c>
      <c r="Q893" s="1" t="str">
        <f t="shared" si="7"/>
        <v>1920x1200</v>
      </c>
      <c r="R893" s="1" t="s">
        <v>971</v>
      </c>
      <c r="S893" s="1" t="str">
        <f t="shared" si="8"/>
        <v>60Hz</v>
      </c>
      <c r="T893" s="1" t="s">
        <v>101</v>
      </c>
      <c r="U893" s="1" t="str">
        <f t="shared" si="9"/>
        <v>DOS</v>
      </c>
      <c r="V893" s="1" t="s">
        <v>5118</v>
      </c>
      <c r="W893" s="1" t="str">
        <f t="shared" si="10"/>
        <v>1.34 kg</v>
      </c>
      <c r="X893" s="1" t="s">
        <v>78</v>
      </c>
      <c r="Y893" s="1" t="str">
        <f t="shared" si="11"/>
        <v>1 Year</v>
      </c>
      <c r="Z893" s="4">
        <v>46999</v>
      </c>
      <c r="AA893" s="1" t="s">
        <v>5735</v>
      </c>
    </row>
    <row r="894" spans="1:27" ht="15.75" customHeight="1" x14ac:dyDescent="0.35">
      <c r="A894" s="1" t="s">
        <v>112</v>
      </c>
      <c r="B894" s="1" t="str">
        <f t="shared" si="16"/>
        <v>HP</v>
      </c>
      <c r="C894" s="1" t="s">
        <v>5092</v>
      </c>
      <c r="D894" s="1" t="str">
        <f t="shared" si="1"/>
        <v>ProBook 460 G11</v>
      </c>
      <c r="E894" s="1" t="str">
        <f t="array" aca="1" ref="E894" ca="1">IFERROR(
INDEX(Family_Map!$B$2:$B$35,
_xludf.AGGREGATE(14,6,(ROW(Family_Map!$A$2:$A$35)-ROW(Family_Map!$A$2)+1)/(ISNUMBER(SEARCH(Family_Map!$A$2:$A$35,D894))),1)
),
"Other")</f>
        <v>Other</v>
      </c>
      <c r="F894" s="1" t="s">
        <v>1095</v>
      </c>
      <c r="G894" s="1" t="e">
        <f t="shared" ca="1" si="2"/>
        <v>#NAME?</v>
      </c>
      <c r="H894" s="1" t="str">
        <f t="shared" ca="1" si="12"/>
        <v>Other</v>
      </c>
      <c r="I894" s="1" t="s">
        <v>439</v>
      </c>
      <c r="J894" s="1" t="str">
        <f t="shared" si="3"/>
        <v>4 GB</v>
      </c>
      <c r="K894" s="1" t="s">
        <v>773</v>
      </c>
      <c r="L894" s="1">
        <f t="shared" si="40"/>
        <v>8</v>
      </c>
      <c r="M894" s="1" t="s">
        <v>5094</v>
      </c>
      <c r="N894" s="1" t="str">
        <f t="shared" si="5"/>
        <v>512 GB</v>
      </c>
      <c r="O894" s="1" t="str">
        <f t="shared" si="6"/>
        <v>512 GB</v>
      </c>
      <c r="P894" s="1" t="s">
        <v>275</v>
      </c>
      <c r="Q894" s="1" t="str">
        <f t="shared" si="7"/>
        <v>1920x1200</v>
      </c>
      <c r="S894" s="1" t="str">
        <f t="shared" si="8"/>
        <v/>
      </c>
      <c r="T894" s="1" t="s">
        <v>101</v>
      </c>
      <c r="U894" s="1" t="str">
        <f t="shared" si="9"/>
        <v>DOS</v>
      </c>
      <c r="V894" s="1" t="s">
        <v>3850</v>
      </c>
      <c r="W894" s="1" t="str">
        <f t="shared" si="10"/>
        <v>1.74 kg</v>
      </c>
      <c r="X894" s="1" t="s">
        <v>78</v>
      </c>
      <c r="Y894" s="1" t="str">
        <f t="shared" si="11"/>
        <v>1 Year</v>
      </c>
      <c r="Z894" s="4">
        <v>44444</v>
      </c>
      <c r="AA894" s="1" t="s">
        <v>5735</v>
      </c>
    </row>
    <row r="895" spans="1:27" ht="15.75" customHeight="1" x14ac:dyDescent="0.35">
      <c r="A895" s="1" t="s">
        <v>151</v>
      </c>
      <c r="B895" s="1" t="str">
        <f t="shared" si="16"/>
        <v>Lenovo</v>
      </c>
      <c r="C895" s="1" t="s">
        <v>5125</v>
      </c>
      <c r="D895" s="1" t="str">
        <f t="shared" si="1"/>
        <v>ThinkPad E16 Gen 3</v>
      </c>
      <c r="E895" s="1" t="str">
        <f t="array" aca="1" ref="E895" ca="1">IFERROR(
INDEX(Family_Map!$B$2:$B$35,
_xludf.AGGREGATE(14,6,(ROW(Family_Map!$A$2:$A$35)-ROW(Family_Map!$A$2)+1)/(ISNUMBER(SEARCH(Family_Map!$A$2:$A$35,D895))),1)
),
"Other")</f>
        <v>Other</v>
      </c>
      <c r="F895" s="1" t="s">
        <v>3437</v>
      </c>
      <c r="G895" s="1" t="e">
        <f t="shared" ca="1" si="2"/>
        <v>#NAME?</v>
      </c>
      <c r="H895" s="1" t="str">
        <f t="shared" ca="1" si="12"/>
        <v>Other</v>
      </c>
      <c r="J895" s="1" t="str">
        <f t="shared" si="3"/>
        <v/>
      </c>
      <c r="K895" s="1" t="s">
        <v>221</v>
      </c>
      <c r="L895" s="1">
        <f t="shared" si="40"/>
        <v>16</v>
      </c>
      <c r="M895" s="1" t="s">
        <v>5046</v>
      </c>
      <c r="N895" s="1" t="str">
        <f t="shared" si="5"/>
        <v>512GB</v>
      </c>
      <c r="O895" s="1" t="str">
        <f t="shared" si="6"/>
        <v>512GB</v>
      </c>
      <c r="P895" s="1" t="s">
        <v>275</v>
      </c>
      <c r="Q895" s="1" t="str">
        <f t="shared" si="7"/>
        <v>1920x1200</v>
      </c>
      <c r="R895" s="1" t="s">
        <v>971</v>
      </c>
      <c r="S895" s="1" t="str">
        <f t="shared" si="8"/>
        <v>60Hz</v>
      </c>
      <c r="T895" s="1" t="s">
        <v>101</v>
      </c>
      <c r="U895" s="1" t="str">
        <f t="shared" si="9"/>
        <v>DOS</v>
      </c>
      <c r="V895" s="1" t="s">
        <v>3346</v>
      </c>
      <c r="W895" s="1" t="str">
        <f t="shared" si="10"/>
        <v>1.63 kg</v>
      </c>
      <c r="X895" s="1" t="s">
        <v>129</v>
      </c>
      <c r="Y895" s="1" t="str">
        <f t="shared" si="11"/>
        <v>1 Year</v>
      </c>
      <c r="Z895" s="4">
        <v>46666</v>
      </c>
      <c r="AA895" s="1" t="s">
        <v>5735</v>
      </c>
    </row>
    <row r="896" spans="1:27" ht="15.75" customHeight="1" x14ac:dyDescent="0.35">
      <c r="A896" s="1" t="s">
        <v>30</v>
      </c>
      <c r="B896" s="1" t="str">
        <f t="shared" si="16"/>
        <v>MSI</v>
      </c>
      <c r="C896" s="1" t="s">
        <v>5131</v>
      </c>
      <c r="D896" s="1" t="str">
        <f t="shared" si="1"/>
        <v>Summit 13 AI+ Evo A2VMTG</v>
      </c>
      <c r="E896" s="1" t="str">
        <f t="array" aca="1" ref="E896" ca="1">IFERROR(
INDEX(Family_Map!$B$2:$B$35,
_xludf.AGGREGATE(14,6,(ROW(Family_Map!$A$2:$A$35)-ROW(Family_Map!$A$2)+1)/(ISNUMBER(SEARCH(Family_Map!$A$2:$A$35,D896))),1)
),
"Other")</f>
        <v>Other</v>
      </c>
      <c r="F896" s="1" t="s">
        <v>5132</v>
      </c>
      <c r="G896" s="1" t="e">
        <f t="shared" ca="1" si="2"/>
        <v>#NAME?</v>
      </c>
      <c r="H896" s="1" t="str">
        <f t="shared" ca="1" si="12"/>
        <v>Other</v>
      </c>
      <c r="J896" s="1" t="str">
        <f t="shared" si="3"/>
        <v/>
      </c>
      <c r="K896" s="1" t="s">
        <v>5133</v>
      </c>
      <c r="L896" s="1">
        <f t="shared" si="40"/>
        <v>32</v>
      </c>
      <c r="M896" s="1" t="s">
        <v>54</v>
      </c>
      <c r="N896" s="1" t="str">
        <f t="shared" si="5"/>
        <v>1TB</v>
      </c>
      <c r="O896" s="1" t="str">
        <f t="shared" si="6"/>
        <v>1024GB</v>
      </c>
      <c r="P896" s="1" t="s">
        <v>275</v>
      </c>
      <c r="Q896" s="1" t="str">
        <f t="shared" si="7"/>
        <v>1920x1200</v>
      </c>
      <c r="S896" s="1" t="str">
        <f t="shared" si="8"/>
        <v/>
      </c>
      <c r="T896" s="1" t="s">
        <v>40</v>
      </c>
      <c r="U896" s="1" t="str">
        <f t="shared" si="9"/>
        <v>Windows 11 Home</v>
      </c>
      <c r="V896" s="1" t="s">
        <v>5138</v>
      </c>
      <c r="W896" s="1" t="str">
        <f t="shared" si="10"/>
        <v>1.35 kg</v>
      </c>
      <c r="X896" s="1" t="s">
        <v>165</v>
      </c>
      <c r="Y896" s="1" t="str">
        <f t="shared" si="11"/>
        <v>2 Years</v>
      </c>
      <c r="Z896" s="4">
        <v>94999</v>
      </c>
      <c r="AA896" s="1" t="s">
        <v>5735</v>
      </c>
    </row>
    <row r="897" spans="1:27" ht="15.75" customHeight="1" x14ac:dyDescent="0.35">
      <c r="A897" s="1" t="s">
        <v>81</v>
      </c>
      <c r="B897" s="1" t="str">
        <f t="shared" si="16"/>
        <v>Dell</v>
      </c>
      <c r="C897" s="1" t="s">
        <v>5139</v>
      </c>
      <c r="D897" s="1" t="str">
        <f t="shared" si="1"/>
        <v>Latitude 3550</v>
      </c>
      <c r="E897" s="1" t="str">
        <f t="array" aca="1" ref="E897" ca="1">IFERROR(
INDEX(Family_Map!$B$2:$B$35,
_xludf.AGGREGATE(14,6,(ROW(Family_Map!$A$2:$A$35)-ROW(Family_Map!$A$2)+1)/(ISNUMBER(SEARCH(Family_Map!$A$2:$A$35,D897))),1)
),
"Other")</f>
        <v>Other</v>
      </c>
      <c r="F897" s="1" t="s">
        <v>3758</v>
      </c>
      <c r="G897" s="1" t="e">
        <f t="shared" ca="1" si="2"/>
        <v>#NAME?</v>
      </c>
      <c r="H897" s="1" t="str">
        <f t="shared" ca="1" si="12"/>
        <v>Other</v>
      </c>
      <c r="J897" s="1" t="str">
        <f t="shared" si="3"/>
        <v/>
      </c>
      <c r="K897" s="1" t="s">
        <v>5081</v>
      </c>
      <c r="L897" s="1">
        <f t="shared" si="40"/>
        <v>8</v>
      </c>
      <c r="M897" s="1" t="s">
        <v>5141</v>
      </c>
      <c r="N897" s="1" t="str">
        <f t="shared" si="5"/>
        <v>512GB</v>
      </c>
      <c r="O897" s="1" t="str">
        <f t="shared" si="6"/>
        <v>512GB</v>
      </c>
      <c r="P897" s="1" t="s">
        <v>120</v>
      </c>
      <c r="Q897" s="1" t="str">
        <f t="shared" si="7"/>
        <v>1920x1080</v>
      </c>
      <c r="R897" s="1" t="s">
        <v>971</v>
      </c>
      <c r="S897" s="1" t="str">
        <f t="shared" si="8"/>
        <v>60Hz</v>
      </c>
      <c r="T897" s="1" t="s">
        <v>101</v>
      </c>
      <c r="U897" s="1" t="str">
        <f t="shared" si="9"/>
        <v>DOS</v>
      </c>
      <c r="W897" s="1" t="str">
        <f t="shared" si="10"/>
        <v/>
      </c>
      <c r="X897" s="1" t="s">
        <v>78</v>
      </c>
      <c r="Y897" s="1" t="str">
        <f t="shared" si="11"/>
        <v>1 Year</v>
      </c>
      <c r="Z897" s="4">
        <v>33333</v>
      </c>
      <c r="AA897" s="1" t="s">
        <v>79</v>
      </c>
    </row>
    <row r="898" spans="1:27" ht="15.75" customHeight="1" x14ac:dyDescent="0.35">
      <c r="B898" s="1" t="str">
        <f t="shared" si="16"/>
        <v/>
      </c>
      <c r="C898" s="1" t="s">
        <v>5145</v>
      </c>
      <c r="D898" s="1" t="str">
        <f t="shared" si="1"/>
        <v>15-fd0211ne</v>
      </c>
      <c r="E898" s="1" t="str">
        <f t="array" aca="1" ref="E898" ca="1">IFERROR(
INDEX(Family_Map!$B$2:$B$35,
_xludf.AGGREGATE(14,6,(ROW(Family_Map!$A$2:$A$35)-ROW(Family_Map!$A$2)+1)/(ISNUMBER(SEARCH(Family_Map!$A$2:$A$35,D898))),1)
),
"Other")</f>
        <v>Other</v>
      </c>
      <c r="F898" s="1" t="s">
        <v>3588</v>
      </c>
      <c r="G898" s="1" t="e">
        <f t="shared" ca="1" si="2"/>
        <v>#NAME?</v>
      </c>
      <c r="H898" s="1" t="str">
        <f t="shared" ca="1" si="12"/>
        <v>Other</v>
      </c>
      <c r="J898" s="1" t="str">
        <f t="shared" si="3"/>
        <v/>
      </c>
      <c r="K898" s="1" t="s">
        <v>363</v>
      </c>
      <c r="L898" s="1">
        <f t="shared" si="40"/>
        <v>8</v>
      </c>
      <c r="M898" s="1" t="s">
        <v>2718</v>
      </c>
      <c r="N898" s="1" t="str">
        <f t="shared" si="5"/>
        <v>512 GB</v>
      </c>
      <c r="O898" s="1" t="str">
        <f t="shared" si="6"/>
        <v>512 GB</v>
      </c>
      <c r="P898" s="1" t="s">
        <v>120</v>
      </c>
      <c r="Q898" s="1" t="str">
        <f t="shared" si="7"/>
        <v>1920x1080</v>
      </c>
      <c r="S898" s="1" t="str">
        <f t="shared" si="8"/>
        <v/>
      </c>
      <c r="T898" s="1" t="s">
        <v>101</v>
      </c>
      <c r="U898" s="1" t="str">
        <f t="shared" si="9"/>
        <v>DOS</v>
      </c>
      <c r="V898" s="1" t="s">
        <v>3288</v>
      </c>
      <c r="W898" s="1" t="str">
        <f t="shared" si="10"/>
        <v>1.59 kg</v>
      </c>
      <c r="X898" s="1" t="s">
        <v>78</v>
      </c>
      <c r="Y898" s="1" t="str">
        <f t="shared" si="11"/>
        <v>1 Year</v>
      </c>
      <c r="Z898" s="4">
        <v>22999</v>
      </c>
      <c r="AA898" s="1" t="s">
        <v>79</v>
      </c>
    </row>
    <row r="899" spans="1:27" ht="15.75" customHeight="1" x14ac:dyDescent="0.35">
      <c r="A899" s="1" t="s">
        <v>151</v>
      </c>
      <c r="B899" s="1" t="str">
        <f t="shared" si="16"/>
        <v>Lenovo</v>
      </c>
      <c r="C899" s="1" t="s">
        <v>5043</v>
      </c>
      <c r="D899" s="1" t="str">
        <f t="shared" si="1"/>
        <v>ThinkPad E14 Gen 5</v>
      </c>
      <c r="E899" s="1" t="str">
        <f t="array" aca="1" ref="E899" ca="1">IFERROR(
INDEX(Family_Map!$B$2:$B$35,
_xludf.AGGREGATE(14,6,(ROW(Family_Map!$A$2:$A$35)-ROW(Family_Map!$A$2)+1)/(ISNUMBER(SEARCH(Family_Map!$A$2:$A$35,D899))),1)
),
"Other")</f>
        <v>Other</v>
      </c>
      <c r="F899" s="1" t="s">
        <v>3476</v>
      </c>
      <c r="G899" s="1" t="e">
        <f t="shared" ca="1" si="2"/>
        <v>#NAME?</v>
      </c>
      <c r="H899" s="1" t="str">
        <f t="shared" ca="1" si="12"/>
        <v>Other</v>
      </c>
      <c r="J899" s="1" t="str">
        <f t="shared" si="3"/>
        <v/>
      </c>
      <c r="K899" s="1" t="s">
        <v>3507</v>
      </c>
      <c r="L899" s="1">
        <f t="shared" si="40"/>
        <v>8</v>
      </c>
      <c r="M899" s="1" t="s">
        <v>5036</v>
      </c>
      <c r="N899" s="1" t="str">
        <f t="shared" si="5"/>
        <v>512 GB</v>
      </c>
      <c r="O899" s="1" t="str">
        <f t="shared" si="6"/>
        <v>512 GB</v>
      </c>
      <c r="P899" s="1" t="s">
        <v>1015</v>
      </c>
      <c r="Q899" s="1" t="str">
        <f t="shared" si="7"/>
        <v>1920x1200</v>
      </c>
      <c r="S899" s="1" t="str">
        <f t="shared" si="8"/>
        <v/>
      </c>
      <c r="T899" s="1" t="s">
        <v>101</v>
      </c>
      <c r="U899" s="1" t="str">
        <f t="shared" si="9"/>
        <v>DOS</v>
      </c>
      <c r="V899" s="1" t="s">
        <v>5051</v>
      </c>
      <c r="W899" s="1" t="str">
        <f t="shared" si="10"/>
        <v>1.43 kg</v>
      </c>
      <c r="X899" s="1" t="s">
        <v>78</v>
      </c>
      <c r="Y899" s="1" t="str">
        <f t="shared" si="11"/>
        <v>1 Year</v>
      </c>
      <c r="Z899" s="4">
        <v>37777</v>
      </c>
      <c r="AA899" s="1" t="s">
        <v>79</v>
      </c>
    </row>
    <row r="900" spans="1:27" ht="15.75" customHeight="1" x14ac:dyDescent="0.35">
      <c r="A900" s="1" t="s">
        <v>112</v>
      </c>
      <c r="B900" s="1" t="str">
        <f t="shared" si="16"/>
        <v>HP</v>
      </c>
      <c r="C900" s="1" t="s">
        <v>5151</v>
      </c>
      <c r="D900" s="1" t="str">
        <f t="shared" si="1"/>
        <v>ProBook 440 G8</v>
      </c>
      <c r="E900" s="1" t="str">
        <f t="array" aca="1" ref="E900" ca="1">IFERROR(
INDEX(Family_Map!$B$2:$B$35,
_xludf.AGGREGATE(14,6,(ROW(Family_Map!$A$2:$A$35)-ROW(Family_Map!$A$2)+1)/(ISNUMBER(SEARCH(Family_Map!$A$2:$A$35,D900))),1)
),
"Other")</f>
        <v>Other</v>
      </c>
      <c r="F900" s="1" t="s">
        <v>4590</v>
      </c>
      <c r="G900" s="1" t="e">
        <f t="shared" ca="1" si="2"/>
        <v>#NAME?</v>
      </c>
      <c r="H900" s="1" t="str">
        <f t="shared" ca="1" si="12"/>
        <v>Other</v>
      </c>
      <c r="J900" s="1" t="str">
        <f t="shared" si="3"/>
        <v/>
      </c>
      <c r="K900" s="1" t="s">
        <v>3939</v>
      </c>
      <c r="L900" s="1">
        <f t="shared" si="40"/>
        <v>4</v>
      </c>
      <c r="M900" s="1" t="s">
        <v>5152</v>
      </c>
      <c r="N900" s="1" t="str">
        <f t="shared" si="5"/>
        <v>256GB</v>
      </c>
      <c r="O900" s="1" t="str">
        <f t="shared" si="6"/>
        <v>256GB</v>
      </c>
      <c r="P900" s="1" t="s">
        <v>5154</v>
      </c>
      <c r="Q900" s="1" t="str">
        <f t="shared" si="7"/>
        <v>1366x768</v>
      </c>
      <c r="S900" s="1" t="str">
        <f t="shared" si="8"/>
        <v/>
      </c>
      <c r="T900" s="1" t="s">
        <v>101</v>
      </c>
      <c r="U900" s="1" t="str">
        <f t="shared" si="9"/>
        <v>DOS</v>
      </c>
      <c r="W900" s="1" t="str">
        <f t="shared" si="10"/>
        <v/>
      </c>
      <c r="X900" s="1" t="s">
        <v>78</v>
      </c>
      <c r="Y900" s="1" t="str">
        <f t="shared" si="11"/>
        <v>1 Year</v>
      </c>
      <c r="Z900" s="4">
        <v>24499</v>
      </c>
      <c r="AA900" s="1" t="s">
        <v>1082</v>
      </c>
    </row>
    <row r="901" spans="1:27" ht="15.75" customHeight="1" x14ac:dyDescent="0.35">
      <c r="A901" s="1" t="s">
        <v>151</v>
      </c>
      <c r="B901" s="1" t="str">
        <f t="shared" si="16"/>
        <v>Lenovo</v>
      </c>
      <c r="C901" s="1" t="s">
        <v>5033</v>
      </c>
      <c r="D901" s="1" t="str">
        <f t="shared" si="1"/>
        <v>ThinkPad E16 Gen 2</v>
      </c>
      <c r="E901" s="1" t="str">
        <f t="array" aca="1" ref="E901" ca="1">IFERROR(
INDEX(Family_Map!$B$2:$B$35,
_xludf.AGGREGATE(14,6,(ROW(Family_Map!$A$2:$A$35)-ROW(Family_Map!$A$2)+1)/(ISNUMBER(SEARCH(Family_Map!$A$2:$A$35,D901))),1)
),
"Other")</f>
        <v>Other</v>
      </c>
      <c r="F901" s="1" t="s">
        <v>1356</v>
      </c>
      <c r="G901" s="1" t="e">
        <f t="shared" ca="1" si="2"/>
        <v>#NAME?</v>
      </c>
      <c r="H901" s="1" t="str">
        <f t="shared" ca="1" si="12"/>
        <v>Other</v>
      </c>
      <c r="J901" s="1" t="str">
        <f t="shared" si="3"/>
        <v/>
      </c>
      <c r="K901" s="1" t="s">
        <v>1349</v>
      </c>
      <c r="L901" s="1">
        <f t="shared" si="40"/>
        <v>16</v>
      </c>
      <c r="M901" s="1" t="s">
        <v>5046</v>
      </c>
      <c r="N901" s="1" t="str">
        <f t="shared" si="5"/>
        <v>512GB</v>
      </c>
      <c r="O901" s="1" t="str">
        <f t="shared" si="6"/>
        <v>512GB</v>
      </c>
      <c r="P901" s="1" t="s">
        <v>1015</v>
      </c>
      <c r="Q901" s="1" t="str">
        <f t="shared" si="7"/>
        <v>1920x1200</v>
      </c>
      <c r="S901" s="1" t="str">
        <f t="shared" si="8"/>
        <v/>
      </c>
      <c r="T901" s="1" t="s">
        <v>101</v>
      </c>
      <c r="U901" s="1" t="str">
        <f t="shared" si="9"/>
        <v>DOS</v>
      </c>
      <c r="V901" s="1" t="s">
        <v>3547</v>
      </c>
      <c r="W901" s="1" t="str">
        <f t="shared" si="10"/>
        <v>1.81 kg</v>
      </c>
      <c r="X901" s="1" t="s">
        <v>129</v>
      </c>
      <c r="Y901" s="1" t="str">
        <f t="shared" si="11"/>
        <v>1 Year</v>
      </c>
      <c r="Z901" s="4">
        <v>47999</v>
      </c>
      <c r="AA901" s="1" t="s">
        <v>5735</v>
      </c>
    </row>
    <row r="902" spans="1:27" ht="15.75" customHeight="1" x14ac:dyDescent="0.35">
      <c r="A902" s="1" t="s">
        <v>151</v>
      </c>
      <c r="B902" s="1" t="str">
        <f t="shared" si="16"/>
        <v>Lenovo</v>
      </c>
      <c r="C902" s="1" t="s">
        <v>5164</v>
      </c>
      <c r="D902" s="1" t="str">
        <f t="shared" si="1"/>
        <v>ThinkPad E14 Gen 6</v>
      </c>
      <c r="E902" s="1" t="str">
        <f t="array" aca="1" ref="E902" ca="1">IFERROR(
INDEX(Family_Map!$B$2:$B$35,
_xludf.AGGREGATE(14,6,(ROW(Family_Map!$A$2:$A$35)-ROW(Family_Map!$A$2)+1)/(ISNUMBER(SEARCH(Family_Map!$A$2:$A$35,D902))),1)
),
"Other")</f>
        <v>Other</v>
      </c>
      <c r="F902" s="1" t="s">
        <v>1356</v>
      </c>
      <c r="G902" s="1" t="e">
        <f t="shared" ca="1" si="2"/>
        <v>#NAME?</v>
      </c>
      <c r="H902" s="1" t="str">
        <f t="shared" ca="1" si="12"/>
        <v>Other</v>
      </c>
      <c r="J902" s="1" t="str">
        <f t="shared" si="3"/>
        <v/>
      </c>
      <c r="K902" s="1" t="s">
        <v>1349</v>
      </c>
      <c r="L902" s="1">
        <f t="shared" si="40"/>
        <v>16</v>
      </c>
      <c r="M902" s="1" t="s">
        <v>5046</v>
      </c>
      <c r="N902" s="1" t="str">
        <f t="shared" si="5"/>
        <v>512GB</v>
      </c>
      <c r="O902" s="1" t="str">
        <f t="shared" si="6"/>
        <v>512GB</v>
      </c>
      <c r="P902" s="1" t="s">
        <v>1015</v>
      </c>
      <c r="Q902" s="1" t="str">
        <f t="shared" si="7"/>
        <v>1920x1200</v>
      </c>
      <c r="S902" s="1" t="str">
        <f t="shared" si="8"/>
        <v/>
      </c>
      <c r="T902" s="1" t="s">
        <v>101</v>
      </c>
      <c r="U902" s="1" t="str">
        <f t="shared" si="9"/>
        <v>DOS</v>
      </c>
      <c r="V902" s="1" t="s">
        <v>5165</v>
      </c>
      <c r="W902" s="1" t="str">
        <f t="shared" si="10"/>
        <v>1.44 kg</v>
      </c>
      <c r="X902" s="1" t="s">
        <v>78</v>
      </c>
      <c r="Y902" s="1" t="str">
        <f t="shared" si="11"/>
        <v>1 Year</v>
      </c>
      <c r="Z902" s="4">
        <v>45499</v>
      </c>
      <c r="AA902" s="1" t="s">
        <v>5735</v>
      </c>
    </row>
    <row r="903" spans="1:27" ht="15.75" customHeight="1" x14ac:dyDescent="0.35">
      <c r="A903" s="1" t="s">
        <v>151</v>
      </c>
      <c r="B903" s="1" t="str">
        <f t="shared" si="16"/>
        <v>Lenovo</v>
      </c>
      <c r="C903" s="1" t="s">
        <v>5043</v>
      </c>
      <c r="D903" s="1" t="str">
        <f t="shared" si="1"/>
        <v>ThinkPad E14 Gen 5</v>
      </c>
      <c r="E903" s="1" t="str">
        <f t="array" aca="1" ref="E903" ca="1">IFERROR(
INDEX(Family_Map!$B$2:$B$35,
_xludf.AGGREGATE(14,6,(ROW(Family_Map!$A$2:$A$35)-ROW(Family_Map!$A$2)+1)/(ISNUMBER(SEARCH(Family_Map!$A$2:$A$35,D903))),1)
),
"Other")</f>
        <v>Other</v>
      </c>
      <c r="F903" s="1" t="s">
        <v>3540</v>
      </c>
      <c r="G903" s="1" t="e">
        <f t="shared" ca="1" si="2"/>
        <v>#NAME?</v>
      </c>
      <c r="H903" s="1" t="str">
        <f t="shared" ca="1" si="12"/>
        <v>Other</v>
      </c>
      <c r="I903" s="1" t="s">
        <v>3670</v>
      </c>
      <c r="J903" s="1" t="str">
        <f t="shared" si="3"/>
        <v>2GB</v>
      </c>
      <c r="K903" s="1" t="s">
        <v>3327</v>
      </c>
      <c r="L903" s="1">
        <f t="shared" si="40"/>
        <v>8</v>
      </c>
      <c r="M903" s="1" t="s">
        <v>5046</v>
      </c>
      <c r="N903" s="1" t="str">
        <f t="shared" si="5"/>
        <v>512GB</v>
      </c>
      <c r="O903" s="1" t="str">
        <f t="shared" si="6"/>
        <v>512GB</v>
      </c>
      <c r="P903" s="1" t="s">
        <v>1015</v>
      </c>
      <c r="Q903" s="1" t="str">
        <f t="shared" si="7"/>
        <v>1920x1200</v>
      </c>
      <c r="S903" s="1" t="str">
        <f t="shared" si="8"/>
        <v/>
      </c>
      <c r="T903" s="1" t="s">
        <v>101</v>
      </c>
      <c r="U903" s="1" t="str">
        <f t="shared" si="9"/>
        <v>DOS</v>
      </c>
      <c r="V903" s="1" t="s">
        <v>5051</v>
      </c>
      <c r="W903" s="1" t="str">
        <f t="shared" si="10"/>
        <v>1.43 kg</v>
      </c>
      <c r="X903" s="1" t="s">
        <v>78</v>
      </c>
      <c r="Y903" s="1" t="str">
        <f t="shared" si="11"/>
        <v>1 Year</v>
      </c>
      <c r="Z903" s="4">
        <v>37777</v>
      </c>
      <c r="AA903" s="1" t="s">
        <v>79</v>
      </c>
    </row>
    <row r="904" spans="1:27" ht="15.75" customHeight="1" x14ac:dyDescent="0.35">
      <c r="A904" s="1" t="s">
        <v>112</v>
      </c>
      <c r="B904" s="1" t="str">
        <f t="shared" si="16"/>
        <v>HP</v>
      </c>
      <c r="C904" s="1" t="s">
        <v>5170</v>
      </c>
      <c r="D904" s="1" t="str">
        <f t="shared" si="1"/>
        <v>EliteBook 840 G8</v>
      </c>
      <c r="E904" s="1" t="str">
        <f t="array" aca="1" ref="E904" ca="1">IFERROR(
INDEX(Family_Map!$B$2:$B$35,
_xludf.AGGREGATE(14,6,(ROW(Family_Map!$A$2:$A$35)-ROW(Family_Map!$A$2)+1)/(ISNUMBER(SEARCH(Family_Map!$A$2:$A$35,D904))),1)
),
"Other")</f>
        <v>Other</v>
      </c>
      <c r="F904" s="1" t="s">
        <v>4590</v>
      </c>
      <c r="G904" s="1" t="e">
        <f t="shared" ca="1" si="2"/>
        <v>#NAME?</v>
      </c>
      <c r="H904" s="1" t="str">
        <f t="shared" ca="1" si="12"/>
        <v>Other</v>
      </c>
      <c r="J904" s="1" t="str">
        <f t="shared" si="3"/>
        <v/>
      </c>
      <c r="K904" s="1" t="s">
        <v>2110</v>
      </c>
      <c r="L904" s="1">
        <f t="shared" si="40"/>
        <v>8</v>
      </c>
      <c r="M904" s="1" t="s">
        <v>5171</v>
      </c>
      <c r="N904" s="1" t="str">
        <f t="shared" si="5"/>
        <v>512GB</v>
      </c>
      <c r="O904" s="1" t="str">
        <f t="shared" si="6"/>
        <v>512GB</v>
      </c>
      <c r="P904" s="1" t="s">
        <v>120</v>
      </c>
      <c r="Q904" s="1" t="str">
        <f t="shared" si="7"/>
        <v>1920x1080</v>
      </c>
      <c r="S904" s="1" t="str">
        <f t="shared" si="8"/>
        <v/>
      </c>
      <c r="T904" s="1" t="s">
        <v>101</v>
      </c>
      <c r="U904" s="1" t="str">
        <f t="shared" si="9"/>
        <v>DOS</v>
      </c>
      <c r="W904" s="1" t="str">
        <f t="shared" si="10"/>
        <v/>
      </c>
      <c r="X904" s="1" t="s">
        <v>78</v>
      </c>
      <c r="Y904" s="1" t="str">
        <f t="shared" si="11"/>
        <v>1 Year</v>
      </c>
      <c r="Z904" s="4">
        <v>39999</v>
      </c>
      <c r="AA904" s="1" t="s">
        <v>1082</v>
      </c>
    </row>
    <row r="905" spans="1:27" ht="15.75" customHeight="1" x14ac:dyDescent="0.35">
      <c r="A905" s="1" t="s">
        <v>151</v>
      </c>
      <c r="B905" s="1" t="str">
        <f t="shared" si="16"/>
        <v>Lenovo</v>
      </c>
      <c r="C905" s="1" t="s">
        <v>5043</v>
      </c>
      <c r="D905" s="1" t="str">
        <f t="shared" si="1"/>
        <v>ThinkPad E14 Gen 5</v>
      </c>
      <c r="E905" s="1" t="str">
        <f t="array" aca="1" ref="E905" ca="1">IFERROR(
INDEX(Family_Map!$B$2:$B$35,
_xludf.AGGREGATE(14,6,(ROW(Family_Map!$A$2:$A$35)-ROW(Family_Map!$A$2)+1)/(ISNUMBER(SEARCH(Family_Map!$A$2:$A$35,D905))),1)
),
"Other")</f>
        <v>Other</v>
      </c>
      <c r="F905" s="1" t="s">
        <v>4081</v>
      </c>
      <c r="G905" s="1" t="e">
        <f t="shared" ca="1" si="2"/>
        <v>#NAME?</v>
      </c>
      <c r="H905" s="1" t="str">
        <f t="shared" ca="1" si="12"/>
        <v>Other</v>
      </c>
      <c r="I905" s="1" t="s">
        <v>3670</v>
      </c>
      <c r="J905" s="1" t="str">
        <f t="shared" si="3"/>
        <v>2GB</v>
      </c>
      <c r="K905" s="1" t="s">
        <v>3327</v>
      </c>
      <c r="L905" s="1">
        <f t="shared" si="40"/>
        <v>8</v>
      </c>
      <c r="M905" s="1" t="s">
        <v>5046</v>
      </c>
      <c r="N905" s="1" t="str">
        <f t="shared" si="5"/>
        <v>512GB</v>
      </c>
      <c r="O905" s="1" t="str">
        <f t="shared" si="6"/>
        <v>512GB</v>
      </c>
      <c r="P905" s="1" t="s">
        <v>275</v>
      </c>
      <c r="Q905" s="1" t="str">
        <f t="shared" si="7"/>
        <v>1920x1200</v>
      </c>
      <c r="S905" s="1" t="str">
        <f t="shared" si="8"/>
        <v/>
      </c>
      <c r="T905" s="1" t="s">
        <v>101</v>
      </c>
      <c r="U905" s="1" t="str">
        <f t="shared" si="9"/>
        <v>DOS</v>
      </c>
      <c r="V905" s="1" t="s">
        <v>5051</v>
      </c>
      <c r="W905" s="1" t="str">
        <f t="shared" si="10"/>
        <v>1.43 kg</v>
      </c>
      <c r="X905" s="1" t="s">
        <v>78</v>
      </c>
      <c r="Y905" s="1" t="str">
        <f t="shared" si="11"/>
        <v>1 Year</v>
      </c>
      <c r="Z905" s="4">
        <v>39999</v>
      </c>
      <c r="AA905" s="1" t="s">
        <v>79</v>
      </c>
    </row>
    <row r="906" spans="1:27" ht="15.75" customHeight="1" x14ac:dyDescent="0.35">
      <c r="A906" s="1" t="s">
        <v>81</v>
      </c>
      <c r="B906" s="1" t="str">
        <f t="shared" si="16"/>
        <v>Dell</v>
      </c>
      <c r="C906" s="1" t="s">
        <v>5176</v>
      </c>
      <c r="D906" s="1" t="str">
        <f t="shared" si="1"/>
        <v>Latitude 3540</v>
      </c>
      <c r="E906" s="1" t="str">
        <f t="array" aca="1" ref="E906" ca="1">IFERROR(
INDEX(Family_Map!$B$2:$B$35,
_xludf.AGGREGATE(14,6,(ROW(Family_Map!$A$2:$A$35)-ROW(Family_Map!$A$2)+1)/(ISNUMBER(SEARCH(Family_Map!$A$2:$A$35,D906))),1)
),
"Other")</f>
        <v>Other</v>
      </c>
      <c r="F906" s="1" t="s">
        <v>4140</v>
      </c>
      <c r="G906" s="1" t="e">
        <f t="shared" ca="1" si="2"/>
        <v>#NAME?</v>
      </c>
      <c r="H906" s="1" t="str">
        <f t="shared" ca="1" si="12"/>
        <v>Other</v>
      </c>
      <c r="J906" s="1" t="str">
        <f t="shared" si="3"/>
        <v/>
      </c>
      <c r="K906" s="1" t="s">
        <v>5177</v>
      </c>
      <c r="L906" s="1">
        <f t="shared" si="40"/>
        <v>8</v>
      </c>
      <c r="M906" s="1" t="s">
        <v>5178</v>
      </c>
      <c r="N906" s="1" t="str">
        <f t="shared" si="5"/>
        <v>512 GB</v>
      </c>
      <c r="O906" s="1" t="str">
        <f t="shared" si="6"/>
        <v>512 GB</v>
      </c>
      <c r="P906" s="1" t="s">
        <v>616</v>
      </c>
      <c r="Q906" s="1" t="str">
        <f t="shared" si="7"/>
        <v>1920x1080</v>
      </c>
      <c r="R906" s="1" t="s">
        <v>971</v>
      </c>
      <c r="S906" s="1" t="str">
        <f t="shared" si="8"/>
        <v>60Hz</v>
      </c>
      <c r="T906" s="1" t="s">
        <v>101</v>
      </c>
      <c r="U906" s="1" t="str">
        <f t="shared" si="9"/>
        <v>DOS</v>
      </c>
      <c r="V906" s="1" t="s">
        <v>3547</v>
      </c>
      <c r="W906" s="1" t="str">
        <f t="shared" si="10"/>
        <v>1.81 kg</v>
      </c>
      <c r="X906" s="1" t="s">
        <v>78</v>
      </c>
      <c r="Y906" s="1" t="str">
        <f t="shared" si="11"/>
        <v>1 Year</v>
      </c>
      <c r="Z906" s="4">
        <v>31999</v>
      </c>
      <c r="AA906" s="1" t="s">
        <v>79</v>
      </c>
    </row>
    <row r="907" spans="1:27" ht="15.75" customHeight="1" x14ac:dyDescent="0.35">
      <c r="A907" s="1" t="s">
        <v>81</v>
      </c>
      <c r="B907" s="1" t="str">
        <f t="shared" si="16"/>
        <v>Dell</v>
      </c>
      <c r="C907" s="1" t="s">
        <v>5063</v>
      </c>
      <c r="D907" s="1" t="str">
        <f t="shared" si="1"/>
        <v>Pro 16 PC16250</v>
      </c>
      <c r="E907" s="1" t="str">
        <f t="array" aca="1" ref="E907" ca="1">IFERROR(
INDEX(Family_Map!$B$2:$B$35,
_xludf.AGGREGATE(14,6,(ROW(Family_Map!$A$2:$A$35)-ROW(Family_Map!$A$2)+1)/(ISNUMBER(SEARCH(Family_Map!$A$2:$A$35,D907))),1)
),
"Other")</f>
        <v>Other</v>
      </c>
      <c r="F907" s="1" t="s">
        <v>5185</v>
      </c>
      <c r="G907" s="1" t="e">
        <f t="shared" ca="1" si="2"/>
        <v>#NAME?</v>
      </c>
      <c r="H907" s="1" t="str">
        <f t="shared" ca="1" si="12"/>
        <v>Other</v>
      </c>
      <c r="J907" s="1" t="str">
        <f t="shared" si="3"/>
        <v/>
      </c>
      <c r="K907" s="1" t="s">
        <v>5087</v>
      </c>
      <c r="L907" s="1">
        <f t="shared" si="40"/>
        <v>8</v>
      </c>
      <c r="M907" s="1" t="s">
        <v>72</v>
      </c>
      <c r="N907" s="1" t="str">
        <f t="shared" si="5"/>
        <v>512 GB</v>
      </c>
      <c r="O907" s="1" t="str">
        <f t="shared" si="6"/>
        <v>512 GB</v>
      </c>
      <c r="Q907" s="1" t="str">
        <f t="shared" si="7"/>
        <v/>
      </c>
      <c r="S907" s="1" t="str">
        <f t="shared" si="8"/>
        <v/>
      </c>
      <c r="T907" s="1" t="s">
        <v>101</v>
      </c>
      <c r="U907" s="1" t="str">
        <f t="shared" si="9"/>
        <v>DOS</v>
      </c>
      <c r="W907" s="1" t="str">
        <f t="shared" si="10"/>
        <v/>
      </c>
      <c r="X907" s="1" t="s">
        <v>425</v>
      </c>
      <c r="Y907" s="1" t="str">
        <f t="shared" si="11"/>
        <v>3 Years</v>
      </c>
      <c r="Z907" s="4">
        <v>43499</v>
      </c>
      <c r="AA907" s="1" t="s">
        <v>5735</v>
      </c>
    </row>
    <row r="908" spans="1:27" ht="15.75" customHeight="1" x14ac:dyDescent="0.35">
      <c r="A908" s="1" t="s">
        <v>81</v>
      </c>
      <c r="B908" s="1" t="str">
        <f t="shared" si="16"/>
        <v>Dell</v>
      </c>
      <c r="C908" s="1" t="s">
        <v>5063</v>
      </c>
      <c r="D908" s="1" t="str">
        <f t="shared" si="1"/>
        <v>Pro 16 PC16250</v>
      </c>
      <c r="E908" s="1" t="str">
        <f t="array" aca="1" ref="E908" ca="1">IFERROR(
INDEX(Family_Map!$B$2:$B$35,
_xludf.AGGREGATE(14,6,(ROW(Family_Map!$A$2:$A$35)-ROW(Family_Map!$A$2)+1)/(ISNUMBER(SEARCH(Family_Map!$A$2:$A$35,D908))),1)
),
"Other")</f>
        <v>Other</v>
      </c>
      <c r="F908" s="1" t="s">
        <v>3376</v>
      </c>
      <c r="G908" s="1" t="e">
        <f t="shared" ca="1" si="2"/>
        <v>#NAME?</v>
      </c>
      <c r="H908" s="1" t="str">
        <f t="shared" ca="1" si="12"/>
        <v>Other</v>
      </c>
      <c r="J908" s="1" t="str">
        <f t="shared" si="3"/>
        <v/>
      </c>
      <c r="K908" s="1" t="s">
        <v>5189</v>
      </c>
      <c r="L908" s="1">
        <f t="shared" si="40"/>
        <v>8</v>
      </c>
      <c r="M908" s="1" t="s">
        <v>5075</v>
      </c>
      <c r="N908" s="1" t="str">
        <f t="shared" si="5"/>
        <v>512 GB</v>
      </c>
      <c r="O908" s="1" t="str">
        <f t="shared" si="6"/>
        <v>512 GB</v>
      </c>
      <c r="Q908" s="1" t="str">
        <f t="shared" si="7"/>
        <v/>
      </c>
      <c r="S908" s="1" t="str">
        <f t="shared" si="8"/>
        <v/>
      </c>
      <c r="T908" s="1" t="s">
        <v>101</v>
      </c>
      <c r="U908" s="1" t="str">
        <f t="shared" si="9"/>
        <v>DOS</v>
      </c>
      <c r="W908" s="1" t="str">
        <f t="shared" si="10"/>
        <v/>
      </c>
      <c r="X908" s="1" t="s">
        <v>425</v>
      </c>
      <c r="Y908" s="1" t="str">
        <f t="shared" si="11"/>
        <v>3 Years</v>
      </c>
      <c r="Z908" s="4">
        <v>37999</v>
      </c>
      <c r="AA908" s="1" t="s">
        <v>166</v>
      </c>
    </row>
    <row r="909" spans="1:27" ht="15.75" customHeight="1" x14ac:dyDescent="0.35">
      <c r="A909" s="1" t="s">
        <v>151</v>
      </c>
      <c r="B909" s="1" t="str">
        <f t="shared" si="16"/>
        <v>Lenovo</v>
      </c>
      <c r="C909" s="1" t="s">
        <v>5033</v>
      </c>
      <c r="D909" s="1" t="str">
        <f t="shared" si="1"/>
        <v>ThinkPad E16 Gen 2</v>
      </c>
      <c r="E909" s="1" t="str">
        <f t="array" aca="1" ref="E909" ca="1">IFERROR(
INDEX(Family_Map!$B$2:$B$35,
_xludf.AGGREGATE(14,6,(ROW(Family_Map!$A$2:$A$35)-ROW(Family_Map!$A$2)+1)/(ISNUMBER(SEARCH(Family_Map!$A$2:$A$35,D909))),1)
),
"Other")</f>
        <v>Other</v>
      </c>
      <c r="F909" s="1" t="s">
        <v>3709</v>
      </c>
      <c r="G909" s="1" t="e">
        <f t="shared" ca="1" si="2"/>
        <v>#NAME?</v>
      </c>
      <c r="H909" s="1" t="str">
        <f t="shared" ca="1" si="12"/>
        <v>Other</v>
      </c>
      <c r="J909" s="1" t="str">
        <f t="shared" si="3"/>
        <v/>
      </c>
      <c r="K909" s="1" t="s">
        <v>5193</v>
      </c>
      <c r="L909" s="1">
        <f t="shared" si="40"/>
        <v>8</v>
      </c>
      <c r="M909" s="1" t="s">
        <v>5036</v>
      </c>
      <c r="N909" s="1" t="str">
        <f t="shared" si="5"/>
        <v>512 GB</v>
      </c>
      <c r="O909" s="1" t="str">
        <f t="shared" si="6"/>
        <v>512 GB</v>
      </c>
      <c r="P909" s="1" t="s">
        <v>1015</v>
      </c>
      <c r="Q909" s="1" t="str">
        <f t="shared" si="7"/>
        <v>1920x1200</v>
      </c>
      <c r="S909" s="1" t="str">
        <f t="shared" si="8"/>
        <v/>
      </c>
      <c r="T909" s="1" t="s">
        <v>101</v>
      </c>
      <c r="U909" s="1" t="str">
        <f t="shared" si="9"/>
        <v>DOS</v>
      </c>
      <c r="V909" s="1" t="s">
        <v>3547</v>
      </c>
      <c r="W909" s="1" t="str">
        <f t="shared" si="10"/>
        <v>1.81 kg</v>
      </c>
      <c r="X909" s="1" t="s">
        <v>78</v>
      </c>
      <c r="Y909" s="1" t="str">
        <f t="shared" si="11"/>
        <v>1 Year</v>
      </c>
      <c r="Z909" s="4">
        <v>32999</v>
      </c>
      <c r="AA909" s="1" t="s">
        <v>5735</v>
      </c>
    </row>
    <row r="910" spans="1:27" ht="15.75" customHeight="1" x14ac:dyDescent="0.35">
      <c r="A910" s="1" t="s">
        <v>151</v>
      </c>
      <c r="B910" s="1" t="str">
        <f t="shared" si="16"/>
        <v>Lenovo</v>
      </c>
      <c r="C910" s="1" t="s">
        <v>5164</v>
      </c>
      <c r="D910" s="1" t="str">
        <f t="shared" si="1"/>
        <v>ThinkPad E14 Gen 6</v>
      </c>
      <c r="E910" s="1" t="str">
        <f t="array" aca="1" ref="E910" ca="1">IFERROR(
INDEX(Family_Map!$B$2:$B$35,
_xludf.AGGREGATE(14,6,(ROW(Family_Map!$A$2:$A$35)-ROW(Family_Map!$A$2)+1)/(ISNUMBER(SEARCH(Family_Map!$A$2:$A$35,D910))),1)
),
"Other")</f>
        <v>Other</v>
      </c>
      <c r="F910" s="1" t="s">
        <v>3709</v>
      </c>
      <c r="G910" s="1" t="e">
        <f t="shared" ca="1" si="2"/>
        <v>#NAME?</v>
      </c>
      <c r="H910" s="1" t="str">
        <f t="shared" ca="1" si="12"/>
        <v>Other</v>
      </c>
      <c r="J910" s="1" t="str">
        <f t="shared" si="3"/>
        <v/>
      </c>
      <c r="K910" s="1" t="s">
        <v>5193</v>
      </c>
      <c r="L910" s="1">
        <f t="shared" si="40"/>
        <v>8</v>
      </c>
      <c r="M910" s="1" t="s">
        <v>5036</v>
      </c>
      <c r="N910" s="1" t="str">
        <f t="shared" si="5"/>
        <v>512 GB</v>
      </c>
      <c r="O910" s="1" t="str">
        <f t="shared" si="6"/>
        <v>512 GB</v>
      </c>
      <c r="P910" s="1" t="s">
        <v>1015</v>
      </c>
      <c r="Q910" s="1" t="str">
        <f t="shared" si="7"/>
        <v>1920x1200</v>
      </c>
      <c r="S910" s="1" t="str">
        <f t="shared" si="8"/>
        <v/>
      </c>
      <c r="T910" s="1" t="s">
        <v>101</v>
      </c>
      <c r="U910" s="1" t="str">
        <f t="shared" si="9"/>
        <v>DOS</v>
      </c>
      <c r="V910" s="1" t="s">
        <v>5165</v>
      </c>
      <c r="W910" s="1" t="str">
        <f t="shared" si="10"/>
        <v>1.44 kg</v>
      </c>
      <c r="X910" s="1" t="s">
        <v>78</v>
      </c>
      <c r="Y910" s="1" t="str">
        <f t="shared" si="11"/>
        <v>1 Year</v>
      </c>
      <c r="Z910" s="4">
        <v>33999</v>
      </c>
      <c r="AA910" s="1" t="s">
        <v>5735</v>
      </c>
    </row>
    <row r="911" spans="1:27" ht="15.75" customHeight="1" x14ac:dyDescent="0.35">
      <c r="A911" s="1" t="s">
        <v>112</v>
      </c>
      <c r="B911" s="1" t="str">
        <f t="shared" si="16"/>
        <v>HP</v>
      </c>
      <c r="C911" s="1" t="s">
        <v>5092</v>
      </c>
      <c r="D911" s="1" t="str">
        <f t="shared" si="1"/>
        <v>ProBook 460 G11</v>
      </c>
      <c r="E911" s="1" t="str">
        <f t="array" aca="1" ref="E911" ca="1">IFERROR(
INDEX(Family_Map!$B$2:$B$35,
_xludf.AGGREGATE(14,6,(ROW(Family_Map!$A$2:$A$35)-ROW(Family_Map!$A$2)+1)/(ISNUMBER(SEARCH(Family_Map!$A$2:$A$35,D911))),1)
),
"Other")</f>
        <v>Other</v>
      </c>
      <c r="F911" s="1" t="s">
        <v>5034</v>
      </c>
      <c r="G911" s="1" t="e">
        <f t="shared" ca="1" si="2"/>
        <v>#NAME?</v>
      </c>
      <c r="H911" s="1" t="str">
        <f t="shared" ca="1" si="12"/>
        <v>Other</v>
      </c>
      <c r="J911" s="1" t="str">
        <f t="shared" si="3"/>
        <v/>
      </c>
      <c r="K911" s="1" t="s">
        <v>773</v>
      </c>
      <c r="L911" s="1">
        <f t="shared" si="40"/>
        <v>8</v>
      </c>
      <c r="M911" s="1" t="s">
        <v>5094</v>
      </c>
      <c r="N911" s="1" t="str">
        <f t="shared" si="5"/>
        <v>512 GB</v>
      </c>
      <c r="O911" s="1" t="str">
        <f t="shared" si="6"/>
        <v>512 GB</v>
      </c>
      <c r="P911" s="1" t="s">
        <v>275</v>
      </c>
      <c r="Q911" s="1" t="str">
        <f t="shared" si="7"/>
        <v>1920x1200</v>
      </c>
      <c r="S911" s="1" t="str">
        <f t="shared" si="8"/>
        <v/>
      </c>
      <c r="T911" s="1" t="s">
        <v>101</v>
      </c>
      <c r="U911" s="1" t="str">
        <f t="shared" si="9"/>
        <v>DOS</v>
      </c>
      <c r="V911" s="1" t="s">
        <v>3850</v>
      </c>
      <c r="W911" s="1" t="str">
        <f t="shared" si="10"/>
        <v>1.74 kg</v>
      </c>
      <c r="X911" s="1" t="s">
        <v>78</v>
      </c>
      <c r="Y911" s="1" t="str">
        <f t="shared" si="11"/>
        <v>1 Year</v>
      </c>
      <c r="Z911" s="4">
        <v>30499</v>
      </c>
      <c r="AA911" s="1" t="s">
        <v>5735</v>
      </c>
    </row>
    <row r="912" spans="1:27" ht="15.75" customHeight="1" x14ac:dyDescent="0.35">
      <c r="A912" s="1" t="s">
        <v>112</v>
      </c>
      <c r="B912" s="1" t="str">
        <f t="shared" si="16"/>
        <v>HP</v>
      </c>
      <c r="C912" s="1" t="s">
        <v>5102</v>
      </c>
      <c r="D912" s="1" t="str">
        <f t="shared" si="1"/>
        <v>ProBook 450 G10</v>
      </c>
      <c r="E912" s="1" t="str">
        <f t="array" aca="1" ref="E912" ca="1">IFERROR(
INDEX(Family_Map!$B$2:$B$35,
_xludf.AGGREGATE(14,6,(ROW(Family_Map!$A$2:$A$35)-ROW(Family_Map!$A$2)+1)/(ISNUMBER(SEARCH(Family_Map!$A$2:$A$35,D912))),1)
),
"Other")</f>
        <v>Other</v>
      </c>
      <c r="F912" s="1" t="s">
        <v>3476</v>
      </c>
      <c r="G912" s="1" t="e">
        <f t="shared" ca="1" si="2"/>
        <v>#NAME?</v>
      </c>
      <c r="H912" s="1" t="str">
        <f t="shared" ca="1" si="12"/>
        <v>Other</v>
      </c>
      <c r="J912" s="1" t="str">
        <f t="shared" si="3"/>
        <v/>
      </c>
      <c r="K912" s="1" t="s">
        <v>1426</v>
      </c>
      <c r="L912" s="1">
        <f t="shared" si="40"/>
        <v>8</v>
      </c>
      <c r="M912" s="1" t="s">
        <v>5094</v>
      </c>
      <c r="N912" s="1" t="str">
        <f t="shared" si="5"/>
        <v>512 GB</v>
      </c>
      <c r="O912" s="1" t="str">
        <f t="shared" si="6"/>
        <v>512 GB</v>
      </c>
      <c r="P912" s="1" t="s">
        <v>120</v>
      </c>
      <c r="Q912" s="1" t="str">
        <f t="shared" si="7"/>
        <v>1920x1080</v>
      </c>
      <c r="S912" s="1" t="str">
        <f t="shared" si="8"/>
        <v/>
      </c>
      <c r="T912" s="1" t="s">
        <v>101</v>
      </c>
      <c r="U912" s="1" t="str">
        <f t="shared" si="9"/>
        <v>DOS</v>
      </c>
      <c r="V912" s="1" t="s">
        <v>5107</v>
      </c>
      <c r="W912" s="1" t="str">
        <f t="shared" si="10"/>
        <v>1.79 kg</v>
      </c>
      <c r="X912" s="1" t="s">
        <v>78</v>
      </c>
      <c r="Y912" s="1" t="str">
        <f t="shared" si="11"/>
        <v>1 Year</v>
      </c>
      <c r="Z912" s="4">
        <v>33333</v>
      </c>
      <c r="AA912" s="1" t="s">
        <v>79</v>
      </c>
    </row>
    <row r="913" spans="1:27" ht="15.75" customHeight="1" x14ac:dyDescent="0.35">
      <c r="A913" s="1" t="s">
        <v>112</v>
      </c>
      <c r="B913" s="1" t="str">
        <f t="shared" si="16"/>
        <v>HP</v>
      </c>
      <c r="C913" s="1" t="s">
        <v>5102</v>
      </c>
      <c r="D913" s="1" t="str">
        <f t="shared" si="1"/>
        <v>ProBook 450 G10</v>
      </c>
      <c r="E913" s="1" t="str">
        <f t="array" aca="1" ref="E913" ca="1">IFERROR(
INDEX(Family_Map!$B$2:$B$35,
_xludf.AGGREGATE(14,6,(ROW(Family_Map!$A$2:$A$35)-ROW(Family_Map!$A$2)+1)/(ISNUMBER(SEARCH(Family_Map!$A$2:$A$35,D913))),1)
),
"Other")</f>
        <v>Other</v>
      </c>
      <c r="F913" s="1" t="s">
        <v>3758</v>
      </c>
      <c r="G913" s="1" t="e">
        <f t="shared" ca="1" si="2"/>
        <v>#NAME?</v>
      </c>
      <c r="H913" s="1" t="str">
        <f t="shared" ca="1" si="12"/>
        <v>Other</v>
      </c>
      <c r="I913" s="1" t="s">
        <v>507</v>
      </c>
      <c r="J913" s="1" t="str">
        <f t="shared" si="3"/>
        <v>4GB</v>
      </c>
      <c r="K913" s="1" t="s">
        <v>5202</v>
      </c>
      <c r="L913" s="1">
        <f t="shared" si="40"/>
        <v>16</v>
      </c>
      <c r="M913" s="1" t="s">
        <v>5094</v>
      </c>
      <c r="N913" s="1" t="str">
        <f t="shared" si="5"/>
        <v>512 GB</v>
      </c>
      <c r="O913" s="1" t="str">
        <f t="shared" si="6"/>
        <v>512 GB</v>
      </c>
      <c r="P913" s="1" t="s">
        <v>120</v>
      </c>
      <c r="Q913" s="1" t="str">
        <f t="shared" si="7"/>
        <v>1920x1080</v>
      </c>
      <c r="S913" s="1" t="str">
        <f t="shared" si="8"/>
        <v/>
      </c>
      <c r="T913" s="1" t="s">
        <v>101</v>
      </c>
      <c r="U913" s="1" t="str">
        <f t="shared" si="9"/>
        <v>DOS</v>
      </c>
      <c r="V913" s="1" t="s">
        <v>5107</v>
      </c>
      <c r="W913" s="1" t="str">
        <f t="shared" si="10"/>
        <v>1.79 kg</v>
      </c>
      <c r="X913" s="1" t="s">
        <v>78</v>
      </c>
      <c r="Y913" s="1" t="str">
        <f t="shared" si="11"/>
        <v>1 Year</v>
      </c>
      <c r="Z913" s="4">
        <v>33333</v>
      </c>
      <c r="AA913" s="1" t="s">
        <v>79</v>
      </c>
    </row>
    <row r="914" spans="1:27" ht="15.75" customHeight="1" x14ac:dyDescent="0.35">
      <c r="A914" s="1" t="s">
        <v>112</v>
      </c>
      <c r="B914" s="1" t="str">
        <f t="shared" si="16"/>
        <v>HP</v>
      </c>
      <c r="C914" s="1" t="s">
        <v>5102</v>
      </c>
      <c r="D914" s="1" t="str">
        <f t="shared" si="1"/>
        <v>ProBook 450 G10</v>
      </c>
      <c r="E914" s="1" t="str">
        <f t="array" aca="1" ref="E914" ca="1">IFERROR(
INDEX(Family_Map!$B$2:$B$35,
_xludf.AGGREGATE(14,6,(ROW(Family_Map!$A$2:$A$35)-ROW(Family_Map!$A$2)+1)/(ISNUMBER(SEARCH(Family_Map!$A$2:$A$35,D914))),1)
),
"Other")</f>
        <v>Other</v>
      </c>
      <c r="F914" s="1" t="s">
        <v>3314</v>
      </c>
      <c r="G914" s="1" t="e">
        <f t="shared" ca="1" si="2"/>
        <v>#NAME?</v>
      </c>
      <c r="H914" s="1" t="str">
        <f t="shared" ca="1" si="12"/>
        <v>Other</v>
      </c>
      <c r="J914" s="1" t="str">
        <f t="shared" si="3"/>
        <v/>
      </c>
      <c r="K914" s="1" t="s">
        <v>363</v>
      </c>
      <c r="L914" s="1">
        <f t="shared" si="40"/>
        <v>8</v>
      </c>
      <c r="M914" s="1" t="s">
        <v>5094</v>
      </c>
      <c r="N914" s="1" t="str">
        <f t="shared" si="5"/>
        <v>512 GB</v>
      </c>
      <c r="O914" s="1" t="str">
        <f t="shared" si="6"/>
        <v>512 GB</v>
      </c>
      <c r="P914" s="1" t="s">
        <v>120</v>
      </c>
      <c r="Q914" s="1" t="str">
        <f t="shared" si="7"/>
        <v>1920x1080</v>
      </c>
      <c r="S914" s="1" t="str">
        <f t="shared" si="8"/>
        <v/>
      </c>
      <c r="T914" s="1" t="s">
        <v>101</v>
      </c>
      <c r="U914" s="1" t="str">
        <f t="shared" si="9"/>
        <v>DOS</v>
      </c>
      <c r="V914" s="1" t="s">
        <v>5107</v>
      </c>
      <c r="W914" s="1" t="str">
        <f t="shared" si="10"/>
        <v>1.79 kg</v>
      </c>
      <c r="X914" s="1" t="s">
        <v>78</v>
      </c>
      <c r="Y914" s="1" t="str">
        <f t="shared" si="11"/>
        <v>1 Year</v>
      </c>
      <c r="Z914" s="4">
        <v>27777</v>
      </c>
      <c r="AA914" s="1" t="s">
        <v>79</v>
      </c>
    </row>
    <row r="915" spans="1:27" ht="15.75" customHeight="1" x14ac:dyDescent="0.35">
      <c r="A915" s="1" t="s">
        <v>112</v>
      </c>
      <c r="B915" s="1" t="str">
        <f t="shared" si="16"/>
        <v>HP</v>
      </c>
      <c r="C915" s="1" t="s">
        <v>5092</v>
      </c>
      <c r="D915" s="1" t="str">
        <f t="shared" si="1"/>
        <v>ProBook 460 G11</v>
      </c>
      <c r="E915" s="1" t="str">
        <f t="array" aca="1" ref="E915" ca="1">IFERROR(
INDEX(Family_Map!$B$2:$B$35,
_xludf.AGGREGATE(14,6,(ROW(Family_Map!$A$2:$A$35)-ROW(Family_Map!$A$2)+1)/(ISNUMBER(SEARCH(Family_Map!$A$2:$A$35,D915))),1)
),
"Other")</f>
        <v>Other</v>
      </c>
      <c r="F915" s="1" t="s">
        <v>1356</v>
      </c>
      <c r="G915" s="1" t="e">
        <f t="shared" ca="1" si="2"/>
        <v>#NAME?</v>
      </c>
      <c r="H915" s="1" t="str">
        <f t="shared" ca="1" si="12"/>
        <v>Other</v>
      </c>
      <c r="I915" s="1" t="s">
        <v>439</v>
      </c>
      <c r="J915" s="1" t="str">
        <f t="shared" si="3"/>
        <v>4 GB</v>
      </c>
      <c r="K915" s="1" t="s">
        <v>5093</v>
      </c>
      <c r="L915" s="1">
        <f t="shared" si="40"/>
        <v>16</v>
      </c>
      <c r="M915" s="1" t="s">
        <v>5207</v>
      </c>
      <c r="N915" s="1" t="str">
        <f t="shared" si="5"/>
        <v>512GB</v>
      </c>
      <c r="O915" s="1" t="str">
        <f t="shared" si="6"/>
        <v>512GB</v>
      </c>
      <c r="P915" s="1" t="s">
        <v>275</v>
      </c>
      <c r="Q915" s="1" t="str">
        <f t="shared" si="7"/>
        <v>1920x1200</v>
      </c>
      <c r="S915" s="1" t="str">
        <f t="shared" si="8"/>
        <v/>
      </c>
      <c r="T915" s="1" t="s">
        <v>101</v>
      </c>
      <c r="U915" s="1" t="str">
        <f t="shared" si="9"/>
        <v>DOS</v>
      </c>
      <c r="V915" s="1" t="s">
        <v>3850</v>
      </c>
      <c r="W915" s="1" t="str">
        <f t="shared" si="10"/>
        <v>1.74 kg</v>
      </c>
      <c r="X915" s="1" t="s">
        <v>129</v>
      </c>
      <c r="Y915" s="1" t="str">
        <f t="shared" si="11"/>
        <v>1 Year</v>
      </c>
      <c r="Z915" s="4">
        <v>46666</v>
      </c>
      <c r="AA915" s="1" t="s">
        <v>5735</v>
      </c>
    </row>
    <row r="916" spans="1:27" ht="15.75" customHeight="1" x14ac:dyDescent="0.35">
      <c r="A916" s="1" t="s">
        <v>81</v>
      </c>
      <c r="B916" s="1" t="str">
        <f t="shared" si="16"/>
        <v>Dell</v>
      </c>
      <c r="C916" s="1" t="s">
        <v>5210</v>
      </c>
      <c r="D916" s="1" t="str">
        <f t="shared" si="1"/>
        <v>Latitude 5550</v>
      </c>
      <c r="E916" s="1" t="str">
        <f t="array" aca="1" ref="E916" ca="1">IFERROR(
INDEX(Family_Map!$B$2:$B$35,
_xludf.AGGREGATE(14,6,(ROW(Family_Map!$A$2:$A$35)-ROW(Family_Map!$A$2)+1)/(ISNUMBER(SEARCH(Family_Map!$A$2:$A$35,D916))),1)
),
"Other")</f>
        <v>Other</v>
      </c>
      <c r="F916" s="1" t="s">
        <v>3476</v>
      </c>
      <c r="G916" s="1" t="e">
        <f t="shared" ca="1" si="2"/>
        <v>#NAME?</v>
      </c>
      <c r="H916" s="1" t="str">
        <f t="shared" ca="1" si="12"/>
        <v>Other</v>
      </c>
      <c r="J916" s="1" t="str">
        <f t="shared" si="3"/>
        <v/>
      </c>
      <c r="K916" s="1" t="s">
        <v>5212</v>
      </c>
      <c r="L916" s="1">
        <f t="shared" si="40"/>
        <v>16</v>
      </c>
      <c r="M916" s="1" t="s">
        <v>5213</v>
      </c>
      <c r="N916" s="1" t="str">
        <f t="shared" si="5"/>
        <v>512 GB</v>
      </c>
      <c r="O916" s="1" t="str">
        <f t="shared" si="6"/>
        <v>512 GB</v>
      </c>
      <c r="P916" s="1" t="s">
        <v>74</v>
      </c>
      <c r="Q916" s="1" t="str">
        <f t="shared" si="7"/>
        <v>1920x1080</v>
      </c>
      <c r="R916" s="1" t="s">
        <v>971</v>
      </c>
      <c r="S916" s="1" t="str">
        <f t="shared" si="8"/>
        <v>60Hz</v>
      </c>
      <c r="T916" s="1" t="s">
        <v>101</v>
      </c>
      <c r="U916" s="1" t="str">
        <f t="shared" si="9"/>
        <v>DOS</v>
      </c>
      <c r="W916" s="1" t="str">
        <f t="shared" si="10"/>
        <v/>
      </c>
      <c r="X916" s="1" t="s">
        <v>78</v>
      </c>
      <c r="Y916" s="1" t="str">
        <f t="shared" si="11"/>
        <v>1 Year</v>
      </c>
      <c r="Z916" s="4">
        <v>48888</v>
      </c>
      <c r="AA916" s="1" t="s">
        <v>79</v>
      </c>
    </row>
    <row r="917" spans="1:27" ht="15.75" customHeight="1" x14ac:dyDescent="0.35">
      <c r="A917" s="1" t="s">
        <v>151</v>
      </c>
      <c r="B917" s="1" t="str">
        <f t="shared" si="16"/>
        <v>Lenovo</v>
      </c>
      <c r="C917" s="1" t="s">
        <v>5218</v>
      </c>
      <c r="D917" s="1" t="str">
        <f t="shared" si="1"/>
        <v>ThinkPad X1 Carbon Gen 12</v>
      </c>
      <c r="E917" s="1" t="str">
        <f t="array" aca="1" ref="E917" ca="1">IFERROR(
INDEX(Family_Map!$B$2:$B$35,
_xludf.AGGREGATE(14,6,(ROW(Family_Map!$A$2:$A$35)-ROW(Family_Map!$A$2)+1)/(ISNUMBER(SEARCH(Family_Map!$A$2:$A$35,D917))),1)
),
"Other")</f>
        <v>Other</v>
      </c>
      <c r="F917" s="1" t="s">
        <v>5219</v>
      </c>
      <c r="G917" s="1" t="e">
        <f t="shared" ca="1" si="2"/>
        <v>#NAME?</v>
      </c>
      <c r="H917" s="1" t="str">
        <f t="shared" ca="1" si="12"/>
        <v>Other</v>
      </c>
      <c r="J917" s="1" t="str">
        <f t="shared" si="3"/>
        <v/>
      </c>
      <c r="K917" s="1" t="s">
        <v>5220</v>
      </c>
      <c r="L917" s="1">
        <f t="shared" si="40"/>
        <v>32</v>
      </c>
      <c r="M917" s="1" t="s">
        <v>5221</v>
      </c>
      <c r="N917" s="1" t="str">
        <f t="shared" si="5"/>
        <v>512GB</v>
      </c>
      <c r="O917" s="1" t="str">
        <f t="shared" si="6"/>
        <v>512GB</v>
      </c>
      <c r="P917" s="1" t="s">
        <v>1015</v>
      </c>
      <c r="Q917" s="1" t="str">
        <f t="shared" si="7"/>
        <v>1920x1200</v>
      </c>
      <c r="R917" s="1" t="s">
        <v>971</v>
      </c>
      <c r="S917" s="1" t="str">
        <f t="shared" si="8"/>
        <v>60Hz</v>
      </c>
      <c r="T917" s="1" t="s">
        <v>725</v>
      </c>
      <c r="U917" s="1" t="str">
        <f t="shared" si="9"/>
        <v>Windows 11 Pro</v>
      </c>
      <c r="V917" s="1" t="s">
        <v>5225</v>
      </c>
      <c r="W917" s="1" t="str">
        <f t="shared" si="10"/>
        <v>1.08 kg</v>
      </c>
      <c r="X917" s="1" t="s">
        <v>425</v>
      </c>
      <c r="Y917" s="1" t="str">
        <f t="shared" si="11"/>
        <v>3 Years</v>
      </c>
      <c r="Z917" s="4">
        <v>105000</v>
      </c>
      <c r="AA917" s="1" t="s">
        <v>166</v>
      </c>
    </row>
    <row r="918" spans="1:27" ht="15.75" customHeight="1" x14ac:dyDescent="0.35">
      <c r="A918" s="1" t="s">
        <v>30</v>
      </c>
      <c r="B918" s="1" t="str">
        <f t="shared" si="16"/>
        <v>MSI</v>
      </c>
      <c r="C918" s="1" t="s">
        <v>5227</v>
      </c>
      <c r="D918" s="1" t="str">
        <f t="shared" si="1"/>
        <v>Prestige 14 AI Evo C2HMG</v>
      </c>
      <c r="E918" s="1" t="str">
        <f t="array" aca="1" ref="E918" ca="1">IFERROR(
INDEX(Family_Map!$B$2:$B$35,
_xludf.AGGREGATE(14,6,(ROW(Family_Map!$A$2:$A$35)-ROW(Family_Map!$A$2)+1)/(ISNUMBER(SEARCH(Family_Map!$A$2:$A$35,D918))),1)
),
"Other")</f>
        <v>Other</v>
      </c>
      <c r="F918" s="1" t="s">
        <v>3437</v>
      </c>
      <c r="G918" s="1" t="e">
        <f t="shared" ca="1" si="2"/>
        <v>#NAME?</v>
      </c>
      <c r="H918" s="1" t="str">
        <f t="shared" ca="1" si="12"/>
        <v>Other</v>
      </c>
      <c r="J918" s="1" t="str">
        <f t="shared" si="3"/>
        <v/>
      </c>
      <c r="K918" s="1" t="s">
        <v>1565</v>
      </c>
      <c r="L918" s="1">
        <f t="shared" si="40"/>
        <v>32</v>
      </c>
      <c r="M918" s="1" t="s">
        <v>54</v>
      </c>
      <c r="N918" s="1" t="str">
        <f t="shared" si="5"/>
        <v>1TB</v>
      </c>
      <c r="O918" s="1" t="str">
        <f t="shared" si="6"/>
        <v>1024GB</v>
      </c>
      <c r="P918" s="1" t="s">
        <v>275</v>
      </c>
      <c r="Q918" s="1" t="str">
        <f t="shared" si="7"/>
        <v>1920x1200</v>
      </c>
      <c r="R918" s="1" t="s">
        <v>75</v>
      </c>
      <c r="S918" s="1" t="str">
        <f t="shared" si="8"/>
        <v>144Hz</v>
      </c>
      <c r="T918" s="1" t="s">
        <v>40</v>
      </c>
      <c r="U918" s="1" t="str">
        <f t="shared" si="9"/>
        <v>Windows 11 Home</v>
      </c>
      <c r="V918" s="1" t="s">
        <v>3321</v>
      </c>
      <c r="W918" s="1" t="str">
        <f t="shared" si="10"/>
        <v>1.7 kg</v>
      </c>
      <c r="X918" s="1" t="s">
        <v>165</v>
      </c>
      <c r="Y918" s="1" t="str">
        <f t="shared" si="11"/>
        <v>2 Years</v>
      </c>
      <c r="Z918" s="4">
        <v>56800</v>
      </c>
      <c r="AA918" s="1" t="s">
        <v>5735</v>
      </c>
    </row>
    <row r="919" spans="1:27" ht="15.75" customHeight="1" x14ac:dyDescent="0.35">
      <c r="A919" s="1" t="s">
        <v>112</v>
      </c>
      <c r="B919" s="1" t="str">
        <f t="shared" si="16"/>
        <v>HP</v>
      </c>
      <c r="C919" s="1" t="s">
        <v>5102</v>
      </c>
      <c r="D919" s="1" t="str">
        <f t="shared" si="1"/>
        <v>ProBook 450 G10</v>
      </c>
      <c r="E919" s="1" t="str">
        <f t="array" aca="1" ref="E919" ca="1">IFERROR(
INDEX(Family_Map!$B$2:$B$35,
_xludf.AGGREGATE(14,6,(ROW(Family_Map!$A$2:$A$35)-ROW(Family_Map!$A$2)+1)/(ISNUMBER(SEARCH(Family_Map!$A$2:$A$35,D919))),1)
),
"Other")</f>
        <v>Other</v>
      </c>
      <c r="F919" s="1" t="s">
        <v>3758</v>
      </c>
      <c r="G919" s="1" t="e">
        <f t="shared" ca="1" si="2"/>
        <v>#NAME?</v>
      </c>
      <c r="H919" s="1" t="str">
        <f t="shared" ca="1" si="12"/>
        <v>Other</v>
      </c>
      <c r="I919" s="1" t="s">
        <v>439</v>
      </c>
      <c r="J919" s="1" t="str">
        <f t="shared" si="3"/>
        <v>4 GB</v>
      </c>
      <c r="K919" s="1" t="s">
        <v>5231</v>
      </c>
      <c r="L919" s="1">
        <f t="shared" si="40"/>
        <v>16</v>
      </c>
      <c r="M919" s="1" t="s">
        <v>735</v>
      </c>
      <c r="N919" s="1" t="str">
        <f t="shared" si="5"/>
        <v>1 TB</v>
      </c>
      <c r="O919" s="1" t="str">
        <f t="shared" si="6"/>
        <v>1024GB</v>
      </c>
      <c r="P919" s="1" t="s">
        <v>120</v>
      </c>
      <c r="Q919" s="1" t="str">
        <f t="shared" si="7"/>
        <v>1920x1080</v>
      </c>
      <c r="S919" s="1" t="str">
        <f t="shared" si="8"/>
        <v/>
      </c>
      <c r="T919" s="1" t="s">
        <v>101</v>
      </c>
      <c r="U919" s="1" t="str">
        <f t="shared" si="9"/>
        <v>DOS</v>
      </c>
      <c r="V919" s="1" t="s">
        <v>5107</v>
      </c>
      <c r="W919" s="1" t="str">
        <f t="shared" si="10"/>
        <v>1.79 kg</v>
      </c>
      <c r="X919" s="1" t="s">
        <v>129</v>
      </c>
      <c r="Y919" s="1" t="str">
        <f t="shared" si="11"/>
        <v>1 Year</v>
      </c>
      <c r="Z919" s="4">
        <v>33999</v>
      </c>
      <c r="AA919" s="1" t="s">
        <v>79</v>
      </c>
    </row>
    <row r="920" spans="1:27" ht="15.75" customHeight="1" x14ac:dyDescent="0.35">
      <c r="A920" s="1" t="s">
        <v>151</v>
      </c>
      <c r="B920" s="1" t="str">
        <f t="shared" si="16"/>
        <v>Lenovo</v>
      </c>
      <c r="C920" s="1" t="s">
        <v>5234</v>
      </c>
      <c r="D920" s="1" t="str">
        <f t="shared" si="1"/>
        <v>ThinkBook 16 G6 IRL</v>
      </c>
      <c r="E920" s="1" t="str">
        <f t="array" aca="1" ref="E920" ca="1">IFERROR(
INDEX(Family_Map!$B$2:$B$35,
_xludf.AGGREGATE(14,6,(ROW(Family_Map!$A$2:$A$35)-ROW(Family_Map!$A$2)+1)/(ISNUMBER(SEARCH(Family_Map!$A$2:$A$35,D920))),1)
),
"Other")</f>
        <v>Other</v>
      </c>
      <c r="F920" s="1" t="s">
        <v>3540</v>
      </c>
      <c r="G920" s="1" t="e">
        <f t="shared" ca="1" si="2"/>
        <v>#NAME?</v>
      </c>
      <c r="H920" s="1" t="str">
        <f t="shared" ca="1" si="12"/>
        <v>Other</v>
      </c>
      <c r="J920" s="1" t="str">
        <f t="shared" si="3"/>
        <v/>
      </c>
      <c r="K920" s="1" t="s">
        <v>1723</v>
      </c>
      <c r="L920" s="1" t="str">
        <f t="shared" si="40"/>
        <v/>
      </c>
      <c r="M920" s="1" t="s">
        <v>156</v>
      </c>
      <c r="N920" s="1" t="str">
        <f t="shared" si="5"/>
        <v>512GB</v>
      </c>
      <c r="O920" s="1" t="str">
        <f t="shared" si="6"/>
        <v>512GB</v>
      </c>
      <c r="P920" s="1" t="s">
        <v>1015</v>
      </c>
      <c r="Q920" s="1" t="str">
        <f t="shared" si="7"/>
        <v>1920x1200</v>
      </c>
      <c r="S920" s="1" t="str">
        <f t="shared" si="8"/>
        <v/>
      </c>
      <c r="T920" s="1" t="s">
        <v>101</v>
      </c>
      <c r="U920" s="1" t="str">
        <f t="shared" si="9"/>
        <v>DOS</v>
      </c>
      <c r="V920" s="1" t="s">
        <v>3321</v>
      </c>
      <c r="W920" s="1" t="str">
        <f t="shared" si="10"/>
        <v>1.7 kg</v>
      </c>
      <c r="X920" s="1" t="s">
        <v>78</v>
      </c>
      <c r="Y920" s="1" t="str">
        <f t="shared" si="11"/>
        <v>1 Year</v>
      </c>
      <c r="Z920" s="4">
        <v>23499</v>
      </c>
      <c r="AA920" s="1" t="s">
        <v>79</v>
      </c>
    </row>
    <row r="921" spans="1:27" ht="15.75" customHeight="1" x14ac:dyDescent="0.35">
      <c r="A921" s="1" t="s">
        <v>151</v>
      </c>
      <c r="B921" s="1" t="str">
        <f t="shared" si="16"/>
        <v>Lenovo</v>
      </c>
      <c r="C921" s="1" t="s">
        <v>5238</v>
      </c>
      <c r="D921" s="1" t="str">
        <f t="shared" si="1"/>
        <v>ThinkPad X13 Yoga Gen 2</v>
      </c>
      <c r="E921" s="1" t="str">
        <f t="array" aca="1" ref="E921" ca="1">IFERROR(
INDEX(Family_Map!$B$2:$B$35,
_xludf.AGGREGATE(14,6,(ROW(Family_Map!$A$2:$A$35)-ROW(Family_Map!$A$2)+1)/(ISNUMBER(SEARCH(Family_Map!$A$2:$A$35,D921))),1)
),
"Other")</f>
        <v>Other</v>
      </c>
      <c r="F921" s="1" t="s">
        <v>4071</v>
      </c>
      <c r="G921" s="1" t="e">
        <f t="shared" ca="1" si="2"/>
        <v>#NAME?</v>
      </c>
      <c r="H921" s="1" t="str">
        <f t="shared" ca="1" si="12"/>
        <v>Other</v>
      </c>
      <c r="J921" s="1" t="str">
        <f t="shared" si="3"/>
        <v/>
      </c>
      <c r="K921" s="1" t="s">
        <v>5239</v>
      </c>
      <c r="L921" s="1">
        <f t="shared" si="40"/>
        <v>8</v>
      </c>
      <c r="M921" s="1" t="s">
        <v>1120</v>
      </c>
      <c r="N921" s="1" t="str">
        <f t="shared" si="5"/>
        <v>512GB</v>
      </c>
      <c r="O921" s="1" t="str">
        <f t="shared" si="6"/>
        <v>512GB</v>
      </c>
      <c r="P921" s="1" t="s">
        <v>1015</v>
      </c>
      <c r="Q921" s="1" t="str">
        <f t="shared" si="7"/>
        <v>1920x1200</v>
      </c>
      <c r="S921" s="1" t="str">
        <f t="shared" si="8"/>
        <v/>
      </c>
      <c r="T921" s="1" t="s">
        <v>2991</v>
      </c>
      <c r="U921" s="1" t="str">
        <f t="shared" si="9"/>
        <v>Windows 10 Pro</v>
      </c>
      <c r="W921" s="1" t="str">
        <f t="shared" si="10"/>
        <v/>
      </c>
      <c r="X921" s="1" t="s">
        <v>129</v>
      </c>
      <c r="Y921" s="1" t="str">
        <f t="shared" si="11"/>
        <v>1 Year</v>
      </c>
      <c r="Z921" s="4">
        <v>33333</v>
      </c>
      <c r="AA921" s="1" t="s">
        <v>1082</v>
      </c>
    </row>
    <row r="922" spans="1:27" ht="15.75" customHeight="1" x14ac:dyDescent="0.35">
      <c r="A922" s="1" t="s">
        <v>30</v>
      </c>
      <c r="B922" s="1" t="str">
        <f t="shared" si="16"/>
        <v>MSI</v>
      </c>
      <c r="C922" s="1" t="s">
        <v>5243</v>
      </c>
      <c r="D922" s="1" t="str">
        <f t="shared" si="1"/>
        <v>Modern 14 F13MG</v>
      </c>
      <c r="E922" s="1" t="str">
        <f t="array" aca="1" ref="E922" ca="1">IFERROR(
INDEX(Family_Map!$B$2:$B$35,
_xludf.AGGREGATE(14,6,(ROW(Family_Map!$A$2:$A$35)-ROW(Family_Map!$A$2)+1)/(ISNUMBER(SEARCH(Family_Map!$A$2:$A$35,D922))),1)
),
"Other")</f>
        <v>Other</v>
      </c>
      <c r="F922" s="1" t="s">
        <v>4081</v>
      </c>
      <c r="G922" s="1" t="e">
        <f t="shared" ca="1" si="2"/>
        <v>#NAME?</v>
      </c>
      <c r="H922" s="1" t="str">
        <f t="shared" ca="1" si="12"/>
        <v>Other</v>
      </c>
      <c r="J922" s="1" t="str">
        <f t="shared" si="3"/>
        <v/>
      </c>
      <c r="K922" s="1" t="s">
        <v>1134</v>
      </c>
      <c r="L922" s="1">
        <f t="shared" si="40"/>
        <v>8</v>
      </c>
      <c r="M922" s="1" t="s">
        <v>369</v>
      </c>
      <c r="N922" s="1" t="str">
        <f t="shared" si="5"/>
        <v>512GB</v>
      </c>
      <c r="O922" s="1" t="str">
        <f t="shared" si="6"/>
        <v>512GB</v>
      </c>
      <c r="P922" s="1" t="s">
        <v>74</v>
      </c>
      <c r="Q922" s="1" t="str">
        <f t="shared" si="7"/>
        <v>1920x1080</v>
      </c>
      <c r="R922" s="1" t="s">
        <v>971</v>
      </c>
      <c r="S922" s="1" t="str">
        <f t="shared" si="8"/>
        <v>60Hz</v>
      </c>
      <c r="T922" s="1" t="s">
        <v>101</v>
      </c>
      <c r="U922" s="1" t="str">
        <f t="shared" si="9"/>
        <v>DOS</v>
      </c>
      <c r="V922" s="1" t="s">
        <v>2584</v>
      </c>
      <c r="W922" s="1" t="str">
        <f t="shared" si="10"/>
        <v>1.5 kg</v>
      </c>
      <c r="X922" s="1" t="s">
        <v>129</v>
      </c>
      <c r="Y922" s="1" t="str">
        <f t="shared" si="11"/>
        <v>1 Year</v>
      </c>
      <c r="Z922" s="4">
        <v>31249</v>
      </c>
      <c r="AA922" s="1" t="s">
        <v>79</v>
      </c>
    </row>
    <row r="923" spans="1:27" ht="15.75" customHeight="1" x14ac:dyDescent="0.35">
      <c r="A923" s="1" t="s">
        <v>30</v>
      </c>
      <c r="B923" s="1" t="str">
        <f t="shared" si="16"/>
        <v>MSI</v>
      </c>
      <c r="C923" s="1" t="s">
        <v>5243</v>
      </c>
      <c r="D923" s="1" t="str">
        <f t="shared" si="1"/>
        <v>Modern 14 F13MG</v>
      </c>
      <c r="E923" s="1" t="str">
        <f t="array" aca="1" ref="E923" ca="1">IFERROR(
INDEX(Family_Map!$B$2:$B$35,
_xludf.AGGREGATE(14,6,(ROW(Family_Map!$A$2:$A$35)-ROW(Family_Map!$A$2)+1)/(ISNUMBER(SEARCH(Family_Map!$A$2:$A$35,D923))),1)
),
"Other")</f>
        <v>Other</v>
      </c>
      <c r="F923" s="1" t="s">
        <v>4081</v>
      </c>
      <c r="G923" s="1" t="e">
        <f t="shared" ca="1" si="2"/>
        <v>#NAME?</v>
      </c>
      <c r="H923" s="1" t="str">
        <f t="shared" ca="1" si="12"/>
        <v>Other</v>
      </c>
      <c r="J923" s="1" t="str">
        <f t="shared" si="3"/>
        <v/>
      </c>
      <c r="K923" s="1" t="s">
        <v>1134</v>
      </c>
      <c r="L923" s="1">
        <f t="shared" si="40"/>
        <v>8</v>
      </c>
      <c r="M923" s="1" t="s">
        <v>369</v>
      </c>
      <c r="N923" s="1" t="str">
        <f t="shared" si="5"/>
        <v>512GB</v>
      </c>
      <c r="O923" s="1" t="str">
        <f t="shared" si="6"/>
        <v>512GB</v>
      </c>
      <c r="P923" s="1" t="s">
        <v>74</v>
      </c>
      <c r="Q923" s="1" t="str">
        <f t="shared" si="7"/>
        <v>1920x1080</v>
      </c>
      <c r="R923" s="1" t="s">
        <v>971</v>
      </c>
      <c r="S923" s="1" t="str">
        <f t="shared" si="8"/>
        <v>60Hz</v>
      </c>
      <c r="T923" s="1" t="s">
        <v>101</v>
      </c>
      <c r="U923" s="1" t="str">
        <f t="shared" si="9"/>
        <v>DOS</v>
      </c>
      <c r="V923" s="1" t="s">
        <v>2584</v>
      </c>
      <c r="W923" s="1" t="str">
        <f t="shared" si="10"/>
        <v>1.5 kg</v>
      </c>
      <c r="X923" s="1" t="s">
        <v>129</v>
      </c>
      <c r="Y923" s="1" t="str">
        <f t="shared" si="11"/>
        <v>1 Year</v>
      </c>
      <c r="Z923" s="4">
        <v>24999</v>
      </c>
      <c r="AA923" s="1" t="s">
        <v>79</v>
      </c>
    </row>
    <row r="924" spans="1:27" ht="15.75" customHeight="1" x14ac:dyDescent="0.35">
      <c r="A924" s="1" t="s">
        <v>81</v>
      </c>
      <c r="B924" s="1" t="str">
        <f t="shared" si="16"/>
        <v>Dell</v>
      </c>
      <c r="C924" s="1" t="s">
        <v>5250</v>
      </c>
      <c r="D924" s="1" t="str">
        <f t="shared" si="1"/>
        <v>Latitude 3450</v>
      </c>
      <c r="E924" s="1" t="str">
        <f t="array" aca="1" ref="E924" ca="1">IFERROR(
INDEX(Family_Map!$B$2:$B$35,
_xludf.AGGREGATE(14,6,(ROW(Family_Map!$A$2:$A$35)-ROW(Family_Map!$A$2)+1)/(ISNUMBER(SEARCH(Family_Map!$A$2:$A$35,D924))),1)
),
"Other")</f>
        <v>Other</v>
      </c>
      <c r="F924" s="1" t="s">
        <v>3758</v>
      </c>
      <c r="G924" s="1" t="e">
        <f t="shared" ca="1" si="2"/>
        <v>#NAME?</v>
      </c>
      <c r="H924" s="1" t="str">
        <f t="shared" ca="1" si="12"/>
        <v>Other</v>
      </c>
      <c r="J924" s="1" t="str">
        <f t="shared" si="3"/>
        <v/>
      </c>
      <c r="K924" s="1" t="s">
        <v>5252</v>
      </c>
      <c r="L924" s="1">
        <f t="shared" si="40"/>
        <v>8</v>
      </c>
      <c r="M924" s="1" t="s">
        <v>5141</v>
      </c>
      <c r="N924" s="1" t="str">
        <f t="shared" si="5"/>
        <v>512GB</v>
      </c>
      <c r="O924" s="1" t="str">
        <f t="shared" si="6"/>
        <v>512GB</v>
      </c>
      <c r="P924" s="1" t="s">
        <v>74</v>
      </c>
      <c r="Q924" s="1" t="str">
        <f t="shared" si="7"/>
        <v>1920x1080</v>
      </c>
      <c r="S924" s="1" t="str">
        <f t="shared" si="8"/>
        <v/>
      </c>
      <c r="T924" s="1" t="s">
        <v>101</v>
      </c>
      <c r="U924" s="1" t="str">
        <f t="shared" si="9"/>
        <v>DOS</v>
      </c>
      <c r="W924" s="1" t="str">
        <f t="shared" si="10"/>
        <v/>
      </c>
      <c r="X924" s="1" t="s">
        <v>78</v>
      </c>
      <c r="Y924" s="1" t="str">
        <f t="shared" si="11"/>
        <v>1 Year</v>
      </c>
      <c r="Z924" s="4">
        <v>30999</v>
      </c>
      <c r="AA924" s="1" t="s">
        <v>79</v>
      </c>
    </row>
    <row r="925" spans="1:27" ht="15.75" customHeight="1" x14ac:dyDescent="0.35">
      <c r="A925" s="1" t="s">
        <v>81</v>
      </c>
      <c r="B925" s="1" t="str">
        <f t="shared" si="16"/>
        <v>Dell</v>
      </c>
      <c r="C925" s="1" t="s">
        <v>5210</v>
      </c>
      <c r="D925" s="1" t="str">
        <f t="shared" si="1"/>
        <v>Latitude 5550</v>
      </c>
      <c r="E925" s="1" t="str">
        <f t="array" aca="1" ref="E925" ca="1">IFERROR(
INDEX(Family_Map!$B$2:$B$35,
_xludf.AGGREGATE(14,6,(ROW(Family_Map!$A$2:$A$35)-ROW(Family_Map!$A$2)+1)/(ISNUMBER(SEARCH(Family_Map!$A$2:$A$35,D925))),1)
),
"Other")</f>
        <v>Other</v>
      </c>
      <c r="F925" s="1" t="s">
        <v>5256</v>
      </c>
      <c r="G925" s="1" t="e">
        <f t="shared" ca="1" si="2"/>
        <v>#NAME?</v>
      </c>
      <c r="H925" s="1" t="str">
        <f t="shared" ca="1" si="12"/>
        <v>Other</v>
      </c>
      <c r="J925" s="1" t="str">
        <f t="shared" si="3"/>
        <v/>
      </c>
      <c r="K925" s="1" t="s">
        <v>5081</v>
      </c>
      <c r="L925" s="1">
        <f t="shared" si="40"/>
        <v>8</v>
      </c>
      <c r="M925" s="1" t="s">
        <v>5213</v>
      </c>
      <c r="N925" s="1" t="str">
        <f t="shared" si="5"/>
        <v>512 GB</v>
      </c>
      <c r="O925" s="1" t="str">
        <f t="shared" si="6"/>
        <v>512 GB</v>
      </c>
      <c r="P925" s="1" t="s">
        <v>74</v>
      </c>
      <c r="Q925" s="1" t="str">
        <f t="shared" si="7"/>
        <v>1920x1080</v>
      </c>
      <c r="R925" s="1" t="s">
        <v>971</v>
      </c>
      <c r="S925" s="1" t="str">
        <f t="shared" si="8"/>
        <v>60Hz</v>
      </c>
      <c r="T925" s="1" t="s">
        <v>101</v>
      </c>
      <c r="U925" s="1" t="str">
        <f t="shared" si="9"/>
        <v>DOS</v>
      </c>
      <c r="W925" s="1" t="str">
        <f t="shared" si="10"/>
        <v/>
      </c>
      <c r="X925" s="1" t="s">
        <v>78</v>
      </c>
      <c r="Y925" s="1" t="str">
        <f t="shared" si="11"/>
        <v>1 Year</v>
      </c>
      <c r="Z925" s="4">
        <v>38999</v>
      </c>
      <c r="AA925" s="1" t="s">
        <v>5735</v>
      </c>
    </row>
    <row r="926" spans="1:27" ht="15.75" customHeight="1" x14ac:dyDescent="0.35">
      <c r="A926" s="1" t="s">
        <v>81</v>
      </c>
      <c r="B926" s="1" t="str">
        <f t="shared" si="16"/>
        <v>Dell</v>
      </c>
      <c r="C926" s="1" t="s">
        <v>5262</v>
      </c>
      <c r="D926" s="1" t="str">
        <f t="shared" si="1"/>
        <v>Latitude 5450</v>
      </c>
      <c r="E926" s="1" t="str">
        <f t="array" aca="1" ref="E926" ca="1">IFERROR(
INDEX(Family_Map!$B$2:$B$35,
_xludf.AGGREGATE(14,6,(ROW(Family_Map!$A$2:$A$35)-ROW(Family_Map!$A$2)+1)/(ISNUMBER(SEARCH(Family_Map!$A$2:$A$35,D926))),1)
),
"Other")</f>
        <v>Other</v>
      </c>
      <c r="F926" s="1" t="s">
        <v>5256</v>
      </c>
      <c r="G926" s="1" t="e">
        <f t="shared" ca="1" si="2"/>
        <v>#NAME?</v>
      </c>
      <c r="H926" s="1" t="str">
        <f t="shared" ca="1" si="12"/>
        <v>Other</v>
      </c>
      <c r="J926" s="1" t="str">
        <f t="shared" si="3"/>
        <v/>
      </c>
      <c r="K926" s="1" t="s">
        <v>5263</v>
      </c>
      <c r="L926" s="1">
        <f t="shared" si="40"/>
        <v>8</v>
      </c>
      <c r="M926" s="1" t="s">
        <v>5213</v>
      </c>
      <c r="N926" s="1" t="str">
        <f t="shared" si="5"/>
        <v>512 GB</v>
      </c>
      <c r="O926" s="1" t="str">
        <f t="shared" si="6"/>
        <v>512 GB</v>
      </c>
      <c r="P926" s="1" t="s">
        <v>74</v>
      </c>
      <c r="Q926" s="1" t="str">
        <f t="shared" si="7"/>
        <v>1920x1080</v>
      </c>
      <c r="S926" s="1" t="str">
        <f t="shared" si="8"/>
        <v/>
      </c>
      <c r="T926" s="1" t="s">
        <v>101</v>
      </c>
      <c r="U926" s="1" t="str">
        <f t="shared" si="9"/>
        <v>DOS</v>
      </c>
      <c r="W926" s="1" t="str">
        <f t="shared" si="10"/>
        <v/>
      </c>
      <c r="X926" s="1" t="s">
        <v>78</v>
      </c>
      <c r="Y926" s="1" t="str">
        <f t="shared" si="11"/>
        <v>1 Year</v>
      </c>
      <c r="Z926" s="4">
        <v>38999</v>
      </c>
      <c r="AA926" s="1" t="s">
        <v>5735</v>
      </c>
    </row>
    <row r="927" spans="1:27" ht="15.75" customHeight="1" x14ac:dyDescent="0.35">
      <c r="A927" s="1" t="s">
        <v>151</v>
      </c>
      <c r="B927" s="1" t="str">
        <f t="shared" si="16"/>
        <v>Lenovo</v>
      </c>
      <c r="C927" s="1" t="s">
        <v>5266</v>
      </c>
      <c r="D927" s="1" t="str">
        <f t="shared" si="1"/>
        <v>ThinkBook 14 G7 IML</v>
      </c>
      <c r="E927" s="1" t="str">
        <f t="array" aca="1" ref="E927" ca="1">IFERROR(
INDEX(Family_Map!$B$2:$B$35,
_xludf.AGGREGATE(14,6,(ROW(Family_Map!$A$2:$A$35)-ROW(Family_Map!$A$2)+1)/(ISNUMBER(SEARCH(Family_Map!$A$2:$A$35,D927))),1)
),
"Other")</f>
        <v>Other</v>
      </c>
      <c r="F927" s="1" t="s">
        <v>5267</v>
      </c>
      <c r="G927" s="1" t="e">
        <f t="shared" ca="1" si="2"/>
        <v>#NAME?</v>
      </c>
      <c r="H927" s="1" t="str">
        <f t="shared" ca="1" si="12"/>
        <v>Other</v>
      </c>
      <c r="J927" s="1" t="str">
        <f t="shared" si="3"/>
        <v/>
      </c>
      <c r="K927" s="1" t="s">
        <v>5268</v>
      </c>
      <c r="L927" s="1">
        <f t="shared" si="40"/>
        <v>8</v>
      </c>
      <c r="M927" s="1" t="s">
        <v>156</v>
      </c>
      <c r="N927" s="1" t="str">
        <f t="shared" si="5"/>
        <v>512GB</v>
      </c>
      <c r="O927" s="1" t="str">
        <f t="shared" si="6"/>
        <v>512GB</v>
      </c>
      <c r="P927" s="1" t="s">
        <v>1015</v>
      </c>
      <c r="Q927" s="1" t="str">
        <f t="shared" si="7"/>
        <v>1920x1200</v>
      </c>
      <c r="R927" s="1" t="s">
        <v>971</v>
      </c>
      <c r="S927" s="1" t="str">
        <f t="shared" si="8"/>
        <v>60Hz</v>
      </c>
      <c r="T927" s="1" t="s">
        <v>101</v>
      </c>
      <c r="U927" s="1" t="str">
        <f t="shared" si="9"/>
        <v>DOS</v>
      </c>
      <c r="V927" s="1" t="s">
        <v>4389</v>
      </c>
      <c r="W927" s="1" t="str">
        <f t="shared" si="10"/>
        <v>1.38 kg</v>
      </c>
      <c r="X927" s="1" t="s">
        <v>78</v>
      </c>
      <c r="Y927" s="1" t="str">
        <f t="shared" si="11"/>
        <v>1 Year</v>
      </c>
      <c r="Z927" s="4">
        <v>30999</v>
      </c>
      <c r="AA927" s="1" t="s">
        <v>5735</v>
      </c>
    </row>
    <row r="928" spans="1:27" ht="15.75" customHeight="1" x14ac:dyDescent="0.35">
      <c r="A928" s="1" t="s">
        <v>151</v>
      </c>
      <c r="B928" s="1" t="str">
        <f t="shared" si="16"/>
        <v>Lenovo</v>
      </c>
      <c r="C928" s="1" t="s">
        <v>5266</v>
      </c>
      <c r="D928" s="1" t="str">
        <f t="shared" si="1"/>
        <v>ThinkBook 14 G7 IML</v>
      </c>
      <c r="E928" s="1" t="str">
        <f t="array" aca="1" ref="E928" ca="1">IFERROR(
INDEX(Family_Map!$B$2:$B$35,
_xludf.AGGREGATE(14,6,(ROW(Family_Map!$A$2:$A$35)-ROW(Family_Map!$A$2)+1)/(ISNUMBER(SEARCH(Family_Map!$A$2:$A$35,D928))),1)
),
"Other")</f>
        <v>Other</v>
      </c>
      <c r="F928" s="1" t="s">
        <v>1356</v>
      </c>
      <c r="G928" s="1" t="e">
        <f t="shared" ca="1" si="2"/>
        <v>#NAME?</v>
      </c>
      <c r="H928" s="1" t="str">
        <f t="shared" ca="1" si="12"/>
        <v>Other</v>
      </c>
      <c r="J928" s="1" t="str">
        <f t="shared" si="3"/>
        <v/>
      </c>
      <c r="K928" s="1" t="s">
        <v>5268</v>
      </c>
      <c r="L928" s="1">
        <f t="shared" si="40"/>
        <v>8</v>
      </c>
      <c r="M928" s="1" t="s">
        <v>156</v>
      </c>
      <c r="N928" s="1" t="str">
        <f t="shared" si="5"/>
        <v>512GB</v>
      </c>
      <c r="O928" s="1" t="str">
        <f t="shared" si="6"/>
        <v>512GB</v>
      </c>
      <c r="P928" s="1" t="s">
        <v>1015</v>
      </c>
      <c r="Q928" s="1" t="str">
        <f t="shared" si="7"/>
        <v>1920x1200</v>
      </c>
      <c r="R928" s="1" t="s">
        <v>971</v>
      </c>
      <c r="S928" s="1" t="str">
        <f t="shared" si="8"/>
        <v>60Hz</v>
      </c>
      <c r="T928" s="1" t="s">
        <v>101</v>
      </c>
      <c r="U928" s="1" t="str">
        <f t="shared" si="9"/>
        <v>DOS</v>
      </c>
      <c r="V928" s="1" t="s">
        <v>4389</v>
      </c>
      <c r="W928" s="1" t="str">
        <f t="shared" si="10"/>
        <v>1.38 kg</v>
      </c>
      <c r="X928" s="1" t="s">
        <v>78</v>
      </c>
      <c r="Y928" s="1" t="str">
        <f t="shared" si="11"/>
        <v>1 Year</v>
      </c>
      <c r="Z928" s="4">
        <v>36999</v>
      </c>
      <c r="AA928" s="1" t="s">
        <v>5735</v>
      </c>
    </row>
    <row r="929" spans="1:27" ht="15.75" customHeight="1" x14ac:dyDescent="0.35">
      <c r="A929" s="1" t="s">
        <v>151</v>
      </c>
      <c r="B929" s="1" t="str">
        <f t="shared" si="16"/>
        <v>Lenovo</v>
      </c>
      <c r="C929" s="1" t="s">
        <v>5275</v>
      </c>
      <c r="D929" s="1" t="str">
        <f t="shared" si="1"/>
        <v>ThinkPad X13 2-in-1 Gen 5</v>
      </c>
      <c r="E929" s="1" t="str">
        <f t="array" aca="1" ref="E929" ca="1">IFERROR(
INDEX(Family_Map!$B$2:$B$35,
_xludf.AGGREGATE(14,6,(ROW(Family_Map!$A$2:$A$35)-ROW(Family_Map!$A$2)+1)/(ISNUMBER(SEARCH(Family_Map!$A$2:$A$35,D929))),1)
),
"Other")</f>
        <v>Other</v>
      </c>
      <c r="F929" s="1" t="s">
        <v>3594</v>
      </c>
      <c r="G929" s="1" t="e">
        <f t="shared" ca="1" si="2"/>
        <v>#NAME?</v>
      </c>
      <c r="H929" s="1" t="str">
        <f t="shared" ca="1" si="12"/>
        <v>Other</v>
      </c>
      <c r="J929" s="1" t="str">
        <f t="shared" si="3"/>
        <v/>
      </c>
      <c r="K929" s="1" t="s">
        <v>5276</v>
      </c>
      <c r="L929" s="1">
        <f t="shared" si="40"/>
        <v>32</v>
      </c>
      <c r="M929" s="1" t="s">
        <v>5277</v>
      </c>
      <c r="N929" s="1" t="str">
        <f t="shared" si="5"/>
        <v>1TB</v>
      </c>
      <c r="O929" s="1" t="str">
        <f t="shared" si="6"/>
        <v>1024GB</v>
      </c>
      <c r="P929" s="1" t="s">
        <v>275</v>
      </c>
      <c r="Q929" s="1" t="str">
        <f t="shared" si="7"/>
        <v>1920x1200</v>
      </c>
      <c r="S929" s="1" t="str">
        <f t="shared" si="8"/>
        <v/>
      </c>
      <c r="T929" s="1" t="s">
        <v>725</v>
      </c>
      <c r="U929" s="1" t="str">
        <f t="shared" si="9"/>
        <v>Windows 11 Pro</v>
      </c>
      <c r="V929" s="1" t="s">
        <v>5282</v>
      </c>
      <c r="W929" s="1" t="str">
        <f t="shared" si="10"/>
        <v>1.25 kg</v>
      </c>
      <c r="X929" s="1" t="s">
        <v>78</v>
      </c>
      <c r="Y929" s="1" t="str">
        <f t="shared" si="11"/>
        <v>1 Year</v>
      </c>
      <c r="Z929" s="4">
        <v>119000</v>
      </c>
      <c r="AA929" s="1" t="s">
        <v>5735</v>
      </c>
    </row>
    <row r="930" spans="1:27" ht="15.75" customHeight="1" x14ac:dyDescent="0.35">
      <c r="A930" s="1" t="s">
        <v>151</v>
      </c>
      <c r="B930" s="1" t="str">
        <f t="shared" si="16"/>
        <v>Lenovo</v>
      </c>
      <c r="C930" s="1" t="s">
        <v>5284</v>
      </c>
      <c r="D930" s="1" t="str">
        <f t="shared" si="1"/>
        <v>ThinkPad X13 Gen 4</v>
      </c>
      <c r="E930" s="1" t="str">
        <f t="array" aca="1" ref="E930" ca="1">IFERROR(
INDEX(Family_Map!$B$2:$B$35,
_xludf.AGGREGATE(14,6,(ROW(Family_Map!$A$2:$A$35)-ROW(Family_Map!$A$2)+1)/(ISNUMBER(SEARCH(Family_Map!$A$2:$A$35,D930))),1)
),
"Other")</f>
        <v>Other</v>
      </c>
      <c r="F930" s="1" t="s">
        <v>3476</v>
      </c>
      <c r="G930" s="1" t="e">
        <f t="shared" ca="1" si="2"/>
        <v>#NAME?</v>
      </c>
      <c r="H930" s="1" t="str">
        <f t="shared" ca="1" si="12"/>
        <v>Other</v>
      </c>
      <c r="J930" s="1" t="str">
        <f t="shared" si="3"/>
        <v/>
      </c>
      <c r="K930" s="1" t="s">
        <v>3644</v>
      </c>
      <c r="L930" s="1">
        <f t="shared" si="40"/>
        <v>16</v>
      </c>
      <c r="M930" s="1" t="s">
        <v>5285</v>
      </c>
      <c r="N930" s="1" t="str">
        <f t="shared" si="5"/>
        <v>1TB</v>
      </c>
      <c r="O930" s="1" t="str">
        <f t="shared" si="6"/>
        <v>1024GB</v>
      </c>
      <c r="P930" s="1" t="s">
        <v>275</v>
      </c>
      <c r="Q930" s="1" t="str">
        <f t="shared" si="7"/>
        <v>1920x1200</v>
      </c>
      <c r="S930" s="1" t="str">
        <f t="shared" si="8"/>
        <v/>
      </c>
      <c r="T930" s="1" t="s">
        <v>725</v>
      </c>
      <c r="U930" s="1" t="str">
        <f t="shared" si="9"/>
        <v>Windows 11 Pro</v>
      </c>
      <c r="V930" s="1" t="s">
        <v>5290</v>
      </c>
      <c r="W930" s="1" t="str">
        <f t="shared" si="10"/>
        <v>1.09 kg</v>
      </c>
      <c r="X930" s="1" t="s">
        <v>78</v>
      </c>
      <c r="Y930" s="1" t="str">
        <f t="shared" si="11"/>
        <v>1 Year</v>
      </c>
      <c r="Z930" s="4">
        <v>78000</v>
      </c>
      <c r="AA930" s="1" t="s">
        <v>79</v>
      </c>
    </row>
    <row r="931" spans="1:27" ht="15.75" customHeight="1" x14ac:dyDescent="0.35">
      <c r="A931" s="1" t="s">
        <v>151</v>
      </c>
      <c r="B931" s="1" t="str">
        <f t="shared" si="16"/>
        <v>Lenovo</v>
      </c>
      <c r="C931" s="1" t="s">
        <v>5292</v>
      </c>
      <c r="D931" s="1" t="str">
        <f t="shared" si="1"/>
        <v>ThinkPad T14s Gen 5</v>
      </c>
      <c r="E931" s="1" t="str">
        <f t="array" aca="1" ref="E931" ca="1">IFERROR(
INDEX(Family_Map!$B$2:$B$35,
_xludf.AGGREGATE(14,6,(ROW(Family_Map!$A$2:$A$35)-ROW(Family_Map!$A$2)+1)/(ISNUMBER(SEARCH(Family_Map!$A$2:$A$35,D931))),1)
),
"Other")</f>
        <v>Other</v>
      </c>
      <c r="F931" s="1" t="s">
        <v>3594</v>
      </c>
      <c r="G931" s="1" t="e">
        <f t="shared" ca="1" si="2"/>
        <v>#NAME?</v>
      </c>
      <c r="H931" s="1" t="str">
        <f t="shared" ca="1" si="12"/>
        <v>Other</v>
      </c>
      <c r="J931" s="1" t="str">
        <f t="shared" si="3"/>
        <v/>
      </c>
      <c r="K931" s="1" t="s">
        <v>5220</v>
      </c>
      <c r="L931" s="1">
        <f t="shared" si="40"/>
        <v>32</v>
      </c>
      <c r="M931" s="1" t="s">
        <v>5285</v>
      </c>
      <c r="N931" s="1" t="str">
        <f t="shared" si="5"/>
        <v>1TB</v>
      </c>
      <c r="O931" s="1" t="str">
        <f t="shared" si="6"/>
        <v>1024GB</v>
      </c>
      <c r="P931" s="1" t="s">
        <v>275</v>
      </c>
      <c r="Q931" s="1" t="str">
        <f t="shared" si="7"/>
        <v>1920x1200</v>
      </c>
      <c r="S931" s="1" t="str">
        <f t="shared" si="8"/>
        <v/>
      </c>
      <c r="T931" s="1" t="s">
        <v>725</v>
      </c>
      <c r="U931" s="1" t="str">
        <f t="shared" si="9"/>
        <v>Windows 11 Pro</v>
      </c>
      <c r="V931" s="1" t="s">
        <v>4562</v>
      </c>
      <c r="W931" s="1" t="str">
        <f t="shared" si="10"/>
        <v>1.24 kg</v>
      </c>
      <c r="X931" s="1" t="s">
        <v>78</v>
      </c>
      <c r="Y931" s="1" t="str">
        <f t="shared" si="11"/>
        <v>1 Year</v>
      </c>
      <c r="Z931" s="4">
        <v>118900</v>
      </c>
      <c r="AA931" s="1" t="s">
        <v>5735</v>
      </c>
    </row>
    <row r="932" spans="1:27" ht="15.75" customHeight="1" x14ac:dyDescent="0.35">
      <c r="A932" s="1" t="s">
        <v>151</v>
      </c>
      <c r="B932" s="1" t="str">
        <f t="shared" si="16"/>
        <v>Lenovo</v>
      </c>
      <c r="C932" s="1" t="s">
        <v>5297</v>
      </c>
      <c r="D932" s="1" t="str">
        <f t="shared" si="1"/>
        <v>ThinkPad T14 Gen 5</v>
      </c>
      <c r="E932" s="1" t="str">
        <f t="array" aca="1" ref="E932" ca="1">IFERROR(
INDEX(Family_Map!$B$2:$B$35,
_xludf.AGGREGATE(14,6,(ROW(Family_Map!$A$2:$A$35)-ROW(Family_Map!$A$2)+1)/(ISNUMBER(SEARCH(Family_Map!$A$2:$A$35,D932))),1)
),
"Other")</f>
        <v>Other</v>
      </c>
      <c r="F932" s="1" t="s">
        <v>3594</v>
      </c>
      <c r="G932" s="1" t="e">
        <f t="shared" ca="1" si="2"/>
        <v>#NAME?</v>
      </c>
      <c r="H932" s="1" t="str">
        <f t="shared" ca="1" si="12"/>
        <v>Other</v>
      </c>
      <c r="J932" s="1" t="str">
        <f t="shared" si="3"/>
        <v/>
      </c>
      <c r="K932" s="1" t="s">
        <v>221</v>
      </c>
      <c r="L932" s="1">
        <f t="shared" si="40"/>
        <v>16</v>
      </c>
      <c r="M932" s="1" t="s">
        <v>5285</v>
      </c>
      <c r="N932" s="1" t="str">
        <f t="shared" si="5"/>
        <v>1TB</v>
      </c>
      <c r="O932" s="1" t="str">
        <f t="shared" si="6"/>
        <v>1024GB</v>
      </c>
      <c r="P932" s="1" t="s">
        <v>275</v>
      </c>
      <c r="Q932" s="1" t="str">
        <f t="shared" si="7"/>
        <v>1920x1200</v>
      </c>
      <c r="R932" s="1" t="s">
        <v>971</v>
      </c>
      <c r="S932" s="1" t="str">
        <f t="shared" si="8"/>
        <v>60Hz</v>
      </c>
      <c r="T932" s="1" t="s">
        <v>725</v>
      </c>
      <c r="U932" s="1" t="str">
        <f t="shared" si="9"/>
        <v>Windows 11 Pro</v>
      </c>
      <c r="V932" s="1" t="s">
        <v>4389</v>
      </c>
      <c r="W932" s="1" t="str">
        <f t="shared" si="10"/>
        <v>1.38 kg</v>
      </c>
      <c r="X932" s="1" t="s">
        <v>78</v>
      </c>
      <c r="Y932" s="1" t="str">
        <f t="shared" si="11"/>
        <v>1 Year</v>
      </c>
      <c r="Z932" s="4">
        <v>113000</v>
      </c>
      <c r="AA932" s="1" t="s">
        <v>5735</v>
      </c>
    </row>
    <row r="933" spans="1:27" ht="15.75" customHeight="1" x14ac:dyDescent="0.35">
      <c r="A933" s="1" t="s">
        <v>151</v>
      </c>
      <c r="B933" s="1" t="str">
        <f t="shared" si="16"/>
        <v>Lenovo</v>
      </c>
      <c r="C933" s="1" t="s">
        <v>5297</v>
      </c>
      <c r="D933" s="1" t="str">
        <f t="shared" si="1"/>
        <v>ThinkPad T14 Gen 5</v>
      </c>
      <c r="E933" s="1" t="str">
        <f t="array" aca="1" ref="E933" ca="1">IFERROR(
INDEX(Family_Map!$B$2:$B$35,
_xludf.AGGREGATE(14,6,(ROW(Family_Map!$A$2:$A$35)-ROW(Family_Map!$A$2)+1)/(ISNUMBER(SEARCH(Family_Map!$A$2:$A$35,D933))),1)
),
"Other")</f>
        <v>Other</v>
      </c>
      <c r="F933" s="1" t="s">
        <v>3594</v>
      </c>
      <c r="G933" s="1" t="e">
        <f t="shared" ca="1" si="2"/>
        <v>#NAME?</v>
      </c>
      <c r="H933" s="1" t="str">
        <f t="shared" ca="1" si="12"/>
        <v>Other</v>
      </c>
      <c r="J933" s="1" t="str">
        <f t="shared" si="3"/>
        <v/>
      </c>
      <c r="K933" s="1" t="s">
        <v>221</v>
      </c>
      <c r="L933" s="1">
        <f t="shared" si="40"/>
        <v>16</v>
      </c>
      <c r="M933" s="1" t="s">
        <v>5302</v>
      </c>
      <c r="N933" s="1" t="str">
        <f t="shared" si="5"/>
        <v>512GB</v>
      </c>
      <c r="O933" s="1" t="str">
        <f t="shared" si="6"/>
        <v>512GB</v>
      </c>
      <c r="P933" s="1" t="s">
        <v>275</v>
      </c>
      <c r="Q933" s="1" t="str">
        <f t="shared" si="7"/>
        <v>1920x1200</v>
      </c>
      <c r="R933" s="1" t="s">
        <v>971</v>
      </c>
      <c r="S933" s="1" t="str">
        <f t="shared" si="8"/>
        <v>60Hz</v>
      </c>
      <c r="T933" s="1" t="s">
        <v>725</v>
      </c>
      <c r="U933" s="1" t="str">
        <f t="shared" si="9"/>
        <v>Windows 11 Pro</v>
      </c>
      <c r="V933" s="1" t="s">
        <v>4389</v>
      </c>
      <c r="W933" s="1" t="str">
        <f t="shared" si="10"/>
        <v>1.38 kg</v>
      </c>
      <c r="X933" s="1" t="s">
        <v>78</v>
      </c>
      <c r="Y933" s="1" t="str">
        <f t="shared" si="11"/>
        <v>1 Year</v>
      </c>
      <c r="Z933" s="4">
        <v>100300</v>
      </c>
      <c r="AA933" s="1" t="s">
        <v>5735</v>
      </c>
    </row>
    <row r="934" spans="1:27" ht="15.75" customHeight="1" x14ac:dyDescent="0.35">
      <c r="A934" s="1" t="s">
        <v>151</v>
      </c>
      <c r="B934" s="1" t="str">
        <f t="shared" si="16"/>
        <v>Lenovo</v>
      </c>
      <c r="C934" s="1" t="s">
        <v>5304</v>
      </c>
      <c r="D934" s="1" t="str">
        <f t="shared" si="1"/>
        <v>ThinkPad L13 2-in-1 Gen 5</v>
      </c>
      <c r="E934" s="1" t="str">
        <f t="array" aca="1" ref="E934" ca="1">IFERROR(
INDEX(Family_Map!$B$2:$B$35,
_xludf.AGGREGATE(14,6,(ROW(Family_Map!$A$2:$A$35)-ROW(Family_Map!$A$2)+1)/(ISNUMBER(SEARCH(Family_Map!$A$2:$A$35,D934))),1)
),
"Other")</f>
        <v>Other</v>
      </c>
      <c r="F934" s="1" t="s">
        <v>3594</v>
      </c>
      <c r="G934" s="1" t="e">
        <f t="shared" ca="1" si="2"/>
        <v>#NAME?</v>
      </c>
      <c r="H934" s="1" t="str">
        <f t="shared" ca="1" si="12"/>
        <v>Other</v>
      </c>
      <c r="J934" s="1" t="str">
        <f t="shared" si="3"/>
        <v/>
      </c>
      <c r="K934" s="1" t="s">
        <v>5305</v>
      </c>
      <c r="L934" s="1">
        <f t="shared" si="40"/>
        <v>16</v>
      </c>
      <c r="M934" s="1" t="s">
        <v>5302</v>
      </c>
      <c r="N934" s="1" t="str">
        <f t="shared" si="5"/>
        <v>512GB</v>
      </c>
      <c r="O934" s="1" t="str">
        <f t="shared" si="6"/>
        <v>512GB</v>
      </c>
      <c r="P934" s="1" t="s">
        <v>275</v>
      </c>
      <c r="Q934" s="1" t="str">
        <f t="shared" si="7"/>
        <v>1920x1200</v>
      </c>
      <c r="S934" s="1" t="str">
        <f t="shared" si="8"/>
        <v/>
      </c>
      <c r="T934" s="1" t="s">
        <v>257</v>
      </c>
      <c r="U934" s="1" t="str">
        <f t="shared" si="9"/>
        <v>Windows 11 Pro</v>
      </c>
      <c r="V934" s="1" t="s">
        <v>4884</v>
      </c>
      <c r="W934" s="1" t="str">
        <f t="shared" si="10"/>
        <v>1.32 kg</v>
      </c>
      <c r="X934" s="1" t="s">
        <v>78</v>
      </c>
      <c r="Y934" s="1" t="str">
        <f t="shared" si="11"/>
        <v>1 Year</v>
      </c>
      <c r="Z934" s="4">
        <v>92000</v>
      </c>
      <c r="AA934" s="1" t="s">
        <v>5735</v>
      </c>
    </row>
    <row r="935" spans="1:27" ht="15.75" customHeight="1" x14ac:dyDescent="0.35">
      <c r="A935" s="1" t="s">
        <v>151</v>
      </c>
      <c r="B935" s="1" t="str">
        <f t="shared" si="16"/>
        <v>Lenovo</v>
      </c>
      <c r="C935" s="1" t="s">
        <v>5297</v>
      </c>
      <c r="D935" s="1" t="str">
        <f t="shared" si="1"/>
        <v>ThinkPad T14 Gen 5</v>
      </c>
      <c r="E935" s="1" t="str">
        <f t="array" aca="1" ref="E935" ca="1">IFERROR(
INDEX(Family_Map!$B$2:$B$35,
_xludf.AGGREGATE(14,6,(ROW(Family_Map!$A$2:$A$35)-ROW(Family_Map!$A$2)+1)/(ISNUMBER(SEARCH(Family_Map!$A$2:$A$35,D935))),1)
),
"Other")</f>
        <v>Other</v>
      </c>
      <c r="F935" s="1" t="s">
        <v>5034</v>
      </c>
      <c r="G935" s="1" t="e">
        <f t="shared" ca="1" si="2"/>
        <v>#NAME?</v>
      </c>
      <c r="H935" s="1" t="str">
        <f t="shared" ca="1" si="12"/>
        <v>Other</v>
      </c>
      <c r="J935" s="1" t="str">
        <f t="shared" si="3"/>
        <v/>
      </c>
      <c r="K935" s="1" t="s">
        <v>221</v>
      </c>
      <c r="L935" s="1">
        <f t="shared" si="40"/>
        <v>16</v>
      </c>
      <c r="M935" s="1" t="s">
        <v>5302</v>
      </c>
      <c r="N935" s="1" t="str">
        <f t="shared" si="5"/>
        <v>512GB</v>
      </c>
      <c r="O935" s="1" t="str">
        <f t="shared" si="6"/>
        <v>512GB</v>
      </c>
      <c r="P935" s="1" t="s">
        <v>275</v>
      </c>
      <c r="Q935" s="1" t="str">
        <f t="shared" si="7"/>
        <v>1920x1200</v>
      </c>
      <c r="R935" s="1" t="s">
        <v>971</v>
      </c>
      <c r="S935" s="1" t="str">
        <f t="shared" si="8"/>
        <v>60Hz</v>
      </c>
      <c r="T935" s="1" t="s">
        <v>725</v>
      </c>
      <c r="U935" s="1" t="str">
        <f t="shared" si="9"/>
        <v>Windows 11 Pro</v>
      </c>
      <c r="V935" s="1" t="s">
        <v>4389</v>
      </c>
      <c r="W935" s="1" t="str">
        <f t="shared" si="10"/>
        <v>1.38 kg</v>
      </c>
      <c r="X935" s="1" t="s">
        <v>78</v>
      </c>
      <c r="Y935" s="1" t="str">
        <f t="shared" si="11"/>
        <v>1 Year</v>
      </c>
      <c r="Z935" s="4">
        <v>80850</v>
      </c>
      <c r="AA935" s="1" t="s">
        <v>5735</v>
      </c>
    </row>
    <row r="936" spans="1:27" ht="15.75" customHeight="1" x14ac:dyDescent="0.35">
      <c r="A936" s="1" t="s">
        <v>151</v>
      </c>
      <c r="B936" s="1" t="str">
        <f t="shared" si="16"/>
        <v>Lenovo</v>
      </c>
      <c r="C936" s="1" t="s">
        <v>5313</v>
      </c>
      <c r="D936" s="1" t="str">
        <f t="shared" si="1"/>
        <v>ThinkPad E16 GEN 1</v>
      </c>
      <c r="E936" s="1" t="str">
        <f t="array" aca="1" ref="E936" ca="1">IFERROR(
INDEX(Family_Map!$B$2:$B$35,
_xludf.AGGREGATE(14,6,(ROW(Family_Map!$A$2:$A$35)-ROW(Family_Map!$A$2)+1)/(ISNUMBER(SEARCH(Family_Map!$A$2:$A$35,D936))),1)
),
"Other")</f>
        <v>Other</v>
      </c>
      <c r="F936" s="1" t="s">
        <v>687</v>
      </c>
      <c r="G936" s="1" t="e">
        <f t="shared" ca="1" si="2"/>
        <v>#NAME?</v>
      </c>
      <c r="H936" s="1" t="str">
        <f t="shared" ca="1" si="12"/>
        <v>Other</v>
      </c>
      <c r="J936" s="1" t="str">
        <f t="shared" si="3"/>
        <v/>
      </c>
      <c r="K936" s="1" t="s">
        <v>3327</v>
      </c>
      <c r="L936" s="1">
        <f t="shared" si="40"/>
        <v>8</v>
      </c>
      <c r="M936" s="1" t="s">
        <v>5046</v>
      </c>
      <c r="N936" s="1" t="str">
        <f t="shared" si="5"/>
        <v>512GB</v>
      </c>
      <c r="O936" s="1" t="str">
        <f t="shared" si="6"/>
        <v>512GB</v>
      </c>
      <c r="P936" s="1" t="s">
        <v>275</v>
      </c>
      <c r="Q936" s="1" t="str">
        <f t="shared" si="7"/>
        <v>1920x1200</v>
      </c>
      <c r="S936" s="1" t="str">
        <f t="shared" si="8"/>
        <v/>
      </c>
      <c r="T936" s="1" t="s">
        <v>101</v>
      </c>
      <c r="U936" s="1" t="str">
        <f t="shared" si="9"/>
        <v>DOS</v>
      </c>
      <c r="V936" s="1" t="s">
        <v>3547</v>
      </c>
      <c r="W936" s="1" t="str">
        <f t="shared" si="10"/>
        <v>1.81 kg</v>
      </c>
      <c r="X936" s="1" t="s">
        <v>78</v>
      </c>
      <c r="Y936" s="1" t="str">
        <f t="shared" si="11"/>
        <v>1 Year</v>
      </c>
      <c r="Z936" s="4">
        <v>36999</v>
      </c>
      <c r="AA936" s="1" t="s">
        <v>79</v>
      </c>
    </row>
    <row r="937" spans="1:27" ht="15.75" customHeight="1" x14ac:dyDescent="0.35">
      <c r="A937" s="1" t="s">
        <v>151</v>
      </c>
      <c r="B937" s="1" t="str">
        <f t="shared" si="16"/>
        <v>Lenovo</v>
      </c>
      <c r="C937" s="1" t="s">
        <v>5164</v>
      </c>
      <c r="D937" s="1" t="str">
        <f t="shared" si="1"/>
        <v>ThinkPad E14 Gen 6</v>
      </c>
      <c r="E937" s="1" t="str">
        <f t="array" aca="1" ref="E937" ca="1">IFERROR(
INDEX(Family_Map!$B$2:$B$35,
_xludf.AGGREGATE(14,6,(ROW(Family_Map!$A$2:$A$35)-ROW(Family_Map!$A$2)+1)/(ISNUMBER(SEARCH(Family_Map!$A$2:$A$35,D937))),1)
),
"Other")</f>
        <v>Other</v>
      </c>
      <c r="F937" s="1" t="s">
        <v>1095</v>
      </c>
      <c r="G937" s="1" t="e">
        <f t="shared" ca="1" si="2"/>
        <v>#NAME?</v>
      </c>
      <c r="H937" s="1" t="str">
        <f t="shared" ca="1" si="12"/>
        <v>Other</v>
      </c>
      <c r="J937" s="1" t="str">
        <f t="shared" si="3"/>
        <v/>
      </c>
      <c r="K937" s="1" t="s">
        <v>221</v>
      </c>
      <c r="L937" s="1">
        <f t="shared" si="40"/>
        <v>16</v>
      </c>
      <c r="M937" s="1" t="s">
        <v>5316</v>
      </c>
      <c r="N937" s="1" t="str">
        <f t="shared" si="5"/>
        <v>1TB</v>
      </c>
      <c r="O937" s="1" t="str">
        <f t="shared" si="6"/>
        <v>1024GB</v>
      </c>
      <c r="P937" s="1" t="s">
        <v>275</v>
      </c>
      <c r="Q937" s="1" t="str">
        <f t="shared" si="7"/>
        <v>1920x1200</v>
      </c>
      <c r="S937" s="1" t="str">
        <f t="shared" si="8"/>
        <v/>
      </c>
      <c r="T937" s="1" t="s">
        <v>101</v>
      </c>
      <c r="U937" s="1" t="str">
        <f t="shared" si="9"/>
        <v>DOS</v>
      </c>
      <c r="V937" s="1" t="s">
        <v>5165</v>
      </c>
      <c r="W937" s="1" t="str">
        <f t="shared" si="10"/>
        <v>1.44 kg</v>
      </c>
      <c r="X937" s="1" t="s">
        <v>78</v>
      </c>
      <c r="Y937" s="1" t="str">
        <f t="shared" si="11"/>
        <v>1 Year</v>
      </c>
      <c r="Z937" s="4">
        <v>57000</v>
      </c>
      <c r="AA937" s="1" t="s">
        <v>5735</v>
      </c>
    </row>
    <row r="938" spans="1:27" ht="15.75" customHeight="1" x14ac:dyDescent="0.35">
      <c r="A938" s="1" t="s">
        <v>151</v>
      </c>
      <c r="B938" s="1" t="str">
        <f t="shared" si="16"/>
        <v>Lenovo</v>
      </c>
      <c r="C938" s="1" t="s">
        <v>5043</v>
      </c>
      <c r="D938" s="1" t="str">
        <f t="shared" si="1"/>
        <v>ThinkPad E14 Gen 5</v>
      </c>
      <c r="E938" s="1" t="str">
        <f t="array" aca="1" ref="E938" ca="1">IFERROR(
INDEX(Family_Map!$B$2:$B$35,
_xludf.AGGREGATE(14,6,(ROW(Family_Map!$A$2:$A$35)-ROW(Family_Map!$A$2)+1)/(ISNUMBER(SEARCH(Family_Map!$A$2:$A$35,D938))),1)
),
"Other")</f>
        <v>Other</v>
      </c>
      <c r="F938" s="1" t="s">
        <v>693</v>
      </c>
      <c r="G938" s="1" t="e">
        <f t="shared" ca="1" si="2"/>
        <v>#NAME?</v>
      </c>
      <c r="H938" s="1" t="str">
        <f t="shared" ca="1" si="12"/>
        <v>Other</v>
      </c>
      <c r="J938" s="1" t="str">
        <f t="shared" si="3"/>
        <v/>
      </c>
      <c r="K938" s="1" t="s">
        <v>3860</v>
      </c>
      <c r="L938" s="1">
        <f t="shared" si="40"/>
        <v>16</v>
      </c>
      <c r="M938" s="1" t="s">
        <v>5046</v>
      </c>
      <c r="N938" s="1" t="str">
        <f t="shared" si="5"/>
        <v>512GB</v>
      </c>
      <c r="O938" s="1" t="str">
        <f t="shared" si="6"/>
        <v>512GB</v>
      </c>
      <c r="P938" s="1" t="s">
        <v>275</v>
      </c>
      <c r="Q938" s="1" t="str">
        <f t="shared" si="7"/>
        <v>1920x1200</v>
      </c>
      <c r="S938" s="1" t="str">
        <f t="shared" si="8"/>
        <v/>
      </c>
      <c r="T938" s="1" t="s">
        <v>101</v>
      </c>
      <c r="U938" s="1" t="str">
        <f t="shared" si="9"/>
        <v>DOS</v>
      </c>
      <c r="V938" s="1" t="s">
        <v>5051</v>
      </c>
      <c r="W938" s="1" t="str">
        <f t="shared" si="10"/>
        <v>1.43 kg</v>
      </c>
      <c r="X938" s="1" t="s">
        <v>78</v>
      </c>
      <c r="Y938" s="1" t="str">
        <f t="shared" si="11"/>
        <v>1 Year</v>
      </c>
      <c r="Z938" s="4">
        <v>53000</v>
      </c>
      <c r="AA938" s="1" t="s">
        <v>79</v>
      </c>
    </row>
    <row r="939" spans="1:27" ht="15.75" customHeight="1" x14ac:dyDescent="0.35">
      <c r="A939" s="1" t="s">
        <v>151</v>
      </c>
      <c r="B939" s="1" t="str">
        <f t="shared" si="16"/>
        <v>Lenovo</v>
      </c>
      <c r="C939" s="1" t="s">
        <v>5043</v>
      </c>
      <c r="D939" s="1" t="str">
        <f t="shared" si="1"/>
        <v>ThinkPad E14 Gen 5</v>
      </c>
      <c r="E939" s="1" t="str">
        <f t="array" aca="1" ref="E939" ca="1">IFERROR(
INDEX(Family_Map!$B$2:$B$35,
_xludf.AGGREGATE(14,6,(ROW(Family_Map!$A$2:$A$35)-ROW(Family_Map!$A$2)+1)/(ISNUMBER(SEARCH(Family_Map!$A$2:$A$35,D939))),1)
),
"Other")</f>
        <v>Other</v>
      </c>
      <c r="F939" s="1" t="s">
        <v>3758</v>
      </c>
      <c r="G939" s="1" t="e">
        <f t="shared" ca="1" si="2"/>
        <v>#NAME?</v>
      </c>
      <c r="H939" s="1" t="str">
        <f t="shared" ca="1" si="12"/>
        <v>Other</v>
      </c>
      <c r="J939" s="1" t="str">
        <f t="shared" si="3"/>
        <v/>
      </c>
      <c r="K939" s="1" t="s">
        <v>3327</v>
      </c>
      <c r="L939" s="1">
        <f t="shared" si="40"/>
        <v>8</v>
      </c>
      <c r="M939" s="1" t="s">
        <v>5046</v>
      </c>
      <c r="N939" s="1" t="str">
        <f t="shared" si="5"/>
        <v>512GB</v>
      </c>
      <c r="O939" s="1" t="str">
        <f t="shared" si="6"/>
        <v>512GB</v>
      </c>
      <c r="P939" s="1" t="s">
        <v>275</v>
      </c>
      <c r="Q939" s="1" t="str">
        <f t="shared" si="7"/>
        <v>1920x1200</v>
      </c>
      <c r="S939" s="1" t="str">
        <f t="shared" si="8"/>
        <v/>
      </c>
      <c r="T939" s="1" t="s">
        <v>101</v>
      </c>
      <c r="U939" s="1" t="str">
        <f t="shared" si="9"/>
        <v>DOS</v>
      </c>
      <c r="V939" s="1" t="s">
        <v>5051</v>
      </c>
      <c r="W939" s="1" t="str">
        <f t="shared" si="10"/>
        <v>1.43 kg</v>
      </c>
      <c r="X939" s="1" t="s">
        <v>78</v>
      </c>
      <c r="Y939" s="1" t="str">
        <f t="shared" si="11"/>
        <v>1 Year</v>
      </c>
      <c r="Z939" s="4">
        <v>40500</v>
      </c>
      <c r="AA939" s="1" t="s">
        <v>79</v>
      </c>
    </row>
    <row r="940" spans="1:27" ht="15.75" customHeight="1" x14ac:dyDescent="0.35">
      <c r="A940" s="1" t="s">
        <v>151</v>
      </c>
      <c r="B940" s="1" t="str">
        <f t="shared" si="16"/>
        <v>Lenovo</v>
      </c>
      <c r="C940" s="1" t="s">
        <v>5033</v>
      </c>
      <c r="D940" s="1" t="str">
        <f t="shared" si="1"/>
        <v>ThinkPad E16 Gen 2</v>
      </c>
      <c r="E940" s="1" t="str">
        <f t="array" aca="1" ref="E940" ca="1">IFERROR(
INDEX(Family_Map!$B$2:$B$35,
_xludf.AGGREGATE(14,6,(ROW(Family_Map!$A$2:$A$35)-ROW(Family_Map!$A$2)+1)/(ISNUMBER(SEARCH(Family_Map!$A$2:$A$35,D940))),1)
),
"Other")</f>
        <v>Other</v>
      </c>
      <c r="F940" s="1" t="s">
        <v>5034</v>
      </c>
      <c r="G940" s="1" t="e">
        <f t="shared" ca="1" si="2"/>
        <v>#NAME?</v>
      </c>
      <c r="H940" s="1" t="str">
        <f t="shared" ca="1" si="12"/>
        <v>Other</v>
      </c>
      <c r="J940" s="1" t="str">
        <f t="shared" si="3"/>
        <v/>
      </c>
      <c r="K940" s="1" t="s">
        <v>5320</v>
      </c>
      <c r="L940" s="1">
        <v>8</v>
      </c>
      <c r="M940" s="1" t="s">
        <v>5046</v>
      </c>
      <c r="N940" s="1" t="str">
        <f t="shared" si="5"/>
        <v>512GB</v>
      </c>
      <c r="O940" s="1" t="str">
        <f t="shared" si="6"/>
        <v>512GB</v>
      </c>
      <c r="P940" s="1" t="s">
        <v>275</v>
      </c>
      <c r="Q940" s="1" t="str">
        <f t="shared" si="7"/>
        <v>1920x1200</v>
      </c>
      <c r="S940" s="1" t="str">
        <f t="shared" si="8"/>
        <v/>
      </c>
      <c r="T940" s="1" t="s">
        <v>101</v>
      </c>
      <c r="U940" s="1" t="str">
        <f t="shared" si="9"/>
        <v>DOS</v>
      </c>
      <c r="V940" s="1" t="s">
        <v>3547</v>
      </c>
      <c r="W940" s="1" t="str">
        <f t="shared" si="10"/>
        <v>1.81 kg</v>
      </c>
      <c r="X940" s="1" t="s">
        <v>78</v>
      </c>
      <c r="Y940" s="1" t="str">
        <f t="shared" si="11"/>
        <v>1 Year</v>
      </c>
      <c r="Z940" s="4">
        <v>32333</v>
      </c>
      <c r="AA940" s="1" t="s">
        <v>5735</v>
      </c>
    </row>
    <row r="941" spans="1:27" ht="15.75" customHeight="1" x14ac:dyDescent="0.35">
      <c r="A941" s="1" t="s">
        <v>151</v>
      </c>
      <c r="B941" s="1" t="str">
        <f t="shared" si="16"/>
        <v>Lenovo</v>
      </c>
      <c r="C941" s="1" t="s">
        <v>5218</v>
      </c>
      <c r="D941" s="1" t="str">
        <f t="shared" si="1"/>
        <v>ThinkPad X1 Carbon Gen 12</v>
      </c>
      <c r="E941" s="1" t="str">
        <f t="array" aca="1" ref="E941" ca="1">IFERROR(
INDEX(Family_Map!$B$2:$B$35,
_xludf.AGGREGATE(14,6,(ROW(Family_Map!$A$2:$A$35)-ROW(Family_Map!$A$2)+1)/(ISNUMBER(SEARCH(Family_Map!$A$2:$A$35,D941))),1)
),
"Other")</f>
        <v>Other</v>
      </c>
      <c r="F941" s="1" t="s">
        <v>3833</v>
      </c>
      <c r="G941" s="1" t="e">
        <f t="shared" ca="1" si="2"/>
        <v>#NAME?</v>
      </c>
      <c r="H941" s="1" t="str">
        <f t="shared" ca="1" si="12"/>
        <v>Other</v>
      </c>
      <c r="J941" s="1" t="str">
        <f t="shared" si="3"/>
        <v/>
      </c>
      <c r="K941" s="1" t="s">
        <v>5220</v>
      </c>
      <c r="L941" s="1">
        <f t="shared" ref="L941:L982" si="41">IFERROR(
VALUE(SUBSTITUTE(SUBSTITUTE(LEFT(UPPER(TRIM(K941)),FIND("GB",UPPER(K941)&amp;"GB")+1),"GB","")," ","")),
IFERROR(
VALUE(SUBSTITUTE(SUBSTITUTE(MID(UPPER(K941),FIND("GB",UPPER(K941)&amp;"GB")-3,3),"GB","")," ",""))
*
IF(
OR(
ISNUMBER(SEARCH("2X",UPPER(K941))),
ISNUMBER(SEARCH("X 2",UPPER(K941))),
ISNUMBER(SEARCH("*2",UPPER(K941))),
ISNUMBER(SEARCH("2*",UPPER(K941))),
ISNUMBER(SEARCH("(2 X",UPPER(K941)))
),
2,1),
"")
)</f>
        <v>32</v>
      </c>
      <c r="M941" s="1" t="s">
        <v>5322</v>
      </c>
      <c r="N941" s="1" t="str">
        <f t="shared" si="5"/>
        <v>1TB</v>
      </c>
      <c r="O941" s="1" t="str">
        <f t="shared" si="6"/>
        <v>1024GB</v>
      </c>
      <c r="P941" s="1" t="s">
        <v>275</v>
      </c>
      <c r="Q941" s="1" t="str">
        <f t="shared" si="7"/>
        <v>1920x1200</v>
      </c>
      <c r="R941" s="1" t="s">
        <v>971</v>
      </c>
      <c r="S941" s="1" t="str">
        <f t="shared" si="8"/>
        <v>60Hz</v>
      </c>
      <c r="T941" s="1" t="s">
        <v>257</v>
      </c>
      <c r="U941" s="1" t="str">
        <f t="shared" si="9"/>
        <v>Windows 11 Pro</v>
      </c>
      <c r="V941" s="1" t="s">
        <v>5225</v>
      </c>
      <c r="W941" s="1" t="str">
        <f t="shared" si="10"/>
        <v>1.08 kg</v>
      </c>
      <c r="X941" s="1" t="s">
        <v>425</v>
      </c>
      <c r="Y941" s="1" t="str">
        <f t="shared" si="11"/>
        <v>3 Years</v>
      </c>
      <c r="Z941" s="4">
        <v>136599</v>
      </c>
      <c r="AA941" s="1" t="s">
        <v>5735</v>
      </c>
    </row>
    <row r="942" spans="1:27" ht="15.75" customHeight="1" x14ac:dyDescent="0.35">
      <c r="A942" s="1" t="s">
        <v>3729</v>
      </c>
      <c r="B942" s="1" t="str">
        <f t="shared" si="16"/>
        <v>Microsoft</v>
      </c>
      <c r="C942" s="1" t="s">
        <v>5326</v>
      </c>
      <c r="D942" s="1" t="str">
        <f t="shared" si="1"/>
        <v>Surface Studio 2</v>
      </c>
      <c r="E942" s="1" t="str">
        <f t="array" aca="1" ref="E942" ca="1">IFERROR(
INDEX(Family_Map!$B$2:$B$35,
_xludf.AGGREGATE(14,6,(ROW(Family_Map!$A$2:$A$35)-ROW(Family_Map!$A$2)+1)/(ISNUMBER(SEARCH(Family_Map!$A$2:$A$35,D942))),1)
),
"Other")</f>
        <v>Other</v>
      </c>
      <c r="F942" s="1" t="s">
        <v>693</v>
      </c>
      <c r="G942" s="1" t="e">
        <f t="shared" ca="1" si="2"/>
        <v>#NAME?</v>
      </c>
      <c r="H942" s="1" t="str">
        <f t="shared" ca="1" si="12"/>
        <v>Other</v>
      </c>
      <c r="J942" s="1" t="str">
        <f t="shared" si="3"/>
        <v/>
      </c>
      <c r="K942" s="1" t="s">
        <v>491</v>
      </c>
      <c r="L942" s="1">
        <f t="shared" si="41"/>
        <v>16</v>
      </c>
      <c r="M942" s="1" t="s">
        <v>1120</v>
      </c>
      <c r="N942" s="1" t="str">
        <f t="shared" si="5"/>
        <v>512GB</v>
      </c>
      <c r="O942" s="1" t="str">
        <f t="shared" si="6"/>
        <v>512GB</v>
      </c>
      <c r="P942" s="1" t="s">
        <v>5328</v>
      </c>
      <c r="Q942" s="1" t="str">
        <f t="shared" si="7"/>
        <v>2400x1600</v>
      </c>
      <c r="S942" s="1" t="str">
        <f t="shared" si="8"/>
        <v/>
      </c>
      <c r="T942" s="1" t="s">
        <v>90</v>
      </c>
      <c r="U942" s="1" t="str">
        <f t="shared" si="9"/>
        <v>Windows 11 Home</v>
      </c>
      <c r="V942" s="1" t="s">
        <v>5332</v>
      </c>
      <c r="W942" s="1" t="str">
        <f t="shared" si="10"/>
        <v>1.89 kg</v>
      </c>
      <c r="X942" s="1" t="s">
        <v>78</v>
      </c>
      <c r="Y942" s="1" t="str">
        <f t="shared" si="11"/>
        <v>1 Year</v>
      </c>
      <c r="Z942" s="4">
        <v>109999</v>
      </c>
      <c r="AA942" s="1" t="s">
        <v>79</v>
      </c>
    </row>
    <row r="943" spans="1:27" ht="15.75" customHeight="1" x14ac:dyDescent="0.35">
      <c r="A943" s="1" t="s">
        <v>151</v>
      </c>
      <c r="B943" s="1" t="str">
        <f t="shared" si="16"/>
        <v>Lenovo</v>
      </c>
      <c r="C943" s="1" t="s">
        <v>5218</v>
      </c>
      <c r="D943" s="1" t="str">
        <f t="shared" si="1"/>
        <v>ThinkPad X1 Carbon Gen 12</v>
      </c>
      <c r="E943" s="1" t="str">
        <f t="array" aca="1" ref="E943" ca="1">IFERROR(
INDEX(Family_Map!$B$2:$B$35,
_xludf.AGGREGATE(14,6,(ROW(Family_Map!$A$2:$A$35)-ROW(Family_Map!$A$2)+1)/(ISNUMBER(SEARCH(Family_Map!$A$2:$A$35,D943))),1)
),
"Other")</f>
        <v>Other</v>
      </c>
      <c r="F943" s="1" t="s">
        <v>5334</v>
      </c>
      <c r="G943" s="1" t="e">
        <f t="shared" ca="1" si="2"/>
        <v>#NAME?</v>
      </c>
      <c r="H943" s="1" t="str">
        <f t="shared" ca="1" si="12"/>
        <v>Other</v>
      </c>
      <c r="J943" s="1" t="str">
        <f t="shared" si="3"/>
        <v/>
      </c>
      <c r="K943" s="1" t="s">
        <v>5335</v>
      </c>
      <c r="L943" s="1">
        <f t="shared" si="41"/>
        <v>16</v>
      </c>
      <c r="M943" s="1" t="s">
        <v>5322</v>
      </c>
      <c r="N943" s="1" t="str">
        <f t="shared" si="5"/>
        <v>1TB</v>
      </c>
      <c r="O943" s="1" t="str">
        <f t="shared" si="6"/>
        <v>1024GB</v>
      </c>
      <c r="P943" s="1" t="s">
        <v>1015</v>
      </c>
      <c r="Q943" s="1" t="str">
        <f t="shared" si="7"/>
        <v>1920x1200</v>
      </c>
      <c r="R943" s="1" t="s">
        <v>971</v>
      </c>
      <c r="S943" s="1" t="str">
        <f t="shared" si="8"/>
        <v>60Hz</v>
      </c>
      <c r="T943" s="1" t="s">
        <v>201</v>
      </c>
      <c r="U943" s="1" t="str">
        <f t="shared" si="9"/>
        <v>Windows 11 Home</v>
      </c>
      <c r="V943" s="1" t="s">
        <v>5225</v>
      </c>
      <c r="W943" s="1" t="str">
        <f t="shared" si="10"/>
        <v>1.08 kg</v>
      </c>
      <c r="X943" s="1" t="s">
        <v>425</v>
      </c>
      <c r="Y943" s="1" t="str">
        <f t="shared" si="11"/>
        <v>3 Years</v>
      </c>
      <c r="Z943" s="4">
        <v>137999</v>
      </c>
      <c r="AA943" s="1" t="s">
        <v>5735</v>
      </c>
    </row>
    <row r="944" spans="1:27" ht="15.75" customHeight="1" x14ac:dyDescent="0.35">
      <c r="A944" s="1" t="s">
        <v>81</v>
      </c>
      <c r="B944" s="1" t="str">
        <f t="shared" si="16"/>
        <v>Dell</v>
      </c>
      <c r="C944" s="1" t="s">
        <v>5337</v>
      </c>
      <c r="D944" s="1" t="str">
        <f t="shared" si="1"/>
        <v>Latitude 5530</v>
      </c>
      <c r="E944" s="1" t="str">
        <f t="array" aca="1" ref="E944" ca="1">IFERROR(
INDEX(Family_Map!$B$2:$B$35,
_xludf.AGGREGATE(14,6,(ROW(Family_Map!$A$2:$A$35)-ROW(Family_Map!$A$2)+1)/(ISNUMBER(SEARCH(Family_Map!$A$2:$A$35,D944))),1)
),
"Other")</f>
        <v>Other</v>
      </c>
      <c r="F944" s="1" t="s">
        <v>349</v>
      </c>
      <c r="G944" s="1" t="e">
        <f t="shared" ca="1" si="2"/>
        <v>#NAME?</v>
      </c>
      <c r="H944" s="1" t="str">
        <f t="shared" ca="1" si="12"/>
        <v>Other</v>
      </c>
      <c r="J944" s="1" t="str">
        <f t="shared" si="3"/>
        <v/>
      </c>
      <c r="K944" s="1" t="s">
        <v>5338</v>
      </c>
      <c r="L944" s="1">
        <f t="shared" si="41"/>
        <v>8</v>
      </c>
      <c r="M944" s="1" t="s">
        <v>5339</v>
      </c>
      <c r="N944" s="1" t="str">
        <f t="shared" si="5"/>
        <v>2 256GB</v>
      </c>
      <c r="O944" s="1" t="str">
        <f t="shared" si="6"/>
        <v>2 256GB</v>
      </c>
      <c r="P944" s="1" t="s">
        <v>120</v>
      </c>
      <c r="Q944" s="1" t="str">
        <f t="shared" si="7"/>
        <v>1920x1080</v>
      </c>
      <c r="S944" s="1" t="str">
        <f t="shared" si="8"/>
        <v/>
      </c>
      <c r="T944" s="1" t="s">
        <v>101</v>
      </c>
      <c r="U944" s="1" t="str">
        <f t="shared" si="9"/>
        <v>DOS</v>
      </c>
      <c r="W944" s="1" t="str">
        <f t="shared" si="10"/>
        <v/>
      </c>
      <c r="X944" s="1" t="s">
        <v>129</v>
      </c>
      <c r="Y944" s="1" t="str">
        <f t="shared" si="11"/>
        <v>1 Year</v>
      </c>
      <c r="Z944" s="4">
        <v>33333</v>
      </c>
      <c r="AA944" s="1" t="s">
        <v>166</v>
      </c>
    </row>
    <row r="945" spans="1:27" ht="15.75" customHeight="1" x14ac:dyDescent="0.35">
      <c r="A945" s="1" t="s">
        <v>151</v>
      </c>
      <c r="B945" s="1" t="str">
        <f t="shared" si="16"/>
        <v>Lenovo</v>
      </c>
      <c r="C945" s="1" t="s">
        <v>5313</v>
      </c>
      <c r="D945" s="1" t="str">
        <f t="shared" si="1"/>
        <v>ThinkPad E16 GEN 1</v>
      </c>
      <c r="E945" s="1" t="str">
        <f t="array" aca="1" ref="E945" ca="1">IFERROR(
INDEX(Family_Map!$B$2:$B$35,
_xludf.AGGREGATE(14,6,(ROW(Family_Map!$A$2:$A$35)-ROW(Family_Map!$A$2)+1)/(ISNUMBER(SEARCH(Family_Map!$A$2:$A$35,D945))),1)
),
"Other")</f>
        <v>Other</v>
      </c>
      <c r="F945" s="1" t="s">
        <v>3476</v>
      </c>
      <c r="G945" s="1" t="e">
        <f t="shared" ca="1" si="2"/>
        <v>#NAME?</v>
      </c>
      <c r="H945" s="1" t="str">
        <f t="shared" ca="1" si="12"/>
        <v>Other</v>
      </c>
      <c r="J945" s="1" t="str">
        <f t="shared" si="3"/>
        <v/>
      </c>
      <c r="K945" s="1" t="s">
        <v>5344</v>
      </c>
      <c r="L945" s="1">
        <f t="shared" si="41"/>
        <v>8</v>
      </c>
      <c r="M945" s="1" t="s">
        <v>5171</v>
      </c>
      <c r="N945" s="1" t="str">
        <f t="shared" si="5"/>
        <v>512GB</v>
      </c>
      <c r="O945" s="1" t="str">
        <f t="shared" si="6"/>
        <v>512GB</v>
      </c>
      <c r="P945" s="1" t="s">
        <v>1015</v>
      </c>
      <c r="Q945" s="1" t="str">
        <f t="shared" si="7"/>
        <v>1920x1200</v>
      </c>
      <c r="S945" s="1" t="str">
        <f t="shared" si="8"/>
        <v/>
      </c>
      <c r="T945" s="1" t="s">
        <v>101</v>
      </c>
      <c r="U945" s="1" t="str">
        <f t="shared" si="9"/>
        <v>DOS</v>
      </c>
      <c r="V945" s="1" t="s">
        <v>3547</v>
      </c>
      <c r="W945" s="1" t="str">
        <f t="shared" si="10"/>
        <v>1.81 kg</v>
      </c>
      <c r="X945" s="1" t="s">
        <v>78</v>
      </c>
      <c r="Y945" s="1" t="str">
        <f t="shared" si="11"/>
        <v>1 Year</v>
      </c>
      <c r="Z945" s="4">
        <v>38888</v>
      </c>
      <c r="AA945" s="1" t="s">
        <v>79</v>
      </c>
    </row>
    <row r="946" spans="1:27" ht="15.75" customHeight="1" x14ac:dyDescent="0.35">
      <c r="A946" s="1" t="s">
        <v>151</v>
      </c>
      <c r="B946" s="1" t="str">
        <f t="shared" si="16"/>
        <v>Lenovo</v>
      </c>
      <c r="C946" s="1" t="s">
        <v>5313</v>
      </c>
      <c r="D946" s="1" t="str">
        <f t="shared" si="1"/>
        <v>ThinkPad E16 GEN 1</v>
      </c>
      <c r="E946" s="1" t="str">
        <f t="array" aca="1" ref="E946" ca="1">IFERROR(
INDEX(Family_Map!$B$2:$B$35,
_xludf.AGGREGATE(14,6,(ROW(Family_Map!$A$2:$A$35)-ROW(Family_Map!$A$2)+1)/(ISNUMBER(SEARCH(Family_Map!$A$2:$A$35,D946))),1)
),
"Other")</f>
        <v>Other</v>
      </c>
      <c r="F946" s="1" t="s">
        <v>5348</v>
      </c>
      <c r="G946" s="1" t="e">
        <f t="shared" ca="1" si="2"/>
        <v>#NAME?</v>
      </c>
      <c r="H946" s="1" t="str">
        <f t="shared" ca="1" si="12"/>
        <v>Other</v>
      </c>
      <c r="J946" s="1" t="str">
        <f t="shared" si="3"/>
        <v/>
      </c>
      <c r="K946" s="1" t="s">
        <v>5344</v>
      </c>
      <c r="L946" s="1">
        <f t="shared" si="41"/>
        <v>8</v>
      </c>
      <c r="M946" s="1" t="s">
        <v>5046</v>
      </c>
      <c r="N946" s="1" t="str">
        <f t="shared" si="5"/>
        <v>512GB</v>
      </c>
      <c r="O946" s="1" t="str">
        <f t="shared" si="6"/>
        <v>512GB</v>
      </c>
      <c r="P946" s="1" t="s">
        <v>1015</v>
      </c>
      <c r="Q946" s="1" t="str">
        <f t="shared" si="7"/>
        <v>1920x1200</v>
      </c>
      <c r="S946" s="1" t="str">
        <f t="shared" si="8"/>
        <v/>
      </c>
      <c r="T946" s="1" t="s">
        <v>101</v>
      </c>
      <c r="U946" s="1" t="str">
        <f t="shared" si="9"/>
        <v>DOS</v>
      </c>
      <c r="V946" s="1" t="s">
        <v>3547</v>
      </c>
      <c r="W946" s="1" t="str">
        <f t="shared" si="10"/>
        <v>1.81 kg</v>
      </c>
      <c r="X946" s="1" t="s">
        <v>78</v>
      </c>
      <c r="Y946" s="1" t="str">
        <f t="shared" si="11"/>
        <v>1 Year</v>
      </c>
      <c r="Z946" s="4">
        <v>33999</v>
      </c>
      <c r="AA946" s="1" t="s">
        <v>79</v>
      </c>
    </row>
    <row r="947" spans="1:27" ht="15.75" customHeight="1" x14ac:dyDescent="0.35">
      <c r="A947" s="1" t="s">
        <v>151</v>
      </c>
      <c r="B947" s="1" t="str">
        <f t="shared" si="16"/>
        <v>Lenovo</v>
      </c>
      <c r="C947" s="1" t="s">
        <v>5043</v>
      </c>
      <c r="D947" s="1" t="str">
        <f t="shared" si="1"/>
        <v>ThinkPad E14 Gen 5</v>
      </c>
      <c r="E947" s="1" t="str">
        <f t="array" aca="1" ref="E947" ca="1">IFERROR(
INDEX(Family_Map!$B$2:$B$35,
_xludf.AGGREGATE(14,6,(ROW(Family_Map!$A$2:$A$35)-ROW(Family_Map!$A$2)+1)/(ISNUMBER(SEARCH(Family_Map!$A$2:$A$35,D947))),1)
),
"Other")</f>
        <v>Other</v>
      </c>
      <c r="F947" s="1" t="s">
        <v>4140</v>
      </c>
      <c r="G947" s="1" t="e">
        <f t="shared" ca="1" si="2"/>
        <v>#NAME?</v>
      </c>
      <c r="H947" s="1" t="str">
        <f t="shared" ca="1" si="12"/>
        <v>Other</v>
      </c>
      <c r="J947" s="1" t="str">
        <f t="shared" si="3"/>
        <v/>
      </c>
      <c r="K947" s="1" t="s">
        <v>3507</v>
      </c>
      <c r="L947" s="1">
        <f t="shared" si="41"/>
        <v>8</v>
      </c>
      <c r="M947" s="1" t="s">
        <v>5036</v>
      </c>
      <c r="N947" s="1" t="str">
        <f t="shared" si="5"/>
        <v>512 GB</v>
      </c>
      <c r="O947" s="1" t="str">
        <f t="shared" si="6"/>
        <v>512 GB</v>
      </c>
      <c r="P947" s="1" t="s">
        <v>1015</v>
      </c>
      <c r="Q947" s="1" t="str">
        <f t="shared" si="7"/>
        <v>1920x1200</v>
      </c>
      <c r="S947" s="1" t="str">
        <f t="shared" si="8"/>
        <v/>
      </c>
      <c r="T947" s="1" t="s">
        <v>101</v>
      </c>
      <c r="U947" s="1" t="str">
        <f t="shared" si="9"/>
        <v>DOS</v>
      </c>
      <c r="V947" s="1" t="s">
        <v>5051</v>
      </c>
      <c r="W947" s="1" t="str">
        <f t="shared" si="10"/>
        <v>1.43 kg</v>
      </c>
      <c r="X947" s="1" t="s">
        <v>78</v>
      </c>
      <c r="Y947" s="1" t="str">
        <f t="shared" si="11"/>
        <v>1 Year</v>
      </c>
      <c r="Z947" s="4">
        <v>31999</v>
      </c>
      <c r="AA947" s="1" t="s">
        <v>79</v>
      </c>
    </row>
    <row r="948" spans="1:27" ht="15.75" customHeight="1" x14ac:dyDescent="0.35">
      <c r="A948" s="1" t="s">
        <v>151</v>
      </c>
      <c r="B948" s="1" t="str">
        <f t="shared" si="16"/>
        <v>Lenovo</v>
      </c>
      <c r="C948" s="1" t="s">
        <v>5351</v>
      </c>
      <c r="D948" s="1" t="str">
        <f t="shared" si="1"/>
        <v>ThinkBook 15 G4 IAP</v>
      </c>
      <c r="E948" s="1" t="str">
        <f t="array" aca="1" ref="E948" ca="1">IFERROR(
INDEX(Family_Map!$B$2:$B$35,
_xludf.AGGREGATE(14,6,(ROW(Family_Map!$A$2:$A$35)-ROW(Family_Map!$A$2)+1)/(ISNUMBER(SEARCH(Family_Map!$A$2:$A$35,D948))),1)
),
"Other")</f>
        <v>Other</v>
      </c>
      <c r="F948" s="1" t="s">
        <v>3858</v>
      </c>
      <c r="G948" s="1" t="e">
        <f t="shared" ca="1" si="2"/>
        <v>#NAME?</v>
      </c>
      <c r="H948" s="1" t="str">
        <f t="shared" ca="1" si="12"/>
        <v>Other</v>
      </c>
      <c r="I948" s="1" t="s">
        <v>5749</v>
      </c>
      <c r="J948" s="1" t="str">
        <f t="shared" si="3"/>
        <v>2GB</v>
      </c>
      <c r="K948" s="1" t="s">
        <v>3327</v>
      </c>
      <c r="L948" s="1">
        <f t="shared" si="41"/>
        <v>8</v>
      </c>
      <c r="M948" s="1" t="s">
        <v>156</v>
      </c>
      <c r="N948" s="1" t="str">
        <f t="shared" si="5"/>
        <v>512GB</v>
      </c>
      <c r="O948" s="1" t="str">
        <f t="shared" si="6"/>
        <v>512GB</v>
      </c>
      <c r="P948" s="1" t="s">
        <v>74</v>
      </c>
      <c r="Q948" s="1" t="str">
        <f t="shared" si="7"/>
        <v>1920x1080</v>
      </c>
      <c r="S948" s="1" t="str">
        <f t="shared" si="8"/>
        <v/>
      </c>
      <c r="T948" s="1" t="s">
        <v>121</v>
      </c>
      <c r="U948" s="1" t="str">
        <f t="shared" si="9"/>
        <v>DOS</v>
      </c>
      <c r="V948" s="1" t="s">
        <v>3321</v>
      </c>
      <c r="W948" s="1" t="str">
        <f t="shared" si="10"/>
        <v>1.7 kg</v>
      </c>
      <c r="X948" s="1" t="s">
        <v>129</v>
      </c>
      <c r="Y948" s="1" t="str">
        <f t="shared" si="11"/>
        <v>1 Year</v>
      </c>
      <c r="Z948" s="4">
        <v>30999</v>
      </c>
      <c r="AA948" s="1" t="s">
        <v>166</v>
      </c>
    </row>
    <row r="949" spans="1:27" ht="15.75" customHeight="1" x14ac:dyDescent="0.35">
      <c r="A949" s="1" t="s">
        <v>151</v>
      </c>
      <c r="B949" s="1" t="str">
        <f t="shared" si="16"/>
        <v>Lenovo</v>
      </c>
      <c r="C949" s="1" t="s">
        <v>5358</v>
      </c>
      <c r="D949" s="1" t="str">
        <f t="shared" si="1"/>
        <v>ThinkBook 15 G2 ITL</v>
      </c>
      <c r="E949" s="1" t="str">
        <f t="array" aca="1" ref="E949" ca="1">IFERROR(
INDEX(Family_Map!$B$2:$B$35,
_xludf.AGGREGATE(14,6,(ROW(Family_Map!$A$2:$A$35)-ROW(Family_Map!$A$2)+1)/(ISNUMBER(SEARCH(Family_Map!$A$2:$A$35,D949))),1)
),
"Other")</f>
        <v>Other</v>
      </c>
      <c r="F949" s="1" t="s">
        <v>3748</v>
      </c>
      <c r="G949" s="1" t="e">
        <f t="shared" ca="1" si="2"/>
        <v>#NAME?</v>
      </c>
      <c r="H949" s="1" t="str">
        <f t="shared" ca="1" si="12"/>
        <v>Other</v>
      </c>
      <c r="I949" s="1" t="s">
        <v>3670</v>
      </c>
      <c r="J949" s="1" t="str">
        <f t="shared" si="3"/>
        <v>2GB</v>
      </c>
      <c r="K949" s="1" t="s">
        <v>3327</v>
      </c>
      <c r="L949" s="1">
        <f t="shared" si="41"/>
        <v>8</v>
      </c>
      <c r="M949" s="1" t="s">
        <v>5360</v>
      </c>
      <c r="N949" s="1" t="str">
        <f t="shared" si="5"/>
        <v>256GB</v>
      </c>
      <c r="O949" s="1" t="str">
        <f t="shared" si="6"/>
        <v>256GB</v>
      </c>
      <c r="P949" s="1" t="s">
        <v>616</v>
      </c>
      <c r="Q949" s="1" t="str">
        <f t="shared" si="7"/>
        <v>1920x1080</v>
      </c>
      <c r="S949" s="1" t="str">
        <f t="shared" si="8"/>
        <v/>
      </c>
      <c r="T949" s="1" t="s">
        <v>101</v>
      </c>
      <c r="U949" s="1" t="str">
        <f t="shared" si="9"/>
        <v>DOS</v>
      </c>
      <c r="V949" s="1" t="s">
        <v>3321</v>
      </c>
      <c r="W949" s="1" t="str">
        <f t="shared" si="10"/>
        <v>1.7 kg</v>
      </c>
      <c r="X949" s="1" t="s">
        <v>129</v>
      </c>
      <c r="Y949" s="1" t="str">
        <f t="shared" si="11"/>
        <v>1 Year</v>
      </c>
      <c r="Z949" s="4">
        <v>29999</v>
      </c>
      <c r="AA949" s="1" t="s">
        <v>1082</v>
      </c>
    </row>
    <row r="950" spans="1:27" ht="15.75" customHeight="1" x14ac:dyDescent="0.35">
      <c r="A950" s="1" t="s">
        <v>81</v>
      </c>
      <c r="B950" s="1" t="str">
        <f t="shared" si="16"/>
        <v>Dell</v>
      </c>
      <c r="C950" s="1" t="s">
        <v>5365</v>
      </c>
      <c r="D950" s="1" t="str">
        <f t="shared" si="1"/>
        <v>Latitude 5520</v>
      </c>
      <c r="E950" s="1" t="str">
        <f t="array" aca="1" ref="E950" ca="1">IFERROR(
INDEX(Family_Map!$B$2:$B$35,
_xludf.AGGREGATE(14,6,(ROW(Family_Map!$A$2:$A$35)-ROW(Family_Map!$A$2)+1)/(ISNUMBER(SEARCH(Family_Map!$A$2:$A$35,D950))),1)
),
"Other")</f>
        <v>Other</v>
      </c>
      <c r="F950" s="1" t="s">
        <v>4071</v>
      </c>
      <c r="G950" s="1" t="e">
        <f t="shared" ca="1" si="2"/>
        <v>#NAME?</v>
      </c>
      <c r="H950" s="1" t="str">
        <f t="shared" ca="1" si="12"/>
        <v>Other</v>
      </c>
      <c r="J950" s="1" t="str">
        <f t="shared" si="3"/>
        <v/>
      </c>
      <c r="K950" s="1" t="s">
        <v>5366</v>
      </c>
      <c r="L950" s="1">
        <f t="shared" si="41"/>
        <v>8</v>
      </c>
      <c r="M950" s="1" t="s">
        <v>5367</v>
      </c>
      <c r="N950" s="1" t="str">
        <f t="shared" si="5"/>
        <v>2 512GB</v>
      </c>
      <c r="O950" s="1" t="str">
        <f t="shared" si="6"/>
        <v>2 512GB</v>
      </c>
      <c r="P950" s="1" t="s">
        <v>616</v>
      </c>
      <c r="Q950" s="1" t="str">
        <f t="shared" si="7"/>
        <v>1920x1080</v>
      </c>
      <c r="S950" s="1" t="str">
        <f t="shared" si="8"/>
        <v/>
      </c>
      <c r="T950" s="1" t="s">
        <v>2991</v>
      </c>
      <c r="U950" s="1" t="str">
        <f t="shared" si="9"/>
        <v>Windows 10 Pro</v>
      </c>
      <c r="V950" s="1" t="s">
        <v>5373</v>
      </c>
      <c r="W950" s="1" t="str">
        <f t="shared" si="10"/>
        <v>1.59 kg</v>
      </c>
      <c r="X950" s="1" t="s">
        <v>129</v>
      </c>
      <c r="Y950" s="1" t="str">
        <f t="shared" si="11"/>
        <v>1 Year</v>
      </c>
      <c r="Z950" s="4">
        <v>30499</v>
      </c>
      <c r="AA950" s="1" t="s">
        <v>1082</v>
      </c>
    </row>
    <row r="951" spans="1:27" ht="15.75" customHeight="1" x14ac:dyDescent="0.35">
      <c r="A951" s="1" t="s">
        <v>81</v>
      </c>
      <c r="B951" s="1" t="str">
        <f t="shared" si="16"/>
        <v>Dell</v>
      </c>
      <c r="C951" s="1" t="s">
        <v>5337</v>
      </c>
      <c r="D951" s="1" t="str">
        <f t="shared" si="1"/>
        <v>Latitude 5530</v>
      </c>
      <c r="E951" s="1" t="str">
        <f t="array" aca="1" ref="E951" ca="1">IFERROR(
INDEX(Family_Map!$B$2:$B$35,
_xludf.AGGREGATE(14,6,(ROW(Family_Map!$A$2:$A$35)-ROW(Family_Map!$A$2)+1)/(ISNUMBER(SEARCH(Family_Map!$A$2:$A$35,D951))),1)
),
"Other")</f>
        <v>Other</v>
      </c>
      <c r="F951" s="1" t="s">
        <v>349</v>
      </c>
      <c r="G951" s="1" t="e">
        <f t="shared" ca="1" si="2"/>
        <v>#NAME?</v>
      </c>
      <c r="H951" s="1" t="str">
        <f t="shared" ca="1" si="12"/>
        <v>Other</v>
      </c>
      <c r="J951" s="1" t="str">
        <f t="shared" si="3"/>
        <v/>
      </c>
      <c r="K951" s="1" t="s">
        <v>5376</v>
      </c>
      <c r="L951" s="1">
        <f t="shared" si="41"/>
        <v>4</v>
      </c>
      <c r="M951" s="1" t="s">
        <v>5377</v>
      </c>
      <c r="N951" s="1" t="str">
        <f t="shared" si="5"/>
        <v>500GB</v>
      </c>
      <c r="O951" s="1" t="str">
        <f t="shared" si="6"/>
        <v>500GB</v>
      </c>
      <c r="P951" s="1" t="s">
        <v>3829</v>
      </c>
      <c r="Q951" s="1" t="str">
        <f t="shared" si="7"/>
        <v>1366x768</v>
      </c>
      <c r="S951" s="1" t="str">
        <f t="shared" si="8"/>
        <v/>
      </c>
      <c r="T951" s="1" t="s">
        <v>101</v>
      </c>
      <c r="U951" s="1" t="str">
        <f t="shared" si="9"/>
        <v>DOS</v>
      </c>
      <c r="W951" s="1" t="str">
        <f t="shared" si="10"/>
        <v/>
      </c>
      <c r="X951" s="1" t="s">
        <v>129</v>
      </c>
      <c r="Y951" s="1" t="str">
        <f t="shared" si="11"/>
        <v>1 Year</v>
      </c>
      <c r="Z951" s="4">
        <v>24999</v>
      </c>
      <c r="AA951" s="1" t="s">
        <v>166</v>
      </c>
    </row>
    <row r="952" spans="1:27" ht="15.75" customHeight="1" x14ac:dyDescent="0.35">
      <c r="A952" s="1" t="s">
        <v>151</v>
      </c>
      <c r="B952" s="1" t="str">
        <f t="shared" si="16"/>
        <v>Lenovo</v>
      </c>
      <c r="C952" s="1" t="s">
        <v>5313</v>
      </c>
      <c r="D952" s="1" t="str">
        <f t="shared" si="1"/>
        <v>ThinkPad E16 GEN 1</v>
      </c>
      <c r="E952" s="1" t="str">
        <f t="array" aca="1" ref="E952" ca="1">IFERROR(
INDEX(Family_Map!$B$2:$B$35,
_xludf.AGGREGATE(14,6,(ROW(Family_Map!$A$2:$A$35)-ROW(Family_Map!$A$2)+1)/(ISNUMBER(SEARCH(Family_Map!$A$2:$A$35,D952))),1)
),
"Other")</f>
        <v>Other</v>
      </c>
      <c r="F952" s="1" t="s">
        <v>3540</v>
      </c>
      <c r="G952" s="1" t="e">
        <f t="shared" ca="1" si="2"/>
        <v>#NAME?</v>
      </c>
      <c r="H952" s="1" t="str">
        <f t="shared" ca="1" si="12"/>
        <v>Other</v>
      </c>
      <c r="I952" s="1" t="s">
        <v>3670</v>
      </c>
      <c r="J952" s="1" t="str">
        <f t="shared" si="3"/>
        <v>2GB</v>
      </c>
      <c r="K952" s="1" t="s">
        <v>3327</v>
      </c>
      <c r="L952" s="1">
        <f t="shared" si="41"/>
        <v>8</v>
      </c>
      <c r="M952" s="1" t="s">
        <v>5046</v>
      </c>
      <c r="N952" s="1" t="str">
        <f t="shared" si="5"/>
        <v>512GB</v>
      </c>
      <c r="O952" s="1" t="str">
        <f t="shared" si="6"/>
        <v>512GB</v>
      </c>
      <c r="P952" s="1" t="s">
        <v>1015</v>
      </c>
      <c r="Q952" s="1" t="str">
        <f t="shared" si="7"/>
        <v>1920x1200</v>
      </c>
      <c r="S952" s="1" t="str">
        <f t="shared" si="8"/>
        <v/>
      </c>
      <c r="T952" s="1" t="s">
        <v>101</v>
      </c>
      <c r="U952" s="1" t="str">
        <f t="shared" si="9"/>
        <v>DOS</v>
      </c>
      <c r="V952" s="1" t="s">
        <v>3547</v>
      </c>
      <c r="W952" s="1" t="str">
        <f t="shared" si="10"/>
        <v>1.81 kg</v>
      </c>
      <c r="X952" s="1" t="s">
        <v>78</v>
      </c>
      <c r="Y952" s="1" t="str">
        <f t="shared" si="11"/>
        <v>1 Year</v>
      </c>
      <c r="Z952" s="4">
        <v>38888</v>
      </c>
      <c r="AA952" s="1" t="s">
        <v>79</v>
      </c>
    </row>
    <row r="953" spans="1:27" ht="15.75" customHeight="1" x14ac:dyDescent="0.35">
      <c r="A953" s="1" t="s">
        <v>151</v>
      </c>
      <c r="B953" s="1" t="str">
        <f t="shared" si="16"/>
        <v>Lenovo</v>
      </c>
      <c r="C953" s="1" t="s">
        <v>5351</v>
      </c>
      <c r="D953" s="1" t="str">
        <f t="shared" si="1"/>
        <v>ThinkBook 15 G4 IAP</v>
      </c>
      <c r="E953" s="1" t="str">
        <f t="array" aca="1" ref="E953" ca="1">IFERROR(
INDEX(Family_Map!$B$2:$B$35,
_xludf.AGGREGATE(14,6,(ROW(Family_Map!$A$2:$A$35)-ROW(Family_Map!$A$2)+1)/(ISNUMBER(SEARCH(Family_Map!$A$2:$A$35,D953))),1)
),
"Other")</f>
        <v>Other</v>
      </c>
      <c r="F953" s="1" t="s">
        <v>3858</v>
      </c>
      <c r="G953" s="1" t="e">
        <f t="shared" ca="1" si="2"/>
        <v>#NAME?</v>
      </c>
      <c r="H953" s="1" t="str">
        <f t="shared" ca="1" si="12"/>
        <v>Other</v>
      </c>
      <c r="J953" s="1" t="str">
        <f t="shared" si="3"/>
        <v/>
      </c>
      <c r="K953" s="1" t="s">
        <v>3327</v>
      </c>
      <c r="L953" s="1">
        <f t="shared" si="41"/>
        <v>8</v>
      </c>
      <c r="M953" s="1" t="s">
        <v>156</v>
      </c>
      <c r="N953" s="1" t="str">
        <f t="shared" si="5"/>
        <v>512GB</v>
      </c>
      <c r="O953" s="1" t="str">
        <f t="shared" si="6"/>
        <v>512GB</v>
      </c>
      <c r="P953" s="1" t="s">
        <v>74</v>
      </c>
      <c r="Q953" s="1" t="str">
        <f t="shared" si="7"/>
        <v>1920x1080</v>
      </c>
      <c r="S953" s="1" t="str">
        <f t="shared" si="8"/>
        <v/>
      </c>
      <c r="T953" s="1" t="s">
        <v>101</v>
      </c>
      <c r="U953" s="1" t="str">
        <f t="shared" si="9"/>
        <v>DOS</v>
      </c>
      <c r="V953" s="1" t="s">
        <v>3321</v>
      </c>
      <c r="W953" s="1" t="str">
        <f t="shared" si="10"/>
        <v>1.7 kg</v>
      </c>
      <c r="X953" s="1" t="s">
        <v>78</v>
      </c>
      <c r="Y953" s="1" t="str">
        <f t="shared" si="11"/>
        <v>1 Year</v>
      </c>
      <c r="Z953" s="4">
        <v>29999</v>
      </c>
      <c r="AA953" s="1" t="s">
        <v>166</v>
      </c>
    </row>
    <row r="954" spans="1:27" ht="15.75" customHeight="1" x14ac:dyDescent="0.35">
      <c r="A954" s="1" t="s">
        <v>3729</v>
      </c>
      <c r="B954" s="1" t="str">
        <f t="shared" si="16"/>
        <v>Microsoft</v>
      </c>
      <c r="C954" s="1" t="s">
        <v>5383</v>
      </c>
      <c r="D954" s="1" t="str">
        <f t="shared" si="1"/>
        <v>ZHY-00019</v>
      </c>
      <c r="E954" s="1" t="str">
        <f t="array" aca="1" ref="E954" ca="1">IFERROR(
INDEX(Family_Map!$B$2:$B$35,
_xludf.AGGREGATE(14,6,(ROW(Family_Map!$A$2:$A$35)-ROW(Family_Map!$A$2)+1)/(ISNUMBER(SEARCH(Family_Map!$A$2:$A$35,D954))),1)
),
"Other")</f>
        <v>Other</v>
      </c>
      <c r="F954" s="1" t="s">
        <v>5384</v>
      </c>
      <c r="G954" s="1" t="e">
        <f t="shared" ca="1" si="2"/>
        <v>#NAME?</v>
      </c>
      <c r="H954" s="1" t="str">
        <f t="shared" ca="1" si="12"/>
        <v>Other</v>
      </c>
      <c r="J954" s="1" t="str">
        <f t="shared" si="3"/>
        <v/>
      </c>
      <c r="K954" s="1" t="s">
        <v>5386</v>
      </c>
      <c r="L954" s="1">
        <f t="shared" si="41"/>
        <v>16</v>
      </c>
      <c r="M954" s="1" t="s">
        <v>1120</v>
      </c>
      <c r="N954" s="1" t="str">
        <f t="shared" si="5"/>
        <v>512GB</v>
      </c>
      <c r="O954" s="1" t="str">
        <f t="shared" si="6"/>
        <v>512GB</v>
      </c>
      <c r="P954" s="1" t="s">
        <v>4771</v>
      </c>
      <c r="Q954" s="1" t="str">
        <f t="shared" si="7"/>
        <v>2880x1920</v>
      </c>
      <c r="R954" s="1" t="s">
        <v>39</v>
      </c>
      <c r="S954" s="1" t="str">
        <f t="shared" si="8"/>
        <v>120Hz</v>
      </c>
      <c r="T954" s="1" t="s">
        <v>90</v>
      </c>
      <c r="U954" s="1" t="str">
        <f t="shared" si="9"/>
        <v>Windows 11 Home</v>
      </c>
      <c r="V954" s="1" t="s">
        <v>5392</v>
      </c>
      <c r="W954" s="1" t="str">
        <f t="shared" si="10"/>
        <v>0.89 kg</v>
      </c>
      <c r="X954" s="1" t="s">
        <v>78</v>
      </c>
      <c r="Y954" s="1" t="str">
        <f t="shared" si="11"/>
        <v>1 Year</v>
      </c>
      <c r="Z954" s="4">
        <v>79999</v>
      </c>
      <c r="AA954" s="1" t="s">
        <v>5735</v>
      </c>
    </row>
    <row r="955" spans="1:27" ht="15.75" customHeight="1" x14ac:dyDescent="0.35">
      <c r="A955" s="1" t="s">
        <v>151</v>
      </c>
      <c r="B955" s="1" t="str">
        <f t="shared" si="16"/>
        <v>Lenovo</v>
      </c>
      <c r="C955" s="1" t="s">
        <v>5313</v>
      </c>
      <c r="D955" s="1" t="str">
        <f t="shared" si="1"/>
        <v>ThinkPad E16 GEN 1</v>
      </c>
      <c r="E955" s="1" t="str">
        <f t="array" aca="1" ref="E955" ca="1">IFERROR(
INDEX(Family_Map!$B$2:$B$35,
_xludf.AGGREGATE(14,6,(ROW(Family_Map!$A$2:$A$35)-ROW(Family_Map!$A$2)+1)/(ISNUMBER(SEARCH(Family_Map!$A$2:$A$35,D955))),1)
),
"Other")</f>
        <v>Other</v>
      </c>
      <c r="F955" s="1" t="s">
        <v>5395</v>
      </c>
      <c r="G955" s="1" t="e">
        <f t="shared" ca="1" si="2"/>
        <v>#NAME?</v>
      </c>
      <c r="H955" s="1" t="str">
        <f t="shared" ca="1" si="12"/>
        <v>Other</v>
      </c>
      <c r="I955" s="1" t="s">
        <v>3670</v>
      </c>
      <c r="J955" s="1" t="str">
        <f t="shared" si="3"/>
        <v>2GB</v>
      </c>
      <c r="K955" s="1" t="s">
        <v>3860</v>
      </c>
      <c r="L955" s="1">
        <f t="shared" si="41"/>
        <v>16</v>
      </c>
      <c r="M955" s="1" t="s">
        <v>5171</v>
      </c>
      <c r="N955" s="1" t="str">
        <f t="shared" si="5"/>
        <v>512GB</v>
      </c>
      <c r="O955" s="1" t="str">
        <f t="shared" si="6"/>
        <v>512GB</v>
      </c>
      <c r="P955" s="1" t="s">
        <v>1015</v>
      </c>
      <c r="Q955" s="1" t="str">
        <f t="shared" si="7"/>
        <v>1920x1200</v>
      </c>
      <c r="S955" s="1" t="str">
        <f t="shared" si="8"/>
        <v/>
      </c>
      <c r="T955" s="1" t="s">
        <v>101</v>
      </c>
      <c r="U955" s="1" t="str">
        <f t="shared" si="9"/>
        <v>DOS</v>
      </c>
      <c r="V955" s="1" t="s">
        <v>3547</v>
      </c>
      <c r="W955" s="1" t="str">
        <f t="shared" si="10"/>
        <v>1.81 kg</v>
      </c>
      <c r="X955" s="1" t="s">
        <v>78</v>
      </c>
      <c r="Y955" s="1" t="str">
        <f t="shared" si="11"/>
        <v>1 Year</v>
      </c>
      <c r="Z955" s="4">
        <v>44444</v>
      </c>
      <c r="AA955" s="1" t="s">
        <v>79</v>
      </c>
    </row>
    <row r="956" spans="1:27" ht="15.75" customHeight="1" x14ac:dyDescent="0.35">
      <c r="A956" s="1" t="s">
        <v>151</v>
      </c>
      <c r="B956" s="1" t="str">
        <f t="shared" si="16"/>
        <v>Lenovo</v>
      </c>
      <c r="C956" s="1" t="s">
        <v>5313</v>
      </c>
      <c r="D956" s="1" t="str">
        <f t="shared" si="1"/>
        <v>ThinkPad E16 GEN 1</v>
      </c>
      <c r="E956" s="1" t="str">
        <f t="array" aca="1" ref="E956" ca="1">IFERROR(
INDEX(Family_Map!$B$2:$B$35,
_xludf.AGGREGATE(14,6,(ROW(Family_Map!$A$2:$A$35)-ROW(Family_Map!$A$2)+1)/(ISNUMBER(SEARCH(Family_Map!$A$2:$A$35,D956))),1)
),
"Other")</f>
        <v>Other</v>
      </c>
      <c r="F956" s="1" t="s">
        <v>402</v>
      </c>
      <c r="G956" s="1" t="e">
        <f t="shared" ca="1" si="2"/>
        <v>#NAME?</v>
      </c>
      <c r="H956" s="1" t="str">
        <f t="shared" ca="1" si="12"/>
        <v>Other</v>
      </c>
      <c r="J956" s="1" t="str">
        <f t="shared" si="3"/>
        <v/>
      </c>
      <c r="K956" s="1" t="s">
        <v>3860</v>
      </c>
      <c r="L956" s="1">
        <f t="shared" si="41"/>
        <v>16</v>
      </c>
      <c r="M956" s="1" t="s">
        <v>5046</v>
      </c>
      <c r="N956" s="1" t="str">
        <f t="shared" si="5"/>
        <v>512GB</v>
      </c>
      <c r="O956" s="1" t="str">
        <f t="shared" si="6"/>
        <v>512GB</v>
      </c>
      <c r="P956" s="1" t="s">
        <v>1015</v>
      </c>
      <c r="Q956" s="1" t="str">
        <f t="shared" si="7"/>
        <v>1920x1200</v>
      </c>
      <c r="S956" s="1" t="str">
        <f t="shared" si="8"/>
        <v/>
      </c>
      <c r="T956" s="1" t="s">
        <v>101</v>
      </c>
      <c r="U956" s="1" t="str">
        <f t="shared" si="9"/>
        <v>DOS</v>
      </c>
      <c r="V956" s="1" t="s">
        <v>3547</v>
      </c>
      <c r="W956" s="1" t="str">
        <f t="shared" si="10"/>
        <v>1.81 kg</v>
      </c>
      <c r="X956" s="1" t="s">
        <v>78</v>
      </c>
      <c r="Y956" s="1" t="str">
        <f t="shared" si="11"/>
        <v>1 Year</v>
      </c>
      <c r="Z956" s="4">
        <v>43999</v>
      </c>
      <c r="AA956" s="1" t="s">
        <v>79</v>
      </c>
    </row>
    <row r="957" spans="1:27" ht="15.75" customHeight="1" x14ac:dyDescent="0.35">
      <c r="A957" s="1" t="s">
        <v>81</v>
      </c>
      <c r="B957" s="1" t="str">
        <f t="shared" si="16"/>
        <v>Dell</v>
      </c>
      <c r="C957" s="1" t="s">
        <v>5399</v>
      </c>
      <c r="D957" s="1" t="str">
        <f t="shared" si="1"/>
        <v>Inspiron 16 7640</v>
      </c>
      <c r="E957" s="1" t="str">
        <f t="array" aca="1" ref="E957" ca="1">IFERROR(
INDEX(Family_Map!$B$2:$B$35,
_xludf.AGGREGATE(14,6,(ROW(Family_Map!$A$2:$A$35)-ROW(Family_Map!$A$2)+1)/(ISNUMBER(SEARCH(Family_Map!$A$2:$A$35,D957))),1)
),
"Other")</f>
        <v>Other</v>
      </c>
      <c r="F957" s="1" t="s">
        <v>1095</v>
      </c>
      <c r="G957" s="1" t="e">
        <f t="shared" ca="1" si="2"/>
        <v>#NAME?</v>
      </c>
      <c r="H957" s="1" t="str">
        <f t="shared" ca="1" si="12"/>
        <v>Other</v>
      </c>
      <c r="J957" s="1" t="str">
        <f t="shared" si="3"/>
        <v/>
      </c>
      <c r="K957" s="1" t="s">
        <v>491</v>
      </c>
      <c r="L957" s="1">
        <f t="shared" si="41"/>
        <v>16</v>
      </c>
      <c r="M957" s="1" t="s">
        <v>871</v>
      </c>
      <c r="N957" s="1" t="str">
        <f t="shared" si="5"/>
        <v>1 TB</v>
      </c>
      <c r="O957" s="1" t="str">
        <f t="shared" si="6"/>
        <v>1024GB</v>
      </c>
      <c r="P957" s="1" t="s">
        <v>1015</v>
      </c>
      <c r="Q957" s="1" t="str">
        <f t="shared" si="7"/>
        <v>1920x1200</v>
      </c>
      <c r="R957" s="1" t="s">
        <v>971</v>
      </c>
      <c r="S957" s="1" t="str">
        <f t="shared" si="8"/>
        <v>60Hz</v>
      </c>
      <c r="T957" s="1" t="s">
        <v>90</v>
      </c>
      <c r="U957" s="1" t="str">
        <f t="shared" si="9"/>
        <v>Windows 11 Home</v>
      </c>
      <c r="V957" s="1" t="s">
        <v>1488</v>
      </c>
      <c r="W957" s="1" t="str">
        <f t="shared" si="10"/>
        <v>2.18 kg</v>
      </c>
      <c r="X957" s="1" t="s">
        <v>78</v>
      </c>
      <c r="Y957" s="1" t="str">
        <f t="shared" si="11"/>
        <v>1 Year</v>
      </c>
      <c r="Z957" s="4">
        <v>55999</v>
      </c>
      <c r="AA957" s="1" t="s">
        <v>5735</v>
      </c>
    </row>
    <row r="958" spans="1:27" ht="15.75" customHeight="1" x14ac:dyDescent="0.35">
      <c r="A958" s="1" t="s">
        <v>112</v>
      </c>
      <c r="B958" s="1" t="str">
        <f t="shared" si="16"/>
        <v>HP</v>
      </c>
      <c r="C958" s="1" t="s">
        <v>5404</v>
      </c>
      <c r="D958" s="1" t="str">
        <f t="shared" si="1"/>
        <v>Envy x360 16-ac0013dx</v>
      </c>
      <c r="E958" s="1" t="str">
        <f t="array" aca="1" ref="E958" ca="1">IFERROR(
INDEX(Family_Map!$B$2:$B$35,
_xludf.AGGREGATE(14,6,(ROW(Family_Map!$A$2:$A$35)-ROW(Family_Map!$A$2)+1)/(ISNUMBER(SEARCH(Family_Map!$A$2:$A$35,D958))),1)
),
"Other")</f>
        <v>Other</v>
      </c>
      <c r="F958" s="1" t="s">
        <v>5267</v>
      </c>
      <c r="G958" s="1" t="e">
        <f t="shared" ca="1" si="2"/>
        <v>#NAME?</v>
      </c>
      <c r="H958" s="1" t="str">
        <f t="shared" ca="1" si="12"/>
        <v>Other</v>
      </c>
      <c r="J958" s="1" t="str">
        <f t="shared" si="3"/>
        <v/>
      </c>
      <c r="K958" s="1" t="s">
        <v>5405</v>
      </c>
      <c r="L958" s="1">
        <f t="shared" si="41"/>
        <v>16</v>
      </c>
      <c r="M958" s="1" t="s">
        <v>118</v>
      </c>
      <c r="N958" s="1" t="str">
        <f t="shared" si="5"/>
        <v>512 GB</v>
      </c>
      <c r="O958" s="1" t="str">
        <f t="shared" si="6"/>
        <v>512 GB</v>
      </c>
      <c r="P958" s="1" t="s">
        <v>275</v>
      </c>
      <c r="Q958" s="1" t="str">
        <f t="shared" si="7"/>
        <v>1920x1200</v>
      </c>
      <c r="S958" s="1" t="str">
        <f t="shared" si="8"/>
        <v/>
      </c>
      <c r="T958" s="1" t="s">
        <v>201</v>
      </c>
      <c r="U958" s="1" t="str">
        <f t="shared" si="9"/>
        <v>Windows 11 Home</v>
      </c>
      <c r="V958" s="1" t="s">
        <v>5409</v>
      </c>
      <c r="W958" s="1" t="str">
        <f t="shared" si="10"/>
        <v>1.87 kg</v>
      </c>
      <c r="X958" s="1" t="s">
        <v>78</v>
      </c>
      <c r="Y958" s="1" t="str">
        <f t="shared" si="11"/>
        <v>1 Year</v>
      </c>
      <c r="Z958" s="4">
        <v>38499</v>
      </c>
      <c r="AA958" s="1" t="s">
        <v>5735</v>
      </c>
    </row>
    <row r="959" spans="1:27" ht="15.75" customHeight="1" x14ac:dyDescent="0.35">
      <c r="A959" s="1" t="s">
        <v>151</v>
      </c>
      <c r="B959" s="1" t="str">
        <f t="shared" si="16"/>
        <v>Lenovo</v>
      </c>
      <c r="C959" s="1" t="s">
        <v>5238</v>
      </c>
      <c r="D959" s="1" t="str">
        <f t="shared" si="1"/>
        <v>ThinkPad X13 Yoga Gen 2</v>
      </c>
      <c r="E959" s="1" t="str">
        <f t="array" aca="1" ref="E959" ca="1">IFERROR(
INDEX(Family_Map!$B$2:$B$35,
_xludf.AGGREGATE(14,6,(ROW(Family_Map!$A$2:$A$35)-ROW(Family_Map!$A$2)+1)/(ISNUMBER(SEARCH(Family_Map!$A$2:$A$35,D959))),1)
),
"Other")</f>
        <v>Other</v>
      </c>
      <c r="F959" s="1" t="s">
        <v>3960</v>
      </c>
      <c r="G959" s="1" t="e">
        <f t="shared" ca="1" si="2"/>
        <v>#NAME?</v>
      </c>
      <c r="H959" s="1" t="str">
        <f t="shared" ca="1" si="12"/>
        <v>Other</v>
      </c>
      <c r="J959" s="1" t="str">
        <f t="shared" si="3"/>
        <v/>
      </c>
      <c r="K959" s="1" t="s">
        <v>5239</v>
      </c>
      <c r="L959" s="1">
        <f t="shared" si="41"/>
        <v>8</v>
      </c>
      <c r="M959" s="1" t="s">
        <v>5410</v>
      </c>
      <c r="N959" s="1" t="str">
        <f t="shared" si="5"/>
        <v>256 GB</v>
      </c>
      <c r="O959" s="1" t="str">
        <f t="shared" si="6"/>
        <v>256 GB</v>
      </c>
      <c r="P959" s="1" t="s">
        <v>1015</v>
      </c>
      <c r="Q959" s="1" t="str">
        <f t="shared" si="7"/>
        <v>1920x1200</v>
      </c>
      <c r="S959" s="1" t="str">
        <f t="shared" si="8"/>
        <v/>
      </c>
      <c r="T959" s="1" t="s">
        <v>2991</v>
      </c>
      <c r="U959" s="1" t="str">
        <f t="shared" si="9"/>
        <v>Windows 10 Pro</v>
      </c>
      <c r="W959" s="1" t="str">
        <f t="shared" si="10"/>
        <v/>
      </c>
      <c r="X959" s="1" t="s">
        <v>78</v>
      </c>
      <c r="Y959" s="1" t="str">
        <f t="shared" si="11"/>
        <v>1 Year</v>
      </c>
      <c r="Z959" s="4">
        <v>34999</v>
      </c>
      <c r="AA959" s="1" t="s">
        <v>1082</v>
      </c>
    </row>
    <row r="960" spans="1:27" ht="15.75" customHeight="1" x14ac:dyDescent="0.35">
      <c r="A960" s="1" t="s">
        <v>3729</v>
      </c>
      <c r="B960" s="1" t="str">
        <f t="shared" si="16"/>
        <v>Microsoft</v>
      </c>
      <c r="C960" s="1" t="s">
        <v>4368</v>
      </c>
      <c r="D960" s="1" t="str">
        <f t="shared" si="1"/>
        <v>Surface Pro 9</v>
      </c>
      <c r="E960" s="1" t="str">
        <f t="array" aca="1" ref="E960" ca="1">IFERROR(
INDEX(Family_Map!$B$2:$B$35,
_xludf.AGGREGATE(14,6,(ROW(Family_Map!$A$2:$A$35)-ROW(Family_Map!$A$2)+1)/(ISNUMBER(SEARCH(Family_Map!$A$2:$A$35,D960))),1)
),
"Other")</f>
        <v>Other</v>
      </c>
      <c r="F960" s="1" t="s">
        <v>5413</v>
      </c>
      <c r="G960" s="1" t="e">
        <f t="shared" ca="1" si="2"/>
        <v>#NAME?</v>
      </c>
      <c r="H960" s="1" t="str">
        <f t="shared" ca="1" si="12"/>
        <v>Other</v>
      </c>
      <c r="J960" s="1" t="str">
        <f t="shared" si="3"/>
        <v/>
      </c>
      <c r="K960" s="1" t="s">
        <v>656</v>
      </c>
      <c r="L960" s="1">
        <f t="shared" si="41"/>
        <v>16</v>
      </c>
      <c r="M960" s="1" t="s">
        <v>5414</v>
      </c>
      <c r="N960" s="1" t="str">
        <f t="shared" si="5"/>
        <v>256GB</v>
      </c>
      <c r="O960" s="1" t="str">
        <f t="shared" si="6"/>
        <v>256GB</v>
      </c>
      <c r="P960" s="1" t="s">
        <v>4771</v>
      </c>
      <c r="Q960" s="1" t="str">
        <f t="shared" si="7"/>
        <v>2880x1920</v>
      </c>
      <c r="S960" s="1" t="str">
        <f t="shared" si="8"/>
        <v/>
      </c>
      <c r="T960" s="1" t="s">
        <v>90</v>
      </c>
      <c r="U960" s="1" t="str">
        <f t="shared" si="9"/>
        <v>Windows 11 Home</v>
      </c>
      <c r="V960" s="1">
        <v>1.98</v>
      </c>
      <c r="W960" s="1" t="str">
        <f t="shared" si="10"/>
        <v>1.98 kg</v>
      </c>
      <c r="X960" s="1" t="s">
        <v>78</v>
      </c>
      <c r="Y960" s="1" t="str">
        <f t="shared" si="11"/>
        <v>1 Year</v>
      </c>
      <c r="Z960" s="4">
        <v>79999</v>
      </c>
      <c r="AA960" s="1" t="s">
        <v>166</v>
      </c>
    </row>
    <row r="961" spans="1:27" ht="15.75" customHeight="1" x14ac:dyDescent="0.35">
      <c r="A961" s="1" t="s">
        <v>112</v>
      </c>
      <c r="B961" s="1" t="str">
        <f t="shared" si="16"/>
        <v>HP</v>
      </c>
      <c r="C961" s="1" t="s">
        <v>5102</v>
      </c>
      <c r="D961" s="1" t="str">
        <f t="shared" si="1"/>
        <v>ProBook 450 G10</v>
      </c>
      <c r="E961" s="1" t="str">
        <f t="array" aca="1" ref="E961" ca="1">IFERROR(
INDEX(Family_Map!$B$2:$B$35,
_xludf.AGGREGATE(14,6,(ROW(Family_Map!$A$2:$A$35)-ROW(Family_Map!$A$2)+1)/(ISNUMBER(SEARCH(Family_Map!$A$2:$A$35,D961))),1)
),
"Other")</f>
        <v>Other</v>
      </c>
      <c r="F961" s="1" t="s">
        <v>3866</v>
      </c>
      <c r="G961" s="1" t="e">
        <f t="shared" ca="1" si="2"/>
        <v>#NAME?</v>
      </c>
      <c r="H961" s="1" t="str">
        <f t="shared" ca="1" si="12"/>
        <v>Other</v>
      </c>
      <c r="I961" s="1" t="s">
        <v>507</v>
      </c>
      <c r="J961" s="1" t="str">
        <f t="shared" si="3"/>
        <v>4GB</v>
      </c>
      <c r="K961" s="1" t="s">
        <v>1525</v>
      </c>
      <c r="L961" s="1">
        <f t="shared" si="41"/>
        <v>8</v>
      </c>
      <c r="M961" s="1" t="s">
        <v>5094</v>
      </c>
      <c r="N961" s="1" t="str">
        <f t="shared" si="5"/>
        <v>512 GB</v>
      </c>
      <c r="O961" s="1" t="str">
        <f t="shared" si="6"/>
        <v>512 GB</v>
      </c>
      <c r="P961" s="1" t="s">
        <v>120</v>
      </c>
      <c r="Q961" s="1" t="str">
        <f t="shared" si="7"/>
        <v>1920x1080</v>
      </c>
      <c r="S961" s="1" t="str">
        <f t="shared" si="8"/>
        <v/>
      </c>
      <c r="T961" s="1" t="s">
        <v>101</v>
      </c>
      <c r="U961" s="1" t="str">
        <f t="shared" si="9"/>
        <v>DOS</v>
      </c>
      <c r="V961" s="1" t="s">
        <v>5107</v>
      </c>
      <c r="W961" s="1" t="str">
        <f t="shared" si="10"/>
        <v>1.79 kg</v>
      </c>
      <c r="X961" s="1" t="s">
        <v>78</v>
      </c>
      <c r="Y961" s="1" t="str">
        <f t="shared" si="11"/>
        <v>1 Year</v>
      </c>
      <c r="Z961" s="4">
        <v>40199</v>
      </c>
      <c r="AA961" s="1" t="s">
        <v>79</v>
      </c>
    </row>
    <row r="962" spans="1:27" ht="15.75" customHeight="1" x14ac:dyDescent="0.35">
      <c r="A962" s="1" t="s">
        <v>81</v>
      </c>
      <c r="B962" s="1" t="str">
        <f t="shared" si="16"/>
        <v>Dell</v>
      </c>
      <c r="C962" s="1" t="s">
        <v>5421</v>
      </c>
      <c r="D962" s="1" t="str">
        <f t="shared" si="1"/>
        <v>Latitude 3340</v>
      </c>
      <c r="E962" s="1" t="str">
        <f t="array" aca="1" ref="E962" ca="1">IFERROR(
INDEX(Family_Map!$B$2:$B$35,
_xludf.AGGREGATE(14,6,(ROW(Family_Map!$A$2:$A$35)-ROW(Family_Map!$A$2)+1)/(ISNUMBER(SEARCH(Family_Map!$A$2:$A$35,D962))),1)
),
"Other")</f>
        <v>Other</v>
      </c>
      <c r="F962" s="1" t="s">
        <v>3758</v>
      </c>
      <c r="G962" s="1" t="e">
        <f t="shared" ca="1" si="2"/>
        <v>#NAME?</v>
      </c>
      <c r="H962" s="1" t="str">
        <f t="shared" ca="1" si="12"/>
        <v>Other</v>
      </c>
      <c r="J962" s="1" t="str">
        <f t="shared" si="3"/>
        <v/>
      </c>
      <c r="K962" s="1" t="s">
        <v>2110</v>
      </c>
      <c r="L962" s="1">
        <f t="shared" si="41"/>
        <v>8</v>
      </c>
      <c r="M962" s="1" t="s">
        <v>5422</v>
      </c>
      <c r="N962" s="1" t="str">
        <f t="shared" si="5"/>
        <v>256 GB</v>
      </c>
      <c r="O962" s="1" t="str">
        <f t="shared" si="6"/>
        <v>256 GB</v>
      </c>
      <c r="P962" s="1" t="s">
        <v>120</v>
      </c>
      <c r="Q962" s="1" t="str">
        <f t="shared" si="7"/>
        <v>1920x1080</v>
      </c>
      <c r="R962" s="1" t="s">
        <v>971</v>
      </c>
      <c r="S962" s="1" t="str">
        <f t="shared" si="8"/>
        <v>60Hz</v>
      </c>
      <c r="T962" s="1" t="s">
        <v>725</v>
      </c>
      <c r="U962" s="1" t="str">
        <f t="shared" si="9"/>
        <v>Windows 11 Pro</v>
      </c>
      <c r="V962" s="1" t="s">
        <v>5138</v>
      </c>
      <c r="W962" s="1" t="str">
        <f t="shared" si="10"/>
        <v>1.35 kg</v>
      </c>
      <c r="X962" s="1" t="s">
        <v>78</v>
      </c>
      <c r="Y962" s="1" t="str">
        <f t="shared" si="11"/>
        <v>1 Year</v>
      </c>
      <c r="Z962" s="4">
        <v>30999</v>
      </c>
      <c r="AA962" s="1" t="s">
        <v>79</v>
      </c>
    </row>
    <row r="963" spans="1:27" ht="15.75" customHeight="1" x14ac:dyDescent="0.35">
      <c r="A963" s="1" t="s">
        <v>151</v>
      </c>
      <c r="B963" s="1" t="str">
        <f t="shared" si="16"/>
        <v>Lenovo</v>
      </c>
      <c r="C963" s="1" t="s">
        <v>5428</v>
      </c>
      <c r="D963" s="1" t="str">
        <f t="shared" si="1"/>
        <v>lenovo ThinkBook 14 G2 ITL</v>
      </c>
      <c r="E963" s="1" t="str">
        <f t="array" aca="1" ref="E963" ca="1">IFERROR(
INDEX(Family_Map!$B$2:$B$35,
_xludf.AGGREGATE(14,6,(ROW(Family_Map!$A$2:$A$35)-ROW(Family_Map!$A$2)+1)/(ISNUMBER(SEARCH(Family_Map!$A$2:$A$35,D963))),1)
),
"Other")</f>
        <v>Other</v>
      </c>
      <c r="F963" s="1" t="s">
        <v>4933</v>
      </c>
      <c r="G963" s="1" t="e">
        <f t="shared" ca="1" si="2"/>
        <v>#NAME?</v>
      </c>
      <c r="H963" s="1" t="str">
        <f t="shared" ca="1" si="12"/>
        <v>Other</v>
      </c>
      <c r="J963" s="1" t="str">
        <f t="shared" si="3"/>
        <v/>
      </c>
      <c r="K963" s="1" t="s">
        <v>5429</v>
      </c>
      <c r="L963" s="1">
        <f t="shared" si="41"/>
        <v>16</v>
      </c>
      <c r="M963" s="1" t="s">
        <v>5430</v>
      </c>
      <c r="N963" s="1" t="str">
        <f t="shared" si="5"/>
        <v>256GB</v>
      </c>
      <c r="O963" s="1" t="str">
        <f t="shared" si="6"/>
        <v>256GB</v>
      </c>
      <c r="P963" s="1" t="s">
        <v>74</v>
      </c>
      <c r="Q963" s="1" t="str">
        <f t="shared" si="7"/>
        <v>1920x1080</v>
      </c>
      <c r="S963" s="1" t="str">
        <f t="shared" si="8"/>
        <v/>
      </c>
      <c r="T963" s="1" t="s">
        <v>101</v>
      </c>
      <c r="U963" s="1" t="str">
        <f t="shared" si="9"/>
        <v>DOS</v>
      </c>
      <c r="V963" s="1" t="s">
        <v>3892</v>
      </c>
      <c r="W963" s="1" t="str">
        <f t="shared" si="10"/>
        <v>1.4 kg</v>
      </c>
      <c r="X963" s="1" t="s">
        <v>78</v>
      </c>
      <c r="Y963" s="1" t="str">
        <f t="shared" si="11"/>
        <v>1 Year</v>
      </c>
      <c r="Z963" s="4">
        <v>23999</v>
      </c>
      <c r="AA963" s="1" t="s">
        <v>1082</v>
      </c>
    </row>
    <row r="964" spans="1:27" ht="15.75" customHeight="1" x14ac:dyDescent="0.35">
      <c r="A964" s="1" t="s">
        <v>81</v>
      </c>
      <c r="B964" s="1" t="str">
        <f t="shared" si="16"/>
        <v>Dell</v>
      </c>
      <c r="C964" s="1" t="s">
        <v>5434</v>
      </c>
      <c r="D964" s="1" t="str">
        <f t="shared" si="1"/>
        <v>Inspiron 14-7430</v>
      </c>
      <c r="E964" s="1" t="str">
        <f t="array" aca="1" ref="E964" ca="1">IFERROR(
INDEX(Family_Map!$B$2:$B$35,
_xludf.AGGREGATE(14,6,(ROW(Family_Map!$A$2:$A$35)-ROW(Family_Map!$A$2)+1)/(ISNUMBER(SEARCH(Family_Map!$A$2:$A$35,D964))),1)
),
"Other")</f>
        <v>Other</v>
      </c>
      <c r="F964" s="1" t="s">
        <v>5435</v>
      </c>
      <c r="G964" s="1" t="e">
        <f t="shared" ca="1" si="2"/>
        <v>#NAME?</v>
      </c>
      <c r="H964" s="1" t="str">
        <f t="shared" ca="1" si="12"/>
        <v>Other</v>
      </c>
      <c r="J964" s="1" t="str">
        <f t="shared" si="3"/>
        <v/>
      </c>
      <c r="K964" s="1" t="s">
        <v>1245</v>
      </c>
      <c r="L964" s="1">
        <f t="shared" si="41"/>
        <v>16</v>
      </c>
      <c r="M964" s="1" t="s">
        <v>322</v>
      </c>
      <c r="N964" s="1" t="str">
        <f t="shared" si="5"/>
        <v>1TB</v>
      </c>
      <c r="O964" s="1" t="str">
        <f t="shared" si="6"/>
        <v>1024GB</v>
      </c>
      <c r="P964" s="1" t="s">
        <v>1015</v>
      </c>
      <c r="Q964" s="1" t="str">
        <f t="shared" si="7"/>
        <v>1920x1200</v>
      </c>
      <c r="R964" s="1" t="s">
        <v>971</v>
      </c>
      <c r="S964" s="1" t="str">
        <f t="shared" si="8"/>
        <v>60Hz</v>
      </c>
      <c r="T964" s="1" t="s">
        <v>201</v>
      </c>
      <c r="U964" s="1" t="str">
        <f t="shared" si="9"/>
        <v>Windows 11 Home</v>
      </c>
      <c r="V964" s="1" t="s">
        <v>5441</v>
      </c>
      <c r="W964" s="1" t="str">
        <f t="shared" si="10"/>
        <v>1.58 kg</v>
      </c>
      <c r="X964" s="1" t="s">
        <v>78</v>
      </c>
      <c r="Y964" s="1" t="str">
        <f t="shared" si="11"/>
        <v>1 Year</v>
      </c>
      <c r="Z964" s="4">
        <v>52999</v>
      </c>
      <c r="AA964" s="1" t="s">
        <v>79</v>
      </c>
    </row>
    <row r="965" spans="1:27" ht="15.75" customHeight="1" x14ac:dyDescent="0.35">
      <c r="A965" s="1" t="s">
        <v>112</v>
      </c>
      <c r="B965" s="1" t="str">
        <f t="shared" si="16"/>
        <v>HP</v>
      </c>
      <c r="C965" s="1" t="s">
        <v>5102</v>
      </c>
      <c r="D965" s="1" t="str">
        <f t="shared" si="1"/>
        <v>ProBook 450 G10</v>
      </c>
      <c r="E965" s="1" t="str">
        <f t="array" aca="1" ref="E965" ca="1">IFERROR(
INDEX(Family_Map!$B$2:$B$35,
_xludf.AGGREGATE(14,6,(ROW(Family_Map!$A$2:$A$35)-ROW(Family_Map!$A$2)+1)/(ISNUMBER(SEARCH(Family_Map!$A$2:$A$35,D965))),1)
),
"Other")</f>
        <v>Other</v>
      </c>
      <c r="F965" s="1" t="s">
        <v>4140</v>
      </c>
      <c r="G965" s="1" t="e">
        <f t="shared" ca="1" si="2"/>
        <v>#NAME?</v>
      </c>
      <c r="H965" s="1" t="str">
        <f t="shared" ca="1" si="12"/>
        <v>Other</v>
      </c>
      <c r="I965" s="1" t="s">
        <v>439</v>
      </c>
      <c r="J965" s="1" t="str">
        <f t="shared" si="3"/>
        <v>4 GB</v>
      </c>
      <c r="K965" s="1" t="s">
        <v>1525</v>
      </c>
      <c r="L965" s="1">
        <f t="shared" si="41"/>
        <v>8</v>
      </c>
      <c r="M965" s="1" t="s">
        <v>5094</v>
      </c>
      <c r="N965" s="1" t="str">
        <f t="shared" si="5"/>
        <v>512 GB</v>
      </c>
      <c r="O965" s="1" t="str">
        <f t="shared" si="6"/>
        <v>512 GB</v>
      </c>
      <c r="P965" s="1" t="s">
        <v>120</v>
      </c>
      <c r="Q965" s="1" t="str">
        <f t="shared" si="7"/>
        <v>1920x1080</v>
      </c>
      <c r="S965" s="1" t="str">
        <f t="shared" si="8"/>
        <v/>
      </c>
      <c r="T965" s="1" t="s">
        <v>101</v>
      </c>
      <c r="U965" s="1" t="str">
        <f t="shared" si="9"/>
        <v>DOS</v>
      </c>
      <c r="V965" s="1" t="s">
        <v>5107</v>
      </c>
      <c r="W965" s="1" t="str">
        <f t="shared" si="10"/>
        <v>1.79 kg</v>
      </c>
      <c r="X965" s="1" t="s">
        <v>78</v>
      </c>
      <c r="Y965" s="1" t="str">
        <f t="shared" si="11"/>
        <v>1 Year</v>
      </c>
      <c r="Z965" s="4">
        <v>31999</v>
      </c>
      <c r="AA965" s="1" t="s">
        <v>79</v>
      </c>
    </row>
    <row r="966" spans="1:27" ht="15.75" customHeight="1" x14ac:dyDescent="0.35">
      <c r="A966" s="1" t="s">
        <v>151</v>
      </c>
      <c r="B966" s="1" t="str">
        <f t="shared" si="16"/>
        <v>Lenovo</v>
      </c>
      <c r="C966" s="1" t="s">
        <v>5442</v>
      </c>
      <c r="D966" s="1" t="str">
        <f t="shared" si="1"/>
        <v>ThinkPad E15 Gen 4</v>
      </c>
      <c r="E966" s="1" t="str">
        <f t="array" aca="1" ref="E966" ca="1">IFERROR(
INDEX(Family_Map!$B$2:$B$35,
_xludf.AGGREGATE(14,6,(ROW(Family_Map!$A$2:$A$35)-ROW(Family_Map!$A$2)+1)/(ISNUMBER(SEARCH(Family_Map!$A$2:$A$35,D966))),1)
),
"Other")</f>
        <v>Other</v>
      </c>
      <c r="F966" s="1" t="s">
        <v>3516</v>
      </c>
      <c r="G966" s="1" t="e">
        <f t="shared" ca="1" si="2"/>
        <v>#NAME?</v>
      </c>
      <c r="H966" s="1" t="str">
        <f t="shared" ca="1" si="12"/>
        <v>Other</v>
      </c>
      <c r="I966" s="1" t="s">
        <v>3670</v>
      </c>
      <c r="J966" s="1" t="str">
        <f t="shared" si="3"/>
        <v>2GB</v>
      </c>
      <c r="K966" s="1" t="s">
        <v>5444</v>
      </c>
      <c r="L966" s="1">
        <f t="shared" si="41"/>
        <v>16</v>
      </c>
      <c r="M966" s="1" t="s">
        <v>5036</v>
      </c>
      <c r="N966" s="1" t="str">
        <f t="shared" si="5"/>
        <v>512 GB</v>
      </c>
      <c r="O966" s="1" t="str">
        <f t="shared" si="6"/>
        <v>512 GB</v>
      </c>
      <c r="P966" s="1" t="s">
        <v>120</v>
      </c>
      <c r="Q966" s="1" t="str">
        <f t="shared" si="7"/>
        <v>1920x1080</v>
      </c>
      <c r="S966" s="1" t="str">
        <f t="shared" si="8"/>
        <v/>
      </c>
      <c r="T966" s="1" t="s">
        <v>101</v>
      </c>
      <c r="U966" s="1" t="str">
        <f t="shared" si="9"/>
        <v>DOS</v>
      </c>
      <c r="V966" s="1" t="s">
        <v>3321</v>
      </c>
      <c r="W966" s="1" t="str">
        <f t="shared" si="10"/>
        <v>1.7 kg</v>
      </c>
      <c r="X966" s="1" t="s">
        <v>78</v>
      </c>
      <c r="Y966" s="1" t="str">
        <f t="shared" si="11"/>
        <v>1 Year</v>
      </c>
      <c r="Z966" s="4">
        <v>34777</v>
      </c>
      <c r="AA966" s="1" t="s">
        <v>166</v>
      </c>
    </row>
    <row r="967" spans="1:27" ht="15.75" customHeight="1" x14ac:dyDescent="0.35">
      <c r="A967" s="1" t="s">
        <v>234</v>
      </c>
      <c r="B967" s="1" t="str">
        <f t="shared" si="16"/>
        <v>ASUS</v>
      </c>
      <c r="C967" s="1" t="s">
        <v>5448</v>
      </c>
      <c r="D967" s="1" t="str">
        <f t="shared" si="1"/>
        <v>K5504VA-MA007W</v>
      </c>
      <c r="E967" s="1" t="str">
        <f t="array" aca="1" ref="E967" ca="1">IFERROR(
INDEX(Family_Map!$B$2:$B$35,
_xludf.AGGREGATE(14,6,(ROW(Family_Map!$A$2:$A$35)-ROW(Family_Map!$A$2)+1)/(ISNUMBER(SEARCH(Family_Map!$A$2:$A$35,D967))),1)
),
"Other")</f>
        <v>Other</v>
      </c>
      <c r="F967" s="1" t="s">
        <v>402</v>
      </c>
      <c r="G967" s="1" t="e">
        <f t="shared" ca="1" si="2"/>
        <v>#NAME?</v>
      </c>
      <c r="H967" s="1" t="str">
        <f t="shared" ca="1" si="12"/>
        <v>Other</v>
      </c>
      <c r="J967" s="1" t="str">
        <f t="shared" si="3"/>
        <v/>
      </c>
      <c r="K967" s="1" t="s">
        <v>3924</v>
      </c>
      <c r="L967" s="1">
        <f t="shared" si="41"/>
        <v>16</v>
      </c>
      <c r="M967" s="1" t="s">
        <v>629</v>
      </c>
      <c r="N967" s="1" t="str">
        <f t="shared" si="5"/>
        <v>512GB</v>
      </c>
      <c r="O967" s="1" t="str">
        <f t="shared" si="6"/>
        <v>512GB</v>
      </c>
      <c r="P967" s="1" t="s">
        <v>2201</v>
      </c>
      <c r="Q967" s="1" t="str">
        <f t="shared" si="7"/>
        <v>2880x1620</v>
      </c>
      <c r="R967" s="1" t="s">
        <v>39</v>
      </c>
      <c r="S967" s="1" t="str">
        <f t="shared" si="8"/>
        <v>120Hz</v>
      </c>
      <c r="T967" s="1" t="s">
        <v>201</v>
      </c>
      <c r="U967" s="1" t="str">
        <f t="shared" si="9"/>
        <v>Windows 11 Home</v>
      </c>
      <c r="V967" s="1" t="s">
        <v>3500</v>
      </c>
      <c r="W967" s="1" t="str">
        <f t="shared" si="10"/>
        <v>1.7 kg</v>
      </c>
      <c r="X967" s="1" t="s">
        <v>1471</v>
      </c>
      <c r="Y967" s="1" t="str">
        <f t="shared" si="11"/>
        <v>1 Year</v>
      </c>
      <c r="Z967" s="4">
        <v>36199</v>
      </c>
      <c r="AA967" s="1" t="s">
        <v>79</v>
      </c>
    </row>
    <row r="968" spans="1:27" ht="15.75" customHeight="1" x14ac:dyDescent="0.35">
      <c r="A968" s="1" t="s">
        <v>151</v>
      </c>
      <c r="B968" s="1" t="str">
        <f t="shared" si="16"/>
        <v>Lenovo</v>
      </c>
      <c r="C968" s="1" t="s">
        <v>5455</v>
      </c>
      <c r="D968" s="1" t="str">
        <f t="shared" si="1"/>
        <v>ThinkPad E16</v>
      </c>
      <c r="E968" s="1" t="str">
        <f t="array" aca="1" ref="E968" ca="1">IFERROR(
INDEX(Family_Map!$B$2:$B$35,
_xludf.AGGREGATE(14,6,(ROW(Family_Map!$A$2:$A$35)-ROW(Family_Map!$A$2)+1)/(ISNUMBER(SEARCH(Family_Map!$A$2:$A$35,D968))),1)
),
"Other")</f>
        <v>Other</v>
      </c>
      <c r="F968" s="1" t="s">
        <v>3476</v>
      </c>
      <c r="G968" s="1" t="e">
        <f t="shared" ca="1" si="2"/>
        <v>#NAME?</v>
      </c>
      <c r="H968" s="1" t="str">
        <f t="shared" ca="1" si="12"/>
        <v>Other</v>
      </c>
      <c r="I968" s="1" t="s">
        <v>5456</v>
      </c>
      <c r="J968" s="1" t="str">
        <f t="shared" si="3"/>
        <v>2GB</v>
      </c>
      <c r="K968" s="1" t="s">
        <v>3327</v>
      </c>
      <c r="L968" s="1">
        <f t="shared" si="41"/>
        <v>8</v>
      </c>
      <c r="M968" s="1" t="s">
        <v>5457</v>
      </c>
      <c r="N968" s="1" t="str">
        <f t="shared" si="5"/>
        <v>512GB</v>
      </c>
      <c r="O968" s="1" t="str">
        <f t="shared" si="6"/>
        <v>512GB</v>
      </c>
      <c r="P968" s="1" t="s">
        <v>5459</v>
      </c>
      <c r="Q968" s="1" t="str">
        <f t="shared" si="7"/>
        <v>1920x1200</v>
      </c>
      <c r="S968" s="1" t="str">
        <f t="shared" si="8"/>
        <v/>
      </c>
      <c r="T968" s="1" t="s">
        <v>101</v>
      </c>
      <c r="U968" s="1" t="str">
        <f t="shared" si="9"/>
        <v>DOS</v>
      </c>
      <c r="V968" s="1" t="s">
        <v>3547</v>
      </c>
      <c r="W968" s="1" t="str">
        <f t="shared" si="10"/>
        <v>1.81 kg</v>
      </c>
      <c r="X968" s="1" t="s">
        <v>78</v>
      </c>
      <c r="Y968" s="1" t="str">
        <f t="shared" si="11"/>
        <v>1 Year</v>
      </c>
      <c r="Z968" s="4">
        <v>45999</v>
      </c>
      <c r="AA968" s="1" t="s">
        <v>79</v>
      </c>
    </row>
    <row r="969" spans="1:27" ht="15.75" customHeight="1" x14ac:dyDescent="0.35">
      <c r="A969" s="1" t="s">
        <v>81</v>
      </c>
      <c r="B969" s="1" t="str">
        <f t="shared" si="16"/>
        <v>Dell</v>
      </c>
      <c r="C969" s="1" t="s">
        <v>5464</v>
      </c>
      <c r="D969" s="1" t="str">
        <f t="shared" si="1"/>
        <v>Latitude 5440</v>
      </c>
      <c r="E969" s="1" t="str">
        <f t="array" aca="1" ref="E969" ca="1">IFERROR(
INDEX(Family_Map!$B$2:$B$35,
_xludf.AGGREGATE(14,6,(ROW(Family_Map!$A$2:$A$35)-ROW(Family_Map!$A$2)+1)/(ISNUMBER(SEARCH(Family_Map!$A$2:$A$35,D969))),1)
),
"Other")</f>
        <v>Other</v>
      </c>
      <c r="F969" s="1" t="s">
        <v>3476</v>
      </c>
      <c r="G969" s="1" t="e">
        <f t="shared" ca="1" si="2"/>
        <v>#NAME?</v>
      </c>
      <c r="H969" s="1" t="str">
        <f t="shared" ca="1" si="12"/>
        <v>Other</v>
      </c>
      <c r="J969" s="1" t="str">
        <f t="shared" si="3"/>
        <v/>
      </c>
      <c r="K969" s="1" t="s">
        <v>5466</v>
      </c>
      <c r="L969" s="1">
        <f t="shared" si="41"/>
        <v>16</v>
      </c>
      <c r="M969" s="1" t="s">
        <v>5178</v>
      </c>
      <c r="N969" s="1" t="str">
        <f t="shared" si="5"/>
        <v>512 GB</v>
      </c>
      <c r="O969" s="1" t="str">
        <f t="shared" si="6"/>
        <v>512 GB</v>
      </c>
      <c r="P969" s="1" t="s">
        <v>120</v>
      </c>
      <c r="Q969" s="1" t="str">
        <f t="shared" si="7"/>
        <v>1920x1080</v>
      </c>
      <c r="S969" s="1" t="str">
        <f t="shared" si="8"/>
        <v/>
      </c>
      <c r="T969" s="1" t="s">
        <v>101</v>
      </c>
      <c r="U969" s="1" t="str">
        <f t="shared" si="9"/>
        <v>DOS</v>
      </c>
      <c r="V969" s="1" t="s">
        <v>4135</v>
      </c>
      <c r="W969" s="1" t="str">
        <f t="shared" si="10"/>
        <v>1.36 kg</v>
      </c>
      <c r="X969" s="1" t="s">
        <v>78</v>
      </c>
      <c r="Y969" s="1" t="str">
        <f t="shared" si="11"/>
        <v>1 Year</v>
      </c>
      <c r="Z969" s="4">
        <v>55449</v>
      </c>
      <c r="AA969" s="1" t="s">
        <v>79</v>
      </c>
    </row>
    <row r="970" spans="1:27" ht="15.75" customHeight="1" x14ac:dyDescent="0.35">
      <c r="A970" s="1" t="s">
        <v>81</v>
      </c>
      <c r="B970" s="1" t="str">
        <f t="shared" si="16"/>
        <v>Dell</v>
      </c>
      <c r="C970" s="1" t="s">
        <v>5474</v>
      </c>
      <c r="D970" s="1" t="str">
        <f t="shared" si="1"/>
        <v>Latitude 5540</v>
      </c>
      <c r="E970" s="1" t="str">
        <f t="array" aca="1" ref="E970" ca="1">IFERROR(
INDEX(Family_Map!$B$2:$B$35,
_xludf.AGGREGATE(14,6,(ROW(Family_Map!$A$2:$A$35)-ROW(Family_Map!$A$2)+1)/(ISNUMBER(SEARCH(Family_Map!$A$2:$A$35,D970))),1)
),
"Other")</f>
        <v>Other</v>
      </c>
      <c r="F970" s="1" t="s">
        <v>3476</v>
      </c>
      <c r="G970" s="1" t="e">
        <f t="shared" ca="1" si="2"/>
        <v>#NAME?</v>
      </c>
      <c r="H970" s="1" t="str">
        <f t="shared" ca="1" si="12"/>
        <v>Other</v>
      </c>
      <c r="J970" s="1" t="str">
        <f t="shared" si="3"/>
        <v/>
      </c>
      <c r="K970" s="1" t="s">
        <v>5476</v>
      </c>
      <c r="L970" s="1">
        <f t="shared" si="41"/>
        <v>8</v>
      </c>
      <c r="M970" s="1" t="s">
        <v>5750</v>
      </c>
      <c r="N970" s="1" t="str">
        <f t="shared" si="5"/>
        <v>512GB</v>
      </c>
      <c r="O970" s="1" t="str">
        <f t="shared" si="6"/>
        <v>512GB</v>
      </c>
      <c r="P970" s="1" t="s">
        <v>120</v>
      </c>
      <c r="Q970" s="1" t="str">
        <f t="shared" si="7"/>
        <v>1920x1080</v>
      </c>
      <c r="S970" s="1" t="str">
        <f t="shared" si="8"/>
        <v/>
      </c>
      <c r="T970" s="1" t="s">
        <v>101</v>
      </c>
      <c r="U970" s="1" t="str">
        <f t="shared" si="9"/>
        <v>DOS</v>
      </c>
      <c r="V970" s="1" t="s">
        <v>5484</v>
      </c>
      <c r="W970" s="1" t="str">
        <f t="shared" si="10"/>
        <v>1.61 kg</v>
      </c>
      <c r="X970" s="1" t="s">
        <v>78</v>
      </c>
      <c r="Y970" s="1" t="str">
        <f t="shared" si="11"/>
        <v>1 Year</v>
      </c>
      <c r="Z970" s="4">
        <v>56999</v>
      </c>
      <c r="AA970" s="1" t="s">
        <v>79</v>
      </c>
    </row>
    <row r="971" spans="1:27" ht="15.75" customHeight="1" x14ac:dyDescent="0.35">
      <c r="A971" s="1" t="s">
        <v>81</v>
      </c>
      <c r="B971" s="1" t="str">
        <f t="shared" si="16"/>
        <v>Dell</v>
      </c>
      <c r="C971" s="1" t="s">
        <v>5485</v>
      </c>
      <c r="D971" s="1" t="str">
        <f t="shared" si="1"/>
        <v>Latitude 3420</v>
      </c>
      <c r="E971" s="1" t="str">
        <f t="array" aca="1" ref="E971" ca="1">IFERROR(
INDEX(Family_Map!$B$2:$B$35,
_xludf.AGGREGATE(14,6,(ROW(Family_Map!$A$2:$A$35)-ROW(Family_Map!$A$2)+1)/(ISNUMBER(SEARCH(Family_Map!$A$2:$A$35,D971))),1)
),
"Other")</f>
        <v>Other</v>
      </c>
      <c r="F971" s="1" t="s">
        <v>4071</v>
      </c>
      <c r="G971" s="1" t="e">
        <f t="shared" ca="1" si="2"/>
        <v>#NAME?</v>
      </c>
      <c r="H971" s="1" t="str">
        <f t="shared" ca="1" si="12"/>
        <v>Other</v>
      </c>
      <c r="J971" s="1" t="str">
        <f t="shared" si="3"/>
        <v/>
      </c>
      <c r="K971" s="1" t="s">
        <v>5476</v>
      </c>
      <c r="L971" s="1">
        <f t="shared" si="41"/>
        <v>8</v>
      </c>
      <c r="M971" s="1" t="s">
        <v>5486</v>
      </c>
      <c r="N971" s="1" t="str">
        <f t="shared" si="5"/>
        <v>2 256GB</v>
      </c>
      <c r="O971" s="1" t="str">
        <f t="shared" si="6"/>
        <v>2 256GB</v>
      </c>
      <c r="P971" s="1" t="s">
        <v>616</v>
      </c>
      <c r="Q971" s="1" t="str">
        <f t="shared" si="7"/>
        <v>1920x1080</v>
      </c>
      <c r="S971" s="1" t="str">
        <f t="shared" si="8"/>
        <v/>
      </c>
      <c r="T971" s="1" t="s">
        <v>101</v>
      </c>
      <c r="U971" s="1" t="str">
        <f t="shared" si="9"/>
        <v>DOS</v>
      </c>
      <c r="V971" s="1" t="s">
        <v>4873</v>
      </c>
      <c r="W971" s="1" t="str">
        <f t="shared" si="10"/>
        <v>1.52 kg</v>
      </c>
      <c r="X971" s="1" t="s">
        <v>78</v>
      </c>
      <c r="Y971" s="1" t="str">
        <f t="shared" si="11"/>
        <v>1 Year</v>
      </c>
      <c r="Z971" s="4">
        <v>25799</v>
      </c>
      <c r="AA971" s="1" t="s">
        <v>1082</v>
      </c>
    </row>
    <row r="972" spans="1:27" ht="15.75" customHeight="1" x14ac:dyDescent="0.35">
      <c r="A972" s="1" t="s">
        <v>112</v>
      </c>
      <c r="B972" s="1" t="str">
        <f t="shared" si="16"/>
        <v>HP</v>
      </c>
      <c r="C972" s="1" t="s">
        <v>5493</v>
      </c>
      <c r="D972" s="1" t="str">
        <f t="shared" si="1"/>
        <v>ProBook 440 G10</v>
      </c>
      <c r="E972" s="1" t="str">
        <f t="array" aca="1" ref="E972" ca="1">IFERROR(
INDEX(Family_Map!$B$2:$B$35,
_xludf.AGGREGATE(14,6,(ROW(Family_Map!$A$2:$A$35)-ROW(Family_Map!$A$2)+1)/(ISNUMBER(SEARCH(Family_Map!$A$2:$A$35,D972))),1)
),
"Other")</f>
        <v>Other</v>
      </c>
      <c r="F972" s="1" t="s">
        <v>4140</v>
      </c>
      <c r="G972" s="1" t="e">
        <f t="shared" ca="1" si="2"/>
        <v>#NAME?</v>
      </c>
      <c r="H972" s="1" t="str">
        <f t="shared" ca="1" si="12"/>
        <v>Other</v>
      </c>
      <c r="J972" s="1" t="str">
        <f t="shared" si="3"/>
        <v/>
      </c>
      <c r="K972" s="1" t="s">
        <v>2487</v>
      </c>
      <c r="L972" s="1">
        <f t="shared" si="41"/>
        <v>16</v>
      </c>
      <c r="M972" s="1" t="s">
        <v>4192</v>
      </c>
      <c r="N972" s="1" t="str">
        <f t="shared" si="5"/>
        <v>256 GB</v>
      </c>
      <c r="O972" s="1" t="str">
        <f t="shared" si="6"/>
        <v>256 GB</v>
      </c>
      <c r="P972" s="1" t="s">
        <v>120</v>
      </c>
      <c r="Q972" s="1" t="str">
        <f t="shared" si="7"/>
        <v>1920x1080</v>
      </c>
      <c r="S972" s="1" t="str">
        <f t="shared" si="8"/>
        <v/>
      </c>
      <c r="T972" s="1" t="s">
        <v>5495</v>
      </c>
      <c r="U972" s="1" t="str">
        <f t="shared" si="9"/>
        <v>Windows 11 Pro</v>
      </c>
      <c r="V972" s="1" t="s">
        <v>4389</v>
      </c>
      <c r="W972" s="1" t="str">
        <f t="shared" si="10"/>
        <v>1.38 kg</v>
      </c>
      <c r="X972" s="1" t="s">
        <v>129</v>
      </c>
      <c r="Y972" s="1" t="str">
        <f t="shared" si="11"/>
        <v>1 Year</v>
      </c>
      <c r="Z972" s="4">
        <v>38888</v>
      </c>
      <c r="AA972" s="1" t="s">
        <v>79</v>
      </c>
    </row>
    <row r="973" spans="1:27" ht="15.75" customHeight="1" x14ac:dyDescent="0.35">
      <c r="A973" s="1" t="s">
        <v>112</v>
      </c>
      <c r="B973" s="1" t="str">
        <f t="shared" si="16"/>
        <v>HP</v>
      </c>
      <c r="C973" s="1" t="s">
        <v>5102</v>
      </c>
      <c r="D973" s="1" t="str">
        <f t="shared" si="1"/>
        <v>ProBook 450 G10</v>
      </c>
      <c r="E973" s="1" t="str">
        <f t="array" aca="1" ref="E973" ca="1">IFERROR(
INDEX(Family_Map!$B$2:$B$35,
_xludf.AGGREGATE(14,6,(ROW(Family_Map!$A$2:$A$35)-ROW(Family_Map!$A$2)+1)/(ISNUMBER(SEARCH(Family_Map!$A$2:$A$35,D973))),1)
),
"Other")</f>
        <v>Other</v>
      </c>
      <c r="F973" s="1" t="s">
        <v>4140</v>
      </c>
      <c r="G973" s="1" t="e">
        <f t="shared" ca="1" si="2"/>
        <v>#NAME?</v>
      </c>
      <c r="H973" s="1" t="str">
        <f t="shared" ca="1" si="12"/>
        <v>Other</v>
      </c>
      <c r="J973" s="1" t="str">
        <f t="shared" si="3"/>
        <v/>
      </c>
      <c r="K973" s="1" t="s">
        <v>2487</v>
      </c>
      <c r="L973" s="1">
        <f t="shared" si="41"/>
        <v>16</v>
      </c>
      <c r="M973" s="1" t="s">
        <v>4192</v>
      </c>
      <c r="N973" s="1" t="str">
        <f t="shared" si="5"/>
        <v>256 GB</v>
      </c>
      <c r="O973" s="1" t="str">
        <f t="shared" si="6"/>
        <v>256 GB</v>
      </c>
      <c r="P973" s="1" t="s">
        <v>3653</v>
      </c>
      <c r="Q973" s="1" t="str">
        <f t="shared" si="7"/>
        <v>1366x768</v>
      </c>
      <c r="S973" s="1" t="str">
        <f t="shared" si="8"/>
        <v/>
      </c>
      <c r="T973" s="1" t="s">
        <v>5495</v>
      </c>
      <c r="U973" s="1" t="str">
        <f t="shared" si="9"/>
        <v>Windows 11 Pro</v>
      </c>
      <c r="V973" s="1" t="s">
        <v>5107</v>
      </c>
      <c r="W973" s="1" t="str">
        <f t="shared" si="10"/>
        <v>1.79 kg</v>
      </c>
      <c r="X973" s="1" t="s">
        <v>129</v>
      </c>
      <c r="Y973" s="1" t="str">
        <f t="shared" si="11"/>
        <v>1 Year</v>
      </c>
      <c r="Z973" s="4">
        <v>38888</v>
      </c>
      <c r="AA973" s="1" t="s">
        <v>79</v>
      </c>
    </row>
    <row r="974" spans="1:27" ht="15.75" customHeight="1" x14ac:dyDescent="0.35">
      <c r="A974" s="1" t="s">
        <v>81</v>
      </c>
      <c r="B974" s="1" t="str">
        <f t="shared" si="16"/>
        <v>Dell</v>
      </c>
      <c r="C974" s="1" t="s">
        <v>5501</v>
      </c>
      <c r="D974" s="1" t="str">
        <f t="shared" si="1"/>
        <v>Latitude 5430</v>
      </c>
      <c r="E974" s="1" t="str">
        <f t="array" aca="1" ref="E974" ca="1">IFERROR(
INDEX(Family_Map!$B$2:$B$35,
_xludf.AGGREGATE(14,6,(ROW(Family_Map!$A$2:$A$35)-ROW(Family_Map!$A$2)+1)/(ISNUMBER(SEARCH(Family_Map!$A$2:$A$35,D974))),1)
),
"Other")</f>
        <v>Other</v>
      </c>
      <c r="F974" s="1" t="s">
        <v>3516</v>
      </c>
      <c r="G974" s="1" t="e">
        <f t="shared" ca="1" si="2"/>
        <v>#NAME?</v>
      </c>
      <c r="H974" s="1" t="str">
        <f t="shared" ca="1" si="12"/>
        <v>Other</v>
      </c>
      <c r="J974" s="1" t="str">
        <f t="shared" si="3"/>
        <v/>
      </c>
      <c r="K974" s="1" t="s">
        <v>5476</v>
      </c>
      <c r="L974" s="1">
        <f t="shared" si="41"/>
        <v>8</v>
      </c>
      <c r="M974" s="1" t="s">
        <v>5367</v>
      </c>
      <c r="N974" s="1" t="str">
        <f t="shared" si="5"/>
        <v>2 512GB</v>
      </c>
      <c r="O974" s="1" t="str">
        <f t="shared" si="6"/>
        <v>2 512GB</v>
      </c>
      <c r="P974" s="1" t="s">
        <v>616</v>
      </c>
      <c r="Q974" s="1" t="str">
        <f t="shared" si="7"/>
        <v>1920x1080</v>
      </c>
      <c r="S974" s="1" t="str">
        <f t="shared" si="8"/>
        <v/>
      </c>
      <c r="T974" s="1" t="s">
        <v>101</v>
      </c>
      <c r="U974" s="1" t="str">
        <f t="shared" si="9"/>
        <v>DOS</v>
      </c>
      <c r="V974" s="1" t="s">
        <v>4135</v>
      </c>
      <c r="W974" s="1" t="str">
        <f t="shared" si="10"/>
        <v>1.36 kg</v>
      </c>
      <c r="X974" s="1" t="s">
        <v>78</v>
      </c>
      <c r="Y974" s="1" t="str">
        <f t="shared" si="11"/>
        <v>1 Year</v>
      </c>
      <c r="Z974" s="4">
        <v>43500</v>
      </c>
      <c r="AA974" s="1" t="s">
        <v>166</v>
      </c>
    </row>
    <row r="975" spans="1:27" ht="15.75" customHeight="1" x14ac:dyDescent="0.35">
      <c r="A975" s="1" t="s">
        <v>112</v>
      </c>
      <c r="B975" s="1" t="str">
        <f t="shared" si="16"/>
        <v>HP</v>
      </c>
      <c r="C975" s="1" t="s">
        <v>5505</v>
      </c>
      <c r="D975" s="1" t="str">
        <f t="shared" si="1"/>
        <v>ProBook 450 G8</v>
      </c>
      <c r="E975" s="1" t="str">
        <f t="array" aca="1" ref="E975" ca="1">IFERROR(
INDEX(Family_Map!$B$2:$B$35,
_xludf.AGGREGATE(14,6,(ROW(Family_Map!$A$2:$A$35)-ROW(Family_Map!$A$2)+1)/(ISNUMBER(SEARCH(Family_Map!$A$2:$A$35,D975))),1)
),
"Other")</f>
        <v>Other</v>
      </c>
      <c r="F975" s="1" t="s">
        <v>4071</v>
      </c>
      <c r="G975" s="1" t="e">
        <f t="shared" ca="1" si="2"/>
        <v>#NAME?</v>
      </c>
      <c r="H975" s="1" t="str">
        <f t="shared" ca="1" si="12"/>
        <v>Other</v>
      </c>
      <c r="J975" s="1" t="str">
        <f t="shared" si="3"/>
        <v/>
      </c>
      <c r="K975" s="1" t="s">
        <v>1525</v>
      </c>
      <c r="L975" s="1">
        <f t="shared" si="41"/>
        <v>8</v>
      </c>
      <c r="M975" s="1" t="s">
        <v>5094</v>
      </c>
      <c r="N975" s="1" t="str">
        <f t="shared" si="5"/>
        <v>512 GB</v>
      </c>
      <c r="O975" s="1" t="str">
        <f t="shared" si="6"/>
        <v>512 GB</v>
      </c>
      <c r="P975" s="1" t="s">
        <v>616</v>
      </c>
      <c r="Q975" s="1" t="str">
        <f t="shared" si="7"/>
        <v>1920x1080</v>
      </c>
      <c r="S975" s="1" t="str">
        <f t="shared" si="8"/>
        <v/>
      </c>
      <c r="T975" s="1" t="s">
        <v>90</v>
      </c>
      <c r="U975" s="1" t="str">
        <f t="shared" si="9"/>
        <v>Windows 11 Home</v>
      </c>
      <c r="V975" s="1" t="s">
        <v>3850</v>
      </c>
      <c r="W975" s="1" t="str">
        <f t="shared" si="10"/>
        <v>1.74 kg</v>
      </c>
      <c r="X975" s="1" t="s">
        <v>78</v>
      </c>
      <c r="Y975" s="1" t="str">
        <f t="shared" si="11"/>
        <v>1 Year</v>
      </c>
      <c r="Z975" s="4">
        <v>39999</v>
      </c>
      <c r="AA975" s="1" t="s">
        <v>1082</v>
      </c>
    </row>
    <row r="976" spans="1:27" ht="15.75" customHeight="1" x14ac:dyDescent="0.35">
      <c r="A976" s="1" t="s">
        <v>151</v>
      </c>
      <c r="B976" s="1" t="str">
        <f t="shared" si="16"/>
        <v>Lenovo</v>
      </c>
      <c r="C976" s="1" t="s">
        <v>5508</v>
      </c>
      <c r="D976" s="1" t="str">
        <f t="shared" si="1"/>
        <v>ThinkPad L13 YOGA Gen 2</v>
      </c>
      <c r="E976" s="1" t="str">
        <f t="array" aca="1" ref="E976" ca="1">IFERROR(
INDEX(Family_Map!$B$2:$B$35,
_xludf.AGGREGATE(14,6,(ROW(Family_Map!$A$2:$A$35)-ROW(Family_Map!$A$2)+1)/(ISNUMBER(SEARCH(Family_Map!$A$2:$A$35,D976))),1)
),
"Other")</f>
        <v>Other</v>
      </c>
      <c r="F976" s="1" t="s">
        <v>4071</v>
      </c>
      <c r="G976" s="1" t="e">
        <f t="shared" ca="1" si="2"/>
        <v>#NAME?</v>
      </c>
      <c r="H976" s="1" t="str">
        <f t="shared" ca="1" si="12"/>
        <v>Other</v>
      </c>
      <c r="J976" s="1" t="str">
        <f t="shared" si="3"/>
        <v/>
      </c>
      <c r="K976" s="1" t="s">
        <v>5509</v>
      </c>
      <c r="L976" s="1">
        <f t="shared" si="41"/>
        <v>8</v>
      </c>
      <c r="M976" s="1" t="s">
        <v>5036</v>
      </c>
      <c r="N976" s="1" t="str">
        <f t="shared" si="5"/>
        <v>512 GB</v>
      </c>
      <c r="O976" s="1" t="str">
        <f t="shared" si="6"/>
        <v>512 GB</v>
      </c>
      <c r="P976" s="1" t="s">
        <v>616</v>
      </c>
      <c r="Q976" s="1" t="str">
        <f t="shared" si="7"/>
        <v>1920x1080</v>
      </c>
      <c r="S976" s="1" t="str">
        <f t="shared" si="8"/>
        <v/>
      </c>
      <c r="T976" s="1" t="s">
        <v>725</v>
      </c>
      <c r="U976" s="1" t="str">
        <f t="shared" si="9"/>
        <v>Windows 11 Pro</v>
      </c>
      <c r="V976" s="1" t="s">
        <v>5165</v>
      </c>
      <c r="W976" s="1" t="str">
        <f t="shared" si="10"/>
        <v>1.44 kg</v>
      </c>
      <c r="X976" s="1" t="s">
        <v>78</v>
      </c>
      <c r="Y976" s="1" t="str">
        <f t="shared" si="11"/>
        <v>1 Year</v>
      </c>
      <c r="Z976" s="4">
        <v>38899</v>
      </c>
      <c r="AA976" s="1" t="s">
        <v>1082</v>
      </c>
    </row>
    <row r="977" spans="1:27" ht="15.75" customHeight="1" x14ac:dyDescent="0.35">
      <c r="A977" s="1" t="s">
        <v>112</v>
      </c>
      <c r="B977" s="1" t="str">
        <f t="shared" si="16"/>
        <v>HP</v>
      </c>
      <c r="C977" s="1" t="s">
        <v>5515</v>
      </c>
      <c r="D977" s="1" t="str">
        <f t="shared" si="1"/>
        <v>Elite x360 830 G9</v>
      </c>
      <c r="E977" s="1" t="str">
        <f t="array" aca="1" ref="E977" ca="1">IFERROR(
INDEX(Family_Map!$B$2:$B$35,
_xludf.AGGREGATE(14,6,(ROW(Family_Map!$A$2:$A$35)-ROW(Family_Map!$A$2)+1)/(ISNUMBER(SEARCH(Family_Map!$A$2:$A$35,D977))),1)
),
"Other")</f>
        <v>Other</v>
      </c>
      <c r="F977" s="1" t="s">
        <v>3661</v>
      </c>
      <c r="G977" s="1" t="e">
        <f t="shared" ca="1" si="2"/>
        <v>#NAME?</v>
      </c>
      <c r="H977" s="1" t="str">
        <f t="shared" ca="1" si="12"/>
        <v>Other</v>
      </c>
      <c r="J977" s="1" t="str">
        <f t="shared" si="3"/>
        <v/>
      </c>
      <c r="K977" s="1" t="s">
        <v>5516</v>
      </c>
      <c r="L977" s="1">
        <f t="shared" si="41"/>
        <v>16</v>
      </c>
      <c r="M977" s="1" t="s">
        <v>5094</v>
      </c>
      <c r="N977" s="1" t="str">
        <f t="shared" si="5"/>
        <v>512 GB</v>
      </c>
      <c r="O977" s="1" t="str">
        <f t="shared" si="6"/>
        <v>512 GB</v>
      </c>
      <c r="P977" s="1" t="s">
        <v>275</v>
      </c>
      <c r="Q977" s="1" t="str">
        <f t="shared" si="7"/>
        <v>1920x1200</v>
      </c>
      <c r="S977" s="1" t="str">
        <f t="shared" si="8"/>
        <v/>
      </c>
      <c r="T977" s="1" t="s">
        <v>2991</v>
      </c>
      <c r="U977" s="1" t="str">
        <f t="shared" si="9"/>
        <v>Windows 10 Pro</v>
      </c>
      <c r="V977" s="1" t="s">
        <v>4884</v>
      </c>
      <c r="W977" s="1" t="str">
        <f t="shared" si="10"/>
        <v>1.32 kg</v>
      </c>
      <c r="X977" s="1" t="s">
        <v>5520</v>
      </c>
      <c r="Y977" s="1" t="str">
        <f t="shared" si="11"/>
        <v>3 Years</v>
      </c>
      <c r="Z977" s="4">
        <v>62499</v>
      </c>
      <c r="AA977" s="1" t="s">
        <v>166</v>
      </c>
    </row>
    <row r="978" spans="1:27" ht="15.75" customHeight="1" x14ac:dyDescent="0.35">
      <c r="A978" s="1" t="s">
        <v>81</v>
      </c>
      <c r="B978" s="1" t="str">
        <f t="shared" si="16"/>
        <v>Dell</v>
      </c>
      <c r="C978" s="1" t="s">
        <v>5176</v>
      </c>
      <c r="D978" s="1" t="str">
        <f t="shared" si="1"/>
        <v>Latitude 3540</v>
      </c>
      <c r="E978" s="1" t="str">
        <f t="array" aca="1" ref="E978" ca="1">IFERROR(
INDEX(Family_Map!$B$2:$B$35,
_xludf.AGGREGATE(14,6,(ROW(Family_Map!$A$2:$A$35)-ROW(Family_Map!$A$2)+1)/(ISNUMBER(SEARCH(Family_Map!$A$2:$A$35,D978))),1)
),
"Other")</f>
        <v>Other</v>
      </c>
      <c r="F978" s="1" t="s">
        <v>4081</v>
      </c>
      <c r="G978" s="1" t="e">
        <f t="shared" ca="1" si="2"/>
        <v>#NAME?</v>
      </c>
      <c r="H978" s="1" t="str">
        <f t="shared" ca="1" si="12"/>
        <v>Other</v>
      </c>
      <c r="J978" s="1" t="str">
        <f t="shared" si="3"/>
        <v/>
      </c>
      <c r="K978" s="1" t="s">
        <v>5522</v>
      </c>
      <c r="L978" s="1">
        <f t="shared" si="41"/>
        <v>8</v>
      </c>
      <c r="M978" s="1" t="s">
        <v>5523</v>
      </c>
      <c r="N978" s="1" t="str">
        <f t="shared" si="5"/>
        <v>512GB</v>
      </c>
      <c r="O978" s="1" t="str">
        <f t="shared" si="6"/>
        <v>512GB</v>
      </c>
      <c r="P978" s="1" t="s">
        <v>616</v>
      </c>
      <c r="Q978" s="1" t="str">
        <f t="shared" si="7"/>
        <v>1920x1080</v>
      </c>
      <c r="R978" s="1" t="s">
        <v>971</v>
      </c>
      <c r="S978" s="1" t="str">
        <f t="shared" si="8"/>
        <v>60Hz</v>
      </c>
      <c r="T978" s="1" t="s">
        <v>101</v>
      </c>
      <c r="U978" s="1" t="str">
        <f t="shared" si="9"/>
        <v>DOS</v>
      </c>
      <c r="V978" s="1" t="s">
        <v>3547</v>
      </c>
      <c r="W978" s="1" t="str">
        <f t="shared" si="10"/>
        <v>1.81 kg</v>
      </c>
      <c r="X978" s="1" t="s">
        <v>78</v>
      </c>
      <c r="Y978" s="1" t="str">
        <f t="shared" si="11"/>
        <v>1 Year</v>
      </c>
      <c r="Z978" s="4">
        <v>39888</v>
      </c>
      <c r="AA978" s="1" t="s">
        <v>79</v>
      </c>
    </row>
    <row r="979" spans="1:27" ht="15.75" customHeight="1" x14ac:dyDescent="0.35">
      <c r="A979" s="1" t="s">
        <v>112</v>
      </c>
      <c r="B979" s="1" t="str">
        <f t="shared" si="16"/>
        <v>HP</v>
      </c>
      <c r="C979" s="1" t="s">
        <v>5526</v>
      </c>
      <c r="D979" s="1" t="str">
        <f t="shared" si="1"/>
        <v>ProBook 450 G9</v>
      </c>
      <c r="E979" s="1" t="str">
        <f t="array" aca="1" ref="E979" ca="1">IFERROR(
INDEX(Family_Map!$B$2:$B$35,
_xludf.AGGREGATE(14,6,(ROW(Family_Map!$A$2:$A$35)-ROW(Family_Map!$A$2)+1)/(ISNUMBER(SEARCH(Family_Map!$A$2:$A$35,D979))),1)
),
"Other")</f>
        <v>Other</v>
      </c>
      <c r="F979" s="1" t="s">
        <v>3661</v>
      </c>
      <c r="G979" s="1" t="e">
        <f t="shared" ca="1" si="2"/>
        <v>#NAME?</v>
      </c>
      <c r="H979" s="1" t="str">
        <f t="shared" ca="1" si="12"/>
        <v>Other</v>
      </c>
      <c r="I979" s="1" t="s">
        <v>5528</v>
      </c>
      <c r="J979" s="1" t="str">
        <f t="shared" si="3"/>
        <v>2GB</v>
      </c>
      <c r="K979" s="1" t="s">
        <v>2487</v>
      </c>
      <c r="L979" s="1">
        <f t="shared" si="41"/>
        <v>16</v>
      </c>
      <c r="M979" s="1" t="s">
        <v>2718</v>
      </c>
      <c r="N979" s="1" t="str">
        <f t="shared" si="5"/>
        <v>512 GB</v>
      </c>
      <c r="O979" s="1" t="str">
        <f t="shared" si="6"/>
        <v>512 GB</v>
      </c>
      <c r="P979" s="1" t="s">
        <v>616</v>
      </c>
      <c r="Q979" s="1" t="str">
        <f t="shared" si="7"/>
        <v>1920x1080</v>
      </c>
      <c r="S979" s="1" t="str">
        <f t="shared" si="8"/>
        <v/>
      </c>
      <c r="T979" s="1" t="s">
        <v>101</v>
      </c>
      <c r="U979" s="1" t="str">
        <f t="shared" si="9"/>
        <v>DOS</v>
      </c>
      <c r="V979" s="1" t="s">
        <v>3850</v>
      </c>
      <c r="W979" s="1" t="str">
        <f t="shared" si="10"/>
        <v>1.74 kg</v>
      </c>
      <c r="X979" s="1" t="s">
        <v>78</v>
      </c>
      <c r="Y979" s="1" t="str">
        <f t="shared" si="11"/>
        <v>1 Year</v>
      </c>
      <c r="Z979" s="4">
        <v>36000</v>
      </c>
      <c r="AA979" s="1" t="s">
        <v>166</v>
      </c>
    </row>
    <row r="980" spans="1:27" ht="15.75" customHeight="1" x14ac:dyDescent="0.35">
      <c r="A980" s="1" t="s">
        <v>81</v>
      </c>
      <c r="B980" s="1" t="str">
        <f t="shared" si="16"/>
        <v>Dell</v>
      </c>
      <c r="C980" s="1" t="s">
        <v>5533</v>
      </c>
      <c r="D980" s="1" t="str">
        <f t="shared" si="1"/>
        <v>Latitude 3520</v>
      </c>
      <c r="E980" s="1" t="str">
        <f t="array" aca="1" ref="E980" ca="1">IFERROR(
INDEX(Family_Map!$B$2:$B$35,
_xludf.AGGREGATE(14,6,(ROW(Family_Map!$A$2:$A$35)-ROW(Family_Map!$A$2)+1)/(ISNUMBER(SEARCH(Family_Map!$A$2:$A$35,D980))),1)
),
"Other")</f>
        <v>Other</v>
      </c>
      <c r="F980" s="1" t="s">
        <v>4071</v>
      </c>
      <c r="G980" s="1" t="e">
        <f t="shared" ca="1" si="2"/>
        <v>#NAME?</v>
      </c>
      <c r="H980" s="1" t="str">
        <f t="shared" ca="1" si="12"/>
        <v>Other</v>
      </c>
      <c r="I980" s="1" t="s">
        <v>4177</v>
      </c>
      <c r="J980" s="1" t="str">
        <f t="shared" si="3"/>
        <v>2GB</v>
      </c>
      <c r="K980" s="1" t="s">
        <v>2110</v>
      </c>
      <c r="L980" s="1">
        <f t="shared" si="41"/>
        <v>8</v>
      </c>
      <c r="M980" s="1" t="s">
        <v>5486</v>
      </c>
      <c r="N980" s="1" t="str">
        <f t="shared" si="5"/>
        <v>2 256GB</v>
      </c>
      <c r="O980" s="1" t="str">
        <f t="shared" si="6"/>
        <v>2 256GB</v>
      </c>
      <c r="P980" s="1" t="s">
        <v>616</v>
      </c>
      <c r="Q980" s="1" t="str">
        <f t="shared" si="7"/>
        <v>1920x1080</v>
      </c>
      <c r="S980" s="1" t="str">
        <f t="shared" si="8"/>
        <v/>
      </c>
      <c r="T980" s="1" t="s">
        <v>101</v>
      </c>
      <c r="U980" s="1" t="str">
        <f t="shared" si="9"/>
        <v>DOS</v>
      </c>
      <c r="V980" s="1" t="s">
        <v>5539</v>
      </c>
      <c r="W980" s="1" t="str">
        <f t="shared" si="10"/>
        <v>1.79 kg</v>
      </c>
      <c r="X980" s="1" t="s">
        <v>78</v>
      </c>
      <c r="Y980" s="1" t="str">
        <f t="shared" si="11"/>
        <v>1 Year</v>
      </c>
      <c r="Z980" s="4">
        <v>31777</v>
      </c>
      <c r="AA980" s="1" t="s">
        <v>1082</v>
      </c>
    </row>
    <row r="981" spans="1:27" ht="15.75" customHeight="1" x14ac:dyDescent="0.35">
      <c r="A981" s="1" t="s">
        <v>151</v>
      </c>
      <c r="B981" s="1" t="str">
        <f t="shared" si="16"/>
        <v>Lenovo</v>
      </c>
      <c r="C981" s="1" t="s">
        <v>5540</v>
      </c>
      <c r="D981" s="1" t="str">
        <f t="shared" si="1"/>
        <v>ThinkPad E14 Gen 4</v>
      </c>
      <c r="E981" s="1" t="str">
        <f t="array" aca="1" ref="E981" ca="1">IFERROR(
INDEX(Family_Map!$B$2:$B$35,
_xludf.AGGREGATE(14,6,(ROW(Family_Map!$A$2:$A$35)-ROW(Family_Map!$A$2)+1)/(ISNUMBER(SEARCH(Family_Map!$A$2:$A$35,D981))),1)
),
"Other")</f>
        <v>Other</v>
      </c>
      <c r="F981" s="1" t="s">
        <v>3661</v>
      </c>
      <c r="G981" s="1" t="e">
        <f t="shared" ca="1" si="2"/>
        <v>#NAME?</v>
      </c>
      <c r="H981" s="1" t="str">
        <f t="shared" ca="1" si="12"/>
        <v>Other</v>
      </c>
      <c r="I981" s="1" t="s">
        <v>3670</v>
      </c>
      <c r="J981" s="1" t="str">
        <f t="shared" si="3"/>
        <v>2GB</v>
      </c>
      <c r="K981" s="1" t="s">
        <v>3327</v>
      </c>
      <c r="L981" s="1">
        <f t="shared" si="41"/>
        <v>8</v>
      </c>
      <c r="M981" s="1" t="s">
        <v>5046</v>
      </c>
      <c r="N981" s="1" t="str">
        <f t="shared" si="5"/>
        <v>512GB</v>
      </c>
      <c r="O981" s="1" t="str">
        <f t="shared" si="6"/>
        <v>512GB</v>
      </c>
      <c r="P981" s="1" t="s">
        <v>616</v>
      </c>
      <c r="Q981" s="1" t="str">
        <f t="shared" si="7"/>
        <v>1920x1080</v>
      </c>
      <c r="S981" s="1" t="str">
        <f t="shared" si="8"/>
        <v/>
      </c>
      <c r="T981" s="1" t="s">
        <v>101</v>
      </c>
      <c r="U981" s="1" t="str">
        <f t="shared" si="9"/>
        <v>DOS</v>
      </c>
      <c r="V981" s="1" t="s">
        <v>5543</v>
      </c>
      <c r="W981" s="1" t="str">
        <f t="shared" si="10"/>
        <v>1.64 kg</v>
      </c>
      <c r="X981" s="1" t="s">
        <v>78</v>
      </c>
      <c r="Y981" s="1" t="str">
        <f t="shared" si="11"/>
        <v>1 Year</v>
      </c>
      <c r="Z981" s="4">
        <v>40999</v>
      </c>
      <c r="AA981" s="1" t="s">
        <v>166</v>
      </c>
    </row>
    <row r="982" spans="1:27" ht="15.75" customHeight="1" x14ac:dyDescent="0.35">
      <c r="A982" s="1" t="s">
        <v>151</v>
      </c>
      <c r="B982" s="1" t="str">
        <f t="shared" si="16"/>
        <v>Lenovo</v>
      </c>
      <c r="C982" s="1" t="s">
        <v>5442</v>
      </c>
      <c r="D982" s="1" t="str">
        <f t="shared" si="1"/>
        <v>ThinkPad E15 Gen 4</v>
      </c>
      <c r="E982" s="1" t="str">
        <f t="array" aca="1" ref="E982" ca="1">IFERROR(
INDEX(Family_Map!$B$2:$B$35,
_xludf.AGGREGATE(14,6,(ROW(Family_Map!$A$2:$A$35)-ROW(Family_Map!$A$2)+1)/(ISNUMBER(SEARCH(Family_Map!$A$2:$A$35,D982))),1)
),
"Other")</f>
        <v>Other</v>
      </c>
      <c r="F982" s="1" t="s">
        <v>3661</v>
      </c>
      <c r="G982" s="1" t="e">
        <f t="shared" ca="1" si="2"/>
        <v>#NAME?</v>
      </c>
      <c r="H982" s="1" t="str">
        <f t="shared" ca="1" si="12"/>
        <v>Other</v>
      </c>
      <c r="I982" s="1" t="s">
        <v>3670</v>
      </c>
      <c r="J982" s="1" t="str">
        <f t="shared" si="3"/>
        <v>2GB</v>
      </c>
      <c r="K982" s="1" t="s">
        <v>3327</v>
      </c>
      <c r="L982" s="1">
        <f t="shared" si="41"/>
        <v>8</v>
      </c>
      <c r="M982" s="1" t="s">
        <v>5046</v>
      </c>
      <c r="N982" s="1" t="str">
        <f t="shared" si="5"/>
        <v>512GB</v>
      </c>
      <c r="O982" s="1" t="str">
        <f t="shared" si="6"/>
        <v>512GB</v>
      </c>
      <c r="P982" s="1" t="s">
        <v>616</v>
      </c>
      <c r="Q982" s="1" t="str">
        <f t="shared" si="7"/>
        <v>1920x1080</v>
      </c>
      <c r="S982" s="1" t="str">
        <f t="shared" si="8"/>
        <v/>
      </c>
      <c r="T982" s="1" t="s">
        <v>101</v>
      </c>
      <c r="U982" s="1" t="str">
        <f t="shared" si="9"/>
        <v>DOS</v>
      </c>
      <c r="V982" s="1" t="s">
        <v>3321</v>
      </c>
      <c r="W982" s="1" t="str">
        <f t="shared" si="10"/>
        <v>1.7 kg</v>
      </c>
      <c r="X982" s="1" t="s">
        <v>78</v>
      </c>
      <c r="Y982" s="1" t="str">
        <f t="shared" si="11"/>
        <v>1 Year</v>
      </c>
      <c r="Z982" s="4">
        <v>41777</v>
      </c>
      <c r="AA982" s="1" t="s">
        <v>166</v>
      </c>
    </row>
    <row r="983" spans="1:27" ht="15.75" customHeight="1" x14ac:dyDescent="0.35">
      <c r="A983" s="1" t="s">
        <v>151</v>
      </c>
      <c r="B983" s="1" t="str">
        <f t="shared" si="16"/>
        <v>Lenovo</v>
      </c>
      <c r="C983" s="1" t="s">
        <v>5547</v>
      </c>
      <c r="D983" s="1" t="str">
        <f t="shared" si="1"/>
        <v>ThinkPad E15 Gen 2</v>
      </c>
      <c r="E983" s="1" t="str">
        <f t="array" aca="1" ref="E983" ca="1">IFERROR(
INDEX(Family_Map!$B$2:$B$35,
_xludf.AGGREGATE(14,6,(ROW(Family_Map!$A$2:$A$35)-ROW(Family_Map!$A$2)+1)/(ISNUMBER(SEARCH(Family_Map!$A$2:$A$35,D983))),1)
),
"Other")</f>
        <v>Other</v>
      </c>
      <c r="F983" s="1" t="s">
        <v>3960</v>
      </c>
      <c r="G983" s="1" t="e">
        <f t="shared" ca="1" si="2"/>
        <v>#NAME?</v>
      </c>
      <c r="H983" s="1" t="str">
        <f t="shared" ca="1" si="12"/>
        <v>Other</v>
      </c>
      <c r="I983" s="1" t="s">
        <v>4073</v>
      </c>
      <c r="J983" s="1" t="str">
        <f t="shared" si="3"/>
        <v>2GB</v>
      </c>
      <c r="K983" s="1" t="s">
        <v>1448</v>
      </c>
      <c r="L983" s="1">
        <v>8</v>
      </c>
      <c r="M983" s="1" t="s">
        <v>2016</v>
      </c>
      <c r="N983" s="1" t="str">
        <f t="shared" si="5"/>
        <v>512GB</v>
      </c>
      <c r="O983" s="1" t="str">
        <f t="shared" si="6"/>
        <v>512GB</v>
      </c>
      <c r="P983" s="1" t="s">
        <v>616</v>
      </c>
      <c r="Q983" s="1" t="str">
        <f t="shared" si="7"/>
        <v>1920x1080</v>
      </c>
      <c r="S983" s="1" t="str">
        <f t="shared" si="8"/>
        <v/>
      </c>
      <c r="T983" s="1" t="s">
        <v>101</v>
      </c>
      <c r="U983" s="1" t="str">
        <f t="shared" si="9"/>
        <v>DOS</v>
      </c>
      <c r="V983" s="1" t="s">
        <v>3321</v>
      </c>
      <c r="W983" s="1" t="str">
        <f t="shared" si="10"/>
        <v>1.7 kg</v>
      </c>
      <c r="X983" s="1" t="s">
        <v>78</v>
      </c>
      <c r="Y983" s="1" t="str">
        <f t="shared" si="11"/>
        <v>1 Year</v>
      </c>
      <c r="Z983" s="4">
        <v>37999</v>
      </c>
      <c r="AA983" s="1" t="s">
        <v>1082</v>
      </c>
    </row>
    <row r="984" spans="1:27" ht="15.75" customHeight="1" x14ac:dyDescent="0.35">
      <c r="A984" s="1" t="s">
        <v>81</v>
      </c>
      <c r="B984" s="1" t="str">
        <f t="shared" si="16"/>
        <v>Dell</v>
      </c>
      <c r="C984" s="1" t="s">
        <v>5551</v>
      </c>
      <c r="D984" s="1" t="str">
        <f t="shared" si="1"/>
        <v>Latitude 5420</v>
      </c>
      <c r="E984" s="1" t="str">
        <f t="array" aca="1" ref="E984" ca="1">IFERROR(
INDEX(Family_Map!$B$2:$B$35,
_xludf.AGGREGATE(14,6,(ROW(Family_Map!$A$2:$A$35)-ROW(Family_Map!$A$2)+1)/(ISNUMBER(SEARCH(Family_Map!$A$2:$A$35,D984))),1)
),
"Other")</f>
        <v>Other</v>
      </c>
      <c r="F984" s="1" t="s">
        <v>5552</v>
      </c>
      <c r="G984" s="1" t="e">
        <f t="shared" ca="1" si="2"/>
        <v>#NAME?</v>
      </c>
      <c r="H984" s="1" t="str">
        <f t="shared" ca="1" si="12"/>
        <v>Other</v>
      </c>
      <c r="J984" s="1" t="str">
        <f t="shared" si="3"/>
        <v/>
      </c>
      <c r="K984" s="1" t="s">
        <v>5553</v>
      </c>
      <c r="L984" s="1">
        <f>IFERROR(
VALUE(SUBSTITUTE(SUBSTITUTE(LEFT(UPPER(TRIM(K984)),FIND("GB",UPPER(K984)&amp;"GB")+1),"GB","")," ","")),
IFERROR(
VALUE(SUBSTITUTE(SUBSTITUTE(MID(UPPER(K984),FIND("GB",UPPER(K984)&amp;"GB")-3,3),"GB","")," ",""))
*
IF(
OR(
ISNUMBER(SEARCH("2X",UPPER(K984))),
ISNUMBER(SEARCH("X 2",UPPER(K984))),
ISNUMBER(SEARCH("*2",UPPER(K984))),
ISNUMBER(SEARCH("2*",UPPER(K984))),
ISNUMBER(SEARCH("(2 X",UPPER(K984)))
),
2,1),
"")
)</f>
        <v>16</v>
      </c>
      <c r="M984" s="1" t="s">
        <v>5367</v>
      </c>
      <c r="N984" s="1" t="str">
        <f t="shared" si="5"/>
        <v>2 512GB</v>
      </c>
      <c r="O984" s="1" t="str">
        <f t="shared" si="6"/>
        <v>2 512GB</v>
      </c>
      <c r="P984" s="1" t="s">
        <v>120</v>
      </c>
      <c r="Q984" s="1" t="str">
        <f t="shared" si="7"/>
        <v>1920x1080</v>
      </c>
      <c r="S984" s="1" t="str">
        <f t="shared" si="8"/>
        <v/>
      </c>
      <c r="T984" s="1" t="s">
        <v>121</v>
      </c>
      <c r="U984" s="1" t="str">
        <f t="shared" si="9"/>
        <v>DOS</v>
      </c>
      <c r="V984" s="1" t="s">
        <v>5558</v>
      </c>
      <c r="W984" s="1" t="str">
        <f t="shared" si="10"/>
        <v>1.37 kg</v>
      </c>
      <c r="X984" s="1" t="s">
        <v>78</v>
      </c>
      <c r="Y984" s="1" t="str">
        <f t="shared" si="11"/>
        <v>1 Year</v>
      </c>
      <c r="Z984" s="4">
        <v>25000</v>
      </c>
      <c r="AA984" s="1" t="s">
        <v>1082</v>
      </c>
    </row>
    <row r="985" spans="1:27" ht="15.75" customHeight="1" x14ac:dyDescent="0.35">
      <c r="A985" s="1" t="s">
        <v>151</v>
      </c>
      <c r="B985" s="1" t="str">
        <f t="shared" si="16"/>
        <v>Lenovo</v>
      </c>
      <c r="C985" s="1" t="s">
        <v>5547</v>
      </c>
      <c r="D985" s="1" t="str">
        <f t="shared" si="1"/>
        <v>ThinkPad E15 Gen 2</v>
      </c>
      <c r="E985" s="1" t="str">
        <f t="array" aca="1" ref="E985" ca="1">IFERROR(
INDEX(Family_Map!$B$2:$B$35,
_xludf.AGGREGATE(14,6,(ROW(Family_Map!$A$2:$A$35)-ROW(Family_Map!$A$2)+1)/(ISNUMBER(SEARCH(Family_Map!$A$2:$A$35,D985))),1)
),
"Other")</f>
        <v>Other</v>
      </c>
      <c r="F985" s="1" t="s">
        <v>3748</v>
      </c>
      <c r="G985" s="1" t="e">
        <f t="shared" ca="1" si="2"/>
        <v>#NAME?</v>
      </c>
      <c r="H985" s="1" t="str">
        <f t="shared" ca="1" si="12"/>
        <v>Other</v>
      </c>
      <c r="I985" s="1" t="s">
        <v>4073</v>
      </c>
      <c r="J985" s="1" t="str">
        <f t="shared" si="3"/>
        <v>2GB</v>
      </c>
      <c r="K985" s="1" t="s">
        <v>1448</v>
      </c>
      <c r="L985" s="1">
        <v>8</v>
      </c>
      <c r="M985" s="1" t="s">
        <v>2016</v>
      </c>
      <c r="N985" s="1" t="str">
        <f t="shared" si="5"/>
        <v>512GB</v>
      </c>
      <c r="O985" s="1" t="str">
        <f t="shared" si="6"/>
        <v>512GB</v>
      </c>
      <c r="P985" s="1" t="s">
        <v>120</v>
      </c>
      <c r="Q985" s="1" t="str">
        <f t="shared" si="7"/>
        <v>1920x1080</v>
      </c>
      <c r="S985" s="1" t="str">
        <f t="shared" si="8"/>
        <v/>
      </c>
      <c r="T985" s="1" t="s">
        <v>101</v>
      </c>
      <c r="U985" s="1" t="str">
        <f t="shared" si="9"/>
        <v>DOS</v>
      </c>
      <c r="V985" s="1" t="s">
        <v>3321</v>
      </c>
      <c r="W985" s="1" t="str">
        <f t="shared" si="10"/>
        <v>1.7 kg</v>
      </c>
      <c r="X985" s="1" t="s">
        <v>78</v>
      </c>
      <c r="Y985" s="1" t="str">
        <f t="shared" si="11"/>
        <v>1 Year</v>
      </c>
      <c r="Z985" s="4">
        <v>35999</v>
      </c>
      <c r="AA985" s="1" t="s">
        <v>1082</v>
      </c>
    </row>
    <row r="986" spans="1:27" ht="15.75" customHeight="1" x14ac:dyDescent="0.35">
      <c r="A986" s="1" t="s">
        <v>112</v>
      </c>
      <c r="B986" s="1" t="str">
        <f t="shared" si="16"/>
        <v>HP</v>
      </c>
      <c r="C986" s="1" t="s">
        <v>4058</v>
      </c>
      <c r="D986" s="1" t="str">
        <f t="shared" si="1"/>
        <v>250 G8</v>
      </c>
      <c r="E986" s="1" t="str">
        <f t="array" aca="1" ref="E986" ca="1">IFERROR(
INDEX(Family_Map!$B$2:$B$35,
_xludf.AGGREGATE(14,6,(ROW(Family_Map!$A$2:$A$35)-ROW(Family_Map!$A$2)+1)/(ISNUMBER(SEARCH(Family_Map!$A$2:$A$35,D986))),1)
),
"Other")</f>
        <v>Other</v>
      </c>
      <c r="F986" s="1" t="s">
        <v>4295</v>
      </c>
      <c r="G986" s="1" t="e">
        <f t="shared" ca="1" si="2"/>
        <v>#NAME?</v>
      </c>
      <c r="H986" s="1" t="str">
        <f t="shared" ca="1" si="12"/>
        <v>Other</v>
      </c>
      <c r="J986" s="1" t="str">
        <f t="shared" si="3"/>
        <v/>
      </c>
      <c r="K986" s="1" t="s">
        <v>512</v>
      </c>
      <c r="L986" s="1">
        <f t="shared" ref="L986:L996" si="42">IFERROR(
VALUE(SUBSTITUTE(SUBSTITUTE(LEFT(UPPER(TRIM(K986)),FIND("GB",UPPER(K986)&amp;"GB")+1),"GB","")," ","")),
IFERROR(
VALUE(SUBSTITUTE(SUBSTITUTE(MID(UPPER(K986),FIND("GB",UPPER(K986)&amp;"GB")-3,3),"GB","")," ",""))
*
IF(
OR(
ISNUMBER(SEARCH("2X",UPPER(K986))),
ISNUMBER(SEARCH("X 2",UPPER(K986))),
ISNUMBER(SEARCH("*2",UPPER(K986))),
ISNUMBER(SEARCH("2*",UPPER(K986))),
ISNUMBER(SEARCH("(2 X",UPPER(K986)))
),
2,1),
"")
)</f>
        <v>8</v>
      </c>
      <c r="M986" s="1" t="s">
        <v>2388</v>
      </c>
      <c r="N986" s="1" t="str">
        <f t="shared" si="5"/>
        <v>256GB</v>
      </c>
      <c r="O986" s="1" t="str">
        <f t="shared" si="6"/>
        <v>256GB</v>
      </c>
      <c r="P986" s="1" t="s">
        <v>3653</v>
      </c>
      <c r="Q986" s="1" t="str">
        <f t="shared" si="7"/>
        <v>1366x768</v>
      </c>
      <c r="S986" s="1" t="str">
        <f t="shared" si="8"/>
        <v/>
      </c>
      <c r="T986" s="1" t="s">
        <v>1722</v>
      </c>
      <c r="U986" s="1" t="str">
        <f t="shared" si="9"/>
        <v>Windows 10 Home</v>
      </c>
      <c r="V986" s="1" t="s">
        <v>2078</v>
      </c>
      <c r="W986" s="1" t="str">
        <f t="shared" si="10"/>
        <v>2 kg</v>
      </c>
      <c r="X986" s="1" t="s">
        <v>78</v>
      </c>
      <c r="Y986" s="1" t="str">
        <f t="shared" si="11"/>
        <v>1 Year</v>
      </c>
      <c r="Z986" s="4">
        <v>12999</v>
      </c>
      <c r="AA986" s="1" t="s">
        <v>1082</v>
      </c>
    </row>
    <row r="987" spans="1:27" ht="15.75" customHeight="1" x14ac:dyDescent="0.35">
      <c r="A987" s="1" t="s">
        <v>81</v>
      </c>
      <c r="B987" s="1" t="str">
        <f t="shared" si="16"/>
        <v>Dell</v>
      </c>
      <c r="C987" s="1" t="s">
        <v>5533</v>
      </c>
      <c r="D987" s="1" t="str">
        <f t="shared" si="1"/>
        <v>Latitude 3520</v>
      </c>
      <c r="E987" s="1" t="str">
        <f t="array" aca="1" ref="E987" ca="1">IFERROR(
INDEX(Family_Map!$B$2:$B$35,
_xludf.AGGREGATE(14,6,(ROW(Family_Map!$A$2:$A$35)-ROW(Family_Map!$A$2)+1)/(ISNUMBER(SEARCH(Family_Map!$A$2:$A$35,D987))),1)
),
"Other")</f>
        <v>Other</v>
      </c>
      <c r="F987" s="1" t="s">
        <v>4071</v>
      </c>
      <c r="G987" s="1" t="e">
        <f t="shared" ca="1" si="2"/>
        <v>#NAME?</v>
      </c>
      <c r="H987" s="1" t="str">
        <f t="shared" ca="1" si="12"/>
        <v>Other</v>
      </c>
      <c r="J987" s="1" t="str">
        <f t="shared" si="3"/>
        <v/>
      </c>
      <c r="K987" s="1" t="s">
        <v>5564</v>
      </c>
      <c r="L987" s="1">
        <f t="shared" si="42"/>
        <v>8</v>
      </c>
      <c r="M987" s="1" t="s">
        <v>2388</v>
      </c>
      <c r="N987" s="1" t="str">
        <f t="shared" si="5"/>
        <v>256GB</v>
      </c>
      <c r="O987" s="1" t="str">
        <f t="shared" si="6"/>
        <v>256GB</v>
      </c>
      <c r="P987" s="1" t="s">
        <v>3653</v>
      </c>
      <c r="Q987" s="1" t="str">
        <f t="shared" si="7"/>
        <v>1366x768</v>
      </c>
      <c r="S987" s="1" t="str">
        <f t="shared" si="8"/>
        <v/>
      </c>
      <c r="T987" s="1" t="s">
        <v>121</v>
      </c>
      <c r="U987" s="1" t="str">
        <f t="shared" si="9"/>
        <v>DOS</v>
      </c>
      <c r="V987" s="1" t="s">
        <v>5539</v>
      </c>
      <c r="W987" s="1" t="str">
        <f t="shared" si="10"/>
        <v>1.79 kg</v>
      </c>
      <c r="X987" s="1" t="s">
        <v>78</v>
      </c>
      <c r="Y987" s="1" t="str">
        <f t="shared" si="11"/>
        <v>1 Year</v>
      </c>
      <c r="Z987" s="4">
        <v>28899</v>
      </c>
      <c r="AA987" s="1" t="s">
        <v>1082</v>
      </c>
    </row>
    <row r="988" spans="1:27" ht="15.75" customHeight="1" x14ac:dyDescent="0.35">
      <c r="A988" s="1" t="s">
        <v>81</v>
      </c>
      <c r="B988" s="1" t="str">
        <f t="shared" si="16"/>
        <v>Dell</v>
      </c>
      <c r="C988" s="1" t="s">
        <v>5533</v>
      </c>
      <c r="D988" s="1" t="str">
        <f t="shared" si="1"/>
        <v>Latitude 3520</v>
      </c>
      <c r="E988" s="1" t="str">
        <f t="array" aca="1" ref="E988" ca="1">IFERROR(
INDEX(Family_Map!$B$2:$B$35,
_xludf.AGGREGATE(14,6,(ROW(Family_Map!$A$2:$A$35)-ROW(Family_Map!$A$2)+1)/(ISNUMBER(SEARCH(Family_Map!$A$2:$A$35,D988))),1)
),
"Other")</f>
        <v>Other</v>
      </c>
      <c r="F988" s="1" t="s">
        <v>3748</v>
      </c>
      <c r="G988" s="1" t="e">
        <f t="shared" ca="1" si="2"/>
        <v>#NAME?</v>
      </c>
      <c r="H988" s="1" t="str">
        <f t="shared" ca="1" si="12"/>
        <v>Other</v>
      </c>
      <c r="J988" s="1" t="str">
        <f t="shared" si="3"/>
        <v/>
      </c>
      <c r="K988" s="1" t="s">
        <v>5564</v>
      </c>
      <c r="L988" s="1">
        <f t="shared" si="42"/>
        <v>8</v>
      </c>
      <c r="M988" s="1" t="s">
        <v>5367</v>
      </c>
      <c r="N988" s="1" t="str">
        <f t="shared" si="5"/>
        <v>2 512GB</v>
      </c>
      <c r="O988" s="1" t="str">
        <f t="shared" si="6"/>
        <v>2 512GB</v>
      </c>
      <c r="P988" s="1" t="s">
        <v>3653</v>
      </c>
      <c r="Q988" s="1" t="str">
        <f t="shared" si="7"/>
        <v>1366x768</v>
      </c>
      <c r="S988" s="1" t="str">
        <f t="shared" si="8"/>
        <v/>
      </c>
      <c r="T988" s="1" t="s">
        <v>121</v>
      </c>
      <c r="U988" s="1" t="str">
        <f t="shared" si="9"/>
        <v>DOS</v>
      </c>
      <c r="V988" s="1" t="s">
        <v>5539</v>
      </c>
      <c r="W988" s="1" t="str">
        <f t="shared" si="10"/>
        <v>1.79 kg</v>
      </c>
      <c r="X988" s="1" t="s">
        <v>78</v>
      </c>
      <c r="Y988" s="1" t="str">
        <f t="shared" si="11"/>
        <v>1 Year</v>
      </c>
      <c r="Z988" s="4">
        <v>37888</v>
      </c>
      <c r="AA988" s="1" t="s">
        <v>1082</v>
      </c>
    </row>
    <row r="989" spans="1:27" ht="15.75" customHeight="1" x14ac:dyDescent="0.35">
      <c r="A989" s="1" t="s">
        <v>112</v>
      </c>
      <c r="B989" s="1" t="str">
        <f t="shared" si="16"/>
        <v>HP</v>
      </c>
      <c r="C989" s="1" t="s">
        <v>5526</v>
      </c>
      <c r="D989" s="1" t="str">
        <f t="shared" si="1"/>
        <v>ProBook 450 G9</v>
      </c>
      <c r="E989" s="1" t="str">
        <f t="array" aca="1" ref="E989" ca="1">IFERROR(
INDEX(Family_Map!$B$2:$B$35,
_xludf.AGGREGATE(14,6,(ROW(Family_Map!$A$2:$A$35)-ROW(Family_Map!$A$2)+1)/(ISNUMBER(SEARCH(Family_Map!$A$2:$A$35,D989))),1)
),
"Other")</f>
        <v>Other</v>
      </c>
      <c r="F989" s="1" t="s">
        <v>3661</v>
      </c>
      <c r="G989" s="1" t="e">
        <f t="shared" ca="1" si="2"/>
        <v>#NAME?</v>
      </c>
      <c r="H989" s="1" t="str">
        <f t="shared" ca="1" si="12"/>
        <v>Other</v>
      </c>
      <c r="I989" s="1" t="s">
        <v>5528</v>
      </c>
      <c r="J989" s="1" t="str">
        <f t="shared" si="3"/>
        <v>2GB</v>
      </c>
      <c r="K989" s="1" t="s">
        <v>1525</v>
      </c>
      <c r="L989" s="1">
        <f t="shared" si="42"/>
        <v>8</v>
      </c>
      <c r="M989" s="1" t="s">
        <v>5094</v>
      </c>
      <c r="N989" s="1" t="str">
        <f t="shared" si="5"/>
        <v>512 GB</v>
      </c>
      <c r="O989" s="1" t="str">
        <f t="shared" si="6"/>
        <v>512 GB</v>
      </c>
      <c r="P989" s="1" t="s">
        <v>3653</v>
      </c>
      <c r="Q989" s="1" t="str">
        <f t="shared" si="7"/>
        <v>1366x768</v>
      </c>
      <c r="S989" s="1" t="str">
        <f t="shared" si="8"/>
        <v/>
      </c>
      <c r="T989" s="1" t="s">
        <v>121</v>
      </c>
      <c r="U989" s="1" t="str">
        <f t="shared" si="9"/>
        <v>DOS</v>
      </c>
      <c r="V989" s="1" t="s">
        <v>3850</v>
      </c>
      <c r="W989" s="1" t="str">
        <f t="shared" si="10"/>
        <v>1.74 kg</v>
      </c>
      <c r="X989" s="1" t="s">
        <v>129</v>
      </c>
      <c r="Y989" s="1" t="str">
        <f t="shared" si="11"/>
        <v>1 Year</v>
      </c>
      <c r="Z989" s="4">
        <v>42499</v>
      </c>
      <c r="AA989" s="1" t="s">
        <v>166</v>
      </c>
    </row>
    <row r="990" spans="1:27" ht="15.75" customHeight="1" x14ac:dyDescent="0.35">
      <c r="A990" s="1" t="s">
        <v>81</v>
      </c>
      <c r="B990" s="1" t="str">
        <f t="shared" si="16"/>
        <v>Dell</v>
      </c>
      <c r="C990" s="1" t="s">
        <v>5533</v>
      </c>
      <c r="D990" s="1" t="str">
        <f t="shared" si="1"/>
        <v>Latitude 3520</v>
      </c>
      <c r="E990" s="1" t="str">
        <f t="array" aca="1" ref="E990" ca="1">IFERROR(
INDEX(Family_Map!$B$2:$B$35,
_xludf.AGGREGATE(14,6,(ROW(Family_Map!$A$2:$A$35)-ROW(Family_Map!$A$2)+1)/(ISNUMBER(SEARCH(Family_Map!$A$2:$A$35,D990))),1)
),
"Other")</f>
        <v>Other</v>
      </c>
      <c r="F990" s="1" t="s">
        <v>3748</v>
      </c>
      <c r="G990" s="1" t="e">
        <f t="shared" ca="1" si="2"/>
        <v>#NAME?</v>
      </c>
      <c r="H990" s="1" t="str">
        <f t="shared" ca="1" si="12"/>
        <v>Other</v>
      </c>
      <c r="J990" s="1" t="str">
        <f t="shared" si="3"/>
        <v/>
      </c>
      <c r="K990" s="1" t="s">
        <v>5564</v>
      </c>
      <c r="L990" s="1">
        <f t="shared" si="42"/>
        <v>8</v>
      </c>
      <c r="M990" s="1" t="s">
        <v>5486</v>
      </c>
      <c r="N990" s="1" t="str">
        <f t="shared" si="5"/>
        <v>2 256GB</v>
      </c>
      <c r="O990" s="1" t="str">
        <f t="shared" si="6"/>
        <v>2 256GB</v>
      </c>
      <c r="P990" s="1" t="s">
        <v>3653</v>
      </c>
      <c r="Q990" s="1" t="str">
        <f t="shared" si="7"/>
        <v>1366x768</v>
      </c>
      <c r="S990" s="1" t="str">
        <f t="shared" si="8"/>
        <v/>
      </c>
      <c r="T990" s="1" t="s">
        <v>2507</v>
      </c>
      <c r="U990" s="1" t="str">
        <f t="shared" si="9"/>
        <v>DOS</v>
      </c>
      <c r="V990" s="1" t="s">
        <v>5539</v>
      </c>
      <c r="W990" s="1" t="str">
        <f t="shared" si="10"/>
        <v>1.79 kg</v>
      </c>
      <c r="X990" s="1" t="s">
        <v>78</v>
      </c>
      <c r="Y990" s="1" t="str">
        <f t="shared" si="11"/>
        <v>1 Year</v>
      </c>
      <c r="Z990" s="4">
        <v>28350</v>
      </c>
      <c r="AA990" s="1" t="s">
        <v>1082</v>
      </c>
    </row>
    <row r="991" spans="1:27" ht="15.75" customHeight="1" x14ac:dyDescent="0.35">
      <c r="A991" s="1" t="s">
        <v>112</v>
      </c>
      <c r="B991" s="1" t="str">
        <f t="shared" si="16"/>
        <v>HP</v>
      </c>
      <c r="C991" s="1" t="s">
        <v>5526</v>
      </c>
      <c r="D991" s="1" t="str">
        <f t="shared" si="1"/>
        <v>ProBook 450 G9</v>
      </c>
      <c r="E991" s="1" t="str">
        <f t="array" aca="1" ref="E991" ca="1">IFERROR(
INDEX(Family_Map!$B$2:$B$35,
_xludf.AGGREGATE(14,6,(ROW(Family_Map!$A$2:$A$35)-ROW(Family_Map!$A$2)+1)/(ISNUMBER(SEARCH(Family_Map!$A$2:$A$35,D991))),1)
),
"Other")</f>
        <v>Other</v>
      </c>
      <c r="F991" s="1" t="s">
        <v>3516</v>
      </c>
      <c r="G991" s="1" t="e">
        <f t="shared" ca="1" si="2"/>
        <v>#NAME?</v>
      </c>
      <c r="H991" s="1" t="str">
        <f t="shared" ca="1" si="12"/>
        <v>Other</v>
      </c>
      <c r="I991" s="1" t="s">
        <v>5528</v>
      </c>
      <c r="J991" s="1" t="str">
        <f t="shared" si="3"/>
        <v>2GB</v>
      </c>
      <c r="K991" s="1" t="s">
        <v>1525</v>
      </c>
      <c r="L991" s="1">
        <f t="shared" si="42"/>
        <v>8</v>
      </c>
      <c r="M991" s="1" t="s">
        <v>5094</v>
      </c>
      <c r="N991" s="1" t="str">
        <f t="shared" si="5"/>
        <v>512 GB</v>
      </c>
      <c r="O991" s="1" t="str">
        <f t="shared" si="6"/>
        <v>512 GB</v>
      </c>
      <c r="P991" s="1" t="s">
        <v>3653</v>
      </c>
      <c r="Q991" s="1" t="str">
        <f t="shared" si="7"/>
        <v>1366x768</v>
      </c>
      <c r="S991" s="1" t="str">
        <f t="shared" si="8"/>
        <v/>
      </c>
      <c r="T991" s="1" t="s">
        <v>2507</v>
      </c>
      <c r="U991" s="1" t="str">
        <f t="shared" si="9"/>
        <v>DOS</v>
      </c>
      <c r="V991" s="1" t="s">
        <v>3850</v>
      </c>
      <c r="W991" s="1" t="str">
        <f t="shared" si="10"/>
        <v>1.74 kg</v>
      </c>
      <c r="X991" s="1" t="s">
        <v>78</v>
      </c>
      <c r="Y991" s="1" t="str">
        <f t="shared" si="11"/>
        <v>1 Year</v>
      </c>
      <c r="Z991" s="4">
        <v>29999</v>
      </c>
      <c r="AA991" s="1" t="s">
        <v>166</v>
      </c>
    </row>
    <row r="992" spans="1:27" ht="15.75" customHeight="1" x14ac:dyDescent="0.35">
      <c r="A992" s="1" t="s">
        <v>81</v>
      </c>
      <c r="B992" s="1" t="str">
        <f t="shared" si="16"/>
        <v>Dell</v>
      </c>
      <c r="C992" s="1" t="s">
        <v>5578</v>
      </c>
      <c r="D992" s="1" t="str">
        <f t="shared" si="1"/>
        <v>XPS 13 9305</v>
      </c>
      <c r="E992" s="1" t="str">
        <f t="array" aca="1" ref="E992" ca="1">IFERROR(
INDEX(Family_Map!$B$2:$B$35,
_xludf.AGGREGATE(14,6,(ROW(Family_Map!$A$2:$A$35)-ROW(Family_Map!$A$2)+1)/(ISNUMBER(SEARCH(Family_Map!$A$2:$A$35,D992))),1)
),
"Other")</f>
        <v>Other</v>
      </c>
      <c r="F992" s="1" t="s">
        <v>3748</v>
      </c>
      <c r="G992" s="1" t="e">
        <f t="shared" ca="1" si="2"/>
        <v>#NAME?</v>
      </c>
      <c r="H992" s="1" t="str">
        <f t="shared" ca="1" si="12"/>
        <v>Other</v>
      </c>
      <c r="J992" s="1" t="str">
        <f t="shared" si="3"/>
        <v/>
      </c>
      <c r="K992" s="1" t="s">
        <v>5579</v>
      </c>
      <c r="L992" s="1">
        <f t="shared" si="42"/>
        <v>16</v>
      </c>
      <c r="M992" s="1" t="s">
        <v>5580</v>
      </c>
      <c r="N992" s="1" t="str">
        <f t="shared" si="5"/>
        <v>512GB</v>
      </c>
      <c r="O992" s="1" t="str">
        <f t="shared" si="6"/>
        <v>512GB</v>
      </c>
      <c r="P992" s="1" t="s">
        <v>120</v>
      </c>
      <c r="Q992" s="1" t="str">
        <f t="shared" si="7"/>
        <v>1920x1080</v>
      </c>
      <c r="S992" s="1" t="str">
        <f t="shared" si="8"/>
        <v/>
      </c>
      <c r="T992" s="1" t="s">
        <v>555</v>
      </c>
      <c r="U992" s="1" t="str">
        <f t="shared" si="9"/>
        <v>Windows 11 Home</v>
      </c>
      <c r="V992" s="1" t="s">
        <v>5585</v>
      </c>
      <c r="W992" s="1" t="str">
        <f t="shared" si="10"/>
        <v>1.16 kg</v>
      </c>
      <c r="X992" s="1" t="s">
        <v>129</v>
      </c>
      <c r="Y992" s="1" t="str">
        <f t="shared" si="11"/>
        <v>1 Year</v>
      </c>
      <c r="Z992" s="4">
        <v>45650</v>
      </c>
      <c r="AA992" s="1" t="s">
        <v>1082</v>
      </c>
    </row>
    <row r="993" spans="1:27" ht="15.75" customHeight="1" x14ac:dyDescent="0.35">
      <c r="A993" s="1" t="s">
        <v>81</v>
      </c>
      <c r="B993" s="1" t="str">
        <f t="shared" si="16"/>
        <v>Dell</v>
      </c>
      <c r="C993" s="1" t="s">
        <v>5578</v>
      </c>
      <c r="D993" s="1" t="str">
        <f t="shared" si="1"/>
        <v>XPS 13 9305</v>
      </c>
      <c r="E993" s="1" t="str">
        <f t="array" aca="1" ref="E993" ca="1">IFERROR(
INDEX(Family_Map!$B$2:$B$35,
_xludf.AGGREGATE(14,6,(ROW(Family_Map!$A$2:$A$35)-ROW(Family_Map!$A$2)+1)/(ISNUMBER(SEARCH(Family_Map!$A$2:$A$35,D993))),1)
),
"Other")</f>
        <v>Other</v>
      </c>
      <c r="F993" s="1" t="s">
        <v>4071</v>
      </c>
      <c r="G993" s="1" t="e">
        <f t="shared" ca="1" si="2"/>
        <v>#NAME?</v>
      </c>
      <c r="H993" s="1" t="str">
        <f t="shared" ca="1" si="12"/>
        <v>Other</v>
      </c>
      <c r="J993" s="1" t="str">
        <f t="shared" si="3"/>
        <v/>
      </c>
      <c r="K993" s="1" t="s">
        <v>5587</v>
      </c>
      <c r="L993" s="1">
        <f t="shared" si="42"/>
        <v>8</v>
      </c>
      <c r="M993" s="1" t="s">
        <v>5580</v>
      </c>
      <c r="N993" s="1" t="str">
        <f t="shared" si="5"/>
        <v>512GB</v>
      </c>
      <c r="O993" s="1" t="str">
        <f t="shared" si="6"/>
        <v>512GB</v>
      </c>
      <c r="P993" s="1" t="s">
        <v>120</v>
      </c>
      <c r="Q993" s="1" t="str">
        <f t="shared" si="7"/>
        <v>1920x1080</v>
      </c>
      <c r="S993" s="1" t="str">
        <f t="shared" si="8"/>
        <v/>
      </c>
      <c r="T993" s="1" t="s">
        <v>555</v>
      </c>
      <c r="U993" s="1" t="str">
        <f t="shared" si="9"/>
        <v>Windows 11 Home</v>
      </c>
      <c r="V993" s="1" t="s">
        <v>5585</v>
      </c>
      <c r="W993" s="1" t="str">
        <f t="shared" si="10"/>
        <v>1.16 kg</v>
      </c>
      <c r="X993" s="1" t="s">
        <v>129</v>
      </c>
      <c r="Y993" s="1" t="str">
        <f t="shared" si="11"/>
        <v>1 Year</v>
      </c>
      <c r="Z993" s="4">
        <v>33000</v>
      </c>
      <c r="AA993" s="1" t="s">
        <v>1082</v>
      </c>
    </row>
    <row r="994" spans="1:27" ht="15.75" customHeight="1" x14ac:dyDescent="0.35">
      <c r="A994" s="1" t="s">
        <v>112</v>
      </c>
      <c r="B994" s="1" t="str">
        <f t="shared" si="16"/>
        <v>HP</v>
      </c>
      <c r="C994" s="1" t="s">
        <v>5505</v>
      </c>
      <c r="D994" s="1" t="str">
        <f t="shared" si="1"/>
        <v>ProBook 450 G8</v>
      </c>
      <c r="E994" s="1" t="str">
        <f t="array" aca="1" ref="E994" ca="1">IFERROR(
INDEX(Family_Map!$B$2:$B$35,
_xludf.AGGREGATE(14,6,(ROW(Family_Map!$A$2:$A$35)-ROW(Family_Map!$A$2)+1)/(ISNUMBER(SEARCH(Family_Map!$A$2:$A$35,D994))),1)
),
"Other")</f>
        <v>Other</v>
      </c>
      <c r="F994" s="1" t="s">
        <v>3668</v>
      </c>
      <c r="G994" s="1" t="e">
        <f t="shared" ca="1" si="2"/>
        <v>#NAME?</v>
      </c>
      <c r="H994" s="1" t="str">
        <f t="shared" ca="1" si="12"/>
        <v>Other</v>
      </c>
      <c r="I994" s="1" t="s">
        <v>5589</v>
      </c>
      <c r="J994" s="1" t="str">
        <f t="shared" si="3"/>
        <v>2 GB</v>
      </c>
      <c r="K994" s="1" t="s">
        <v>1525</v>
      </c>
      <c r="L994" s="1">
        <f t="shared" si="42"/>
        <v>8</v>
      </c>
      <c r="M994" s="1" t="s">
        <v>5094</v>
      </c>
      <c r="N994" s="1" t="str">
        <f t="shared" si="5"/>
        <v>512 GB</v>
      </c>
      <c r="O994" s="1" t="str">
        <f t="shared" si="6"/>
        <v>512 GB</v>
      </c>
      <c r="P994" s="1" t="s">
        <v>120</v>
      </c>
      <c r="Q994" s="1" t="str">
        <f t="shared" si="7"/>
        <v>1920x1080</v>
      </c>
      <c r="S994" s="1" t="str">
        <f t="shared" si="8"/>
        <v/>
      </c>
      <c r="T994" s="1" t="s">
        <v>101</v>
      </c>
      <c r="U994" s="1" t="str">
        <f t="shared" si="9"/>
        <v>DOS</v>
      </c>
      <c r="V994" s="1" t="s">
        <v>3850</v>
      </c>
      <c r="W994" s="1" t="str">
        <f t="shared" si="10"/>
        <v>1.74 kg</v>
      </c>
      <c r="X994" s="1" t="s">
        <v>78</v>
      </c>
      <c r="Y994" s="1" t="str">
        <f t="shared" si="11"/>
        <v>1 Year</v>
      </c>
      <c r="Z994" s="4">
        <v>26249</v>
      </c>
      <c r="AA994" s="1" t="s">
        <v>1082</v>
      </c>
    </row>
    <row r="995" spans="1:27" ht="15.75" customHeight="1" x14ac:dyDescent="0.35">
      <c r="A995" s="1" t="s">
        <v>112</v>
      </c>
      <c r="B995" s="1" t="str">
        <f t="shared" si="16"/>
        <v>HP</v>
      </c>
      <c r="C995" s="1" t="s">
        <v>5505</v>
      </c>
      <c r="D995" s="1" t="str">
        <f t="shared" si="1"/>
        <v>ProBook 450 G8</v>
      </c>
      <c r="E995" s="1" t="str">
        <f t="array" aca="1" ref="E995" ca="1">IFERROR(
INDEX(Family_Map!$B$2:$B$35,
_xludf.AGGREGATE(14,6,(ROW(Family_Map!$A$2:$A$35)-ROW(Family_Map!$A$2)+1)/(ISNUMBER(SEARCH(Family_Map!$A$2:$A$35,D995))),1)
),
"Other")</f>
        <v>Other</v>
      </c>
      <c r="F995" s="1" t="s">
        <v>3668</v>
      </c>
      <c r="G995" s="1" t="e">
        <f t="shared" ca="1" si="2"/>
        <v>#NAME?</v>
      </c>
      <c r="H995" s="1" t="str">
        <f t="shared" ca="1" si="12"/>
        <v>Other</v>
      </c>
      <c r="J995" s="1" t="str">
        <f t="shared" si="3"/>
        <v/>
      </c>
      <c r="K995" s="1" t="s">
        <v>1525</v>
      </c>
      <c r="L995" s="1">
        <f t="shared" si="42"/>
        <v>8</v>
      </c>
      <c r="M995" s="1" t="s">
        <v>5094</v>
      </c>
      <c r="N995" s="1" t="str">
        <f t="shared" si="5"/>
        <v>512 GB</v>
      </c>
      <c r="O995" s="1" t="str">
        <f t="shared" si="6"/>
        <v>512 GB</v>
      </c>
      <c r="P995" s="1" t="s">
        <v>120</v>
      </c>
      <c r="Q995" s="1" t="str">
        <f t="shared" si="7"/>
        <v>1920x1080</v>
      </c>
      <c r="S995" s="1" t="str">
        <f t="shared" si="8"/>
        <v/>
      </c>
      <c r="T995" s="1" t="s">
        <v>121</v>
      </c>
      <c r="U995" s="1" t="str">
        <f t="shared" si="9"/>
        <v>DOS</v>
      </c>
      <c r="V995" s="1" t="s">
        <v>3850</v>
      </c>
      <c r="W995" s="1" t="str">
        <f t="shared" si="10"/>
        <v>1.74 kg</v>
      </c>
      <c r="X995" s="1" t="s">
        <v>129</v>
      </c>
      <c r="Y995" s="1" t="str">
        <f t="shared" si="11"/>
        <v>1 Year</v>
      </c>
      <c r="Z995" s="4">
        <v>27600</v>
      </c>
      <c r="AA995" s="1" t="s">
        <v>1082</v>
      </c>
    </row>
    <row r="996" spans="1:27" ht="15.75" customHeight="1" x14ac:dyDescent="0.35">
      <c r="A996" s="1" t="s">
        <v>81</v>
      </c>
      <c r="B996" s="1" t="str">
        <f t="shared" si="16"/>
        <v>Dell</v>
      </c>
      <c r="C996" s="1" t="s">
        <v>5533</v>
      </c>
      <c r="D996" s="1" t="str">
        <f t="shared" si="1"/>
        <v>Latitude 3520</v>
      </c>
      <c r="E996" s="1" t="str">
        <f t="array" aca="1" ref="E996" ca="1">IFERROR(
INDEX(Family_Map!$B$2:$B$35,
_xludf.AGGREGATE(14,6,(ROW(Family_Map!$A$2:$A$35)-ROW(Family_Map!$A$2)+1)/(ISNUMBER(SEARCH(Family_Map!$A$2:$A$35,D996))),1)
),
"Other")</f>
        <v>Other</v>
      </c>
      <c r="F996" s="1" t="s">
        <v>4071</v>
      </c>
      <c r="G996" s="1" t="e">
        <f t="shared" ca="1" si="2"/>
        <v>#NAME?</v>
      </c>
      <c r="H996" s="1" t="str">
        <f t="shared" ca="1" si="12"/>
        <v>Other</v>
      </c>
      <c r="I996" s="1" t="s">
        <v>4177</v>
      </c>
      <c r="J996" s="1" t="str">
        <f t="shared" si="3"/>
        <v>2GB</v>
      </c>
      <c r="K996" s="1" t="s">
        <v>5564</v>
      </c>
      <c r="L996" s="1">
        <f t="shared" si="42"/>
        <v>8</v>
      </c>
      <c r="M996" s="1" t="s">
        <v>5593</v>
      </c>
      <c r="N996" s="1" t="str">
        <f t="shared" si="5"/>
        <v>1TB</v>
      </c>
      <c r="O996" s="1" t="str">
        <f t="shared" si="6"/>
        <v>1024GB</v>
      </c>
      <c r="P996" s="1" t="s">
        <v>3653</v>
      </c>
      <c r="Q996" s="1" t="str">
        <f t="shared" si="7"/>
        <v>1366x768</v>
      </c>
      <c r="S996" s="1" t="str">
        <f t="shared" si="8"/>
        <v/>
      </c>
      <c r="T996" s="1" t="s">
        <v>101</v>
      </c>
      <c r="U996" s="1" t="str">
        <f t="shared" si="9"/>
        <v>DOS</v>
      </c>
      <c r="V996" s="1" t="s">
        <v>5539</v>
      </c>
      <c r="W996" s="1" t="str">
        <f t="shared" si="10"/>
        <v>1.79 kg</v>
      </c>
      <c r="X996" s="1" t="s">
        <v>78</v>
      </c>
      <c r="Y996" s="1" t="str">
        <f t="shared" si="11"/>
        <v>1 Year</v>
      </c>
      <c r="Z996" s="4">
        <v>17299</v>
      </c>
      <c r="AA996" s="1" t="s">
        <v>1082</v>
      </c>
    </row>
    <row r="997" spans="1:27" ht="15.75" customHeight="1" x14ac:dyDescent="0.35">
      <c r="A997" s="1" t="s">
        <v>151</v>
      </c>
      <c r="B997" s="1" t="str">
        <f t="shared" si="16"/>
        <v>Lenovo</v>
      </c>
      <c r="C997" s="1" t="s">
        <v>5595</v>
      </c>
      <c r="D997" s="1" t="str">
        <f t="shared" si="1"/>
        <v>ThinkPad E14 Gen 2</v>
      </c>
      <c r="E997" s="1" t="str">
        <f t="array" aca="1" ref="E997" ca="1">IFERROR(
INDEX(Family_Map!$B$2:$B$35,
_xludf.AGGREGATE(14,6,(ROW(Family_Map!$A$2:$A$35)-ROW(Family_Map!$A$2)+1)/(ISNUMBER(SEARCH(Family_Map!$A$2:$A$35,D997))),1)
),
"Other")</f>
        <v>Other</v>
      </c>
      <c r="F997" s="1" t="s">
        <v>4590</v>
      </c>
      <c r="G997" s="1" t="e">
        <f t="shared" ca="1" si="2"/>
        <v>#NAME?</v>
      </c>
      <c r="H997" s="1" t="str">
        <f t="shared" ca="1" si="12"/>
        <v>Other</v>
      </c>
      <c r="I997" s="1" t="s">
        <v>4900</v>
      </c>
      <c r="J997" s="1" t="str">
        <f t="shared" si="3"/>
        <v>2GB</v>
      </c>
      <c r="K997" s="1" t="s">
        <v>1448</v>
      </c>
      <c r="L997" s="1">
        <v>8</v>
      </c>
      <c r="M997" s="1" t="s">
        <v>5596</v>
      </c>
      <c r="N997" s="1" t="str">
        <f t="shared" si="5"/>
        <v>256GB</v>
      </c>
      <c r="O997" s="1" t="str">
        <f t="shared" si="6"/>
        <v>256GB</v>
      </c>
      <c r="P997" s="1" t="s">
        <v>120</v>
      </c>
      <c r="Q997" s="1" t="str">
        <f t="shared" si="7"/>
        <v>1920x1080</v>
      </c>
      <c r="S997" s="1" t="str">
        <f t="shared" si="8"/>
        <v/>
      </c>
      <c r="T997" s="1" t="s">
        <v>101</v>
      </c>
      <c r="U997" s="1" t="str">
        <f t="shared" si="9"/>
        <v>DOS</v>
      </c>
      <c r="V997" s="1" t="s">
        <v>5543</v>
      </c>
      <c r="W997" s="1" t="str">
        <f t="shared" si="10"/>
        <v>1.64 kg</v>
      </c>
      <c r="X997" s="1" t="s">
        <v>78</v>
      </c>
      <c r="Y997" s="1" t="str">
        <f t="shared" si="11"/>
        <v>1 Year</v>
      </c>
      <c r="Z997" s="4">
        <v>18999</v>
      </c>
      <c r="AA997" s="1" t="s">
        <v>1082</v>
      </c>
    </row>
    <row r="998" spans="1:27" ht="15.75" customHeight="1" x14ac:dyDescent="0.35">
      <c r="A998" s="1" t="s">
        <v>151</v>
      </c>
      <c r="B998" s="1" t="str">
        <f t="shared" si="16"/>
        <v>Lenovo</v>
      </c>
      <c r="C998" s="1" t="s">
        <v>5602</v>
      </c>
      <c r="D998" s="1" t="str">
        <f t="shared" si="1"/>
        <v>Thinkpad T14 Gen 2</v>
      </c>
      <c r="E998" s="1" t="str">
        <f t="array" aca="1" ref="E998" ca="1">IFERROR(
INDEX(Family_Map!$B$2:$B$35,
_xludf.AGGREGATE(14,6,(ROW(Family_Map!$A$2:$A$35)-ROW(Family_Map!$A$2)+1)/(ISNUMBER(SEARCH(Family_Map!$A$2:$A$35,D998))),1)
),
"Other")</f>
        <v>Other</v>
      </c>
      <c r="F998" s="1" t="s">
        <v>5603</v>
      </c>
      <c r="G998" s="1" t="e">
        <f t="shared" ca="1" si="2"/>
        <v>#NAME?</v>
      </c>
      <c r="H998" s="1" t="str">
        <f t="shared" ca="1" si="12"/>
        <v>Other</v>
      </c>
      <c r="J998" s="1" t="str">
        <f t="shared" si="3"/>
        <v/>
      </c>
      <c r="K998" s="1" t="s">
        <v>5604</v>
      </c>
      <c r="L998" s="1">
        <f t="shared" ref="L998:L1004" si="43">IFERROR(
VALUE(SUBSTITUTE(SUBSTITUTE(LEFT(UPPER(TRIM(K998)),FIND("GB",UPPER(K998)&amp;"GB")+1),"GB","")," ","")),
IFERROR(
VALUE(SUBSTITUTE(SUBSTITUTE(MID(UPPER(K998),FIND("GB",UPPER(K998)&amp;"GB")-3,3),"GB","")," ",""))
*
IF(
OR(
ISNUMBER(SEARCH("2X",UPPER(K998))),
ISNUMBER(SEARCH("X 2",UPPER(K998))),
ISNUMBER(SEARCH("*2",UPPER(K998))),
ISNUMBER(SEARCH("2*",UPPER(K998))),
ISNUMBER(SEARCH("(2 X",UPPER(K998)))
),
2,1),
"")
)</f>
        <v>16</v>
      </c>
      <c r="M998" s="1" t="s">
        <v>5605</v>
      </c>
      <c r="N998" s="1" t="str">
        <f t="shared" si="5"/>
        <v>256GB</v>
      </c>
      <c r="O998" s="1" t="str">
        <f t="shared" si="6"/>
        <v>256GB</v>
      </c>
      <c r="P998" s="1" t="s">
        <v>120</v>
      </c>
      <c r="Q998" s="1" t="str">
        <f t="shared" si="7"/>
        <v>1920x1080</v>
      </c>
      <c r="S998" s="1" t="str">
        <f t="shared" si="8"/>
        <v/>
      </c>
      <c r="T998" s="1" t="s">
        <v>2991</v>
      </c>
      <c r="U998" s="1" t="str">
        <f t="shared" si="9"/>
        <v>Windows 10 Pro</v>
      </c>
      <c r="V998" s="1" t="s">
        <v>5612</v>
      </c>
      <c r="W998" s="1" t="str">
        <f t="shared" si="10"/>
        <v>1.47 kg</v>
      </c>
      <c r="X998" s="1" t="s">
        <v>425</v>
      </c>
      <c r="Y998" s="1" t="str">
        <f t="shared" si="11"/>
        <v>3 Years</v>
      </c>
      <c r="Z998" s="4">
        <v>33249</v>
      </c>
      <c r="AA998" s="1" t="s">
        <v>1082</v>
      </c>
    </row>
    <row r="999" spans="1:27" ht="15.75" customHeight="1" x14ac:dyDescent="0.35">
      <c r="A999" s="1" t="s">
        <v>151</v>
      </c>
      <c r="B999" s="1" t="str">
        <f t="shared" si="16"/>
        <v>Lenovo</v>
      </c>
      <c r="C999" s="1" t="s">
        <v>5614</v>
      </c>
      <c r="D999" s="1" t="str">
        <f t="shared" si="1"/>
        <v>ThinkPad T14</v>
      </c>
      <c r="E999" s="1" t="str">
        <f t="array" aca="1" ref="E999" ca="1">IFERROR(
INDEX(Family_Map!$B$2:$B$35,
_xludf.AGGREGATE(14,6,(ROW(Family_Map!$A$2:$A$35)-ROW(Family_Map!$A$2)+1)/(ISNUMBER(SEARCH(Family_Map!$A$2:$A$35,D999))),1)
),
"Other")</f>
        <v>Other</v>
      </c>
      <c r="F999" s="1" t="s">
        <v>5552</v>
      </c>
      <c r="G999" s="1" t="e">
        <f t="shared" ca="1" si="2"/>
        <v>#NAME?</v>
      </c>
      <c r="H999" s="1" t="str">
        <f t="shared" ca="1" si="12"/>
        <v>Other</v>
      </c>
      <c r="J999" s="1" t="str">
        <f t="shared" si="3"/>
        <v/>
      </c>
      <c r="K999" s="1" t="s">
        <v>5615</v>
      </c>
      <c r="L999" s="1">
        <f t="shared" si="43"/>
        <v>16</v>
      </c>
      <c r="M999" s="1" t="s">
        <v>2388</v>
      </c>
      <c r="N999" s="1" t="str">
        <f t="shared" si="5"/>
        <v>256GB</v>
      </c>
      <c r="O999" s="1" t="str">
        <f t="shared" si="6"/>
        <v>256GB</v>
      </c>
      <c r="P999" s="1" t="s">
        <v>1015</v>
      </c>
      <c r="Q999" s="1" t="str">
        <f t="shared" si="7"/>
        <v>1920x1200</v>
      </c>
      <c r="S999" s="1" t="str">
        <f t="shared" si="8"/>
        <v/>
      </c>
      <c r="T999" s="1" t="s">
        <v>1722</v>
      </c>
      <c r="U999" s="1" t="str">
        <f t="shared" si="9"/>
        <v>Windows 10 Home</v>
      </c>
      <c r="V999" s="1" t="s">
        <v>309</v>
      </c>
      <c r="W999" s="1" t="str">
        <f t="shared" si="10"/>
        <v>1.46 kg</v>
      </c>
      <c r="X999" s="1" t="s">
        <v>78</v>
      </c>
      <c r="Y999" s="1" t="str">
        <f t="shared" si="11"/>
        <v>1 Year</v>
      </c>
      <c r="Z999" s="4">
        <v>42299</v>
      </c>
      <c r="AA999" s="1" t="s">
        <v>1082</v>
      </c>
    </row>
    <row r="1000" spans="1:27" ht="15.75" customHeight="1" x14ac:dyDescent="0.35">
      <c r="A1000" s="1" t="s">
        <v>151</v>
      </c>
      <c r="B1000" s="1" t="str">
        <f t="shared" si="16"/>
        <v>Lenovo</v>
      </c>
      <c r="C1000" s="1" t="s">
        <v>5624</v>
      </c>
      <c r="D1000" s="1" t="str">
        <f t="shared" si="1"/>
        <v>ThinkPad X1 Carbon Gen 9</v>
      </c>
      <c r="E1000" s="1" t="str">
        <f t="array" aca="1" ref="E1000" ca="1">IFERROR(
INDEX(Family_Map!$B$2:$B$35,
_xludf.AGGREGATE(14,6,(ROW(Family_Map!$A$2:$A$35)-ROW(Family_Map!$A$2)+1)/(ISNUMBER(SEARCH(Family_Map!$A$2:$A$35,D1000))),1)
),
"Other")</f>
        <v>Other</v>
      </c>
      <c r="F1000" s="1" t="s">
        <v>4768</v>
      </c>
      <c r="G1000" s="1" t="e">
        <f t="shared" ca="1" si="2"/>
        <v>#NAME?</v>
      </c>
      <c r="H1000" s="1" t="str">
        <f t="shared" ca="1" si="12"/>
        <v>Other</v>
      </c>
      <c r="J1000" s="1" t="str">
        <f t="shared" si="3"/>
        <v/>
      </c>
      <c r="K1000" s="1" t="s">
        <v>5625</v>
      </c>
      <c r="L1000" s="1">
        <f t="shared" si="43"/>
        <v>16</v>
      </c>
      <c r="M1000" s="1" t="s">
        <v>5626</v>
      </c>
      <c r="N1000" s="1" t="str">
        <f t="shared" si="5"/>
        <v>512GB</v>
      </c>
      <c r="O1000" s="1" t="str">
        <f t="shared" si="6"/>
        <v>512GB</v>
      </c>
      <c r="P1000" s="1" t="s">
        <v>1015</v>
      </c>
      <c r="Q1000" s="1" t="str">
        <f t="shared" si="7"/>
        <v>1920x1200</v>
      </c>
      <c r="S1000" s="1" t="str">
        <f t="shared" si="8"/>
        <v/>
      </c>
      <c r="T1000" s="1" t="s">
        <v>2991</v>
      </c>
      <c r="U1000" s="1" t="str">
        <f t="shared" si="9"/>
        <v>Windows 10 Pro</v>
      </c>
      <c r="V1000" s="1" t="s">
        <v>5630</v>
      </c>
      <c r="W1000" s="1" t="str">
        <f t="shared" si="10"/>
        <v>1.13 kg</v>
      </c>
      <c r="X1000" s="1" t="s">
        <v>78</v>
      </c>
      <c r="Y1000" s="1" t="str">
        <f t="shared" si="11"/>
        <v>1 Year</v>
      </c>
      <c r="Z1000" s="4">
        <v>48349</v>
      </c>
      <c r="AA1000" s="1" t="s">
        <v>1082</v>
      </c>
    </row>
    <row r="1001" spans="1:27" ht="15.75" customHeight="1" x14ac:dyDescent="0.35">
      <c r="A1001" s="1" t="s">
        <v>81</v>
      </c>
      <c r="B1001" s="1" t="str">
        <f t="shared" si="16"/>
        <v>Dell</v>
      </c>
      <c r="C1001" s="1" t="s">
        <v>5533</v>
      </c>
      <c r="D1001" s="1" t="str">
        <f t="shared" si="1"/>
        <v>Latitude 3520</v>
      </c>
      <c r="E1001" s="1" t="str">
        <f t="array" aca="1" ref="E1001" ca="1">IFERROR(
INDEX(Family_Map!$B$2:$B$35,
_xludf.AGGREGATE(14,6,(ROW(Family_Map!$A$2:$A$35)-ROW(Family_Map!$A$2)+1)/(ISNUMBER(SEARCH(Family_Map!$A$2:$A$35,D1001))),1)
),
"Other")</f>
        <v>Other</v>
      </c>
      <c r="F1001" s="1" t="s">
        <v>3668</v>
      </c>
      <c r="G1001" s="1" t="e">
        <f t="shared" ca="1" si="2"/>
        <v>#NAME?</v>
      </c>
      <c r="H1001" s="1" t="str">
        <f t="shared" ca="1" si="12"/>
        <v>Other</v>
      </c>
      <c r="J1001" s="1" t="str">
        <f t="shared" si="3"/>
        <v/>
      </c>
      <c r="K1001" s="1" t="s">
        <v>5632</v>
      </c>
      <c r="L1001" s="1">
        <f t="shared" si="43"/>
        <v>8</v>
      </c>
      <c r="M1001" s="1" t="s">
        <v>5633</v>
      </c>
      <c r="N1001" s="1" t="str">
        <f t="shared" si="5"/>
        <v>1TB</v>
      </c>
      <c r="O1001" s="1" t="str">
        <f t="shared" si="6"/>
        <v>1024GB</v>
      </c>
      <c r="P1001" s="1" t="s">
        <v>3653</v>
      </c>
      <c r="Q1001" s="1" t="str">
        <f t="shared" si="7"/>
        <v>1366x768</v>
      </c>
      <c r="S1001" s="1" t="str">
        <f t="shared" si="8"/>
        <v/>
      </c>
      <c r="T1001" s="1" t="s">
        <v>121</v>
      </c>
      <c r="U1001" s="1" t="str">
        <f t="shared" si="9"/>
        <v>DOS</v>
      </c>
      <c r="V1001" s="1" t="s">
        <v>5539</v>
      </c>
      <c r="W1001" s="1" t="str">
        <f t="shared" si="10"/>
        <v>1.79 kg</v>
      </c>
      <c r="X1001" s="1" t="s">
        <v>78</v>
      </c>
      <c r="Y1001" s="1" t="str">
        <f t="shared" si="11"/>
        <v>1 Year</v>
      </c>
      <c r="Z1001" s="4">
        <v>18699</v>
      </c>
      <c r="AA1001" s="1" t="s">
        <v>1082</v>
      </c>
    </row>
    <row r="1002" spans="1:27" ht="15.75" customHeight="1" x14ac:dyDescent="0.35">
      <c r="A1002" s="1" t="s">
        <v>81</v>
      </c>
      <c r="B1002" s="1" t="str">
        <f t="shared" si="16"/>
        <v>Dell</v>
      </c>
      <c r="C1002" s="1" t="s">
        <v>5533</v>
      </c>
      <c r="D1002" s="1" t="str">
        <f t="shared" si="1"/>
        <v>Latitude 3520</v>
      </c>
      <c r="E1002" s="1" t="str">
        <f t="array" aca="1" ref="E1002" ca="1">IFERROR(
INDEX(Family_Map!$B$2:$B$35,
_xludf.AGGREGATE(14,6,(ROW(Family_Map!$A$2:$A$35)-ROW(Family_Map!$A$2)+1)/(ISNUMBER(SEARCH(Family_Map!$A$2:$A$35,D1002))),1)
),
"Other")</f>
        <v>Other</v>
      </c>
      <c r="F1002" s="1" t="s">
        <v>4071</v>
      </c>
      <c r="G1002" s="1" t="e">
        <f t="shared" ca="1" si="2"/>
        <v>#NAME?</v>
      </c>
      <c r="H1002" s="1" t="str">
        <f t="shared" ca="1" si="12"/>
        <v>Other</v>
      </c>
      <c r="J1002" s="1" t="str">
        <f t="shared" si="3"/>
        <v/>
      </c>
      <c r="K1002" s="1" t="s">
        <v>5376</v>
      </c>
      <c r="L1002" s="1">
        <f t="shared" si="43"/>
        <v>4</v>
      </c>
      <c r="M1002" s="1" t="s">
        <v>5637</v>
      </c>
      <c r="N1002" s="1" t="str">
        <f t="shared" si="5"/>
        <v>1TB</v>
      </c>
      <c r="O1002" s="1" t="str">
        <f t="shared" si="6"/>
        <v>1024GB</v>
      </c>
      <c r="P1002" s="1" t="s">
        <v>3653</v>
      </c>
      <c r="Q1002" s="1" t="str">
        <f t="shared" si="7"/>
        <v>1366x768</v>
      </c>
      <c r="S1002" s="1" t="str">
        <f t="shared" si="8"/>
        <v/>
      </c>
      <c r="T1002" s="1" t="s">
        <v>121</v>
      </c>
      <c r="U1002" s="1" t="str">
        <f t="shared" si="9"/>
        <v>DOS</v>
      </c>
      <c r="V1002" s="1" t="s">
        <v>5539</v>
      </c>
      <c r="W1002" s="1" t="str">
        <f t="shared" si="10"/>
        <v>1.79 kg</v>
      </c>
      <c r="X1002" s="1" t="s">
        <v>78</v>
      </c>
      <c r="Y1002" s="1" t="str">
        <f t="shared" si="11"/>
        <v>1 Year</v>
      </c>
      <c r="Z1002" s="4">
        <v>20000</v>
      </c>
      <c r="AA1002" s="1" t="s">
        <v>1082</v>
      </c>
    </row>
    <row r="1003" spans="1:27" ht="15.75" customHeight="1" x14ac:dyDescent="0.35">
      <c r="A1003" s="1" t="s">
        <v>81</v>
      </c>
      <c r="B1003" s="1" t="str">
        <f t="shared" si="16"/>
        <v>Dell</v>
      </c>
      <c r="C1003" s="1" t="s">
        <v>5365</v>
      </c>
      <c r="D1003" s="1" t="str">
        <f t="shared" si="1"/>
        <v>Latitude 5520</v>
      </c>
      <c r="E1003" s="1" t="str">
        <f t="array" aca="1" ref="E1003" ca="1">IFERROR(
INDEX(Family_Map!$B$2:$B$35,
_xludf.AGGREGATE(14,6,(ROW(Family_Map!$A$2:$A$35)-ROW(Family_Map!$A$2)+1)/(ISNUMBER(SEARCH(Family_Map!$A$2:$A$35,D1003))),1)
),
"Other")</f>
        <v>Other</v>
      </c>
      <c r="F1003" s="1" t="s">
        <v>4071</v>
      </c>
      <c r="G1003" s="1" t="e">
        <f t="shared" ca="1" si="2"/>
        <v>#NAME?</v>
      </c>
      <c r="H1003" s="1" t="str">
        <f t="shared" ca="1" si="12"/>
        <v>Other</v>
      </c>
      <c r="J1003" s="1" t="str">
        <f t="shared" si="3"/>
        <v/>
      </c>
      <c r="K1003" s="1" t="s">
        <v>5376</v>
      </c>
      <c r="L1003" s="1">
        <f t="shared" si="43"/>
        <v>4</v>
      </c>
      <c r="M1003" s="1" t="s">
        <v>5641</v>
      </c>
      <c r="N1003" s="1" t="str">
        <f t="shared" si="5"/>
        <v>256GB</v>
      </c>
      <c r="O1003" s="1" t="str">
        <f t="shared" si="6"/>
        <v>256GB</v>
      </c>
      <c r="P1003" s="1" t="s">
        <v>3653</v>
      </c>
      <c r="Q1003" s="1" t="str">
        <f t="shared" si="7"/>
        <v>1366x768</v>
      </c>
      <c r="S1003" s="1" t="str">
        <f t="shared" si="8"/>
        <v/>
      </c>
      <c r="T1003" s="1" t="s">
        <v>2507</v>
      </c>
      <c r="U1003" s="1" t="str">
        <f t="shared" si="9"/>
        <v>DOS</v>
      </c>
      <c r="V1003" s="1" t="s">
        <v>5373</v>
      </c>
      <c r="W1003" s="1" t="str">
        <f t="shared" si="10"/>
        <v>1.59 kg</v>
      </c>
      <c r="X1003" s="1" t="s">
        <v>129</v>
      </c>
      <c r="Y1003" s="1" t="str">
        <f t="shared" si="11"/>
        <v>1 Year</v>
      </c>
      <c r="Z1003" s="4">
        <v>19950</v>
      </c>
      <c r="AA1003" s="1" t="s">
        <v>1082</v>
      </c>
    </row>
    <row r="1004" spans="1:27" ht="15.75" customHeight="1" x14ac:dyDescent="0.35">
      <c r="A1004" s="1" t="s">
        <v>81</v>
      </c>
      <c r="B1004" s="1" t="str">
        <f t="shared" si="16"/>
        <v>Dell</v>
      </c>
      <c r="C1004" s="1" t="s">
        <v>5551</v>
      </c>
      <c r="D1004" s="1" t="str">
        <f t="shared" si="1"/>
        <v>Latitude 5420</v>
      </c>
      <c r="E1004" s="1" t="str">
        <f t="array" aca="1" ref="E1004" ca="1">IFERROR(
INDEX(Family_Map!$B$2:$B$35,
_xludf.AGGREGATE(14,6,(ROW(Family_Map!$A$2:$A$35)-ROW(Family_Map!$A$2)+1)/(ISNUMBER(SEARCH(Family_Map!$A$2:$A$35,D1004))),1)
),
"Other")</f>
        <v>Other</v>
      </c>
      <c r="F1004" s="1" t="s">
        <v>4071</v>
      </c>
      <c r="G1004" s="1" t="e">
        <f t="shared" ca="1" si="2"/>
        <v>#NAME?</v>
      </c>
      <c r="H1004" s="1" t="str">
        <f t="shared" ca="1" si="12"/>
        <v>Other</v>
      </c>
      <c r="J1004" s="1" t="str">
        <f t="shared" si="3"/>
        <v/>
      </c>
      <c r="K1004" s="1" t="s">
        <v>5376</v>
      </c>
      <c r="L1004" s="1">
        <f t="shared" si="43"/>
        <v>4</v>
      </c>
      <c r="M1004" s="1" t="s">
        <v>5645</v>
      </c>
      <c r="N1004" s="1" t="str">
        <f t="shared" si="5"/>
        <v>256GB</v>
      </c>
      <c r="O1004" s="1" t="str">
        <f t="shared" si="6"/>
        <v>256GB</v>
      </c>
      <c r="P1004" s="1" t="s">
        <v>3653</v>
      </c>
      <c r="Q1004" s="1" t="str">
        <f t="shared" si="7"/>
        <v>1366x768</v>
      </c>
      <c r="S1004" s="1" t="str">
        <f t="shared" si="8"/>
        <v/>
      </c>
      <c r="T1004" s="1" t="s">
        <v>121</v>
      </c>
      <c r="U1004" s="1" t="str">
        <f t="shared" si="9"/>
        <v>DOS</v>
      </c>
      <c r="V1004" s="1" t="s">
        <v>5558</v>
      </c>
      <c r="W1004" s="1" t="str">
        <f t="shared" si="10"/>
        <v>1.37 kg</v>
      </c>
      <c r="X1004" s="1" t="s">
        <v>78</v>
      </c>
      <c r="Y1004" s="1" t="str">
        <f t="shared" si="11"/>
        <v>1 Year</v>
      </c>
      <c r="Z1004" s="4">
        <v>18599</v>
      </c>
      <c r="AA1004" s="1" t="s">
        <v>1082</v>
      </c>
    </row>
    <row r="1005" spans="1:27" ht="15.75" customHeight="1" x14ac:dyDescent="0.35">
      <c r="A1005" s="1" t="s">
        <v>81</v>
      </c>
      <c r="B1005" s="1" t="str">
        <f t="shared" si="16"/>
        <v>Dell</v>
      </c>
      <c r="C1005" s="1" t="s">
        <v>5533</v>
      </c>
      <c r="D1005" s="1" t="str">
        <f t="shared" si="1"/>
        <v>Latitude 3520</v>
      </c>
      <c r="E1005" s="1" t="str">
        <f t="array" aca="1" ref="E1005" ca="1">IFERROR(
INDEX(Family_Map!$B$2:$B$35,
_xludf.AGGREGATE(14,6,(ROW(Family_Map!$A$2:$A$35)-ROW(Family_Map!$A$2)+1)/(ISNUMBER(SEARCH(Family_Map!$A$2:$A$35,D1005))),1)
),
"Other")</f>
        <v>Other</v>
      </c>
      <c r="F1005" s="1" t="s">
        <v>4071</v>
      </c>
      <c r="G1005" s="1" t="e">
        <f t="shared" ca="1" si="2"/>
        <v>#NAME?</v>
      </c>
      <c r="H1005" s="1" t="str">
        <f t="shared" ca="1" si="12"/>
        <v>Other</v>
      </c>
      <c r="J1005" s="1" t="str">
        <f t="shared" si="3"/>
        <v/>
      </c>
      <c r="K1005" s="1" t="s">
        <v>5648</v>
      </c>
      <c r="L1005" s="1">
        <v>8</v>
      </c>
      <c r="M1005" s="1" t="s">
        <v>4342</v>
      </c>
      <c r="N1005" s="1" t="str">
        <f t="shared" si="5"/>
        <v>1 TB</v>
      </c>
      <c r="O1005" s="1" t="str">
        <f t="shared" si="6"/>
        <v>1024GB</v>
      </c>
      <c r="P1005" s="1" t="s">
        <v>3653</v>
      </c>
      <c r="Q1005" s="1" t="str">
        <f t="shared" si="7"/>
        <v>1366x768</v>
      </c>
      <c r="S1005" s="1" t="str">
        <f t="shared" si="8"/>
        <v/>
      </c>
      <c r="T1005" s="1" t="s">
        <v>121</v>
      </c>
      <c r="U1005" s="1" t="str">
        <f t="shared" si="9"/>
        <v>DOS</v>
      </c>
      <c r="V1005" s="1" t="s">
        <v>5539</v>
      </c>
      <c r="W1005" s="1" t="str">
        <f t="shared" si="10"/>
        <v>1.79 kg</v>
      </c>
      <c r="X1005" s="1" t="s">
        <v>78</v>
      </c>
      <c r="Y1005" s="1" t="str">
        <f t="shared" si="11"/>
        <v>1 Year</v>
      </c>
      <c r="Z1005" s="4">
        <v>21750</v>
      </c>
      <c r="AA1005" s="1" t="s">
        <v>1082</v>
      </c>
    </row>
    <row r="1006" spans="1:27" ht="15.75" customHeight="1" x14ac:dyDescent="0.35">
      <c r="A1006" s="1" t="s">
        <v>151</v>
      </c>
      <c r="B1006" s="1" t="str">
        <f t="shared" si="16"/>
        <v>Lenovo</v>
      </c>
      <c r="C1006" s="1" t="s">
        <v>5653</v>
      </c>
      <c r="D1006" s="1" t="str">
        <f t="shared" si="1"/>
        <v>ThinkPad E15 Gen2</v>
      </c>
      <c r="E1006" s="1" t="str">
        <f t="array" aca="1" ref="E1006" ca="1">IFERROR(
INDEX(Family_Map!$B$2:$B$35,
_xludf.AGGREGATE(14,6,(ROW(Family_Map!$A$2:$A$35)-ROW(Family_Map!$A$2)+1)/(ISNUMBER(SEARCH(Family_Map!$A$2:$A$35,D1006))),1)
),
"Other")</f>
        <v>Other</v>
      </c>
      <c r="F1006" s="1" t="s">
        <v>5654</v>
      </c>
      <c r="G1006" s="1" t="e">
        <f t="shared" ca="1" si="2"/>
        <v>#NAME?</v>
      </c>
      <c r="H1006" s="1" t="str">
        <f t="shared" ca="1" si="12"/>
        <v>Other</v>
      </c>
      <c r="I1006" s="1" t="s">
        <v>4177</v>
      </c>
      <c r="J1006" s="1" t="str">
        <f t="shared" si="3"/>
        <v>2GB</v>
      </c>
      <c r="K1006" s="1" t="s">
        <v>2110</v>
      </c>
      <c r="L1006" s="1">
        <f>IFERROR(
VALUE(SUBSTITUTE(SUBSTITUTE(LEFT(UPPER(TRIM(K1006)),FIND("GB",UPPER(K1006)&amp;"GB")+1),"GB","")," ","")),
IFERROR(
VALUE(SUBSTITUTE(SUBSTITUTE(MID(UPPER(K1006),FIND("GB",UPPER(K1006)&amp;"GB")-3,3),"GB","")," ",""))
*
IF(
OR(
ISNUMBER(SEARCH("2X",UPPER(K1006))),
ISNUMBER(SEARCH("X 2",UPPER(K1006))),
ISNUMBER(SEARCH("*2",UPPER(K1006))),
ISNUMBER(SEARCH("2*",UPPER(K1006))),
ISNUMBER(SEARCH("(2 X",UPPER(K1006)))
),
2,1),
"")
)</f>
        <v>8</v>
      </c>
      <c r="M1006" s="1" t="s">
        <v>2388</v>
      </c>
      <c r="N1006" s="1" t="str">
        <f t="shared" si="5"/>
        <v>256GB</v>
      </c>
      <c r="O1006" s="1" t="str">
        <f t="shared" si="6"/>
        <v>256GB</v>
      </c>
      <c r="P1006" s="1" t="s">
        <v>120</v>
      </c>
      <c r="Q1006" s="1" t="str">
        <f t="shared" si="7"/>
        <v>1920x1080</v>
      </c>
      <c r="S1006" s="1" t="str">
        <f t="shared" si="8"/>
        <v/>
      </c>
      <c r="T1006" s="1" t="s">
        <v>121</v>
      </c>
      <c r="U1006" s="1" t="str">
        <f t="shared" si="9"/>
        <v>DOS</v>
      </c>
      <c r="V1006" s="1" t="s">
        <v>5658</v>
      </c>
      <c r="W1006" s="1" t="str">
        <f t="shared" si="10"/>
        <v>1.7 kg</v>
      </c>
      <c r="X1006" s="1" t="s">
        <v>78</v>
      </c>
      <c r="Y1006" s="1" t="str">
        <f t="shared" si="11"/>
        <v>1 Year</v>
      </c>
      <c r="Z1006" s="4">
        <v>15407</v>
      </c>
      <c r="AA1006" s="1" t="s">
        <v>1082</v>
      </c>
    </row>
    <row r="1007" spans="1:27" ht="15.75" customHeight="1" x14ac:dyDescent="0.35">
      <c r="A1007" s="1" t="s">
        <v>151</v>
      </c>
      <c r="B1007" s="1" t="str">
        <f t="shared" si="16"/>
        <v>Lenovo</v>
      </c>
      <c r="C1007" s="1" t="s">
        <v>5660</v>
      </c>
      <c r="D1007" s="1" t="str">
        <f t="shared" si="1"/>
        <v>THINKBOOK 15</v>
      </c>
      <c r="E1007" s="1" t="str">
        <f t="array" aca="1" ref="E1007" ca="1">IFERROR(
INDEX(Family_Map!$B$2:$B$35,
_xludf.AGGREGATE(14,6,(ROW(Family_Map!$A$2:$A$35)-ROW(Family_Map!$A$2)+1)/(ISNUMBER(SEARCH(Family_Map!$A$2:$A$35,D1007))),1)
),
"Other")</f>
        <v>Other</v>
      </c>
      <c r="F1007" s="1" t="s">
        <v>4590</v>
      </c>
      <c r="G1007" s="1" t="e">
        <f t="shared" ca="1" si="2"/>
        <v>#NAME?</v>
      </c>
      <c r="H1007" s="1" t="str">
        <f t="shared" ca="1" si="12"/>
        <v>Other</v>
      </c>
      <c r="I1007" s="1" t="s">
        <v>4923</v>
      </c>
      <c r="J1007" s="1" t="str">
        <f t="shared" si="3"/>
        <v>2 GB</v>
      </c>
      <c r="K1007" s="1" t="s">
        <v>5662</v>
      </c>
      <c r="L1007" s="1">
        <v>8</v>
      </c>
      <c r="M1007" s="1" t="s">
        <v>4101</v>
      </c>
      <c r="N1007" s="1" t="str">
        <f t="shared" si="5"/>
        <v>1TB</v>
      </c>
      <c r="O1007" s="1" t="str">
        <f t="shared" si="6"/>
        <v>1024GB</v>
      </c>
      <c r="P1007" s="1" t="s">
        <v>74</v>
      </c>
      <c r="Q1007" s="1" t="str">
        <f t="shared" si="7"/>
        <v>1920x1080</v>
      </c>
      <c r="S1007" s="1" t="str">
        <f t="shared" si="8"/>
        <v/>
      </c>
      <c r="T1007" s="1" t="s">
        <v>101</v>
      </c>
      <c r="U1007" s="1" t="str">
        <f t="shared" si="9"/>
        <v>DOS</v>
      </c>
      <c r="V1007" s="1" t="s">
        <v>359</v>
      </c>
      <c r="W1007" s="1" t="str">
        <f t="shared" si="10"/>
        <v>1.8 kg</v>
      </c>
      <c r="X1007" s="1" t="s">
        <v>78</v>
      </c>
      <c r="Y1007" s="1" t="str">
        <f t="shared" si="11"/>
        <v>1 Year</v>
      </c>
      <c r="Z1007" s="4">
        <v>35000</v>
      </c>
      <c r="AA1007" s="1" t="s">
        <v>1082</v>
      </c>
    </row>
    <row r="1008" spans="1:27" ht="15.75" customHeight="1" x14ac:dyDescent="0.35">
      <c r="A1008" s="1" t="s">
        <v>151</v>
      </c>
      <c r="B1008" s="1" t="str">
        <f t="shared" si="16"/>
        <v>Lenovo</v>
      </c>
      <c r="C1008" s="1" t="s">
        <v>5670</v>
      </c>
      <c r="D1008" s="1" t="str">
        <f t="shared" si="1"/>
        <v>ThinkBook 14</v>
      </c>
      <c r="E1008" s="1" t="str">
        <f t="array" aca="1" ref="E1008" ca="1">IFERROR(
INDEX(Family_Map!$B$2:$B$35,
_xludf.AGGREGATE(14,6,(ROW(Family_Map!$A$2:$A$35)-ROW(Family_Map!$A$2)+1)/(ISNUMBER(SEARCH(Family_Map!$A$2:$A$35,D1008))),1)
),
"Other")</f>
        <v>Other</v>
      </c>
      <c r="F1008" s="1" t="s">
        <v>5671</v>
      </c>
      <c r="G1008" s="1" t="e">
        <f t="shared" ca="1" si="2"/>
        <v>#NAME?</v>
      </c>
      <c r="H1008" s="1" t="str">
        <f t="shared" ca="1" si="12"/>
        <v>Other</v>
      </c>
      <c r="I1008" s="1" t="s">
        <v>4073</v>
      </c>
      <c r="J1008" s="1" t="str">
        <f t="shared" si="3"/>
        <v>2GB</v>
      </c>
      <c r="K1008" s="1" t="s">
        <v>5673</v>
      </c>
      <c r="L1008" s="1">
        <f t="shared" ref="L1008:L1015" si="44">IFERROR(
VALUE(SUBSTITUTE(SUBSTITUTE(LEFT(UPPER(TRIM(K1008)),FIND("GB",UPPER(K1008)&amp;"GB")+1),"GB","")," ","")),
IFERROR(
VALUE(SUBSTITUTE(SUBSTITUTE(MID(UPPER(K1008),FIND("GB",UPPER(K1008)&amp;"GB")-3,3),"GB","")," ",""))
*
IF(
OR(
ISNUMBER(SEARCH("2X",UPPER(K1008))),
ISNUMBER(SEARCH("X 2",UPPER(K1008))),
ISNUMBER(SEARCH("*2",UPPER(K1008))),
ISNUMBER(SEARCH("2*",UPPER(K1008))),
ISNUMBER(SEARCH("(2 X",UPPER(K1008)))
),
2,1),
"")
)</f>
        <v>8</v>
      </c>
      <c r="M1008" s="1" t="s">
        <v>4061</v>
      </c>
      <c r="N1008" s="1" t="str">
        <f t="shared" si="5"/>
        <v>1 TB</v>
      </c>
      <c r="O1008" s="1" t="str">
        <f t="shared" si="6"/>
        <v>1024GB</v>
      </c>
      <c r="P1008" s="1" t="s">
        <v>120</v>
      </c>
      <c r="Q1008" s="1" t="str">
        <f t="shared" si="7"/>
        <v>1920x1080</v>
      </c>
      <c r="R1008" s="1" t="s">
        <v>971</v>
      </c>
      <c r="S1008" s="1" t="str">
        <f t="shared" si="8"/>
        <v>60Hz</v>
      </c>
      <c r="T1008" s="1" t="s">
        <v>2507</v>
      </c>
      <c r="U1008" s="1" t="str">
        <f t="shared" si="9"/>
        <v>DOS</v>
      </c>
      <c r="V1008" s="1" t="s">
        <v>2584</v>
      </c>
      <c r="W1008" s="1" t="str">
        <f t="shared" si="10"/>
        <v>1.5 kg</v>
      </c>
      <c r="X1008" s="1" t="s">
        <v>5010</v>
      </c>
      <c r="Y1008" s="1" t="str">
        <f t="shared" si="11"/>
        <v>1 Year</v>
      </c>
      <c r="Z1008" s="4">
        <v>20000</v>
      </c>
      <c r="AA1008" s="1" t="s">
        <v>2181</v>
      </c>
    </row>
    <row r="1009" spans="1:27" ht="15.75" customHeight="1" x14ac:dyDescent="0.35">
      <c r="A1009" s="1" t="s">
        <v>81</v>
      </c>
      <c r="B1009" s="1" t="str">
        <f t="shared" si="16"/>
        <v>Dell</v>
      </c>
      <c r="C1009" s="1" t="s">
        <v>5679</v>
      </c>
      <c r="D1009" s="1" t="str">
        <f t="shared" si="1"/>
        <v>Dell Latitude 3510</v>
      </c>
      <c r="E1009" s="1" t="str">
        <f t="array" aca="1" ref="E1009" ca="1">IFERROR(
INDEX(Family_Map!$B$2:$B$35,
_xludf.AGGREGATE(14,6,(ROW(Family_Map!$A$2:$A$35)-ROW(Family_Map!$A$2)+1)/(ISNUMBER(SEARCH(Family_Map!$A$2:$A$35,D1009))),1)
),
"Other")</f>
        <v>Other</v>
      </c>
      <c r="F1009" s="1" t="s">
        <v>5680</v>
      </c>
      <c r="G1009" s="1" t="e">
        <f t="shared" ca="1" si="2"/>
        <v>#NAME?</v>
      </c>
      <c r="H1009" s="1" t="str">
        <f t="shared" ca="1" si="12"/>
        <v>Other</v>
      </c>
      <c r="I1009" s="1" t="s">
        <v>4073</v>
      </c>
      <c r="J1009" s="1" t="str">
        <f t="shared" si="3"/>
        <v>2GB</v>
      </c>
      <c r="K1009" s="1" t="s">
        <v>5682</v>
      </c>
      <c r="L1009" s="1">
        <f t="shared" si="44"/>
        <v>8</v>
      </c>
      <c r="M1009" s="1" t="s">
        <v>5593</v>
      </c>
      <c r="N1009" s="1" t="str">
        <f t="shared" si="5"/>
        <v>1TB</v>
      </c>
      <c r="O1009" s="1" t="str">
        <f t="shared" si="6"/>
        <v>1024GB</v>
      </c>
      <c r="P1009" s="1" t="s">
        <v>120</v>
      </c>
      <c r="Q1009" s="1" t="str">
        <f t="shared" si="7"/>
        <v>1920x1080</v>
      </c>
      <c r="R1009" s="1" t="s">
        <v>971</v>
      </c>
      <c r="S1009" s="1" t="str">
        <f t="shared" si="8"/>
        <v>60Hz</v>
      </c>
      <c r="T1009" s="1" t="s">
        <v>2507</v>
      </c>
      <c r="U1009" s="1" t="str">
        <f t="shared" si="9"/>
        <v>DOS</v>
      </c>
      <c r="V1009" s="1" t="s">
        <v>5107</v>
      </c>
      <c r="W1009" s="1" t="str">
        <f t="shared" si="10"/>
        <v>1.79 kg</v>
      </c>
      <c r="X1009" s="1" t="s">
        <v>78</v>
      </c>
      <c r="Y1009" s="1" t="str">
        <f t="shared" si="11"/>
        <v>1 Year</v>
      </c>
      <c r="Z1009" s="4">
        <v>25000</v>
      </c>
      <c r="AA1009" s="1" t="s">
        <v>2181</v>
      </c>
    </row>
    <row r="1010" spans="1:27" ht="15.75" customHeight="1" x14ac:dyDescent="0.35">
      <c r="A1010" s="1" t="s">
        <v>234</v>
      </c>
      <c r="B1010" s="1" t="str">
        <f t="shared" si="16"/>
        <v>ASUS</v>
      </c>
      <c r="C1010" s="1" t="s">
        <v>5690</v>
      </c>
      <c r="D1010" s="1" t="str">
        <f t="shared" si="1"/>
        <v>Vivobook Pro 15 OLED N6506CU-MA014W</v>
      </c>
      <c r="E1010" s="1" t="str">
        <f t="array" aca="1" ref="E1010" ca="1">IFERROR(
INDEX(Family_Map!$B$2:$B$35,
_xludf.AGGREGATE(14,6,(ROW(Family_Map!$A$2:$A$35)-ROW(Family_Map!$A$2)+1)/(ISNUMBER(SEARCH(Family_Map!$A$2:$A$35,D1010))),1)
),
"Other")</f>
        <v>Other</v>
      </c>
      <c r="F1010" s="1" t="s">
        <v>586</v>
      </c>
      <c r="G1010" s="1" t="e">
        <f t="shared" ca="1" si="2"/>
        <v>#NAME?</v>
      </c>
      <c r="H1010" s="1" t="str">
        <f t="shared" ca="1" si="12"/>
        <v>Other</v>
      </c>
      <c r="I1010" s="1" t="s">
        <v>70</v>
      </c>
      <c r="J1010" s="1" t="str">
        <f t="shared" si="3"/>
        <v>6GB</v>
      </c>
      <c r="K1010" s="1" t="s">
        <v>5691</v>
      </c>
      <c r="L1010" s="1">
        <f t="shared" si="44"/>
        <v>24</v>
      </c>
      <c r="M1010" s="1" t="s">
        <v>1156</v>
      </c>
      <c r="N1010" s="1" t="str">
        <f t="shared" si="5"/>
        <v>2TB</v>
      </c>
      <c r="O1010" s="1" t="str">
        <f t="shared" si="6"/>
        <v>2048GB</v>
      </c>
      <c r="P1010" s="1" t="s">
        <v>2201</v>
      </c>
      <c r="Q1010" s="1" t="str">
        <f t="shared" si="7"/>
        <v>2880x1620</v>
      </c>
      <c r="R1010" s="1" t="s">
        <v>111</v>
      </c>
      <c r="S1010" s="1" t="str">
        <f t="shared" si="8"/>
        <v>120Hz</v>
      </c>
      <c r="T1010" s="1" t="s">
        <v>40</v>
      </c>
      <c r="U1010" s="1" t="str">
        <f t="shared" si="9"/>
        <v>Windows 11 Home</v>
      </c>
      <c r="V1010" s="1" t="s">
        <v>636</v>
      </c>
      <c r="W1010" s="1" t="str">
        <f t="shared" si="10"/>
        <v>1.8 kg</v>
      </c>
      <c r="X1010" s="1" t="s">
        <v>129</v>
      </c>
      <c r="Y1010" s="1" t="str">
        <f t="shared" si="11"/>
        <v>1 Year</v>
      </c>
      <c r="Z1010" s="4">
        <v>69499</v>
      </c>
      <c r="AA1010" s="1" t="s">
        <v>5735</v>
      </c>
    </row>
    <row r="1011" spans="1:27" ht="15.75" customHeight="1" x14ac:dyDescent="0.35">
      <c r="A1011" s="1" t="s">
        <v>112</v>
      </c>
      <c r="B1011" s="1" t="str">
        <f t="shared" si="16"/>
        <v>HP</v>
      </c>
      <c r="C1011" s="1" t="s">
        <v>5699</v>
      </c>
      <c r="D1011" s="1" t="str">
        <f t="shared" si="1"/>
        <v>Spectre x360 16-F2013DX</v>
      </c>
      <c r="E1011" s="1" t="str">
        <f t="array" aca="1" ref="E1011" ca="1">IFERROR(
INDEX(Family_Map!$B$2:$B$35,
_xludf.AGGREGATE(14,6,(ROW(Family_Map!$A$2:$A$35)-ROW(Family_Map!$A$2)+1)/(ISNUMBER(SEARCH(Family_Map!$A$2:$A$35,D1011))),1)
),
"Other")</f>
        <v>Other</v>
      </c>
      <c r="F1011" s="1" t="s">
        <v>818</v>
      </c>
      <c r="G1011" s="1" t="e">
        <f t="shared" ca="1" si="2"/>
        <v>#NAME?</v>
      </c>
      <c r="H1011" s="1" t="str">
        <f t="shared" ca="1" si="12"/>
        <v>Other</v>
      </c>
      <c r="J1011" s="1" t="str">
        <f t="shared" si="3"/>
        <v/>
      </c>
      <c r="K1011" s="1" t="s">
        <v>3529</v>
      </c>
      <c r="L1011" s="1">
        <f t="shared" si="44"/>
        <v>16</v>
      </c>
      <c r="M1011" s="1" t="s">
        <v>136</v>
      </c>
      <c r="N1011" s="1" t="str">
        <f t="shared" si="5"/>
        <v>512 GB</v>
      </c>
      <c r="O1011" s="1" t="str">
        <f t="shared" si="6"/>
        <v>512 GB</v>
      </c>
      <c r="P1011" s="1" t="s">
        <v>5701</v>
      </c>
      <c r="Q1011" s="1" t="str">
        <f t="shared" si="7"/>
        <v>3072x1920</v>
      </c>
      <c r="S1011" s="1" t="str">
        <f t="shared" si="8"/>
        <v/>
      </c>
      <c r="T1011" s="1" t="s">
        <v>90</v>
      </c>
      <c r="U1011" s="1" t="str">
        <f t="shared" si="9"/>
        <v>Windows 11 Home</v>
      </c>
      <c r="V1011" s="1" t="s">
        <v>5705</v>
      </c>
      <c r="W1011" s="1" t="str">
        <f t="shared" si="10"/>
        <v>2.15 kg</v>
      </c>
      <c r="X1011" s="1" t="s">
        <v>78</v>
      </c>
      <c r="Y1011" s="1" t="str">
        <f t="shared" si="11"/>
        <v>1 Year</v>
      </c>
      <c r="Z1011" s="4">
        <v>68888</v>
      </c>
      <c r="AA1011" s="1" t="s">
        <v>79</v>
      </c>
    </row>
    <row r="1012" spans="1:27" ht="15.75" customHeight="1" x14ac:dyDescent="0.35">
      <c r="A1012" s="1" t="s">
        <v>234</v>
      </c>
      <c r="B1012" s="1" t="str">
        <f t="shared" si="16"/>
        <v>ASUS</v>
      </c>
      <c r="C1012" s="1" t="s">
        <v>5709</v>
      </c>
      <c r="D1012" s="1" t="str">
        <f t="shared" si="1"/>
        <v>ROG Flow X13 GV301QC-K6029T</v>
      </c>
      <c r="E1012" s="1" t="str">
        <f t="array" aca="1" ref="E1012" ca="1">IFERROR(
INDEX(Family_Map!$B$2:$B$35,
_xludf.AGGREGATE(14,6,(ROW(Family_Map!$A$2:$A$35)-ROW(Family_Map!$A$2)+1)/(ISNUMBER(SEARCH(Family_Map!$A$2:$A$35,D1012))),1)
),
"Other")</f>
        <v>Other</v>
      </c>
      <c r="F1012" s="1" t="s">
        <v>5710</v>
      </c>
      <c r="G1012" s="1" t="e">
        <f t="shared" ca="1" si="2"/>
        <v>#NAME?</v>
      </c>
      <c r="H1012" s="1" t="str">
        <f t="shared" ca="1" si="12"/>
        <v>Other</v>
      </c>
      <c r="I1012" s="1" t="s">
        <v>507</v>
      </c>
      <c r="J1012" s="1" t="str">
        <f t="shared" si="3"/>
        <v>4GB</v>
      </c>
      <c r="K1012" s="1" t="s">
        <v>2989</v>
      </c>
      <c r="L1012" s="1">
        <f t="shared" si="44"/>
        <v>32</v>
      </c>
      <c r="M1012" s="1" t="s">
        <v>3085</v>
      </c>
      <c r="N1012" s="1" t="str">
        <f t="shared" si="5"/>
        <v>1TB</v>
      </c>
      <c r="O1012" s="1" t="str">
        <f t="shared" si="6"/>
        <v>1024GB</v>
      </c>
      <c r="P1012" s="1" t="s">
        <v>275</v>
      </c>
      <c r="Q1012" s="1" t="str">
        <f t="shared" si="7"/>
        <v>1920x1200</v>
      </c>
      <c r="R1012" s="1" t="s">
        <v>39</v>
      </c>
      <c r="S1012" s="1" t="str">
        <f t="shared" si="8"/>
        <v>120Hz</v>
      </c>
      <c r="T1012" s="1" t="s">
        <v>1722</v>
      </c>
      <c r="U1012" s="1" t="str">
        <f t="shared" si="9"/>
        <v>Windows 10 Home</v>
      </c>
      <c r="V1012" s="1" t="s">
        <v>1963</v>
      </c>
      <c r="W1012" s="1" t="str">
        <f t="shared" si="10"/>
        <v>1.3 kg</v>
      </c>
      <c r="X1012" s="1" t="s">
        <v>339</v>
      </c>
      <c r="Y1012" s="1" t="str">
        <f t="shared" si="11"/>
        <v>2 Years</v>
      </c>
      <c r="Z1012" s="4">
        <v>89999</v>
      </c>
      <c r="AA1012" s="1" t="s">
        <v>5735</v>
      </c>
    </row>
    <row r="1013" spans="1:27" ht="15.75" customHeight="1" x14ac:dyDescent="0.35">
      <c r="A1013" s="1" t="s">
        <v>234</v>
      </c>
      <c r="B1013" s="1" t="str">
        <f t="shared" si="16"/>
        <v>ASUS</v>
      </c>
      <c r="C1013" s="1" t="s">
        <v>5714</v>
      </c>
      <c r="D1013" s="1" t="str">
        <f t="shared" si="1"/>
        <v>ROG Flow Z13 GZ301ZE-LC178W</v>
      </c>
      <c r="E1013" s="1" t="str">
        <f t="array" aca="1" ref="E1013" ca="1">IFERROR(
INDEX(Family_Map!$B$2:$B$35,
_xludf.AGGREGATE(14,6,(ROW(Family_Map!$A$2:$A$35)-ROW(Family_Map!$A$2)+1)/(ISNUMBER(SEARCH(Family_Map!$A$2:$A$35,D1013))),1)
),
"Other")</f>
        <v>Other</v>
      </c>
      <c r="F1013" s="1" t="s">
        <v>1756</v>
      </c>
      <c r="G1013" s="1" t="e">
        <f t="shared" ca="1" si="2"/>
        <v>#NAME?</v>
      </c>
      <c r="H1013" s="1" t="str">
        <f t="shared" ca="1" si="12"/>
        <v>Other</v>
      </c>
      <c r="I1013" s="1" t="s">
        <v>507</v>
      </c>
      <c r="J1013" s="1" t="str">
        <f t="shared" si="3"/>
        <v>4GB</v>
      </c>
      <c r="K1013" s="1" t="s">
        <v>5715</v>
      </c>
      <c r="L1013" s="1">
        <f t="shared" si="44"/>
        <v>16</v>
      </c>
      <c r="M1013" s="1" t="s">
        <v>239</v>
      </c>
      <c r="N1013" s="1" t="str">
        <f t="shared" si="5"/>
        <v>1TB</v>
      </c>
      <c r="O1013" s="1" t="str">
        <f t="shared" si="6"/>
        <v>1024GB</v>
      </c>
      <c r="P1013" s="1" t="s">
        <v>345</v>
      </c>
      <c r="Q1013" s="1" t="str">
        <f t="shared" si="7"/>
        <v>3840x2400</v>
      </c>
      <c r="R1013" s="1" t="s">
        <v>971</v>
      </c>
      <c r="S1013" s="1" t="str">
        <f t="shared" si="8"/>
        <v>60Hz</v>
      </c>
      <c r="T1013" s="1" t="s">
        <v>90</v>
      </c>
      <c r="U1013" s="1" t="str">
        <f t="shared" si="9"/>
        <v>Windows 11 Home</v>
      </c>
      <c r="V1013" s="1" t="s">
        <v>1975</v>
      </c>
      <c r="W1013" s="1" t="str">
        <f t="shared" si="10"/>
        <v>1.18 kg</v>
      </c>
      <c r="X1013" s="1" t="s">
        <v>165</v>
      </c>
      <c r="Y1013" s="1" t="str">
        <f t="shared" si="11"/>
        <v>2 Years</v>
      </c>
      <c r="Z1013" s="4">
        <v>106000</v>
      </c>
      <c r="AA1013" s="1" t="s">
        <v>166</v>
      </c>
    </row>
    <row r="1014" spans="1:27" ht="15.75" customHeight="1" x14ac:dyDescent="0.35">
      <c r="B1014" s="1" t="str">
        <f t="shared" si="16"/>
        <v/>
      </c>
      <c r="C1014" s="1" t="s">
        <v>5719</v>
      </c>
      <c r="D1014" s="1" t="str">
        <f t="shared" si="1"/>
        <v>M7600QC-OLED007T</v>
      </c>
      <c r="E1014" s="1" t="str">
        <f t="array" aca="1" ref="E1014" ca="1">IFERROR(
INDEX(Family_Map!$B$2:$B$35,
_xludf.AGGREGATE(14,6,(ROW(Family_Map!$A$2:$A$35)-ROW(Family_Map!$A$2)+1)/(ISNUMBER(SEARCH(Family_Map!$A$2:$A$35,D1014))),1)
),
"Other")</f>
        <v>Other</v>
      </c>
      <c r="F1014" s="1" t="s">
        <v>3092</v>
      </c>
      <c r="G1014" s="1" t="e">
        <f t="shared" ca="1" si="2"/>
        <v>#NAME?</v>
      </c>
      <c r="H1014" s="1" t="str">
        <f t="shared" ca="1" si="12"/>
        <v>Other</v>
      </c>
      <c r="I1014" s="1" t="s">
        <v>2342</v>
      </c>
      <c r="J1014" s="1" t="str">
        <f t="shared" si="3"/>
        <v>4GB</v>
      </c>
      <c r="K1014" s="1" t="s">
        <v>5720</v>
      </c>
      <c r="L1014" s="1">
        <f t="shared" si="44"/>
        <v>16</v>
      </c>
      <c r="M1014" s="1" t="s">
        <v>3105</v>
      </c>
      <c r="N1014" s="1" t="str">
        <f t="shared" si="5"/>
        <v>1TB</v>
      </c>
      <c r="O1014" s="1" t="str">
        <f t="shared" si="6"/>
        <v>1024GB</v>
      </c>
      <c r="P1014" s="1" t="s">
        <v>345</v>
      </c>
      <c r="Q1014" s="1" t="str">
        <f t="shared" si="7"/>
        <v>3840x2400</v>
      </c>
      <c r="S1014" s="1" t="str">
        <f t="shared" si="8"/>
        <v/>
      </c>
      <c r="T1014" s="1" t="s">
        <v>4815</v>
      </c>
      <c r="U1014" s="1" t="str">
        <f t="shared" si="9"/>
        <v>Windows 10 Home</v>
      </c>
      <c r="V1014" s="1" t="s">
        <v>518</v>
      </c>
      <c r="W1014" s="1" t="str">
        <f t="shared" si="10"/>
        <v>1.95 kg</v>
      </c>
      <c r="X1014" s="1" t="s">
        <v>165</v>
      </c>
      <c r="Y1014" s="1" t="str">
        <f t="shared" si="11"/>
        <v>2 Years</v>
      </c>
      <c r="Z1014" s="4">
        <v>34888</v>
      </c>
      <c r="AA1014" s="1" t="s">
        <v>5735</v>
      </c>
    </row>
    <row r="1015" spans="1:27" ht="15.75" customHeight="1" x14ac:dyDescent="0.35">
      <c r="B1015" s="1" t="str">
        <f t="shared" si="16"/>
        <v/>
      </c>
      <c r="C1015" s="1" t="s">
        <v>5723</v>
      </c>
      <c r="D1015" s="1" t="str">
        <f t="shared" si="1"/>
        <v>GA401QM-K2040T</v>
      </c>
      <c r="E1015" s="1" t="str">
        <f t="array" aca="1" ref="E1015" ca="1">IFERROR(
INDEX(Family_Map!$B$2:$B$35,
_xludf.AGGREGATE(14,6,(ROW(Family_Map!$A$2:$A$35)-ROW(Family_Map!$A$2)+1)/(ISNUMBER(SEARCH(Family_Map!$A$2:$A$35,D1015))),1)
),
"Other")</f>
        <v>Other</v>
      </c>
      <c r="F1015" s="1" t="s">
        <v>5724</v>
      </c>
      <c r="G1015" s="1" t="e">
        <f t="shared" ca="1" si="2"/>
        <v>#NAME?</v>
      </c>
      <c r="H1015" s="1" t="str">
        <f t="shared" ca="1" si="12"/>
        <v>Other</v>
      </c>
      <c r="I1015" s="1" t="s">
        <v>70</v>
      </c>
      <c r="J1015" s="1" t="str">
        <f t="shared" si="3"/>
        <v>6GB</v>
      </c>
      <c r="K1015" s="1" t="s">
        <v>5726</v>
      </c>
      <c r="L1015" s="1">
        <f t="shared" si="44"/>
        <v>16</v>
      </c>
      <c r="M1015" s="1" t="s">
        <v>1936</v>
      </c>
      <c r="N1015" s="1" t="str">
        <f t="shared" si="5"/>
        <v>1TB</v>
      </c>
      <c r="O1015" s="1" t="str">
        <f t="shared" si="6"/>
        <v>1024GB</v>
      </c>
      <c r="P1015" s="1" t="s">
        <v>1493</v>
      </c>
      <c r="Q1015" s="1" t="str">
        <f t="shared" si="7"/>
        <v>2560x1440</v>
      </c>
      <c r="R1015" s="1" t="s">
        <v>39</v>
      </c>
      <c r="S1015" s="1" t="str">
        <f t="shared" si="8"/>
        <v>120Hz</v>
      </c>
      <c r="T1015" s="1" t="s">
        <v>1722</v>
      </c>
      <c r="U1015" s="1" t="str">
        <f t="shared" si="9"/>
        <v>Windows 10 Home</v>
      </c>
      <c r="V1015" s="1" t="s">
        <v>1932</v>
      </c>
      <c r="W1015" s="1" t="str">
        <f t="shared" si="10"/>
        <v>1.6 kg</v>
      </c>
      <c r="X1015" s="1" t="s">
        <v>2139</v>
      </c>
      <c r="Y1015" s="1" t="str">
        <f t="shared" si="11"/>
        <v>2 Years</v>
      </c>
      <c r="Z1015" s="4">
        <v>45100</v>
      </c>
      <c r="AA1015" s="1" t="s">
        <v>5735</v>
      </c>
    </row>
  </sheetData>
  <autoFilter ref="A1:AA1015"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53125" defaultRowHeight="15" customHeight="1" x14ac:dyDescent="0.35"/>
  <cols>
    <col min="1" max="1" width="18" customWidth="1"/>
    <col min="2" max="2" width="17.54296875" customWidth="1"/>
    <col min="3" max="26" width="8.7265625" customWidth="1"/>
  </cols>
  <sheetData>
    <row r="1" spans="1:2" ht="14.5" x14ac:dyDescent="0.35">
      <c r="A1" s="1" t="s">
        <v>5751</v>
      </c>
      <c r="B1" s="1" t="s">
        <v>5752</v>
      </c>
    </row>
    <row r="2" spans="1:2" ht="14.5" x14ac:dyDescent="0.35">
      <c r="A2" s="1" t="s">
        <v>5753</v>
      </c>
      <c r="B2" s="1" t="s">
        <v>5753</v>
      </c>
    </row>
    <row r="3" spans="1:2" ht="14.5" x14ac:dyDescent="0.35">
      <c r="A3" s="1" t="s">
        <v>5754</v>
      </c>
      <c r="B3" s="1" t="s">
        <v>5754</v>
      </c>
    </row>
    <row r="4" spans="1:2" ht="14.5" x14ac:dyDescent="0.35">
      <c r="A4" s="1" t="s">
        <v>5755</v>
      </c>
      <c r="B4" s="1" t="s">
        <v>5755</v>
      </c>
    </row>
    <row r="5" spans="1:2" ht="14.5" x14ac:dyDescent="0.35">
      <c r="A5" s="1" t="s">
        <v>5756</v>
      </c>
      <c r="B5" s="1" t="s">
        <v>5756</v>
      </c>
    </row>
    <row r="6" spans="1:2" ht="14.5" x14ac:dyDescent="0.35">
      <c r="A6" s="1" t="s">
        <v>5757</v>
      </c>
      <c r="B6" s="1" t="s">
        <v>5757</v>
      </c>
    </row>
    <row r="7" spans="1:2" ht="19.5" customHeight="1" x14ac:dyDescent="0.35">
      <c r="A7" s="6" t="s">
        <v>5758</v>
      </c>
      <c r="B7" s="6" t="s">
        <v>5758</v>
      </c>
    </row>
    <row r="8" spans="1:2" ht="18" customHeight="1" x14ac:dyDescent="0.35">
      <c r="A8" s="6" t="s">
        <v>5759</v>
      </c>
      <c r="B8" s="6" t="s">
        <v>5759</v>
      </c>
    </row>
    <row r="9" spans="1:2" ht="14.5" x14ac:dyDescent="0.35">
      <c r="A9" s="6" t="s">
        <v>5760</v>
      </c>
      <c r="B9" s="6" t="s">
        <v>5760</v>
      </c>
    </row>
    <row r="10" spans="1:2" ht="14.5" x14ac:dyDescent="0.35">
      <c r="A10" s="6" t="s">
        <v>5761</v>
      </c>
      <c r="B10" s="6" t="s">
        <v>5761</v>
      </c>
    </row>
    <row r="11" spans="1:2" ht="16.5" customHeight="1" x14ac:dyDescent="0.35">
      <c r="A11" s="6" t="s">
        <v>5762</v>
      </c>
      <c r="B11" s="6" t="s">
        <v>5762</v>
      </c>
    </row>
    <row r="12" spans="1:2" ht="14.5" x14ac:dyDescent="0.35">
      <c r="A12" s="6" t="s">
        <v>5763</v>
      </c>
      <c r="B12" s="6" t="s">
        <v>5763</v>
      </c>
    </row>
    <row r="13" spans="1:2" ht="14.5" x14ac:dyDescent="0.35">
      <c r="A13" s="6" t="s">
        <v>5764</v>
      </c>
      <c r="B13" s="6" t="s">
        <v>5764</v>
      </c>
    </row>
    <row r="14" spans="1:2" ht="14.25" customHeight="1" x14ac:dyDescent="0.35">
      <c r="A14" s="6" t="s">
        <v>5765</v>
      </c>
      <c r="B14" s="6" t="s">
        <v>5765</v>
      </c>
    </row>
    <row r="15" spans="1:2" ht="14.5" x14ac:dyDescent="0.35">
      <c r="A15" s="6" t="s">
        <v>5766</v>
      </c>
      <c r="B15" s="6" t="s">
        <v>5766</v>
      </c>
    </row>
    <row r="16" spans="1:2" ht="14.5" x14ac:dyDescent="0.35">
      <c r="A16" s="6" t="s">
        <v>5767</v>
      </c>
      <c r="B16" s="6" t="s">
        <v>5767</v>
      </c>
    </row>
    <row r="17" spans="1:2" ht="14.5" x14ac:dyDescent="0.35">
      <c r="A17" s="6" t="s">
        <v>5768</v>
      </c>
      <c r="B17" s="6" t="s">
        <v>5768</v>
      </c>
    </row>
    <row r="18" spans="1:2" ht="14.5" x14ac:dyDescent="0.35">
      <c r="A18" s="6" t="s">
        <v>5769</v>
      </c>
      <c r="B18" s="6" t="s">
        <v>5769</v>
      </c>
    </row>
    <row r="19" spans="1:2" ht="14.5" x14ac:dyDescent="0.35">
      <c r="A19" s="6" t="s">
        <v>5770</v>
      </c>
      <c r="B19" s="6" t="s">
        <v>5770</v>
      </c>
    </row>
    <row r="20" spans="1:2" ht="14.5" x14ac:dyDescent="0.35">
      <c r="A20" s="1" t="s">
        <v>5770</v>
      </c>
      <c r="B20" s="1" t="s">
        <v>5770</v>
      </c>
    </row>
    <row r="21" spans="1:2" ht="15.75" customHeight="1" x14ac:dyDescent="0.35">
      <c r="A21" s="1" t="s">
        <v>5771</v>
      </c>
      <c r="B21" s="1" t="s">
        <v>5771</v>
      </c>
    </row>
    <row r="22" spans="1:2" ht="15.75" customHeight="1" x14ac:dyDescent="0.35">
      <c r="A22" s="1" t="s">
        <v>5772</v>
      </c>
      <c r="B22" s="1" t="s">
        <v>5772</v>
      </c>
    </row>
    <row r="23" spans="1:2" ht="15.75" customHeight="1" x14ac:dyDescent="0.35">
      <c r="A23" s="1" t="s">
        <v>5773</v>
      </c>
      <c r="B23" s="1" t="s">
        <v>5773</v>
      </c>
    </row>
    <row r="24" spans="1:2" ht="15.75" customHeight="1" x14ac:dyDescent="0.35">
      <c r="A24" s="1" t="s">
        <v>5774</v>
      </c>
      <c r="B24" s="1" t="s">
        <v>5774</v>
      </c>
    </row>
    <row r="25" spans="1:2" ht="15.75" customHeight="1" x14ac:dyDescent="0.35">
      <c r="A25" s="1" t="s">
        <v>5775</v>
      </c>
      <c r="B25" s="1" t="s">
        <v>5775</v>
      </c>
    </row>
    <row r="26" spans="1:2" ht="15.75" customHeight="1" x14ac:dyDescent="0.35">
      <c r="A26" s="1" t="s">
        <v>5776</v>
      </c>
      <c r="B26" s="1" t="s">
        <v>5776</v>
      </c>
    </row>
    <row r="27" spans="1:2" ht="15.75" customHeight="1" x14ac:dyDescent="0.35">
      <c r="A27" s="1" t="s">
        <v>5777</v>
      </c>
      <c r="B27" s="1" t="s">
        <v>5777</v>
      </c>
    </row>
    <row r="28" spans="1:2" ht="15.75" customHeight="1" x14ac:dyDescent="0.35">
      <c r="A28" s="1" t="s">
        <v>5778</v>
      </c>
      <c r="B28" s="1" t="s">
        <v>5778</v>
      </c>
    </row>
    <row r="29" spans="1:2" ht="15.75" customHeight="1" x14ac:dyDescent="0.35">
      <c r="A29" s="1" t="s">
        <v>5779</v>
      </c>
      <c r="B29" s="1" t="s">
        <v>5779</v>
      </c>
    </row>
    <row r="30" spans="1:2" ht="15.75" customHeight="1" x14ac:dyDescent="0.35">
      <c r="A30" s="1" t="s">
        <v>5780</v>
      </c>
      <c r="B30" s="1" t="s">
        <v>5780</v>
      </c>
    </row>
    <row r="31" spans="1:2" ht="15.75" customHeight="1" x14ac:dyDescent="0.35">
      <c r="A31" s="1" t="s">
        <v>5781</v>
      </c>
      <c r="B31" s="1" t="s">
        <v>5781</v>
      </c>
    </row>
    <row r="32" spans="1:2" ht="15.75" customHeight="1" x14ac:dyDescent="0.35">
      <c r="A32" s="1" t="s">
        <v>5782</v>
      </c>
      <c r="B32" s="1" t="s">
        <v>5782</v>
      </c>
    </row>
    <row r="33" spans="1:2" ht="15.75" customHeight="1" x14ac:dyDescent="0.35">
      <c r="A33" s="1" t="s">
        <v>5783</v>
      </c>
      <c r="B33" s="1" t="s">
        <v>5783</v>
      </c>
    </row>
    <row r="34" spans="1:2" ht="15.75" customHeight="1" x14ac:dyDescent="0.35">
      <c r="A34" s="1" t="s">
        <v>5784</v>
      </c>
      <c r="B34" s="1" t="s">
        <v>5784</v>
      </c>
    </row>
    <row r="35" spans="1:2" ht="15.75" customHeight="1" x14ac:dyDescent="0.35">
      <c r="A35" s="1" t="s">
        <v>5785</v>
      </c>
      <c r="B35" s="1" t="s">
        <v>5785</v>
      </c>
    </row>
    <row r="36" spans="1:2" ht="15.75" customHeight="1" x14ac:dyDescent="0.35"/>
    <row r="37" spans="1:2" ht="15.75" customHeight="1" x14ac:dyDescent="0.35"/>
    <row r="38" spans="1:2" ht="15.75" customHeight="1" x14ac:dyDescent="0.35"/>
    <row r="39" spans="1:2" ht="15.75" customHeight="1" x14ac:dyDescent="0.35"/>
    <row r="40" spans="1:2" ht="15.75" customHeight="1" x14ac:dyDescent="0.35"/>
    <row r="41" spans="1:2" ht="15.75" customHeight="1" x14ac:dyDescent="0.35"/>
    <row r="42" spans="1:2" ht="15.75" customHeight="1" x14ac:dyDescent="0.35"/>
    <row r="43" spans="1:2" ht="15.75" customHeight="1" x14ac:dyDescent="0.35"/>
    <row r="44" spans="1:2" ht="15.75" customHeight="1" x14ac:dyDescent="0.35"/>
    <row r="45" spans="1:2" ht="15.75" customHeight="1" x14ac:dyDescent="0.35"/>
    <row r="46" spans="1:2" ht="15.75" customHeight="1" x14ac:dyDescent="0.35"/>
    <row r="47" spans="1:2" ht="15.75" customHeight="1" x14ac:dyDescent="0.35"/>
    <row r="48" spans="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5"/>
  <sheetViews>
    <sheetView tabSelected="1" workbookViewId="0"/>
  </sheetViews>
  <sheetFormatPr defaultColWidth="14.453125" defaultRowHeight="15" customHeight="1" x14ac:dyDescent="0.35"/>
  <cols>
    <col min="1" max="1" width="35.453125" customWidth="1"/>
    <col min="2" max="2" width="12.7265625" customWidth="1"/>
    <col min="3" max="3" width="16.453125" customWidth="1"/>
    <col min="4" max="4" width="19.54296875" customWidth="1"/>
    <col min="5" max="5" width="26.453125" customWidth="1"/>
    <col min="6" max="6" width="32.453125" customWidth="1"/>
    <col min="7" max="7" width="41.26953125" customWidth="1"/>
    <col min="8" max="8" width="27.54296875" customWidth="1"/>
    <col min="9" max="9" width="38" customWidth="1"/>
    <col min="10" max="10" width="40.453125" customWidth="1"/>
    <col min="11" max="11" width="31.81640625" customWidth="1"/>
    <col min="12" max="12" width="39.26953125" customWidth="1"/>
    <col min="13" max="13" width="19.453125" customWidth="1"/>
    <col min="14" max="16" width="8.7265625" customWidth="1"/>
    <col min="17" max="17" width="19.453125" customWidth="1"/>
    <col min="18" max="18" width="15.81640625" customWidth="1"/>
    <col min="19" max="19" width="14.7265625" customWidth="1"/>
    <col min="20" max="20" width="17" customWidth="1"/>
    <col min="21" max="21" width="22.08984375" customWidth="1"/>
    <col min="22" max="26" width="8.7265625" customWidth="1"/>
  </cols>
  <sheetData>
    <row r="1" spans="1:21" ht="14.5" x14ac:dyDescent="0.35">
      <c r="A1" s="1" t="s">
        <v>5786</v>
      </c>
      <c r="B1" s="1" t="s">
        <v>5732</v>
      </c>
      <c r="C1" s="1" t="s">
        <v>2</v>
      </c>
      <c r="D1" s="1" t="s">
        <v>5787</v>
      </c>
      <c r="E1" s="1" t="s">
        <v>5</v>
      </c>
      <c r="F1" s="1" t="s">
        <v>5734</v>
      </c>
      <c r="G1" s="1" t="s">
        <v>8</v>
      </c>
      <c r="H1" s="1" t="s">
        <v>9</v>
      </c>
      <c r="I1" s="1" t="s">
        <v>10</v>
      </c>
      <c r="J1" s="1" t="s">
        <v>16</v>
      </c>
      <c r="K1" s="1" t="s">
        <v>18</v>
      </c>
      <c r="L1" s="4" t="s">
        <v>19</v>
      </c>
      <c r="M1" s="1" t="s">
        <v>20</v>
      </c>
    </row>
    <row r="2" spans="1:21" ht="14.5" x14ac:dyDescent="0.35">
      <c r="A2" s="1" t="s">
        <v>30</v>
      </c>
      <c r="B2" s="1" t="s">
        <v>5775</v>
      </c>
      <c r="C2" s="1" t="s">
        <v>5788</v>
      </c>
      <c r="D2" s="1" t="s">
        <v>5789</v>
      </c>
      <c r="E2" s="1" t="s">
        <v>5790</v>
      </c>
      <c r="F2" s="1" t="s">
        <v>5791</v>
      </c>
      <c r="G2" s="1" t="s">
        <v>38</v>
      </c>
      <c r="H2" s="1" t="s">
        <v>111</v>
      </c>
      <c r="I2" s="1" t="s">
        <v>90</v>
      </c>
      <c r="J2" s="1" t="s">
        <v>46</v>
      </c>
      <c r="K2" s="1" t="s">
        <v>165</v>
      </c>
      <c r="L2" s="4">
        <v>320000</v>
      </c>
      <c r="M2" s="1" t="s">
        <v>5735</v>
      </c>
    </row>
    <row r="3" spans="1:21" ht="14.5" x14ac:dyDescent="0.35">
      <c r="A3" s="1" t="s">
        <v>30</v>
      </c>
      <c r="B3" s="1" t="s">
        <v>5771</v>
      </c>
      <c r="C3" s="1" t="s">
        <v>5788</v>
      </c>
      <c r="D3" s="1" t="s">
        <v>3816</v>
      </c>
      <c r="E3" s="1" t="s">
        <v>599</v>
      </c>
      <c r="F3" s="1" t="s">
        <v>5792</v>
      </c>
      <c r="G3" s="1" t="s">
        <v>1371</v>
      </c>
      <c r="H3" s="1" t="s">
        <v>5793</v>
      </c>
      <c r="I3" s="1" t="s">
        <v>90</v>
      </c>
      <c r="J3" s="1" t="s">
        <v>63</v>
      </c>
      <c r="K3" s="1" t="s">
        <v>165</v>
      </c>
      <c r="L3" s="4">
        <v>79999</v>
      </c>
      <c r="M3" s="1" t="s">
        <v>65</v>
      </c>
    </row>
    <row r="4" spans="1:21" ht="14.5" x14ac:dyDescent="0.35">
      <c r="A4" s="1" t="s">
        <v>66</v>
      </c>
      <c r="B4" s="1" t="s">
        <v>5769</v>
      </c>
      <c r="C4" s="1" t="s">
        <v>5794</v>
      </c>
      <c r="D4" s="1" t="s">
        <v>2870</v>
      </c>
      <c r="E4" s="1" t="s">
        <v>3816</v>
      </c>
      <c r="F4" s="1" t="s">
        <v>5795</v>
      </c>
      <c r="G4" s="1" t="s">
        <v>74</v>
      </c>
      <c r="H4" s="1" t="s">
        <v>5796</v>
      </c>
      <c r="I4" s="1" t="s">
        <v>90</v>
      </c>
      <c r="J4" s="1" t="s">
        <v>5735</v>
      </c>
      <c r="K4" s="1" t="s">
        <v>78</v>
      </c>
      <c r="L4" s="4">
        <v>39999</v>
      </c>
      <c r="M4" s="1" t="s">
        <v>79</v>
      </c>
    </row>
    <row r="5" spans="1:21" ht="14.5" x14ac:dyDescent="0.35">
      <c r="A5" s="1" t="s">
        <v>81</v>
      </c>
      <c r="B5" s="1" t="s">
        <v>5755</v>
      </c>
      <c r="C5" s="1" t="s">
        <v>5797</v>
      </c>
      <c r="D5" s="1" t="s">
        <v>3816</v>
      </c>
      <c r="E5" s="1" t="s">
        <v>599</v>
      </c>
      <c r="F5" s="1" t="s">
        <v>5795</v>
      </c>
      <c r="G5" s="1" t="s">
        <v>224</v>
      </c>
      <c r="H5" s="1" t="s">
        <v>111</v>
      </c>
      <c r="I5" s="1" t="s">
        <v>90</v>
      </c>
      <c r="J5" s="1" t="s">
        <v>94</v>
      </c>
      <c r="K5" s="1" t="s">
        <v>78</v>
      </c>
      <c r="L5" s="4">
        <v>57999</v>
      </c>
      <c r="M5" s="1" t="s">
        <v>5735</v>
      </c>
    </row>
    <row r="6" spans="1:21" ht="14.5" x14ac:dyDescent="0.35">
      <c r="A6" s="1" t="s">
        <v>81</v>
      </c>
      <c r="B6" s="1" t="s">
        <v>5755</v>
      </c>
      <c r="C6" s="1" t="s">
        <v>5798</v>
      </c>
      <c r="D6" s="1" t="s">
        <v>3816</v>
      </c>
      <c r="E6" s="1" t="s">
        <v>599</v>
      </c>
      <c r="F6" s="1" t="s">
        <v>5792</v>
      </c>
      <c r="G6" s="1" t="s">
        <v>224</v>
      </c>
      <c r="H6" s="1" t="s">
        <v>111</v>
      </c>
      <c r="I6" s="1" t="s">
        <v>101</v>
      </c>
      <c r="J6" s="1" t="s">
        <v>94</v>
      </c>
      <c r="K6" s="1" t="s">
        <v>78</v>
      </c>
      <c r="L6" s="4">
        <v>89999</v>
      </c>
      <c r="M6" s="1" t="s">
        <v>5735</v>
      </c>
    </row>
    <row r="7" spans="1:21" ht="15.5" x14ac:dyDescent="0.35">
      <c r="A7" s="1" t="s">
        <v>81</v>
      </c>
      <c r="B7" s="1" t="s">
        <v>5755</v>
      </c>
      <c r="C7" s="1" t="s">
        <v>5797</v>
      </c>
      <c r="D7" s="1" t="s">
        <v>3816</v>
      </c>
      <c r="E7" s="1" t="s">
        <v>5799</v>
      </c>
      <c r="F7" s="1" t="s">
        <v>5792</v>
      </c>
      <c r="G7" s="1" t="s">
        <v>224</v>
      </c>
      <c r="H7" s="1" t="s">
        <v>111</v>
      </c>
      <c r="I7" s="1" t="s">
        <v>101</v>
      </c>
      <c r="J7" s="1" t="s">
        <v>94</v>
      </c>
      <c r="K7" s="1" t="s">
        <v>78</v>
      </c>
      <c r="L7" s="4">
        <v>67999</v>
      </c>
      <c r="M7" s="1" t="s">
        <v>5735</v>
      </c>
      <c r="Q7" s="1" t="s">
        <v>5731</v>
      </c>
      <c r="R7" s="5" t="s">
        <v>5732</v>
      </c>
      <c r="S7" s="1" t="s">
        <v>2</v>
      </c>
      <c r="T7" s="1" t="s">
        <v>5737</v>
      </c>
      <c r="U7" s="1" t="s">
        <v>5733</v>
      </c>
    </row>
    <row r="8" spans="1:21" ht="14.5" x14ac:dyDescent="0.35">
      <c r="A8" s="1" t="s">
        <v>81</v>
      </c>
      <c r="B8" s="1" t="s">
        <v>5755</v>
      </c>
      <c r="C8" s="1" t="s">
        <v>5797</v>
      </c>
      <c r="D8" s="1" t="s">
        <v>3816</v>
      </c>
      <c r="E8" s="1" t="s">
        <v>599</v>
      </c>
      <c r="F8" s="1" t="s">
        <v>5792</v>
      </c>
      <c r="G8" s="1" t="s">
        <v>224</v>
      </c>
      <c r="H8" s="1" t="s">
        <v>111</v>
      </c>
      <c r="I8" s="1" t="s">
        <v>101</v>
      </c>
      <c r="J8" s="1" t="s">
        <v>94</v>
      </c>
      <c r="K8" s="1" t="s">
        <v>78</v>
      </c>
      <c r="L8" s="4">
        <v>57999</v>
      </c>
      <c r="M8" s="1" t="s">
        <v>5735</v>
      </c>
      <c r="Q8" s="1" t="e">
        <f t="shared" ref="Q8:U8" si="0">COUNTBLANK(#REF!)</f>
        <v>#REF!</v>
      </c>
      <c r="R8" s="1" t="e">
        <f t="shared" si="0"/>
        <v>#REF!</v>
      </c>
      <c r="S8" s="1" t="e">
        <f t="shared" si="0"/>
        <v>#REF!</v>
      </c>
      <c r="T8" s="1" t="e">
        <f t="shared" si="0"/>
        <v>#REF!</v>
      </c>
      <c r="U8" s="1" t="e">
        <f t="shared" si="0"/>
        <v>#REF!</v>
      </c>
    </row>
    <row r="9" spans="1:21" ht="14.5" x14ac:dyDescent="0.35">
      <c r="A9" s="1" t="s">
        <v>112</v>
      </c>
      <c r="B9" s="1" t="s">
        <v>5753</v>
      </c>
      <c r="C9" s="1" t="s">
        <v>5800</v>
      </c>
      <c r="D9" s="1" t="s">
        <v>2870</v>
      </c>
      <c r="E9" s="1" t="s">
        <v>599</v>
      </c>
      <c r="F9" s="1" t="s">
        <v>5795</v>
      </c>
      <c r="G9" s="1" t="s">
        <v>74</v>
      </c>
      <c r="H9" s="1" t="s">
        <v>5796</v>
      </c>
      <c r="I9" s="1" t="s">
        <v>101</v>
      </c>
      <c r="J9" s="1" t="s">
        <v>127</v>
      </c>
      <c r="K9" s="1" t="s">
        <v>78</v>
      </c>
      <c r="L9" s="4">
        <v>40999</v>
      </c>
      <c r="M9" s="1" t="s">
        <v>79</v>
      </c>
    </row>
    <row r="10" spans="1:21" ht="14.5" x14ac:dyDescent="0.35">
      <c r="A10" s="1" t="s">
        <v>112</v>
      </c>
      <c r="B10" s="1" t="s">
        <v>5753</v>
      </c>
      <c r="C10" s="1" t="s">
        <v>5800</v>
      </c>
      <c r="D10" s="1" t="s">
        <v>2870</v>
      </c>
      <c r="E10" s="1" t="s">
        <v>599</v>
      </c>
      <c r="F10" s="1" t="s">
        <v>5795</v>
      </c>
      <c r="G10" s="1" t="s">
        <v>74</v>
      </c>
      <c r="H10" s="1" t="s">
        <v>5796</v>
      </c>
      <c r="I10" s="1" t="s">
        <v>101</v>
      </c>
      <c r="J10" s="1" t="s">
        <v>142</v>
      </c>
      <c r="K10" s="1" t="s">
        <v>78</v>
      </c>
      <c r="L10" s="4">
        <v>51499</v>
      </c>
      <c r="M10" s="1" t="s">
        <v>65</v>
      </c>
    </row>
    <row r="11" spans="1:21" ht="14.5" x14ac:dyDescent="0.35">
      <c r="A11" s="1" t="s">
        <v>112</v>
      </c>
      <c r="B11" s="1" t="s">
        <v>5753</v>
      </c>
      <c r="C11" s="1" t="s">
        <v>5800</v>
      </c>
      <c r="D11" s="1" t="s">
        <v>2870</v>
      </c>
      <c r="E11" s="1" t="s">
        <v>599</v>
      </c>
      <c r="F11" s="1" t="s">
        <v>5795</v>
      </c>
      <c r="G11" s="1" t="s">
        <v>74</v>
      </c>
      <c r="H11" s="1" t="s">
        <v>5796</v>
      </c>
      <c r="I11" s="1" t="s">
        <v>101</v>
      </c>
      <c r="J11" s="1" t="s">
        <v>127</v>
      </c>
      <c r="K11" s="1" t="s">
        <v>78</v>
      </c>
      <c r="L11" s="4">
        <v>47777</v>
      </c>
      <c r="M11" s="1" t="s">
        <v>79</v>
      </c>
      <c r="Q11" s="1" t="s">
        <v>5</v>
      </c>
      <c r="R11" s="1" t="s">
        <v>5734</v>
      </c>
      <c r="S11" s="1" t="s">
        <v>7</v>
      </c>
      <c r="T11" s="1" t="s">
        <v>8</v>
      </c>
      <c r="U11" s="1" t="s">
        <v>9</v>
      </c>
    </row>
    <row r="12" spans="1:21" ht="14.5" x14ac:dyDescent="0.35">
      <c r="A12" s="1" t="s">
        <v>151</v>
      </c>
      <c r="B12" s="1" t="s">
        <v>5761</v>
      </c>
      <c r="C12" s="1" t="s">
        <v>5794</v>
      </c>
      <c r="D12" s="1" t="s">
        <v>2870</v>
      </c>
      <c r="E12" s="1" t="s">
        <v>599</v>
      </c>
      <c r="F12" s="1" t="s">
        <v>5795</v>
      </c>
      <c r="G12" s="1" t="s">
        <v>74</v>
      </c>
      <c r="H12" s="1" t="s">
        <v>5796</v>
      </c>
      <c r="I12" s="1" t="s">
        <v>90</v>
      </c>
      <c r="J12" s="1" t="s">
        <v>163</v>
      </c>
      <c r="K12" s="1" t="s">
        <v>165</v>
      </c>
      <c r="L12" s="4">
        <v>31999</v>
      </c>
      <c r="M12" s="1" t="s">
        <v>166</v>
      </c>
      <c r="Q12" s="1" t="e">
        <f t="shared" ref="Q12:U12" si="1">COUNTBLANK(#REF!)</f>
        <v>#REF!</v>
      </c>
      <c r="R12" s="1" t="e">
        <f t="shared" si="1"/>
        <v>#REF!</v>
      </c>
      <c r="S12" s="1" t="e">
        <f t="shared" si="1"/>
        <v>#REF!</v>
      </c>
      <c r="T12" s="1" t="e">
        <f t="shared" si="1"/>
        <v>#REF!</v>
      </c>
      <c r="U12" s="1" t="e">
        <f t="shared" si="1"/>
        <v>#REF!</v>
      </c>
    </row>
    <row r="13" spans="1:21" ht="14.5" x14ac:dyDescent="0.35">
      <c r="A13" s="1" t="s">
        <v>112</v>
      </c>
      <c r="B13" s="1" t="s">
        <v>5753</v>
      </c>
      <c r="C13" s="1" t="s">
        <v>5794</v>
      </c>
      <c r="D13" s="1" t="s">
        <v>2870</v>
      </c>
      <c r="E13" s="1" t="s">
        <v>599</v>
      </c>
      <c r="F13" s="1" t="s">
        <v>5792</v>
      </c>
      <c r="G13" s="1" t="s">
        <v>74</v>
      </c>
      <c r="H13" s="1" t="s">
        <v>5796</v>
      </c>
      <c r="I13" s="1" t="s">
        <v>101</v>
      </c>
      <c r="J13" s="1" t="s">
        <v>142</v>
      </c>
      <c r="K13" s="1" t="s">
        <v>78</v>
      </c>
      <c r="L13" s="4">
        <v>39666</v>
      </c>
      <c r="M13" s="1" t="s">
        <v>65</v>
      </c>
    </row>
    <row r="14" spans="1:21" ht="14.5" x14ac:dyDescent="0.35">
      <c r="A14" s="1" t="s">
        <v>112</v>
      </c>
      <c r="B14" s="1" t="s">
        <v>5753</v>
      </c>
      <c r="C14" s="1" t="s">
        <v>5794</v>
      </c>
      <c r="D14" s="1" t="s">
        <v>2870</v>
      </c>
      <c r="E14" s="1" t="s">
        <v>599</v>
      </c>
      <c r="F14" s="1" t="s">
        <v>5792</v>
      </c>
      <c r="G14" s="1" t="s">
        <v>74</v>
      </c>
      <c r="H14" s="1" t="s">
        <v>5796</v>
      </c>
      <c r="I14" s="1" t="s">
        <v>101</v>
      </c>
      <c r="J14" s="1" t="s">
        <v>142</v>
      </c>
      <c r="K14" s="1" t="s">
        <v>78</v>
      </c>
      <c r="L14" s="4">
        <v>39666</v>
      </c>
      <c r="M14" s="1" t="s">
        <v>65</v>
      </c>
      <c r="Q14" s="1" t="s">
        <v>10</v>
      </c>
      <c r="R14" s="1" t="s">
        <v>11</v>
      </c>
      <c r="S14" s="1" t="s">
        <v>12</v>
      </c>
      <c r="T14" s="1" t="s">
        <v>13</v>
      </c>
      <c r="U14" s="1" t="s">
        <v>14</v>
      </c>
    </row>
    <row r="15" spans="1:21" ht="14.5" x14ac:dyDescent="0.35">
      <c r="A15" s="1" t="s">
        <v>112</v>
      </c>
      <c r="B15" s="1" t="s">
        <v>5753</v>
      </c>
      <c r="C15" s="1" t="s">
        <v>5794</v>
      </c>
      <c r="D15" s="1" t="s">
        <v>2870</v>
      </c>
      <c r="E15" s="1" t="s">
        <v>3816</v>
      </c>
      <c r="F15" s="1" t="s">
        <v>5795</v>
      </c>
      <c r="G15" s="1" t="s">
        <v>74</v>
      </c>
      <c r="H15" s="1" t="s">
        <v>5796</v>
      </c>
      <c r="I15" s="1" t="s">
        <v>101</v>
      </c>
      <c r="J15" s="1" t="s">
        <v>127</v>
      </c>
      <c r="K15" s="1" t="s">
        <v>78</v>
      </c>
      <c r="L15" s="4">
        <v>33999</v>
      </c>
      <c r="M15" s="1" t="s">
        <v>79</v>
      </c>
      <c r="Q15" s="1" t="e">
        <f t="shared" ref="Q15:U15" si="2">COUNTBLANK(#REF!)</f>
        <v>#REF!</v>
      </c>
      <c r="R15" s="1" t="e">
        <f t="shared" si="2"/>
        <v>#REF!</v>
      </c>
      <c r="S15" s="1" t="e">
        <f t="shared" si="2"/>
        <v>#REF!</v>
      </c>
      <c r="T15" s="1" t="e">
        <f t="shared" si="2"/>
        <v>#REF!</v>
      </c>
      <c r="U15" s="1" t="e">
        <f t="shared" si="2"/>
        <v>#REF!</v>
      </c>
    </row>
    <row r="16" spans="1:21" ht="14.5" x14ac:dyDescent="0.35">
      <c r="A16" s="1" t="s">
        <v>112</v>
      </c>
      <c r="B16" s="1" t="s">
        <v>5753</v>
      </c>
      <c r="C16" s="1" t="s">
        <v>5794</v>
      </c>
      <c r="D16" s="1" t="s">
        <v>2870</v>
      </c>
      <c r="E16" s="1" t="s">
        <v>3816</v>
      </c>
      <c r="F16" s="1" t="s">
        <v>5795</v>
      </c>
      <c r="G16" s="1" t="s">
        <v>74</v>
      </c>
      <c r="H16" s="1" t="s">
        <v>5796</v>
      </c>
      <c r="I16" s="1" t="s">
        <v>101</v>
      </c>
      <c r="J16" s="1" t="s">
        <v>127</v>
      </c>
      <c r="K16" s="1" t="s">
        <v>78</v>
      </c>
      <c r="L16" s="4">
        <v>33999</v>
      </c>
      <c r="M16" s="1" t="s">
        <v>79</v>
      </c>
    </row>
    <row r="17" spans="1:21" ht="14.5" x14ac:dyDescent="0.35">
      <c r="A17" s="1" t="s">
        <v>112</v>
      </c>
      <c r="B17" s="1" t="s">
        <v>5754</v>
      </c>
      <c r="C17" s="1" t="s">
        <v>5801</v>
      </c>
      <c r="D17" s="1" t="s">
        <v>3816</v>
      </c>
      <c r="E17" s="1" t="s">
        <v>599</v>
      </c>
      <c r="F17" s="1" t="s">
        <v>5792</v>
      </c>
      <c r="G17" s="1" t="s">
        <v>224</v>
      </c>
      <c r="H17" s="1" t="s">
        <v>200</v>
      </c>
      <c r="I17" s="1" t="s">
        <v>90</v>
      </c>
      <c r="J17" s="1" t="s">
        <v>205</v>
      </c>
      <c r="K17" s="1" t="s">
        <v>78</v>
      </c>
      <c r="L17" s="4">
        <v>106999</v>
      </c>
      <c r="M17" s="1" t="s">
        <v>5735</v>
      </c>
      <c r="Q17" s="1" t="s">
        <v>15</v>
      </c>
      <c r="R17" s="1" t="s">
        <v>16</v>
      </c>
      <c r="S17" s="1" t="s">
        <v>17</v>
      </c>
      <c r="T17" s="1" t="s">
        <v>18</v>
      </c>
      <c r="U17" s="1" t="s">
        <v>19</v>
      </c>
    </row>
    <row r="18" spans="1:21" ht="14.5" x14ac:dyDescent="0.35">
      <c r="A18" s="1" t="s">
        <v>112</v>
      </c>
      <c r="B18" s="1" t="s">
        <v>5754</v>
      </c>
      <c r="C18" s="1" t="s">
        <v>5802</v>
      </c>
      <c r="D18" s="1" t="s">
        <v>3816</v>
      </c>
      <c r="E18" s="1" t="s">
        <v>5799</v>
      </c>
      <c r="F18" s="1" t="s">
        <v>5792</v>
      </c>
      <c r="G18" s="1" t="s">
        <v>224</v>
      </c>
      <c r="H18" s="1" t="s">
        <v>200</v>
      </c>
      <c r="I18" s="1" t="s">
        <v>90</v>
      </c>
      <c r="J18" s="1" t="s">
        <v>2614</v>
      </c>
      <c r="K18" s="1" t="s">
        <v>78</v>
      </c>
      <c r="L18" s="4">
        <v>104999</v>
      </c>
      <c r="M18" s="1" t="s">
        <v>5735</v>
      </c>
      <c r="Q18" s="1" t="e">
        <f t="shared" ref="Q18:T18" si="3">COUNTBLANK(#REF!)</f>
        <v>#REF!</v>
      </c>
      <c r="R18" s="1" t="e">
        <f t="shared" si="3"/>
        <v>#REF!</v>
      </c>
      <c r="S18" s="1" t="e">
        <f t="shared" si="3"/>
        <v>#REF!</v>
      </c>
      <c r="T18" s="1" t="e">
        <f t="shared" si="3"/>
        <v>#REF!</v>
      </c>
      <c r="U18" s="1">
        <f>COUNTBLANK(L2:L1015)</f>
        <v>0</v>
      </c>
    </row>
    <row r="19" spans="1:21" ht="14.5" x14ac:dyDescent="0.35">
      <c r="A19" s="1" t="s">
        <v>151</v>
      </c>
      <c r="B19" s="1" t="s">
        <v>5760</v>
      </c>
      <c r="C19" s="1" t="s">
        <v>5788</v>
      </c>
      <c r="D19" s="1" t="s">
        <v>3816</v>
      </c>
      <c r="E19" s="1" t="s">
        <v>599</v>
      </c>
      <c r="F19" s="1" t="s">
        <v>5792</v>
      </c>
      <c r="G19" s="1" t="s">
        <v>224</v>
      </c>
      <c r="H19" s="1" t="s">
        <v>5793</v>
      </c>
      <c r="I19" s="1" t="s">
        <v>90</v>
      </c>
      <c r="J19" s="1" t="s">
        <v>230</v>
      </c>
      <c r="K19" s="1" t="s">
        <v>78</v>
      </c>
      <c r="L19" s="4">
        <v>107999</v>
      </c>
      <c r="M19" s="1" t="s">
        <v>65</v>
      </c>
    </row>
    <row r="20" spans="1:21" ht="14.5" x14ac:dyDescent="0.35">
      <c r="A20" s="1" t="s">
        <v>234</v>
      </c>
      <c r="B20" s="1" t="s">
        <v>5757</v>
      </c>
      <c r="C20" s="1" t="s">
        <v>5803</v>
      </c>
      <c r="D20" s="1" t="s">
        <v>3816</v>
      </c>
      <c r="E20" s="1" t="s">
        <v>5799</v>
      </c>
      <c r="F20" s="1" t="s">
        <v>5792</v>
      </c>
      <c r="G20" s="1" t="s">
        <v>224</v>
      </c>
      <c r="H20" s="1" t="s">
        <v>200</v>
      </c>
      <c r="I20" s="1" t="s">
        <v>90</v>
      </c>
      <c r="J20" s="1" t="s">
        <v>976</v>
      </c>
      <c r="K20" s="1" t="s">
        <v>78</v>
      </c>
      <c r="L20" s="4">
        <v>105200</v>
      </c>
      <c r="M20" s="1" t="s">
        <v>5735</v>
      </c>
      <c r="Q20" s="1" t="s">
        <v>20</v>
      </c>
      <c r="R20" s="1" t="s">
        <v>21</v>
      </c>
      <c r="S20" s="1" t="s">
        <v>5738</v>
      </c>
      <c r="T20" s="1" t="s">
        <v>5739</v>
      </c>
      <c r="U20" s="1" t="s">
        <v>24</v>
      </c>
    </row>
    <row r="21" spans="1:21" ht="15.75" customHeight="1" x14ac:dyDescent="0.35">
      <c r="A21" s="1" t="s">
        <v>151</v>
      </c>
      <c r="B21" s="1" t="s">
        <v>5760</v>
      </c>
      <c r="C21" s="1" t="s">
        <v>5801</v>
      </c>
      <c r="D21" s="1" t="s">
        <v>599</v>
      </c>
      <c r="E21" s="1" t="s">
        <v>5804</v>
      </c>
      <c r="F21" s="1" t="s">
        <v>5805</v>
      </c>
      <c r="G21" s="1" t="s">
        <v>224</v>
      </c>
      <c r="H21" s="1" t="s">
        <v>200</v>
      </c>
      <c r="I21" s="1" t="s">
        <v>725</v>
      </c>
      <c r="J21" s="1" t="s">
        <v>262</v>
      </c>
      <c r="K21" s="1" t="s">
        <v>78</v>
      </c>
      <c r="L21" s="4">
        <v>205000</v>
      </c>
      <c r="M21" s="1" t="s">
        <v>5735</v>
      </c>
      <c r="Q21" s="1">
        <f>COUNTBLANK(M2:M1015)</f>
        <v>0</v>
      </c>
      <c r="R21" s="1" t="e">
        <f t="shared" ref="R21:U21" si="4">COUNTBLANK(#REF!)</f>
        <v>#REF!</v>
      </c>
      <c r="S21" s="1" t="e">
        <f t="shared" si="4"/>
        <v>#REF!</v>
      </c>
      <c r="T21" s="1" t="e">
        <f t="shared" si="4"/>
        <v>#REF!</v>
      </c>
      <c r="U21" s="1" t="e">
        <f t="shared" si="4"/>
        <v>#REF!</v>
      </c>
    </row>
    <row r="22" spans="1:21" ht="15.75" customHeight="1" x14ac:dyDescent="0.35">
      <c r="A22" s="1" t="s">
        <v>112</v>
      </c>
      <c r="B22" s="1" t="s">
        <v>5753</v>
      </c>
      <c r="C22" s="1" t="s">
        <v>5800</v>
      </c>
      <c r="D22" s="1" t="s">
        <v>2870</v>
      </c>
      <c r="E22" s="1" t="s">
        <v>599</v>
      </c>
      <c r="F22" s="1" t="s">
        <v>5792</v>
      </c>
      <c r="G22" s="1" t="s">
        <v>74</v>
      </c>
      <c r="H22" s="1" t="s">
        <v>5796</v>
      </c>
      <c r="I22" s="1" t="s">
        <v>101</v>
      </c>
      <c r="J22" s="1" t="s">
        <v>267</v>
      </c>
      <c r="K22" s="1" t="s">
        <v>78</v>
      </c>
      <c r="L22" s="4">
        <v>53999</v>
      </c>
      <c r="M22" s="1" t="s">
        <v>65</v>
      </c>
    </row>
    <row r="23" spans="1:21" ht="15.75" customHeight="1" x14ac:dyDescent="0.35">
      <c r="A23" s="1" t="s">
        <v>234</v>
      </c>
      <c r="B23" s="1" t="s">
        <v>5756</v>
      </c>
      <c r="C23" s="1" t="s">
        <v>5806</v>
      </c>
      <c r="D23" s="1" t="s">
        <v>5807</v>
      </c>
      <c r="E23" s="1" t="s">
        <v>599</v>
      </c>
      <c r="F23" s="1" t="s">
        <v>5792</v>
      </c>
      <c r="G23" s="1" t="s">
        <v>1015</v>
      </c>
      <c r="H23" s="1" t="s">
        <v>5793</v>
      </c>
      <c r="I23" s="1" t="s">
        <v>90</v>
      </c>
      <c r="J23" s="1" t="s">
        <v>944</v>
      </c>
      <c r="K23" s="1" t="s">
        <v>78</v>
      </c>
      <c r="L23" s="4">
        <v>109300</v>
      </c>
      <c r="M23" s="1" t="s">
        <v>5735</v>
      </c>
      <c r="Q23" s="1" t="s">
        <v>25</v>
      </c>
      <c r="R23" s="1" t="s">
        <v>5741</v>
      </c>
      <c r="S23" s="1" t="s">
        <v>5742</v>
      </c>
      <c r="T23" s="1" t="s">
        <v>5743</v>
      </c>
      <c r="U23" s="1" t="s">
        <v>5744</v>
      </c>
    </row>
    <row r="24" spans="1:21" ht="15.75" customHeight="1" x14ac:dyDescent="0.35">
      <c r="A24" s="1" t="s">
        <v>234</v>
      </c>
      <c r="B24" s="1" t="s">
        <v>5756</v>
      </c>
      <c r="C24" s="1" t="s">
        <v>5806</v>
      </c>
      <c r="D24" s="1" t="s">
        <v>3816</v>
      </c>
      <c r="E24" s="1" t="s">
        <v>599</v>
      </c>
      <c r="F24" s="1" t="s">
        <v>5792</v>
      </c>
      <c r="G24" s="1" t="s">
        <v>1015</v>
      </c>
      <c r="H24" s="1" t="s">
        <v>5793</v>
      </c>
      <c r="I24" s="1" t="s">
        <v>90</v>
      </c>
      <c r="J24" s="1" t="s">
        <v>944</v>
      </c>
      <c r="K24" s="1" t="s">
        <v>78</v>
      </c>
      <c r="L24" s="4">
        <v>102000</v>
      </c>
      <c r="M24" s="1" t="s">
        <v>5735</v>
      </c>
      <c r="Q24" s="1" t="e">
        <f t="shared" ref="Q24:U24" si="5">COUNTBLANK(#REF!)</f>
        <v>#REF!</v>
      </c>
      <c r="R24" s="1" t="e">
        <f t="shared" si="5"/>
        <v>#REF!</v>
      </c>
      <c r="S24" s="1" t="e">
        <f t="shared" si="5"/>
        <v>#REF!</v>
      </c>
      <c r="T24" s="1" t="e">
        <f t="shared" si="5"/>
        <v>#REF!</v>
      </c>
      <c r="U24" s="1" t="e">
        <f t="shared" si="5"/>
        <v>#REF!</v>
      </c>
    </row>
    <row r="25" spans="1:21" ht="15.75" customHeight="1" x14ac:dyDescent="0.35">
      <c r="A25" s="1" t="s">
        <v>234</v>
      </c>
      <c r="B25" s="1" t="s">
        <v>5758</v>
      </c>
      <c r="C25" s="1" t="s">
        <v>5808</v>
      </c>
      <c r="D25" s="1" t="s">
        <v>3816</v>
      </c>
      <c r="E25" s="1" t="s">
        <v>599</v>
      </c>
      <c r="F25" s="1" t="s">
        <v>5795</v>
      </c>
      <c r="G25" s="1" t="s">
        <v>1015</v>
      </c>
      <c r="H25" s="1" t="s">
        <v>5793</v>
      </c>
      <c r="I25" s="1" t="s">
        <v>90</v>
      </c>
      <c r="J25" s="1" t="s">
        <v>2878</v>
      </c>
      <c r="K25" s="1" t="s">
        <v>78</v>
      </c>
      <c r="L25" s="4">
        <v>56199</v>
      </c>
      <c r="M25" s="1" t="s">
        <v>5735</v>
      </c>
    </row>
    <row r="26" spans="1:21" ht="15.75" customHeight="1" x14ac:dyDescent="0.35">
      <c r="A26" s="1" t="s">
        <v>234</v>
      </c>
      <c r="B26" s="1" t="s">
        <v>5758</v>
      </c>
      <c r="C26" s="1" t="s">
        <v>5803</v>
      </c>
      <c r="D26" s="1" t="s">
        <v>3816</v>
      </c>
      <c r="E26" s="1" t="s">
        <v>599</v>
      </c>
      <c r="F26" s="1" t="s">
        <v>5792</v>
      </c>
      <c r="G26" s="1" t="s">
        <v>224</v>
      </c>
      <c r="H26" s="1" t="s">
        <v>5793</v>
      </c>
      <c r="I26" s="1" t="s">
        <v>90</v>
      </c>
      <c r="J26" s="1" t="s">
        <v>5809</v>
      </c>
      <c r="K26" s="1" t="s">
        <v>78</v>
      </c>
      <c r="L26" s="4">
        <v>66999</v>
      </c>
      <c r="M26" s="1" t="s">
        <v>5735</v>
      </c>
    </row>
    <row r="27" spans="1:21" ht="15.75" customHeight="1" x14ac:dyDescent="0.35">
      <c r="A27" s="1" t="s">
        <v>234</v>
      </c>
      <c r="B27" s="1" t="s">
        <v>5758</v>
      </c>
      <c r="C27" s="1" t="s">
        <v>5808</v>
      </c>
      <c r="D27" s="1" t="s">
        <v>2870</v>
      </c>
      <c r="E27" s="1" t="s">
        <v>599</v>
      </c>
      <c r="F27" s="1" t="s">
        <v>5795</v>
      </c>
      <c r="G27" s="1" t="s">
        <v>224</v>
      </c>
      <c r="H27" s="1" t="s">
        <v>5793</v>
      </c>
      <c r="I27" s="1" t="s">
        <v>90</v>
      </c>
      <c r="J27" s="1" t="s">
        <v>5809</v>
      </c>
      <c r="K27" s="1" t="s">
        <v>78</v>
      </c>
      <c r="L27" s="4">
        <v>48888</v>
      </c>
      <c r="M27" s="1" t="s">
        <v>5735</v>
      </c>
    </row>
    <row r="28" spans="1:21" ht="15.75" customHeight="1" x14ac:dyDescent="0.35">
      <c r="A28" s="1" t="s">
        <v>30</v>
      </c>
      <c r="B28" s="1" t="s">
        <v>5810</v>
      </c>
      <c r="C28" s="1" t="s">
        <v>5801</v>
      </c>
      <c r="D28" s="1" t="s">
        <v>3816</v>
      </c>
      <c r="E28" s="1" t="s">
        <v>5799</v>
      </c>
      <c r="F28" s="1" t="s">
        <v>5792</v>
      </c>
      <c r="G28" s="1" t="s">
        <v>224</v>
      </c>
      <c r="H28" s="1" t="s">
        <v>200</v>
      </c>
      <c r="I28" s="1" t="s">
        <v>90</v>
      </c>
      <c r="J28" s="1" t="s">
        <v>329</v>
      </c>
      <c r="K28" s="1" t="s">
        <v>165</v>
      </c>
      <c r="L28" s="4">
        <v>94999</v>
      </c>
      <c r="M28" s="1" t="s">
        <v>5735</v>
      </c>
    </row>
    <row r="29" spans="1:21" ht="15.75" customHeight="1" x14ac:dyDescent="0.35">
      <c r="A29" s="1" t="s">
        <v>30</v>
      </c>
      <c r="B29" s="1" t="s">
        <v>5776</v>
      </c>
      <c r="C29" s="1" t="s">
        <v>5801</v>
      </c>
      <c r="D29" s="1" t="s">
        <v>5789</v>
      </c>
      <c r="E29" s="1" t="s">
        <v>5799</v>
      </c>
      <c r="F29" s="1" t="s">
        <v>5792</v>
      </c>
      <c r="G29" s="1" t="s">
        <v>224</v>
      </c>
      <c r="H29" s="1" t="s">
        <v>200</v>
      </c>
      <c r="I29" s="1" t="s">
        <v>90</v>
      </c>
      <c r="J29" s="1" t="s">
        <v>337</v>
      </c>
      <c r="K29" s="1" t="s">
        <v>165</v>
      </c>
      <c r="L29" s="4">
        <v>228337</v>
      </c>
      <c r="M29" s="1" t="s">
        <v>5735</v>
      </c>
    </row>
    <row r="30" spans="1:21" ht="15.75" customHeight="1" x14ac:dyDescent="0.35">
      <c r="A30" s="1" t="s">
        <v>30</v>
      </c>
      <c r="B30" s="1" t="s">
        <v>5774</v>
      </c>
      <c r="C30" s="1" t="s">
        <v>5801</v>
      </c>
      <c r="D30" s="1" t="s">
        <v>5789</v>
      </c>
      <c r="E30" s="1" t="s">
        <v>5804</v>
      </c>
      <c r="F30" s="1" t="s">
        <v>5805</v>
      </c>
      <c r="G30" s="1" t="s">
        <v>38</v>
      </c>
      <c r="H30" s="1" t="s">
        <v>111</v>
      </c>
      <c r="I30" s="1" t="s">
        <v>90</v>
      </c>
      <c r="J30" s="1" t="s">
        <v>46</v>
      </c>
      <c r="K30" s="1" t="s">
        <v>165</v>
      </c>
      <c r="L30" s="4">
        <v>249999</v>
      </c>
      <c r="M30" s="1" t="s">
        <v>5735</v>
      </c>
    </row>
    <row r="31" spans="1:21" ht="15.75" customHeight="1" x14ac:dyDescent="0.35">
      <c r="A31" s="1" t="s">
        <v>66</v>
      </c>
      <c r="B31" s="1" t="s">
        <v>5768</v>
      </c>
      <c r="C31" s="1" t="s">
        <v>5794</v>
      </c>
      <c r="D31" s="1" t="s">
        <v>5735</v>
      </c>
      <c r="E31" s="1" t="s">
        <v>3816</v>
      </c>
      <c r="F31" s="1" t="s">
        <v>5795</v>
      </c>
      <c r="G31" s="1" t="s">
        <v>74</v>
      </c>
      <c r="H31" s="1" t="s">
        <v>5735</v>
      </c>
      <c r="I31" s="1" t="s">
        <v>101</v>
      </c>
      <c r="J31" s="1" t="s">
        <v>359</v>
      </c>
      <c r="K31" s="1" t="s">
        <v>78</v>
      </c>
      <c r="L31" s="4">
        <v>26699</v>
      </c>
      <c r="M31" s="1" t="s">
        <v>166</v>
      </c>
    </row>
    <row r="32" spans="1:21" ht="15.75" customHeight="1" x14ac:dyDescent="0.35">
      <c r="A32" s="1" t="s">
        <v>112</v>
      </c>
      <c r="B32" s="1" t="s">
        <v>5753</v>
      </c>
      <c r="C32" s="1" t="s">
        <v>5794</v>
      </c>
      <c r="D32" s="1" t="s">
        <v>2870</v>
      </c>
      <c r="E32" s="1" t="s">
        <v>3816</v>
      </c>
      <c r="F32" s="1" t="s">
        <v>5795</v>
      </c>
      <c r="G32" s="1" t="s">
        <v>74</v>
      </c>
      <c r="H32" s="1" t="s">
        <v>5796</v>
      </c>
      <c r="I32" s="1" t="s">
        <v>101</v>
      </c>
      <c r="J32" s="1" t="s">
        <v>127</v>
      </c>
      <c r="K32" s="1" t="s">
        <v>78</v>
      </c>
      <c r="L32" s="4">
        <v>34999</v>
      </c>
      <c r="M32" s="1" t="s">
        <v>79</v>
      </c>
    </row>
    <row r="33" spans="1:13" ht="15.75" customHeight="1" x14ac:dyDescent="0.35">
      <c r="A33" s="1" t="s">
        <v>30</v>
      </c>
      <c r="B33" s="1" t="s">
        <v>5810</v>
      </c>
      <c r="C33" s="1" t="s">
        <v>5797</v>
      </c>
      <c r="D33" s="1" t="s">
        <v>2870</v>
      </c>
      <c r="E33" s="1" t="s">
        <v>599</v>
      </c>
      <c r="F33" s="1" t="s">
        <v>5795</v>
      </c>
      <c r="G33" s="1" t="s">
        <v>74</v>
      </c>
      <c r="H33" s="1" t="s">
        <v>5796</v>
      </c>
      <c r="I33" s="1" t="s">
        <v>101</v>
      </c>
      <c r="J33" s="1" t="s">
        <v>376</v>
      </c>
      <c r="K33" s="1" t="s">
        <v>165</v>
      </c>
      <c r="L33" s="4">
        <v>41999</v>
      </c>
      <c r="M33" s="1" t="s">
        <v>5735</v>
      </c>
    </row>
    <row r="34" spans="1:13" ht="15.75" customHeight="1" x14ac:dyDescent="0.35">
      <c r="A34" s="1" t="s">
        <v>30</v>
      </c>
      <c r="B34" s="1" t="s">
        <v>5771</v>
      </c>
      <c r="C34" s="1" t="s">
        <v>5800</v>
      </c>
      <c r="D34" s="1" t="s">
        <v>3816</v>
      </c>
      <c r="E34" s="1" t="s">
        <v>5811</v>
      </c>
      <c r="F34" s="1" t="s">
        <v>5795</v>
      </c>
      <c r="G34" s="1" t="s">
        <v>1371</v>
      </c>
      <c r="H34" s="1" t="s">
        <v>5735</v>
      </c>
      <c r="I34" s="1" t="s">
        <v>101</v>
      </c>
      <c r="J34" s="1" t="s">
        <v>63</v>
      </c>
      <c r="K34" s="1" t="s">
        <v>165</v>
      </c>
      <c r="L34" s="4">
        <v>61999</v>
      </c>
      <c r="M34" s="1" t="s">
        <v>5735</v>
      </c>
    </row>
    <row r="35" spans="1:13" ht="15.75" customHeight="1" x14ac:dyDescent="0.35">
      <c r="A35" s="1" t="s">
        <v>30</v>
      </c>
      <c r="B35" s="1" t="s">
        <v>5771</v>
      </c>
      <c r="C35" s="1" t="s">
        <v>5788</v>
      </c>
      <c r="D35" s="1" t="s">
        <v>3816</v>
      </c>
      <c r="E35" s="1" t="s">
        <v>599</v>
      </c>
      <c r="F35" s="1" t="s">
        <v>5792</v>
      </c>
      <c r="G35" s="1" t="s">
        <v>1371</v>
      </c>
      <c r="H35" s="1" t="s">
        <v>5793</v>
      </c>
      <c r="I35" s="1" t="s">
        <v>90</v>
      </c>
      <c r="J35" s="1" t="s">
        <v>63</v>
      </c>
      <c r="K35" s="1" t="s">
        <v>165</v>
      </c>
      <c r="L35" s="4">
        <v>69999</v>
      </c>
      <c r="M35" s="1" t="s">
        <v>65</v>
      </c>
    </row>
    <row r="36" spans="1:13" ht="15.75" customHeight="1" x14ac:dyDescent="0.35">
      <c r="A36" s="1" t="s">
        <v>151</v>
      </c>
      <c r="B36" s="1" t="s">
        <v>5761</v>
      </c>
      <c r="C36" s="1" t="s">
        <v>5808</v>
      </c>
      <c r="D36" s="1" t="s">
        <v>2870</v>
      </c>
      <c r="E36" s="1" t="s">
        <v>5807</v>
      </c>
      <c r="F36" s="1" t="s">
        <v>5795</v>
      </c>
      <c r="G36" s="1" t="s">
        <v>74</v>
      </c>
      <c r="H36" s="1" t="s">
        <v>5796</v>
      </c>
      <c r="I36" s="1" t="s">
        <v>101</v>
      </c>
      <c r="J36" s="1" t="s">
        <v>398</v>
      </c>
      <c r="K36" s="1" t="s">
        <v>78</v>
      </c>
      <c r="L36" s="4">
        <v>39999</v>
      </c>
      <c r="M36" s="1" t="s">
        <v>5735</v>
      </c>
    </row>
    <row r="37" spans="1:13" ht="15.75" customHeight="1" x14ac:dyDescent="0.35">
      <c r="A37" s="1" t="s">
        <v>112</v>
      </c>
      <c r="B37" s="1" t="s">
        <v>5753</v>
      </c>
      <c r="C37" s="1" t="s">
        <v>5800</v>
      </c>
      <c r="D37" s="1" t="s">
        <v>2870</v>
      </c>
      <c r="E37" s="1" t="s">
        <v>599</v>
      </c>
      <c r="F37" s="1" t="s">
        <v>5792</v>
      </c>
      <c r="G37" s="1" t="s">
        <v>74</v>
      </c>
      <c r="H37" s="1" t="s">
        <v>5796</v>
      </c>
      <c r="I37" s="1" t="s">
        <v>101</v>
      </c>
      <c r="J37" s="1" t="s">
        <v>142</v>
      </c>
      <c r="K37" s="1" t="s">
        <v>78</v>
      </c>
      <c r="L37" s="4">
        <v>42999</v>
      </c>
      <c r="M37" s="1" t="s">
        <v>79</v>
      </c>
    </row>
    <row r="38" spans="1:13" ht="15.75" customHeight="1" x14ac:dyDescent="0.35">
      <c r="A38" s="1" t="s">
        <v>151</v>
      </c>
      <c r="B38" s="1" t="s">
        <v>5761</v>
      </c>
      <c r="C38" s="1" t="s">
        <v>5808</v>
      </c>
      <c r="D38" s="1" t="s">
        <v>3816</v>
      </c>
      <c r="E38" s="1" t="s">
        <v>5789</v>
      </c>
      <c r="F38" s="1" t="s">
        <v>5795</v>
      </c>
      <c r="G38" s="1" t="s">
        <v>74</v>
      </c>
      <c r="H38" s="1" t="s">
        <v>5796</v>
      </c>
      <c r="I38" s="1" t="s">
        <v>101</v>
      </c>
      <c r="J38" s="1" t="s">
        <v>398</v>
      </c>
      <c r="K38" s="1" t="s">
        <v>78</v>
      </c>
      <c r="L38" s="4">
        <v>47777</v>
      </c>
      <c r="M38" s="1" t="s">
        <v>5735</v>
      </c>
    </row>
    <row r="39" spans="1:13" ht="15.75" customHeight="1" x14ac:dyDescent="0.35">
      <c r="A39" s="1" t="s">
        <v>81</v>
      </c>
      <c r="B39" s="1" t="s">
        <v>5810</v>
      </c>
      <c r="C39" s="1" t="s">
        <v>5794</v>
      </c>
      <c r="D39" s="1" t="s">
        <v>2870</v>
      </c>
      <c r="E39" s="1" t="s">
        <v>599</v>
      </c>
      <c r="F39" s="1" t="s">
        <v>5795</v>
      </c>
      <c r="G39" s="1" t="s">
        <v>74</v>
      </c>
      <c r="H39" s="1" t="s">
        <v>111</v>
      </c>
      <c r="I39" s="1" t="s">
        <v>101</v>
      </c>
      <c r="J39" s="1" t="s">
        <v>423</v>
      </c>
      <c r="K39" s="1" t="s">
        <v>425</v>
      </c>
      <c r="L39" s="4">
        <v>37777</v>
      </c>
      <c r="M39" s="1" t="s">
        <v>79</v>
      </c>
    </row>
    <row r="40" spans="1:13" ht="15.75" customHeight="1" x14ac:dyDescent="0.35">
      <c r="A40" s="1" t="s">
        <v>151</v>
      </c>
      <c r="B40" s="1" t="s">
        <v>5760</v>
      </c>
      <c r="C40" s="1" t="s">
        <v>5800</v>
      </c>
      <c r="D40" s="1" t="s">
        <v>3816</v>
      </c>
      <c r="E40" s="1" t="s">
        <v>599</v>
      </c>
      <c r="F40" s="1" t="s">
        <v>5795</v>
      </c>
      <c r="G40" s="1" t="s">
        <v>224</v>
      </c>
      <c r="H40" s="1" t="s">
        <v>200</v>
      </c>
      <c r="I40" s="1" t="s">
        <v>90</v>
      </c>
      <c r="J40" s="1" t="s">
        <v>63</v>
      </c>
      <c r="K40" s="1" t="s">
        <v>165</v>
      </c>
      <c r="L40" s="4">
        <v>66666</v>
      </c>
      <c r="M40" s="1" t="s">
        <v>65</v>
      </c>
    </row>
    <row r="41" spans="1:13" ht="15.75" customHeight="1" x14ac:dyDescent="0.35">
      <c r="A41" s="1" t="s">
        <v>112</v>
      </c>
      <c r="B41" s="1" t="s">
        <v>5753</v>
      </c>
      <c r="C41" s="1" t="s">
        <v>5794</v>
      </c>
      <c r="D41" s="1" t="s">
        <v>3231</v>
      </c>
      <c r="E41" s="1" t="s">
        <v>3816</v>
      </c>
      <c r="F41" s="1" t="s">
        <v>5795</v>
      </c>
      <c r="G41" s="1" t="s">
        <v>74</v>
      </c>
      <c r="H41" s="1" t="s">
        <v>5796</v>
      </c>
      <c r="I41" s="1" t="s">
        <v>101</v>
      </c>
      <c r="J41" s="1" t="s">
        <v>127</v>
      </c>
      <c r="K41" s="1" t="s">
        <v>78</v>
      </c>
      <c r="L41" s="4">
        <v>30999</v>
      </c>
      <c r="M41" s="1" t="s">
        <v>79</v>
      </c>
    </row>
    <row r="42" spans="1:13" ht="15.75" customHeight="1" x14ac:dyDescent="0.35">
      <c r="A42" s="1" t="s">
        <v>112</v>
      </c>
      <c r="B42" s="1" t="s">
        <v>5753</v>
      </c>
      <c r="C42" s="1" t="s">
        <v>5794</v>
      </c>
      <c r="D42" s="1" t="s">
        <v>3231</v>
      </c>
      <c r="E42" s="1" t="s">
        <v>3816</v>
      </c>
      <c r="F42" s="1" t="s">
        <v>5795</v>
      </c>
      <c r="G42" s="1" t="s">
        <v>74</v>
      </c>
      <c r="H42" s="1" t="s">
        <v>5796</v>
      </c>
      <c r="I42" s="1" t="s">
        <v>101</v>
      </c>
      <c r="J42" s="1" t="s">
        <v>127</v>
      </c>
      <c r="K42" s="1" t="s">
        <v>78</v>
      </c>
      <c r="L42" s="4">
        <v>31899</v>
      </c>
      <c r="M42" s="1" t="s">
        <v>79</v>
      </c>
    </row>
    <row r="43" spans="1:13" ht="15.75" customHeight="1" x14ac:dyDescent="0.35">
      <c r="A43" s="1" t="s">
        <v>151</v>
      </c>
      <c r="B43" s="1" t="s">
        <v>5760</v>
      </c>
      <c r="C43" s="1" t="s">
        <v>5788</v>
      </c>
      <c r="D43" s="1" t="s">
        <v>3816</v>
      </c>
      <c r="E43" s="1" t="s">
        <v>5799</v>
      </c>
      <c r="F43" s="1" t="s">
        <v>5792</v>
      </c>
      <c r="G43" s="1" t="s">
        <v>224</v>
      </c>
      <c r="H43" s="1" t="s">
        <v>5793</v>
      </c>
      <c r="I43" s="1" t="s">
        <v>101</v>
      </c>
      <c r="J43" s="1" t="s">
        <v>230</v>
      </c>
      <c r="K43" s="1" t="s">
        <v>78</v>
      </c>
      <c r="L43" s="4">
        <v>113000</v>
      </c>
      <c r="M43" s="1" t="s">
        <v>65</v>
      </c>
    </row>
    <row r="44" spans="1:13" ht="15.75" customHeight="1" x14ac:dyDescent="0.35">
      <c r="A44" s="1" t="s">
        <v>234</v>
      </c>
      <c r="B44" s="1" t="s">
        <v>5756</v>
      </c>
      <c r="C44" s="1" t="s">
        <v>5806</v>
      </c>
      <c r="D44" s="1" t="s">
        <v>3816</v>
      </c>
      <c r="E44" s="1" t="s">
        <v>599</v>
      </c>
      <c r="F44" s="1" t="s">
        <v>5792</v>
      </c>
      <c r="G44" s="1" t="s">
        <v>1015</v>
      </c>
      <c r="H44" s="1" t="s">
        <v>5793</v>
      </c>
      <c r="I44" s="1" t="s">
        <v>90</v>
      </c>
      <c r="J44" s="1" t="s">
        <v>944</v>
      </c>
      <c r="K44" s="1" t="s">
        <v>78</v>
      </c>
      <c r="L44" s="4">
        <v>92999</v>
      </c>
      <c r="M44" s="1" t="s">
        <v>5735</v>
      </c>
    </row>
    <row r="45" spans="1:13" ht="15.75" customHeight="1" x14ac:dyDescent="0.35">
      <c r="A45" s="1" t="s">
        <v>234</v>
      </c>
      <c r="B45" s="1" t="s">
        <v>5758</v>
      </c>
      <c r="C45" s="1" t="s">
        <v>5812</v>
      </c>
      <c r="D45" s="1" t="s">
        <v>5735</v>
      </c>
      <c r="E45" s="1" t="s">
        <v>3816</v>
      </c>
      <c r="F45" s="1" t="s">
        <v>5795</v>
      </c>
      <c r="G45" s="1" t="s">
        <v>1015</v>
      </c>
      <c r="H45" s="1" t="s">
        <v>5796</v>
      </c>
      <c r="I45" s="1" t="s">
        <v>90</v>
      </c>
      <c r="J45" s="1" t="s">
        <v>2878</v>
      </c>
      <c r="K45" s="1" t="s">
        <v>78</v>
      </c>
      <c r="L45" s="4">
        <v>36666</v>
      </c>
      <c r="M45" s="1" t="s">
        <v>5735</v>
      </c>
    </row>
    <row r="46" spans="1:13" ht="15.75" customHeight="1" x14ac:dyDescent="0.35">
      <c r="A46" s="1" t="s">
        <v>234</v>
      </c>
      <c r="B46" s="1" t="s">
        <v>5756</v>
      </c>
      <c r="C46" s="1" t="s">
        <v>5801</v>
      </c>
      <c r="D46" s="1" t="s">
        <v>5807</v>
      </c>
      <c r="E46" s="1" t="s">
        <v>599</v>
      </c>
      <c r="F46" s="1" t="s">
        <v>5792</v>
      </c>
      <c r="G46" s="1" t="s">
        <v>224</v>
      </c>
      <c r="H46" s="1" t="s">
        <v>200</v>
      </c>
      <c r="I46" s="1" t="s">
        <v>90</v>
      </c>
      <c r="J46" s="1" t="s">
        <v>5813</v>
      </c>
      <c r="K46" s="1" t="s">
        <v>78</v>
      </c>
      <c r="L46" s="4">
        <v>164888</v>
      </c>
      <c r="M46" s="1" t="s">
        <v>5735</v>
      </c>
    </row>
    <row r="47" spans="1:13" ht="15.75" customHeight="1" x14ac:dyDescent="0.35">
      <c r="A47" s="1" t="s">
        <v>234</v>
      </c>
      <c r="B47" s="1" t="s">
        <v>5756</v>
      </c>
      <c r="C47" s="1" t="s">
        <v>5801</v>
      </c>
      <c r="D47" s="1" t="s">
        <v>5807</v>
      </c>
      <c r="E47" s="1" t="s">
        <v>5799</v>
      </c>
      <c r="F47" s="1" t="s">
        <v>5792</v>
      </c>
      <c r="G47" s="1" t="s">
        <v>1015</v>
      </c>
      <c r="H47" s="1" t="s">
        <v>5793</v>
      </c>
      <c r="I47" s="1" t="s">
        <v>90</v>
      </c>
      <c r="J47" s="1" t="s">
        <v>2696</v>
      </c>
      <c r="K47" s="1" t="s">
        <v>78</v>
      </c>
      <c r="L47" s="4">
        <v>135000</v>
      </c>
      <c r="M47" s="1" t="s">
        <v>5735</v>
      </c>
    </row>
    <row r="48" spans="1:13" ht="15.75" customHeight="1" x14ac:dyDescent="0.35">
      <c r="A48" s="1" t="s">
        <v>234</v>
      </c>
      <c r="B48" s="1" t="s">
        <v>5756</v>
      </c>
      <c r="C48" s="1" t="s">
        <v>5788</v>
      </c>
      <c r="D48" s="1" t="s">
        <v>3816</v>
      </c>
      <c r="E48" s="1" t="s">
        <v>599</v>
      </c>
      <c r="F48" s="1" t="s">
        <v>5792</v>
      </c>
      <c r="G48" s="1" t="s">
        <v>1015</v>
      </c>
      <c r="H48" s="1" t="s">
        <v>5793</v>
      </c>
      <c r="I48" s="1" t="s">
        <v>90</v>
      </c>
      <c r="J48" s="1" t="s">
        <v>944</v>
      </c>
      <c r="K48" s="1" t="s">
        <v>78</v>
      </c>
      <c r="L48" s="4">
        <v>85399</v>
      </c>
      <c r="M48" s="1" t="s">
        <v>65</v>
      </c>
    </row>
    <row r="49" spans="1:13" ht="15.75" customHeight="1" x14ac:dyDescent="0.35">
      <c r="A49" s="1" t="s">
        <v>30</v>
      </c>
      <c r="B49" s="1" t="s">
        <v>5773</v>
      </c>
      <c r="C49" s="1" t="s">
        <v>5788</v>
      </c>
      <c r="D49" s="1" t="s">
        <v>3816</v>
      </c>
      <c r="E49" s="1" t="s">
        <v>599</v>
      </c>
      <c r="F49" s="1" t="s">
        <v>5792</v>
      </c>
      <c r="G49" s="1" t="s">
        <v>74</v>
      </c>
      <c r="H49" s="1" t="s">
        <v>5796</v>
      </c>
      <c r="I49" s="1" t="s">
        <v>101</v>
      </c>
      <c r="J49" s="1" t="s">
        <v>503</v>
      </c>
      <c r="K49" s="1" t="s">
        <v>78</v>
      </c>
      <c r="L49" s="4">
        <v>69999</v>
      </c>
      <c r="M49" s="1" t="s">
        <v>65</v>
      </c>
    </row>
    <row r="50" spans="1:13" ht="15.75" customHeight="1" x14ac:dyDescent="0.35">
      <c r="A50" s="1" t="s">
        <v>151</v>
      </c>
      <c r="B50" s="1" t="s">
        <v>5761</v>
      </c>
      <c r="C50" s="1" t="s">
        <v>5794</v>
      </c>
      <c r="D50" s="1" t="s">
        <v>3231</v>
      </c>
      <c r="E50" s="1" t="s">
        <v>5789</v>
      </c>
      <c r="F50" s="1" t="s">
        <v>5795</v>
      </c>
      <c r="G50" s="1" t="s">
        <v>74</v>
      </c>
      <c r="H50" s="1" t="s">
        <v>5796</v>
      </c>
      <c r="I50" s="1" t="s">
        <v>90</v>
      </c>
      <c r="J50" s="1" t="s">
        <v>398</v>
      </c>
      <c r="K50" s="1" t="s">
        <v>165</v>
      </c>
      <c r="L50" s="4">
        <v>30777</v>
      </c>
      <c r="M50" s="1" t="s">
        <v>166</v>
      </c>
    </row>
    <row r="51" spans="1:13" ht="15.75" customHeight="1" x14ac:dyDescent="0.35">
      <c r="A51" s="1" t="s">
        <v>234</v>
      </c>
      <c r="B51" s="1" t="s">
        <v>5757</v>
      </c>
      <c r="C51" s="1" t="s">
        <v>5801</v>
      </c>
      <c r="D51" s="1" t="s">
        <v>3816</v>
      </c>
      <c r="E51" s="1" t="s">
        <v>599</v>
      </c>
      <c r="F51" s="1" t="s">
        <v>5792</v>
      </c>
      <c r="G51" s="1" t="s">
        <v>224</v>
      </c>
      <c r="H51" s="1" t="s">
        <v>200</v>
      </c>
      <c r="I51" s="1" t="s">
        <v>90</v>
      </c>
      <c r="J51" s="1" t="s">
        <v>923</v>
      </c>
      <c r="K51" s="1" t="s">
        <v>78</v>
      </c>
      <c r="L51" s="4">
        <v>108000</v>
      </c>
      <c r="M51" s="1" t="s">
        <v>5735</v>
      </c>
    </row>
    <row r="52" spans="1:13" ht="15.75" customHeight="1" x14ac:dyDescent="0.35">
      <c r="A52" s="1" t="s">
        <v>30</v>
      </c>
      <c r="B52" s="1" t="s">
        <v>5777</v>
      </c>
      <c r="C52" s="1" t="s">
        <v>5801</v>
      </c>
      <c r="D52" s="1" t="s">
        <v>3816</v>
      </c>
      <c r="E52" s="1" t="s">
        <v>5799</v>
      </c>
      <c r="F52" s="1" t="s">
        <v>5792</v>
      </c>
      <c r="G52" s="1" t="s">
        <v>224</v>
      </c>
      <c r="H52" s="1" t="s">
        <v>200</v>
      </c>
      <c r="I52" s="1" t="s">
        <v>90</v>
      </c>
      <c r="J52" s="1" t="s">
        <v>529</v>
      </c>
      <c r="K52" s="1" t="s">
        <v>78</v>
      </c>
      <c r="L52" s="4">
        <v>104999</v>
      </c>
      <c r="M52" s="1" t="s">
        <v>5735</v>
      </c>
    </row>
    <row r="53" spans="1:13" ht="15.75" customHeight="1" x14ac:dyDescent="0.35">
      <c r="A53" s="1" t="s">
        <v>30</v>
      </c>
      <c r="B53" s="1" t="s">
        <v>5776</v>
      </c>
      <c r="C53" s="1" t="s">
        <v>5801</v>
      </c>
      <c r="D53" s="1" t="s">
        <v>599</v>
      </c>
      <c r="E53" s="1" t="s">
        <v>599</v>
      </c>
      <c r="F53" s="1" t="s">
        <v>5792</v>
      </c>
      <c r="G53" s="1" t="s">
        <v>224</v>
      </c>
      <c r="H53" s="1" t="s">
        <v>200</v>
      </c>
      <c r="I53" s="1" t="s">
        <v>90</v>
      </c>
      <c r="J53" s="1" t="s">
        <v>537</v>
      </c>
      <c r="K53" s="1" t="s">
        <v>165</v>
      </c>
      <c r="L53" s="4">
        <v>151999</v>
      </c>
      <c r="M53" s="1" t="s">
        <v>5735</v>
      </c>
    </row>
    <row r="54" spans="1:13" ht="15.75" customHeight="1" x14ac:dyDescent="0.35">
      <c r="A54" s="1" t="s">
        <v>112</v>
      </c>
      <c r="B54" s="1" t="s">
        <v>5754</v>
      </c>
      <c r="C54" s="1" t="s">
        <v>5800</v>
      </c>
      <c r="D54" s="1" t="s">
        <v>3816</v>
      </c>
      <c r="E54" s="1" t="s">
        <v>599</v>
      </c>
      <c r="F54" s="1" t="s">
        <v>5792</v>
      </c>
      <c r="G54" s="1" t="s">
        <v>74</v>
      </c>
      <c r="H54" s="1" t="s">
        <v>5796</v>
      </c>
      <c r="I54" s="1" t="s">
        <v>90</v>
      </c>
      <c r="J54" s="1" t="s">
        <v>142</v>
      </c>
      <c r="K54" s="1" t="s">
        <v>78</v>
      </c>
      <c r="L54" s="4">
        <v>82399</v>
      </c>
      <c r="M54" s="1" t="s">
        <v>65</v>
      </c>
    </row>
    <row r="55" spans="1:13" ht="15.75" customHeight="1" x14ac:dyDescent="0.35">
      <c r="A55" s="1" t="s">
        <v>30</v>
      </c>
      <c r="B55" s="1" t="s">
        <v>5776</v>
      </c>
      <c r="C55" s="1" t="s">
        <v>5788</v>
      </c>
      <c r="D55" s="1" t="s">
        <v>599</v>
      </c>
      <c r="E55" s="1" t="s">
        <v>5799</v>
      </c>
      <c r="F55" s="1" t="s">
        <v>5792</v>
      </c>
      <c r="G55" s="1" t="s">
        <v>224</v>
      </c>
      <c r="H55" s="1" t="s">
        <v>200</v>
      </c>
      <c r="I55" s="1" t="s">
        <v>90</v>
      </c>
      <c r="J55" s="1" t="s">
        <v>537</v>
      </c>
      <c r="K55" s="1" t="s">
        <v>78</v>
      </c>
      <c r="L55" s="4">
        <v>179888</v>
      </c>
      <c r="M55" s="1" t="s">
        <v>65</v>
      </c>
    </row>
    <row r="56" spans="1:13" ht="15.75" customHeight="1" x14ac:dyDescent="0.35">
      <c r="A56" s="1" t="s">
        <v>30</v>
      </c>
      <c r="B56" s="1" t="s">
        <v>5776</v>
      </c>
      <c r="C56" s="1" t="s">
        <v>5801</v>
      </c>
      <c r="D56" s="1" t="s">
        <v>5807</v>
      </c>
      <c r="E56" s="1" t="s">
        <v>5799</v>
      </c>
      <c r="F56" s="1" t="s">
        <v>5792</v>
      </c>
      <c r="G56" s="1" t="s">
        <v>224</v>
      </c>
      <c r="H56" s="1" t="s">
        <v>200</v>
      </c>
      <c r="I56" s="1" t="s">
        <v>90</v>
      </c>
      <c r="J56" s="1" t="s">
        <v>537</v>
      </c>
      <c r="K56" s="1" t="s">
        <v>165</v>
      </c>
      <c r="L56" s="4">
        <v>129999</v>
      </c>
      <c r="M56" s="1" t="s">
        <v>5735</v>
      </c>
    </row>
    <row r="57" spans="1:13" ht="15.75" customHeight="1" x14ac:dyDescent="0.35">
      <c r="A57" s="1" t="s">
        <v>30</v>
      </c>
      <c r="B57" s="1" t="s">
        <v>5776</v>
      </c>
      <c r="C57" s="1" t="s">
        <v>5801</v>
      </c>
      <c r="D57" s="1" t="s">
        <v>599</v>
      </c>
      <c r="E57" s="1" t="s">
        <v>5799</v>
      </c>
      <c r="F57" s="1" t="s">
        <v>5792</v>
      </c>
      <c r="G57" s="1" t="s">
        <v>224</v>
      </c>
      <c r="H57" s="1" t="s">
        <v>200</v>
      </c>
      <c r="I57" s="1" t="s">
        <v>90</v>
      </c>
      <c r="J57" s="1" t="s">
        <v>537</v>
      </c>
      <c r="K57" s="1" t="s">
        <v>165</v>
      </c>
      <c r="L57" s="4">
        <v>169999</v>
      </c>
      <c r="M57" s="1" t="s">
        <v>5735</v>
      </c>
    </row>
    <row r="58" spans="1:13" ht="15.75" customHeight="1" x14ac:dyDescent="0.35">
      <c r="A58" s="1" t="s">
        <v>30</v>
      </c>
      <c r="B58" s="1" t="s">
        <v>5775</v>
      </c>
      <c r="C58" s="1" t="s">
        <v>5801</v>
      </c>
      <c r="D58" s="1" t="s">
        <v>5789</v>
      </c>
      <c r="E58" s="1" t="s">
        <v>5804</v>
      </c>
      <c r="F58" s="1" t="s">
        <v>5814</v>
      </c>
      <c r="G58" s="1" t="s">
        <v>38</v>
      </c>
      <c r="H58" s="1" t="s">
        <v>111</v>
      </c>
      <c r="I58" s="1" t="s">
        <v>90</v>
      </c>
      <c r="J58" s="1" t="s">
        <v>46</v>
      </c>
      <c r="K58" s="1" t="s">
        <v>165</v>
      </c>
      <c r="L58" s="4">
        <v>299999</v>
      </c>
      <c r="M58" s="1" t="s">
        <v>5735</v>
      </c>
    </row>
    <row r="59" spans="1:13" ht="15.75" customHeight="1" x14ac:dyDescent="0.35">
      <c r="A59" s="1" t="s">
        <v>151</v>
      </c>
      <c r="B59" s="1" t="s">
        <v>5761</v>
      </c>
      <c r="C59" s="1" t="s">
        <v>5794</v>
      </c>
      <c r="D59" s="1" t="s">
        <v>2870</v>
      </c>
      <c r="E59" s="1" t="s">
        <v>5789</v>
      </c>
      <c r="F59" s="1" t="s">
        <v>5795</v>
      </c>
      <c r="G59" s="1" t="s">
        <v>74</v>
      </c>
      <c r="H59" s="1" t="s">
        <v>5796</v>
      </c>
      <c r="I59" s="1" t="s">
        <v>5735</v>
      </c>
      <c r="J59" s="1" t="s">
        <v>398</v>
      </c>
      <c r="K59" s="1" t="s">
        <v>165</v>
      </c>
      <c r="L59" s="4">
        <v>36666</v>
      </c>
      <c r="M59" s="1" t="s">
        <v>79</v>
      </c>
    </row>
    <row r="60" spans="1:13" ht="15.75" customHeight="1" x14ac:dyDescent="0.35">
      <c r="A60" s="1" t="s">
        <v>234</v>
      </c>
      <c r="B60" s="1" t="s">
        <v>5756</v>
      </c>
      <c r="C60" s="1" t="s">
        <v>5801</v>
      </c>
      <c r="D60" s="1" t="s">
        <v>599</v>
      </c>
      <c r="E60" s="1" t="s">
        <v>5804</v>
      </c>
      <c r="F60" s="1" t="s">
        <v>5805</v>
      </c>
      <c r="G60" s="1" t="s">
        <v>224</v>
      </c>
      <c r="H60" s="1" t="s">
        <v>200</v>
      </c>
      <c r="I60" s="1" t="s">
        <v>90</v>
      </c>
      <c r="J60" s="1" t="s">
        <v>1227</v>
      </c>
      <c r="K60" s="1" t="s">
        <v>78</v>
      </c>
      <c r="L60" s="4">
        <v>193999</v>
      </c>
      <c r="M60" s="1" t="s">
        <v>5735</v>
      </c>
    </row>
    <row r="61" spans="1:13" ht="15.75" customHeight="1" x14ac:dyDescent="0.35">
      <c r="A61" s="1" t="s">
        <v>234</v>
      </c>
      <c r="B61" s="1" t="s">
        <v>5756</v>
      </c>
      <c r="C61" s="1" t="s">
        <v>5801</v>
      </c>
      <c r="D61" s="1" t="s">
        <v>5807</v>
      </c>
      <c r="E61" s="1" t="s">
        <v>5799</v>
      </c>
      <c r="F61" s="1" t="s">
        <v>5792</v>
      </c>
      <c r="G61" s="1" t="s">
        <v>224</v>
      </c>
      <c r="H61" s="1" t="s">
        <v>200</v>
      </c>
      <c r="I61" s="1" t="s">
        <v>90</v>
      </c>
      <c r="J61" s="1" t="s">
        <v>1227</v>
      </c>
      <c r="K61" s="1" t="s">
        <v>78</v>
      </c>
      <c r="L61" s="4">
        <v>155000</v>
      </c>
      <c r="M61" s="1" t="s">
        <v>5735</v>
      </c>
    </row>
    <row r="62" spans="1:13" ht="15.75" customHeight="1" x14ac:dyDescent="0.35">
      <c r="A62" s="1" t="s">
        <v>234</v>
      </c>
      <c r="B62" s="1" t="s">
        <v>5757</v>
      </c>
      <c r="C62" s="1" t="s">
        <v>5801</v>
      </c>
      <c r="D62" s="1" t="s">
        <v>5807</v>
      </c>
      <c r="E62" s="1" t="s">
        <v>5799</v>
      </c>
      <c r="F62" s="1" t="s">
        <v>5805</v>
      </c>
      <c r="G62" s="1" t="s">
        <v>224</v>
      </c>
      <c r="H62" s="1" t="s">
        <v>200</v>
      </c>
      <c r="I62" s="1" t="s">
        <v>90</v>
      </c>
      <c r="J62" s="1" t="s">
        <v>923</v>
      </c>
      <c r="K62" s="1" t="s">
        <v>78</v>
      </c>
      <c r="L62" s="4">
        <v>147777</v>
      </c>
      <c r="M62" s="1" t="s">
        <v>5735</v>
      </c>
    </row>
    <row r="63" spans="1:13" ht="15.75" customHeight="1" x14ac:dyDescent="0.35">
      <c r="A63" s="1" t="s">
        <v>112</v>
      </c>
      <c r="B63" s="1" t="s">
        <v>5754</v>
      </c>
      <c r="C63" s="1" t="s">
        <v>5801</v>
      </c>
      <c r="D63" s="1" t="s">
        <v>599</v>
      </c>
      <c r="E63" s="1" t="s">
        <v>5799</v>
      </c>
      <c r="F63" s="1" t="s">
        <v>5792</v>
      </c>
      <c r="G63" s="1" t="s">
        <v>224</v>
      </c>
      <c r="H63" s="1" t="s">
        <v>200</v>
      </c>
      <c r="I63" s="1" t="s">
        <v>90</v>
      </c>
      <c r="J63" s="1" t="s">
        <v>605</v>
      </c>
      <c r="K63" s="1" t="s">
        <v>78</v>
      </c>
      <c r="L63" s="4">
        <v>200000</v>
      </c>
      <c r="M63" s="1" t="s">
        <v>5735</v>
      </c>
    </row>
    <row r="64" spans="1:13" ht="15.75" customHeight="1" x14ac:dyDescent="0.35">
      <c r="A64" s="1" t="s">
        <v>112</v>
      </c>
      <c r="B64" s="1" t="s">
        <v>5753</v>
      </c>
      <c r="C64" s="1" t="s">
        <v>5794</v>
      </c>
      <c r="D64" s="1" t="s">
        <v>2870</v>
      </c>
      <c r="E64" s="1" t="s">
        <v>599</v>
      </c>
      <c r="F64" s="1" t="s">
        <v>5795</v>
      </c>
      <c r="G64" s="1" t="s">
        <v>74</v>
      </c>
      <c r="H64" s="1" t="s">
        <v>5796</v>
      </c>
      <c r="I64" s="1" t="s">
        <v>101</v>
      </c>
      <c r="J64" s="1" t="s">
        <v>5735</v>
      </c>
      <c r="K64" s="1" t="s">
        <v>78</v>
      </c>
      <c r="L64" s="4">
        <v>41199</v>
      </c>
      <c r="M64" s="1" t="s">
        <v>79</v>
      </c>
    </row>
    <row r="65" spans="1:13" ht="15.75" customHeight="1" x14ac:dyDescent="0.35">
      <c r="A65" s="1" t="s">
        <v>151</v>
      </c>
      <c r="B65" s="1" t="s">
        <v>5761</v>
      </c>
      <c r="C65" s="1" t="s">
        <v>5800</v>
      </c>
      <c r="D65" s="1" t="s">
        <v>3816</v>
      </c>
      <c r="E65" s="1" t="s">
        <v>599</v>
      </c>
      <c r="F65" s="1" t="s">
        <v>5792</v>
      </c>
      <c r="G65" s="1" t="s">
        <v>74</v>
      </c>
      <c r="H65" s="1" t="s">
        <v>5796</v>
      </c>
      <c r="I65" s="1" t="s">
        <v>101</v>
      </c>
      <c r="J65" s="1" t="s">
        <v>398</v>
      </c>
      <c r="K65" s="1" t="s">
        <v>165</v>
      </c>
      <c r="L65" s="4">
        <v>58699</v>
      </c>
      <c r="M65" s="1" t="s">
        <v>65</v>
      </c>
    </row>
    <row r="66" spans="1:13" ht="15.75" customHeight="1" x14ac:dyDescent="0.35">
      <c r="A66" s="1" t="s">
        <v>234</v>
      </c>
      <c r="B66" s="1" t="s">
        <v>5758</v>
      </c>
      <c r="C66" s="1" t="s">
        <v>5812</v>
      </c>
      <c r="D66" s="1" t="s">
        <v>2870</v>
      </c>
      <c r="E66" s="1" t="s">
        <v>3816</v>
      </c>
      <c r="F66" s="1" t="s">
        <v>5795</v>
      </c>
      <c r="G66" s="1" t="s">
        <v>1015</v>
      </c>
      <c r="H66" s="1" t="s">
        <v>5796</v>
      </c>
      <c r="I66" s="1" t="s">
        <v>90</v>
      </c>
      <c r="J66" s="1" t="s">
        <v>2878</v>
      </c>
      <c r="K66" s="1" t="s">
        <v>78</v>
      </c>
      <c r="L66" s="4">
        <v>39999</v>
      </c>
      <c r="M66" s="1" t="s">
        <v>5735</v>
      </c>
    </row>
    <row r="67" spans="1:13" ht="15.75" customHeight="1" x14ac:dyDescent="0.35">
      <c r="A67" s="1" t="s">
        <v>234</v>
      </c>
      <c r="B67" s="1" t="s">
        <v>5766</v>
      </c>
      <c r="C67" s="1" t="s">
        <v>5794</v>
      </c>
      <c r="D67" s="1" t="s">
        <v>3231</v>
      </c>
      <c r="E67" s="1" t="s">
        <v>3816</v>
      </c>
      <c r="F67" s="1" t="s">
        <v>5795</v>
      </c>
      <c r="G67" s="1" t="s">
        <v>1015</v>
      </c>
      <c r="H67" s="1" t="s">
        <v>5796</v>
      </c>
      <c r="I67" s="1" t="s">
        <v>90</v>
      </c>
      <c r="J67" s="1" t="s">
        <v>359</v>
      </c>
      <c r="K67" s="1" t="s">
        <v>78</v>
      </c>
      <c r="L67" s="4">
        <v>29999</v>
      </c>
      <c r="M67" s="1" t="s">
        <v>166</v>
      </c>
    </row>
    <row r="68" spans="1:13" ht="15.75" customHeight="1" x14ac:dyDescent="0.35">
      <c r="A68" s="1" t="s">
        <v>151</v>
      </c>
      <c r="B68" s="1" t="s">
        <v>5761</v>
      </c>
      <c r="C68" s="1" t="s">
        <v>5800</v>
      </c>
      <c r="D68" s="1" t="s">
        <v>3816</v>
      </c>
      <c r="E68" s="1" t="s">
        <v>599</v>
      </c>
      <c r="F68" s="1" t="s">
        <v>5792</v>
      </c>
      <c r="G68" s="1" t="s">
        <v>74</v>
      </c>
      <c r="H68" s="1" t="s">
        <v>5796</v>
      </c>
      <c r="I68" s="1" t="s">
        <v>90</v>
      </c>
      <c r="J68" s="1" t="s">
        <v>398</v>
      </c>
      <c r="K68" s="1" t="s">
        <v>165</v>
      </c>
      <c r="L68" s="4">
        <v>59699</v>
      </c>
      <c r="M68" s="1" t="s">
        <v>65</v>
      </c>
    </row>
    <row r="69" spans="1:13" ht="15.75" customHeight="1" x14ac:dyDescent="0.35">
      <c r="A69" s="1" t="s">
        <v>30</v>
      </c>
      <c r="B69" s="1" t="s">
        <v>5810</v>
      </c>
      <c r="C69" s="1" t="s">
        <v>5808</v>
      </c>
      <c r="D69" s="1" t="s">
        <v>3816</v>
      </c>
      <c r="E69" s="1" t="s">
        <v>599</v>
      </c>
      <c r="F69" s="1" t="s">
        <v>5795</v>
      </c>
      <c r="G69" s="1" t="s">
        <v>74</v>
      </c>
      <c r="H69" s="1" t="s">
        <v>5796</v>
      </c>
      <c r="I69" s="1" t="s">
        <v>101</v>
      </c>
      <c r="J69" s="1" t="s">
        <v>376</v>
      </c>
      <c r="K69" s="1" t="s">
        <v>165</v>
      </c>
      <c r="L69" s="4">
        <v>45599</v>
      </c>
      <c r="M69" s="1" t="s">
        <v>5735</v>
      </c>
    </row>
    <row r="70" spans="1:13" ht="15.75" customHeight="1" x14ac:dyDescent="0.35">
      <c r="A70" s="1" t="s">
        <v>30</v>
      </c>
      <c r="B70" s="1" t="s">
        <v>5771</v>
      </c>
      <c r="C70" s="1" t="s">
        <v>5806</v>
      </c>
      <c r="D70" s="1" t="s">
        <v>2870</v>
      </c>
      <c r="E70" s="1" t="s">
        <v>599</v>
      </c>
      <c r="F70" s="1" t="s">
        <v>5795</v>
      </c>
      <c r="G70" s="1" t="s">
        <v>74</v>
      </c>
      <c r="H70" s="1" t="s">
        <v>5796</v>
      </c>
      <c r="I70" s="1" t="s">
        <v>101</v>
      </c>
      <c r="J70" s="1" t="s">
        <v>652</v>
      </c>
      <c r="K70" s="1" t="s">
        <v>165</v>
      </c>
      <c r="L70" s="4">
        <v>52249</v>
      </c>
      <c r="M70" s="1" t="s">
        <v>5735</v>
      </c>
    </row>
    <row r="71" spans="1:13" ht="15.75" customHeight="1" x14ac:dyDescent="0.35">
      <c r="A71" s="1" t="s">
        <v>30</v>
      </c>
      <c r="B71" s="1" t="s">
        <v>5771</v>
      </c>
      <c r="C71" s="1" t="s">
        <v>5806</v>
      </c>
      <c r="D71" s="1" t="s">
        <v>3816</v>
      </c>
      <c r="E71" s="1" t="s">
        <v>599</v>
      </c>
      <c r="F71" s="1" t="s">
        <v>5795</v>
      </c>
      <c r="G71" s="1" t="s">
        <v>74</v>
      </c>
      <c r="H71" s="1" t="s">
        <v>5796</v>
      </c>
      <c r="I71" s="1" t="s">
        <v>101</v>
      </c>
      <c r="J71" s="1" t="s">
        <v>652</v>
      </c>
      <c r="K71" s="1" t="s">
        <v>165</v>
      </c>
      <c r="L71" s="4">
        <v>56899</v>
      </c>
      <c r="M71" s="1" t="s">
        <v>5735</v>
      </c>
    </row>
    <row r="72" spans="1:13" ht="15.75" customHeight="1" x14ac:dyDescent="0.35">
      <c r="A72" s="1" t="s">
        <v>30</v>
      </c>
      <c r="B72" s="1" t="s">
        <v>5810</v>
      </c>
      <c r="C72" s="1" t="s">
        <v>5800</v>
      </c>
      <c r="D72" s="1" t="s">
        <v>3231</v>
      </c>
      <c r="E72" s="1" t="s">
        <v>599</v>
      </c>
      <c r="F72" s="1" t="s">
        <v>5795</v>
      </c>
      <c r="G72" s="1" t="s">
        <v>74</v>
      </c>
      <c r="H72" s="1" t="s">
        <v>5796</v>
      </c>
      <c r="I72" s="1" t="s">
        <v>101</v>
      </c>
      <c r="J72" s="1" t="s">
        <v>376</v>
      </c>
      <c r="K72" s="1" t="s">
        <v>165</v>
      </c>
      <c r="L72" s="4">
        <v>34849</v>
      </c>
      <c r="M72" s="1" t="s">
        <v>79</v>
      </c>
    </row>
    <row r="73" spans="1:13" ht="15.75" customHeight="1" x14ac:dyDescent="0.35">
      <c r="A73" s="1" t="s">
        <v>112</v>
      </c>
      <c r="B73" s="1" t="s">
        <v>5753</v>
      </c>
      <c r="C73" s="1" t="s">
        <v>5794</v>
      </c>
      <c r="D73" s="1" t="s">
        <v>2870</v>
      </c>
      <c r="E73" s="1" t="s">
        <v>599</v>
      </c>
      <c r="F73" s="1" t="s">
        <v>5792</v>
      </c>
      <c r="G73" s="1" t="s">
        <v>74</v>
      </c>
      <c r="H73" s="1" t="s">
        <v>5796</v>
      </c>
      <c r="I73" s="1" t="s">
        <v>101</v>
      </c>
      <c r="J73" s="1" t="s">
        <v>142</v>
      </c>
      <c r="K73" s="1" t="s">
        <v>78</v>
      </c>
      <c r="L73" s="4">
        <v>39499</v>
      </c>
      <c r="M73" s="1" t="s">
        <v>65</v>
      </c>
    </row>
    <row r="74" spans="1:13" ht="15.75" customHeight="1" x14ac:dyDescent="0.35">
      <c r="A74" s="1" t="s">
        <v>112</v>
      </c>
      <c r="B74" s="1" t="s">
        <v>5753</v>
      </c>
      <c r="C74" s="1" t="s">
        <v>5794</v>
      </c>
      <c r="D74" s="1" t="s">
        <v>2870</v>
      </c>
      <c r="E74" s="1" t="s">
        <v>599</v>
      </c>
      <c r="F74" s="1" t="s">
        <v>5795</v>
      </c>
      <c r="G74" s="1" t="s">
        <v>74</v>
      </c>
      <c r="H74" s="1" t="s">
        <v>5796</v>
      </c>
      <c r="I74" s="1" t="s">
        <v>101</v>
      </c>
      <c r="J74" s="1" t="s">
        <v>127</v>
      </c>
      <c r="K74" s="1" t="s">
        <v>78</v>
      </c>
      <c r="L74" s="4">
        <v>39099</v>
      </c>
      <c r="M74" s="1" t="s">
        <v>79</v>
      </c>
    </row>
    <row r="75" spans="1:13" ht="15.75" customHeight="1" x14ac:dyDescent="0.35">
      <c r="A75" s="1" t="s">
        <v>234</v>
      </c>
      <c r="B75" s="1" t="s">
        <v>5758</v>
      </c>
      <c r="C75" s="1" t="s">
        <v>5802</v>
      </c>
      <c r="D75" s="1" t="s">
        <v>3816</v>
      </c>
      <c r="E75" s="1" t="s">
        <v>599</v>
      </c>
      <c r="F75" s="1" t="s">
        <v>5792</v>
      </c>
      <c r="G75" s="1" t="s">
        <v>224</v>
      </c>
      <c r="H75" s="1" t="s">
        <v>5793</v>
      </c>
      <c r="I75" s="1" t="s">
        <v>90</v>
      </c>
      <c r="J75" s="1" t="s">
        <v>5809</v>
      </c>
      <c r="K75" s="1" t="s">
        <v>78</v>
      </c>
      <c r="L75" s="4">
        <v>64777</v>
      </c>
      <c r="M75" s="1" t="s">
        <v>5735</v>
      </c>
    </row>
    <row r="76" spans="1:13" ht="15.75" customHeight="1" x14ac:dyDescent="0.35">
      <c r="A76" s="1" t="s">
        <v>112</v>
      </c>
      <c r="B76" s="1" t="s">
        <v>5753</v>
      </c>
      <c r="C76" s="1" t="s">
        <v>5794</v>
      </c>
      <c r="D76" s="1" t="s">
        <v>2870</v>
      </c>
      <c r="E76" s="1" t="s">
        <v>599</v>
      </c>
      <c r="F76" s="1" t="s">
        <v>5795</v>
      </c>
      <c r="G76" s="1" t="s">
        <v>74</v>
      </c>
      <c r="H76" s="1" t="s">
        <v>5796</v>
      </c>
      <c r="I76" s="1" t="s">
        <v>101</v>
      </c>
      <c r="J76" s="1" t="s">
        <v>127</v>
      </c>
      <c r="K76" s="1" t="s">
        <v>78</v>
      </c>
      <c r="L76" s="4">
        <v>38888</v>
      </c>
      <c r="M76" s="1" t="s">
        <v>79</v>
      </c>
    </row>
    <row r="77" spans="1:13" ht="15.75" customHeight="1" x14ac:dyDescent="0.35">
      <c r="A77" s="1" t="s">
        <v>151</v>
      </c>
      <c r="B77" s="1" t="s">
        <v>5761</v>
      </c>
      <c r="C77" s="1" t="s">
        <v>5794</v>
      </c>
      <c r="D77" s="1" t="s">
        <v>3231</v>
      </c>
      <c r="E77" s="1" t="s">
        <v>599</v>
      </c>
      <c r="F77" s="1" t="s">
        <v>5795</v>
      </c>
      <c r="G77" s="1" t="s">
        <v>74</v>
      </c>
      <c r="H77" s="1" t="s">
        <v>5796</v>
      </c>
      <c r="I77" s="1" t="s">
        <v>101</v>
      </c>
      <c r="J77" s="1" t="s">
        <v>163</v>
      </c>
      <c r="K77" s="1" t="s">
        <v>78</v>
      </c>
      <c r="L77" s="4">
        <v>29749</v>
      </c>
      <c r="M77" s="1" t="s">
        <v>166</v>
      </c>
    </row>
    <row r="78" spans="1:13" ht="15.75" customHeight="1" x14ac:dyDescent="0.35">
      <c r="A78" s="1" t="s">
        <v>112</v>
      </c>
      <c r="B78" s="1" t="s">
        <v>5754</v>
      </c>
      <c r="C78" s="1" t="s">
        <v>5800</v>
      </c>
      <c r="D78" s="1" t="s">
        <v>3816</v>
      </c>
      <c r="E78" s="1" t="s">
        <v>599</v>
      </c>
      <c r="F78" s="1" t="s">
        <v>5792</v>
      </c>
      <c r="G78" s="1" t="s">
        <v>74</v>
      </c>
      <c r="H78" s="1" t="s">
        <v>5793</v>
      </c>
      <c r="I78" s="1" t="s">
        <v>90</v>
      </c>
      <c r="J78" s="1" t="s">
        <v>684</v>
      </c>
      <c r="K78" s="1" t="s">
        <v>78</v>
      </c>
      <c r="L78" s="4">
        <v>91499</v>
      </c>
      <c r="M78" s="1" t="s">
        <v>65</v>
      </c>
    </row>
    <row r="79" spans="1:13" ht="15.75" customHeight="1" x14ac:dyDescent="0.35">
      <c r="A79" s="1" t="s">
        <v>112</v>
      </c>
      <c r="B79" s="1" t="s">
        <v>5753</v>
      </c>
      <c r="C79" s="1" t="s">
        <v>5794</v>
      </c>
      <c r="D79" s="1" t="s">
        <v>2870</v>
      </c>
      <c r="E79" s="1" t="s">
        <v>599</v>
      </c>
      <c r="F79" s="1" t="s">
        <v>5795</v>
      </c>
      <c r="G79" s="1" t="s">
        <v>74</v>
      </c>
      <c r="H79" s="1" t="s">
        <v>5735</v>
      </c>
      <c r="I79" s="1" t="s">
        <v>90</v>
      </c>
      <c r="J79" s="1" t="s">
        <v>127</v>
      </c>
      <c r="K79" s="1" t="s">
        <v>78</v>
      </c>
      <c r="L79" s="4">
        <v>38888</v>
      </c>
      <c r="M79" s="1" t="s">
        <v>79</v>
      </c>
    </row>
    <row r="80" spans="1:13" ht="15.75" customHeight="1" x14ac:dyDescent="0.35">
      <c r="A80" s="1" t="s">
        <v>112</v>
      </c>
      <c r="B80" s="1" t="s">
        <v>5753</v>
      </c>
      <c r="C80" s="1" t="s">
        <v>5800</v>
      </c>
      <c r="D80" s="1" t="s">
        <v>2870</v>
      </c>
      <c r="E80" s="1" t="s">
        <v>3816</v>
      </c>
      <c r="F80" s="1" t="s">
        <v>5795</v>
      </c>
      <c r="G80" s="1" t="s">
        <v>74</v>
      </c>
      <c r="H80" s="1" t="s">
        <v>5796</v>
      </c>
      <c r="I80" s="1" t="s">
        <v>101</v>
      </c>
      <c r="J80" s="1" t="s">
        <v>127</v>
      </c>
      <c r="K80" s="1" t="s">
        <v>78</v>
      </c>
      <c r="L80" s="4">
        <v>40999</v>
      </c>
      <c r="M80" s="1" t="s">
        <v>79</v>
      </c>
    </row>
    <row r="81" spans="1:13" ht="15.75" customHeight="1" x14ac:dyDescent="0.35">
      <c r="A81" s="1" t="s">
        <v>112</v>
      </c>
      <c r="B81" s="1" t="s">
        <v>5753</v>
      </c>
      <c r="C81" s="1" t="s">
        <v>5800</v>
      </c>
      <c r="D81" s="1" t="s">
        <v>3816</v>
      </c>
      <c r="E81" s="1" t="s">
        <v>599</v>
      </c>
      <c r="F81" s="1" t="s">
        <v>5792</v>
      </c>
      <c r="G81" s="1" t="s">
        <v>74</v>
      </c>
      <c r="H81" s="1" t="s">
        <v>5796</v>
      </c>
      <c r="I81" s="1" t="s">
        <v>101</v>
      </c>
      <c r="J81" s="1" t="s">
        <v>267</v>
      </c>
      <c r="K81" s="1" t="s">
        <v>78</v>
      </c>
      <c r="L81" s="4">
        <v>59999</v>
      </c>
      <c r="M81" s="1" t="s">
        <v>65</v>
      </c>
    </row>
    <row r="82" spans="1:13" ht="15.75" customHeight="1" x14ac:dyDescent="0.35">
      <c r="A82" s="1" t="s">
        <v>151</v>
      </c>
      <c r="B82" s="1" t="s">
        <v>5761</v>
      </c>
      <c r="C82" s="1" t="s">
        <v>5800</v>
      </c>
      <c r="D82" s="1" t="s">
        <v>2870</v>
      </c>
      <c r="E82" s="1" t="s">
        <v>5789</v>
      </c>
      <c r="F82" s="1" t="s">
        <v>5795</v>
      </c>
      <c r="G82" s="1" t="s">
        <v>74</v>
      </c>
      <c r="H82" s="1" t="s">
        <v>5796</v>
      </c>
      <c r="I82" s="1" t="s">
        <v>101</v>
      </c>
      <c r="J82" s="1" t="s">
        <v>398</v>
      </c>
      <c r="K82" s="1" t="s">
        <v>78</v>
      </c>
      <c r="L82" s="4">
        <v>46499</v>
      </c>
      <c r="M82" s="1" t="s">
        <v>79</v>
      </c>
    </row>
    <row r="83" spans="1:13" ht="15.75" customHeight="1" x14ac:dyDescent="0.35">
      <c r="A83" s="1" t="s">
        <v>112</v>
      </c>
      <c r="B83" s="1" t="s">
        <v>5753</v>
      </c>
      <c r="C83" s="1" t="s">
        <v>5800</v>
      </c>
      <c r="D83" s="1" t="s">
        <v>3816</v>
      </c>
      <c r="E83" s="1" t="s">
        <v>599</v>
      </c>
      <c r="F83" s="1" t="s">
        <v>5795</v>
      </c>
      <c r="G83" s="1" t="s">
        <v>74</v>
      </c>
      <c r="H83" s="1" t="s">
        <v>5796</v>
      </c>
      <c r="I83" s="1" t="s">
        <v>101</v>
      </c>
      <c r="J83" s="1" t="s">
        <v>267</v>
      </c>
      <c r="K83" s="1" t="s">
        <v>78</v>
      </c>
      <c r="L83" s="4">
        <v>61799</v>
      </c>
      <c r="M83" s="1" t="s">
        <v>65</v>
      </c>
    </row>
    <row r="84" spans="1:13" ht="15.75" customHeight="1" x14ac:dyDescent="0.35">
      <c r="A84" s="1" t="s">
        <v>81</v>
      </c>
      <c r="B84" s="1" t="s">
        <v>5810</v>
      </c>
      <c r="C84" s="1" t="s">
        <v>5800</v>
      </c>
      <c r="D84" s="1" t="s">
        <v>3816</v>
      </c>
      <c r="E84" s="1" t="s">
        <v>599</v>
      </c>
      <c r="F84" s="1" t="s">
        <v>5792</v>
      </c>
      <c r="G84" s="1" t="s">
        <v>74</v>
      </c>
      <c r="H84" s="1" t="s">
        <v>111</v>
      </c>
      <c r="I84" s="1" t="s">
        <v>90</v>
      </c>
      <c r="J84" s="1" t="s">
        <v>423</v>
      </c>
      <c r="K84" s="1" t="s">
        <v>78</v>
      </c>
      <c r="L84" s="4">
        <v>59999</v>
      </c>
      <c r="M84" s="1" t="s">
        <v>79</v>
      </c>
    </row>
    <row r="85" spans="1:13" ht="15.75" customHeight="1" x14ac:dyDescent="0.35">
      <c r="A85" s="1" t="s">
        <v>151</v>
      </c>
      <c r="B85" s="1" t="s">
        <v>5761</v>
      </c>
      <c r="C85" s="1" t="s">
        <v>5800</v>
      </c>
      <c r="D85" s="1" t="s">
        <v>3816</v>
      </c>
      <c r="E85" s="1" t="s">
        <v>599</v>
      </c>
      <c r="F85" s="1" t="s">
        <v>5795</v>
      </c>
      <c r="G85" s="1" t="s">
        <v>74</v>
      </c>
      <c r="H85" s="1" t="s">
        <v>5796</v>
      </c>
      <c r="I85" s="1" t="s">
        <v>101</v>
      </c>
      <c r="J85" s="1" t="s">
        <v>398</v>
      </c>
      <c r="K85" s="1" t="s">
        <v>78</v>
      </c>
      <c r="L85" s="4">
        <v>55999</v>
      </c>
      <c r="M85" s="1" t="s">
        <v>65</v>
      </c>
    </row>
    <row r="86" spans="1:13" ht="15.75" customHeight="1" x14ac:dyDescent="0.35">
      <c r="A86" s="1" t="s">
        <v>30</v>
      </c>
      <c r="B86" s="1" t="s">
        <v>5810</v>
      </c>
      <c r="C86" s="1" t="s">
        <v>5794</v>
      </c>
      <c r="D86" s="1" t="s">
        <v>2870</v>
      </c>
      <c r="E86" s="1" t="s">
        <v>3816</v>
      </c>
      <c r="F86" s="1" t="s">
        <v>5795</v>
      </c>
      <c r="G86" s="1" t="s">
        <v>74</v>
      </c>
      <c r="H86" s="1" t="s">
        <v>5796</v>
      </c>
      <c r="I86" s="1" t="s">
        <v>725</v>
      </c>
      <c r="J86" s="1" t="s">
        <v>976</v>
      </c>
      <c r="K86" s="1" t="s">
        <v>78</v>
      </c>
      <c r="L86" s="4">
        <v>32499</v>
      </c>
      <c r="M86" s="1" t="s">
        <v>166</v>
      </c>
    </row>
    <row r="87" spans="1:13" ht="15.75" customHeight="1" x14ac:dyDescent="0.35">
      <c r="A87" s="1" t="s">
        <v>112</v>
      </c>
      <c r="B87" s="1" t="s">
        <v>5753</v>
      </c>
      <c r="C87" s="1" t="s">
        <v>5800</v>
      </c>
      <c r="D87" s="1" t="s">
        <v>3816</v>
      </c>
      <c r="E87" s="1" t="s">
        <v>599</v>
      </c>
      <c r="F87" s="1" t="s">
        <v>5792</v>
      </c>
      <c r="G87" s="1" t="s">
        <v>74</v>
      </c>
      <c r="H87" s="1" t="s">
        <v>5735</v>
      </c>
      <c r="I87" s="1" t="s">
        <v>90</v>
      </c>
      <c r="J87" s="1" t="s">
        <v>267</v>
      </c>
      <c r="K87" s="1" t="s">
        <v>78</v>
      </c>
      <c r="L87" s="4">
        <v>88888</v>
      </c>
      <c r="M87" s="1" t="s">
        <v>79</v>
      </c>
    </row>
    <row r="88" spans="1:13" ht="15.75" customHeight="1" x14ac:dyDescent="0.35">
      <c r="A88" s="1" t="s">
        <v>112</v>
      </c>
      <c r="B88" s="1" t="s">
        <v>5753</v>
      </c>
      <c r="C88" s="1" t="s">
        <v>5815</v>
      </c>
      <c r="D88" s="1" t="s">
        <v>2870</v>
      </c>
      <c r="E88" s="1" t="s">
        <v>599</v>
      </c>
      <c r="F88" s="1" t="s">
        <v>5795</v>
      </c>
      <c r="G88" s="1" t="s">
        <v>74</v>
      </c>
      <c r="H88" s="1" t="s">
        <v>5735</v>
      </c>
      <c r="I88" s="1" t="s">
        <v>90</v>
      </c>
      <c r="J88" s="1" t="s">
        <v>127</v>
      </c>
      <c r="K88" s="1" t="s">
        <v>78</v>
      </c>
      <c r="L88" s="4">
        <v>40999</v>
      </c>
      <c r="M88" s="1" t="s">
        <v>5735</v>
      </c>
    </row>
    <row r="89" spans="1:13" ht="15.75" customHeight="1" x14ac:dyDescent="0.35">
      <c r="A89" s="1" t="s">
        <v>151</v>
      </c>
      <c r="B89" s="1" t="s">
        <v>5761</v>
      </c>
      <c r="C89" s="1" t="s">
        <v>5800</v>
      </c>
      <c r="D89" s="1" t="s">
        <v>2870</v>
      </c>
      <c r="E89" s="1" t="s">
        <v>599</v>
      </c>
      <c r="F89" s="1" t="s">
        <v>5795</v>
      </c>
      <c r="G89" s="1" t="s">
        <v>74</v>
      </c>
      <c r="H89" s="1" t="s">
        <v>5796</v>
      </c>
      <c r="I89" s="1" t="s">
        <v>101</v>
      </c>
      <c r="J89" s="1" t="s">
        <v>398</v>
      </c>
      <c r="K89" s="1" t="s">
        <v>165</v>
      </c>
      <c r="L89" s="4">
        <v>43999</v>
      </c>
      <c r="M89" s="1" t="s">
        <v>79</v>
      </c>
    </row>
    <row r="90" spans="1:13" ht="15.75" customHeight="1" x14ac:dyDescent="0.35">
      <c r="A90" s="1" t="s">
        <v>112</v>
      </c>
      <c r="B90" s="1" t="s">
        <v>5753</v>
      </c>
      <c r="C90" s="1" t="s">
        <v>5794</v>
      </c>
      <c r="D90" s="1" t="s">
        <v>2870</v>
      </c>
      <c r="E90" s="1" t="s">
        <v>599</v>
      </c>
      <c r="F90" s="1" t="s">
        <v>5795</v>
      </c>
      <c r="G90" s="1" t="s">
        <v>74</v>
      </c>
      <c r="H90" s="1" t="s">
        <v>5796</v>
      </c>
      <c r="I90" s="1" t="s">
        <v>101</v>
      </c>
      <c r="J90" s="1" t="s">
        <v>127</v>
      </c>
      <c r="K90" s="1" t="s">
        <v>78</v>
      </c>
      <c r="L90" s="4">
        <v>40099</v>
      </c>
      <c r="M90" s="1" t="s">
        <v>79</v>
      </c>
    </row>
    <row r="91" spans="1:13" ht="15.75" customHeight="1" x14ac:dyDescent="0.35">
      <c r="A91" s="1" t="s">
        <v>112</v>
      </c>
      <c r="B91" s="1" t="s">
        <v>5753</v>
      </c>
      <c r="C91" s="1" t="s">
        <v>5794</v>
      </c>
      <c r="D91" s="1" t="s">
        <v>2870</v>
      </c>
      <c r="E91" s="1" t="s">
        <v>599</v>
      </c>
      <c r="F91" s="1" t="s">
        <v>5795</v>
      </c>
      <c r="G91" s="1" t="s">
        <v>74</v>
      </c>
      <c r="H91" s="1" t="s">
        <v>5796</v>
      </c>
      <c r="I91" s="1" t="s">
        <v>101</v>
      </c>
      <c r="J91" s="1" t="s">
        <v>127</v>
      </c>
      <c r="K91" s="1" t="s">
        <v>78</v>
      </c>
      <c r="L91" s="4">
        <v>38666</v>
      </c>
      <c r="M91" s="1" t="s">
        <v>79</v>
      </c>
    </row>
    <row r="92" spans="1:13" ht="15.75" customHeight="1" x14ac:dyDescent="0.35">
      <c r="A92" s="1" t="s">
        <v>112</v>
      </c>
      <c r="B92" s="1" t="s">
        <v>5778</v>
      </c>
      <c r="C92" s="1" t="s">
        <v>5800</v>
      </c>
      <c r="D92" s="1" t="s">
        <v>3816</v>
      </c>
      <c r="E92" s="1" t="s">
        <v>599</v>
      </c>
      <c r="F92" s="1" t="s">
        <v>5792</v>
      </c>
      <c r="G92" s="1" t="s">
        <v>224</v>
      </c>
      <c r="H92" s="1" t="s">
        <v>111</v>
      </c>
      <c r="I92" s="1" t="s">
        <v>90</v>
      </c>
      <c r="J92" s="1" t="s">
        <v>766</v>
      </c>
      <c r="K92" s="1" t="s">
        <v>78</v>
      </c>
      <c r="L92" s="4">
        <v>71000</v>
      </c>
      <c r="M92" s="1" t="s">
        <v>79</v>
      </c>
    </row>
    <row r="93" spans="1:13" ht="15.75" customHeight="1" x14ac:dyDescent="0.35">
      <c r="A93" s="1" t="s">
        <v>112</v>
      </c>
      <c r="B93" s="1" t="s">
        <v>5753</v>
      </c>
      <c r="C93" s="1" t="s">
        <v>5800</v>
      </c>
      <c r="D93" s="1" t="s">
        <v>2870</v>
      </c>
      <c r="E93" s="1" t="s">
        <v>3816</v>
      </c>
      <c r="F93" s="1" t="s">
        <v>5795</v>
      </c>
      <c r="G93" s="1" t="s">
        <v>74</v>
      </c>
      <c r="H93" s="1" t="s">
        <v>5796</v>
      </c>
      <c r="I93" s="1" t="s">
        <v>101</v>
      </c>
      <c r="J93" s="1" t="s">
        <v>127</v>
      </c>
      <c r="K93" s="1" t="s">
        <v>78</v>
      </c>
      <c r="L93" s="4">
        <v>40999</v>
      </c>
      <c r="M93" s="1" t="s">
        <v>79</v>
      </c>
    </row>
    <row r="94" spans="1:13" ht="15.75" customHeight="1" x14ac:dyDescent="0.35">
      <c r="A94" s="1" t="s">
        <v>112</v>
      </c>
      <c r="B94" s="1" t="s">
        <v>5753</v>
      </c>
      <c r="C94" s="1" t="s">
        <v>5815</v>
      </c>
      <c r="D94" s="1" t="s">
        <v>2870</v>
      </c>
      <c r="E94" s="1" t="s">
        <v>3816</v>
      </c>
      <c r="F94" s="1" t="s">
        <v>5795</v>
      </c>
      <c r="G94" s="1" t="s">
        <v>74</v>
      </c>
      <c r="H94" s="1" t="s">
        <v>5735</v>
      </c>
      <c r="I94" s="1" t="s">
        <v>90</v>
      </c>
      <c r="J94" s="1" t="s">
        <v>127</v>
      </c>
      <c r="K94" s="1" t="s">
        <v>78</v>
      </c>
      <c r="L94" s="4">
        <v>37777</v>
      </c>
      <c r="M94" s="1" t="s">
        <v>5735</v>
      </c>
    </row>
    <row r="95" spans="1:13" ht="15.75" customHeight="1" x14ac:dyDescent="0.35">
      <c r="A95" s="1" t="s">
        <v>30</v>
      </c>
      <c r="B95" s="1" t="s">
        <v>5772</v>
      </c>
      <c r="C95" s="1" t="s">
        <v>5800</v>
      </c>
      <c r="D95" s="1" t="s">
        <v>3816</v>
      </c>
      <c r="E95" s="1" t="s">
        <v>599</v>
      </c>
      <c r="F95" s="1" t="s">
        <v>5795</v>
      </c>
      <c r="G95" s="1" t="s">
        <v>74</v>
      </c>
      <c r="H95" s="1" t="s">
        <v>5796</v>
      </c>
      <c r="I95" s="1" t="s">
        <v>101</v>
      </c>
      <c r="J95" s="1" t="s">
        <v>781</v>
      </c>
      <c r="K95" s="1" t="s">
        <v>165</v>
      </c>
      <c r="L95" s="4">
        <v>47499</v>
      </c>
      <c r="M95" s="1" t="s">
        <v>79</v>
      </c>
    </row>
    <row r="96" spans="1:13" ht="15.75" customHeight="1" x14ac:dyDescent="0.35">
      <c r="A96" s="1" t="s">
        <v>112</v>
      </c>
      <c r="B96" s="1" t="s">
        <v>5754</v>
      </c>
      <c r="C96" s="1" t="s">
        <v>5800</v>
      </c>
      <c r="D96" s="1" t="s">
        <v>5735</v>
      </c>
      <c r="E96" s="1" t="s">
        <v>599</v>
      </c>
      <c r="F96" s="1" t="s">
        <v>5792</v>
      </c>
      <c r="G96" s="1" t="s">
        <v>74</v>
      </c>
      <c r="H96" s="1" t="s">
        <v>5793</v>
      </c>
      <c r="I96" s="1" t="s">
        <v>90</v>
      </c>
      <c r="J96" s="1" t="s">
        <v>789</v>
      </c>
      <c r="K96" s="1" t="s">
        <v>78</v>
      </c>
      <c r="L96" s="4">
        <v>57777</v>
      </c>
      <c r="M96" s="1" t="s">
        <v>79</v>
      </c>
    </row>
    <row r="97" spans="1:13" ht="15.75" customHeight="1" x14ac:dyDescent="0.35">
      <c r="A97" s="1" t="s">
        <v>81</v>
      </c>
      <c r="B97" s="1" t="s">
        <v>5810</v>
      </c>
      <c r="C97" s="1" t="s">
        <v>5800</v>
      </c>
      <c r="D97" s="1" t="s">
        <v>2870</v>
      </c>
      <c r="E97" s="1" t="s">
        <v>599</v>
      </c>
      <c r="F97" s="1" t="s">
        <v>5795</v>
      </c>
      <c r="G97" s="1" t="s">
        <v>74</v>
      </c>
      <c r="H97" s="1" t="s">
        <v>5793</v>
      </c>
      <c r="I97" s="1" t="s">
        <v>101</v>
      </c>
      <c r="J97" s="1" t="s">
        <v>423</v>
      </c>
      <c r="K97" s="1" t="s">
        <v>78</v>
      </c>
      <c r="L97" s="4">
        <v>56666</v>
      </c>
      <c r="M97" s="1" t="s">
        <v>79</v>
      </c>
    </row>
    <row r="98" spans="1:13" ht="15.75" customHeight="1" x14ac:dyDescent="0.35">
      <c r="A98" s="1" t="s">
        <v>151</v>
      </c>
      <c r="B98" s="1" t="s">
        <v>5760</v>
      </c>
      <c r="C98" s="1" t="s">
        <v>5800</v>
      </c>
      <c r="D98" s="1" t="s">
        <v>3816</v>
      </c>
      <c r="E98" s="1" t="s">
        <v>599</v>
      </c>
      <c r="F98" s="1" t="s">
        <v>5792</v>
      </c>
      <c r="G98" s="1" t="s">
        <v>224</v>
      </c>
      <c r="H98" s="1" t="s">
        <v>5793</v>
      </c>
      <c r="I98" s="1" t="s">
        <v>101</v>
      </c>
      <c r="J98" s="1" t="s">
        <v>63</v>
      </c>
      <c r="K98" s="1" t="s">
        <v>78</v>
      </c>
      <c r="L98" s="4">
        <v>65199</v>
      </c>
      <c r="M98" s="1" t="s">
        <v>79</v>
      </c>
    </row>
    <row r="99" spans="1:13" ht="15.75" customHeight="1" x14ac:dyDescent="0.35">
      <c r="A99" s="1" t="s">
        <v>234</v>
      </c>
      <c r="B99" s="1" t="s">
        <v>5757</v>
      </c>
      <c r="C99" s="1" t="s">
        <v>5800</v>
      </c>
      <c r="D99" s="1" t="s">
        <v>3816</v>
      </c>
      <c r="E99" s="1" t="s">
        <v>599</v>
      </c>
      <c r="F99" s="1" t="s">
        <v>5795</v>
      </c>
      <c r="G99" s="1" t="s">
        <v>1015</v>
      </c>
      <c r="H99" s="1" t="s">
        <v>5793</v>
      </c>
      <c r="I99" s="1" t="s">
        <v>90</v>
      </c>
      <c r="J99" s="1" t="s">
        <v>1670</v>
      </c>
      <c r="K99" s="1" t="s">
        <v>78</v>
      </c>
      <c r="L99" s="4">
        <v>99999</v>
      </c>
      <c r="M99" s="1" t="s">
        <v>79</v>
      </c>
    </row>
    <row r="100" spans="1:13" ht="15.75" customHeight="1" x14ac:dyDescent="0.35">
      <c r="A100" s="1" t="s">
        <v>112</v>
      </c>
      <c r="B100" s="1" t="s">
        <v>5753</v>
      </c>
      <c r="C100" s="1" t="s">
        <v>5800</v>
      </c>
      <c r="D100" s="1" t="s">
        <v>2870</v>
      </c>
      <c r="E100" s="1" t="s">
        <v>599</v>
      </c>
      <c r="F100" s="1" t="s">
        <v>5792</v>
      </c>
      <c r="G100" s="1" t="s">
        <v>74</v>
      </c>
      <c r="H100" s="1" t="s">
        <v>5796</v>
      </c>
      <c r="I100" s="1" t="s">
        <v>101</v>
      </c>
      <c r="J100" s="1" t="s">
        <v>267</v>
      </c>
      <c r="K100" s="1" t="s">
        <v>78</v>
      </c>
      <c r="L100" s="4">
        <v>48888</v>
      </c>
      <c r="M100" s="1" t="s">
        <v>79</v>
      </c>
    </row>
    <row r="101" spans="1:13" ht="15.75" customHeight="1" x14ac:dyDescent="0.35">
      <c r="A101" s="1" t="s">
        <v>112</v>
      </c>
      <c r="B101" s="1" t="s">
        <v>5753</v>
      </c>
      <c r="C101" s="1" t="s">
        <v>5800</v>
      </c>
      <c r="D101" s="1" t="s">
        <v>2870</v>
      </c>
      <c r="E101" s="1" t="s">
        <v>599</v>
      </c>
      <c r="F101" s="1" t="s">
        <v>5792</v>
      </c>
      <c r="G101" s="1" t="s">
        <v>74</v>
      </c>
      <c r="H101" s="1" t="s">
        <v>5796</v>
      </c>
      <c r="I101" s="1" t="s">
        <v>101</v>
      </c>
      <c r="J101" s="1" t="s">
        <v>267</v>
      </c>
      <c r="K101" s="1" t="s">
        <v>78</v>
      </c>
      <c r="L101" s="4">
        <v>48888</v>
      </c>
      <c r="M101" s="1" t="s">
        <v>79</v>
      </c>
    </row>
    <row r="102" spans="1:13" ht="15.75" customHeight="1" x14ac:dyDescent="0.35">
      <c r="A102" s="1" t="s">
        <v>151</v>
      </c>
      <c r="B102" s="1" t="s">
        <v>5763</v>
      </c>
      <c r="C102" s="1" t="s">
        <v>5808</v>
      </c>
      <c r="D102" s="1" t="s">
        <v>3231</v>
      </c>
      <c r="E102" s="1" t="s">
        <v>599</v>
      </c>
      <c r="F102" s="1" t="s">
        <v>5795</v>
      </c>
      <c r="G102" s="1" t="s">
        <v>74</v>
      </c>
      <c r="H102" s="1" t="s">
        <v>111</v>
      </c>
      <c r="I102" s="1" t="s">
        <v>101</v>
      </c>
      <c r="J102" s="1" t="s">
        <v>652</v>
      </c>
      <c r="K102" s="1" t="s">
        <v>78</v>
      </c>
      <c r="L102" s="4">
        <v>43999</v>
      </c>
      <c r="M102" s="1" t="s">
        <v>5735</v>
      </c>
    </row>
    <row r="103" spans="1:13" ht="15.75" customHeight="1" x14ac:dyDescent="0.35">
      <c r="A103" s="1" t="s">
        <v>112</v>
      </c>
      <c r="B103" s="1" t="s">
        <v>5753</v>
      </c>
      <c r="C103" s="1" t="s">
        <v>5808</v>
      </c>
      <c r="D103" s="1" t="s">
        <v>3231</v>
      </c>
      <c r="E103" s="1" t="s">
        <v>599</v>
      </c>
      <c r="F103" s="1" t="s">
        <v>5795</v>
      </c>
      <c r="G103" s="1" t="s">
        <v>74</v>
      </c>
      <c r="H103" s="1" t="s">
        <v>5796</v>
      </c>
      <c r="I103" s="1" t="s">
        <v>90</v>
      </c>
      <c r="J103" s="1" t="s">
        <v>127</v>
      </c>
      <c r="K103" s="1" t="s">
        <v>78</v>
      </c>
      <c r="L103" s="4">
        <v>30999</v>
      </c>
      <c r="M103" s="1" t="s">
        <v>5735</v>
      </c>
    </row>
    <row r="104" spans="1:13" ht="15.75" customHeight="1" x14ac:dyDescent="0.35">
      <c r="A104" s="1" t="s">
        <v>112</v>
      </c>
      <c r="B104" s="1" t="s">
        <v>5753</v>
      </c>
      <c r="C104" s="1" t="s">
        <v>5800</v>
      </c>
      <c r="D104" s="1" t="s">
        <v>3816</v>
      </c>
      <c r="E104" s="1" t="s">
        <v>599</v>
      </c>
      <c r="F104" s="1" t="s">
        <v>5792</v>
      </c>
      <c r="G104" s="1" t="s">
        <v>74</v>
      </c>
      <c r="H104" s="1" t="s">
        <v>5796</v>
      </c>
      <c r="I104" s="1" t="s">
        <v>101</v>
      </c>
      <c r="J104" s="1" t="s">
        <v>142</v>
      </c>
      <c r="K104" s="1" t="s">
        <v>78</v>
      </c>
      <c r="L104" s="4">
        <v>59999</v>
      </c>
      <c r="M104" s="1" t="s">
        <v>65</v>
      </c>
    </row>
    <row r="105" spans="1:13" ht="15.75" customHeight="1" x14ac:dyDescent="0.35">
      <c r="A105" s="1" t="s">
        <v>112</v>
      </c>
      <c r="B105" s="1" t="s">
        <v>5753</v>
      </c>
      <c r="C105" s="1" t="s">
        <v>5800</v>
      </c>
      <c r="D105" s="1" t="s">
        <v>2870</v>
      </c>
      <c r="E105" s="1" t="s">
        <v>599</v>
      </c>
      <c r="F105" s="1" t="s">
        <v>5792</v>
      </c>
      <c r="G105" s="1" t="s">
        <v>74</v>
      </c>
      <c r="H105" s="1" t="s">
        <v>5735</v>
      </c>
      <c r="I105" s="1" t="s">
        <v>101</v>
      </c>
      <c r="J105" s="1" t="s">
        <v>142</v>
      </c>
      <c r="K105" s="1" t="s">
        <v>78</v>
      </c>
      <c r="L105" s="4">
        <v>51999</v>
      </c>
      <c r="M105" s="1" t="s">
        <v>65</v>
      </c>
    </row>
    <row r="106" spans="1:13" ht="15.75" customHeight="1" x14ac:dyDescent="0.35">
      <c r="A106" s="1" t="s">
        <v>151</v>
      </c>
      <c r="B106" s="1" t="s">
        <v>5761</v>
      </c>
      <c r="C106" s="1" t="s">
        <v>5800</v>
      </c>
      <c r="D106" s="1" t="s">
        <v>3816</v>
      </c>
      <c r="E106" s="1" t="s">
        <v>5789</v>
      </c>
      <c r="F106" s="1" t="s">
        <v>5795</v>
      </c>
      <c r="G106" s="1" t="s">
        <v>74</v>
      </c>
      <c r="H106" s="1" t="s">
        <v>5796</v>
      </c>
      <c r="I106" s="1" t="s">
        <v>90</v>
      </c>
      <c r="J106" s="1" t="s">
        <v>63</v>
      </c>
      <c r="K106" s="1" t="s">
        <v>165</v>
      </c>
      <c r="L106" s="4">
        <v>57777</v>
      </c>
      <c r="M106" s="1" t="s">
        <v>79</v>
      </c>
    </row>
    <row r="107" spans="1:13" ht="15.75" customHeight="1" x14ac:dyDescent="0.35">
      <c r="A107" s="1" t="s">
        <v>151</v>
      </c>
      <c r="B107" s="1" t="s">
        <v>5761</v>
      </c>
      <c r="C107" s="1" t="s">
        <v>5800</v>
      </c>
      <c r="D107" s="1" t="s">
        <v>3816</v>
      </c>
      <c r="E107" s="1" t="s">
        <v>5789</v>
      </c>
      <c r="F107" s="1" t="s">
        <v>5795</v>
      </c>
      <c r="G107" s="1" t="s">
        <v>74</v>
      </c>
      <c r="H107" s="1" t="s">
        <v>5796</v>
      </c>
      <c r="I107" s="1" t="s">
        <v>90</v>
      </c>
      <c r="J107" s="1" t="s">
        <v>63</v>
      </c>
      <c r="K107" s="1" t="s">
        <v>165</v>
      </c>
      <c r="L107" s="4">
        <v>60999</v>
      </c>
      <c r="M107" s="1" t="s">
        <v>65</v>
      </c>
    </row>
    <row r="108" spans="1:13" ht="15.75" customHeight="1" x14ac:dyDescent="0.35">
      <c r="A108" s="1" t="s">
        <v>151</v>
      </c>
      <c r="B108" s="1" t="s">
        <v>5761</v>
      </c>
      <c r="C108" s="1" t="s">
        <v>5794</v>
      </c>
      <c r="D108" s="1" t="s">
        <v>2870</v>
      </c>
      <c r="E108" s="1" t="s">
        <v>599</v>
      </c>
      <c r="F108" s="1" t="s">
        <v>5795</v>
      </c>
      <c r="G108" s="1" t="s">
        <v>74</v>
      </c>
      <c r="H108" s="1" t="s">
        <v>5796</v>
      </c>
      <c r="I108" s="1" t="s">
        <v>101</v>
      </c>
      <c r="J108" s="1" t="s">
        <v>163</v>
      </c>
      <c r="K108" s="1" t="s">
        <v>78</v>
      </c>
      <c r="L108" s="4">
        <v>29999</v>
      </c>
      <c r="M108" s="1" t="s">
        <v>5735</v>
      </c>
    </row>
    <row r="109" spans="1:13" ht="15.75" customHeight="1" x14ac:dyDescent="0.35">
      <c r="A109" s="1" t="s">
        <v>81</v>
      </c>
      <c r="B109" s="1" t="s">
        <v>5755</v>
      </c>
      <c r="C109" s="1" t="s">
        <v>5816</v>
      </c>
      <c r="D109" s="1" t="s">
        <v>3816</v>
      </c>
      <c r="E109" s="1" t="s">
        <v>5799</v>
      </c>
      <c r="F109" s="1" t="s">
        <v>5792</v>
      </c>
      <c r="G109" s="1" t="s">
        <v>224</v>
      </c>
      <c r="H109" s="1" t="s">
        <v>200</v>
      </c>
      <c r="I109" s="1" t="s">
        <v>90</v>
      </c>
      <c r="J109" s="1" t="s">
        <v>5735</v>
      </c>
      <c r="K109" s="1" t="s">
        <v>425</v>
      </c>
      <c r="L109" s="4">
        <v>93333</v>
      </c>
      <c r="M109" s="1" t="s">
        <v>5735</v>
      </c>
    </row>
    <row r="110" spans="1:13" ht="15.75" customHeight="1" x14ac:dyDescent="0.35">
      <c r="A110" s="1" t="s">
        <v>81</v>
      </c>
      <c r="B110" s="1" t="s">
        <v>5755</v>
      </c>
      <c r="C110" s="1" t="s">
        <v>5801</v>
      </c>
      <c r="D110" s="1" t="s">
        <v>3816</v>
      </c>
      <c r="E110" s="1" t="s">
        <v>5799</v>
      </c>
      <c r="F110" s="1" t="s">
        <v>5792</v>
      </c>
      <c r="G110" s="1" t="s">
        <v>224</v>
      </c>
      <c r="H110" s="1" t="s">
        <v>200</v>
      </c>
      <c r="I110" s="1" t="s">
        <v>90</v>
      </c>
      <c r="J110" s="1" t="s">
        <v>262</v>
      </c>
      <c r="K110" s="1" t="s">
        <v>425</v>
      </c>
      <c r="L110" s="4">
        <v>112000</v>
      </c>
      <c r="M110" s="1" t="s">
        <v>5735</v>
      </c>
    </row>
    <row r="111" spans="1:13" ht="15.75" customHeight="1" x14ac:dyDescent="0.35">
      <c r="A111" s="1" t="s">
        <v>81</v>
      </c>
      <c r="B111" s="1" t="s">
        <v>5755</v>
      </c>
      <c r="C111" s="1" t="s">
        <v>5801</v>
      </c>
      <c r="D111" s="1" t="s">
        <v>3816</v>
      </c>
      <c r="E111" s="1" t="s">
        <v>5799</v>
      </c>
      <c r="F111" s="1" t="s">
        <v>5792</v>
      </c>
      <c r="G111" s="1" t="s">
        <v>5817</v>
      </c>
      <c r="H111" s="1" t="s">
        <v>200</v>
      </c>
      <c r="I111" s="1" t="s">
        <v>90</v>
      </c>
      <c r="J111" s="1" t="s">
        <v>262</v>
      </c>
      <c r="K111" s="1" t="s">
        <v>425</v>
      </c>
      <c r="L111" s="4">
        <v>91999</v>
      </c>
      <c r="M111" s="1" t="s">
        <v>5735</v>
      </c>
    </row>
    <row r="112" spans="1:13" ht="15.75" customHeight="1" x14ac:dyDescent="0.35">
      <c r="A112" s="1" t="s">
        <v>151</v>
      </c>
      <c r="B112" s="1" t="s">
        <v>5760</v>
      </c>
      <c r="C112" s="1" t="s">
        <v>5801</v>
      </c>
      <c r="D112" s="1" t="s">
        <v>3816</v>
      </c>
      <c r="E112" s="1" t="s">
        <v>5799</v>
      </c>
      <c r="F112" s="1" t="s">
        <v>5792</v>
      </c>
      <c r="G112" s="1" t="s">
        <v>224</v>
      </c>
      <c r="H112" s="1" t="s">
        <v>5793</v>
      </c>
      <c r="I112" s="1" t="s">
        <v>101</v>
      </c>
      <c r="J112" s="1" t="s">
        <v>230</v>
      </c>
      <c r="K112" s="1" t="s">
        <v>165</v>
      </c>
      <c r="L112" s="4">
        <v>93333</v>
      </c>
      <c r="M112" s="1" t="s">
        <v>5735</v>
      </c>
    </row>
    <row r="113" spans="1:13" ht="15.75" customHeight="1" x14ac:dyDescent="0.35">
      <c r="A113" s="1" t="s">
        <v>151</v>
      </c>
      <c r="B113" s="1" t="s">
        <v>5760</v>
      </c>
      <c r="C113" s="1" t="s">
        <v>5800</v>
      </c>
      <c r="D113" s="1" t="s">
        <v>3816</v>
      </c>
      <c r="E113" s="1" t="s">
        <v>5799</v>
      </c>
      <c r="F113" s="1" t="s">
        <v>5792</v>
      </c>
      <c r="G113" s="1" t="s">
        <v>224</v>
      </c>
      <c r="H113" s="1" t="s">
        <v>5793</v>
      </c>
      <c r="I113" s="1" t="s">
        <v>101</v>
      </c>
      <c r="J113" s="1" t="s">
        <v>230</v>
      </c>
      <c r="K113" s="1" t="s">
        <v>165</v>
      </c>
      <c r="L113" s="4">
        <v>79999</v>
      </c>
      <c r="M113" s="1" t="s">
        <v>65</v>
      </c>
    </row>
    <row r="114" spans="1:13" ht="15.75" customHeight="1" x14ac:dyDescent="0.35">
      <c r="A114" s="1" t="s">
        <v>234</v>
      </c>
      <c r="B114" s="1" t="s">
        <v>5756</v>
      </c>
      <c r="C114" s="1" t="s">
        <v>5806</v>
      </c>
      <c r="D114" s="1" t="s">
        <v>5807</v>
      </c>
      <c r="E114" s="1" t="s">
        <v>5799</v>
      </c>
      <c r="F114" s="1" t="s">
        <v>5792</v>
      </c>
      <c r="G114" s="1" t="s">
        <v>1015</v>
      </c>
      <c r="H114" s="1" t="s">
        <v>5793</v>
      </c>
      <c r="I114" s="1" t="s">
        <v>90</v>
      </c>
      <c r="J114" s="1" t="s">
        <v>944</v>
      </c>
      <c r="K114" s="1" t="s">
        <v>78</v>
      </c>
      <c r="L114" s="4">
        <v>114000</v>
      </c>
      <c r="M114" s="1" t="s">
        <v>5735</v>
      </c>
    </row>
    <row r="115" spans="1:13" ht="15.75" customHeight="1" x14ac:dyDescent="0.35">
      <c r="A115" s="1" t="s">
        <v>234</v>
      </c>
      <c r="B115" s="1" t="s">
        <v>5758</v>
      </c>
      <c r="C115" s="1" t="s">
        <v>5808</v>
      </c>
      <c r="D115" s="1" t="s">
        <v>3816</v>
      </c>
      <c r="E115" s="1" t="s">
        <v>599</v>
      </c>
      <c r="F115" s="1" t="s">
        <v>5795</v>
      </c>
      <c r="G115" s="1" t="s">
        <v>224</v>
      </c>
      <c r="H115" s="1" t="s">
        <v>5793</v>
      </c>
      <c r="I115" s="1" t="s">
        <v>90</v>
      </c>
      <c r="J115" s="1" t="s">
        <v>5809</v>
      </c>
      <c r="K115" s="1" t="s">
        <v>78</v>
      </c>
      <c r="L115" s="4">
        <v>57399</v>
      </c>
      <c r="M115" s="1" t="s">
        <v>5735</v>
      </c>
    </row>
    <row r="116" spans="1:13" ht="15.75" customHeight="1" x14ac:dyDescent="0.35">
      <c r="A116" s="1" t="s">
        <v>81</v>
      </c>
      <c r="B116" s="1" t="s">
        <v>5755</v>
      </c>
      <c r="C116" s="1" t="s">
        <v>5797</v>
      </c>
      <c r="D116" s="1" t="s">
        <v>3816</v>
      </c>
      <c r="E116" s="1" t="s">
        <v>599</v>
      </c>
      <c r="F116" s="1" t="s">
        <v>5795</v>
      </c>
      <c r="G116" s="1" t="s">
        <v>224</v>
      </c>
      <c r="H116" s="1" t="s">
        <v>111</v>
      </c>
      <c r="I116" s="1" t="s">
        <v>90</v>
      </c>
      <c r="J116" s="1" t="s">
        <v>94</v>
      </c>
      <c r="K116" s="1" t="s">
        <v>78</v>
      </c>
      <c r="L116" s="4">
        <v>60699</v>
      </c>
      <c r="M116" s="1" t="s">
        <v>5735</v>
      </c>
    </row>
    <row r="117" spans="1:13" ht="15.75" customHeight="1" x14ac:dyDescent="0.35">
      <c r="A117" s="1" t="s">
        <v>81</v>
      </c>
      <c r="B117" s="1" t="s">
        <v>5755</v>
      </c>
      <c r="C117" s="1" t="s">
        <v>5797</v>
      </c>
      <c r="D117" s="1" t="s">
        <v>3816</v>
      </c>
      <c r="E117" s="1" t="s">
        <v>599</v>
      </c>
      <c r="F117" s="1" t="s">
        <v>5795</v>
      </c>
      <c r="G117" s="1" t="s">
        <v>224</v>
      </c>
      <c r="H117" s="1" t="s">
        <v>111</v>
      </c>
      <c r="I117" s="1" t="s">
        <v>90</v>
      </c>
      <c r="J117" s="1" t="s">
        <v>94</v>
      </c>
      <c r="K117" s="1" t="s">
        <v>78</v>
      </c>
      <c r="L117" s="4">
        <v>67999</v>
      </c>
      <c r="M117" s="1" t="s">
        <v>5735</v>
      </c>
    </row>
    <row r="118" spans="1:13" ht="15.75" customHeight="1" x14ac:dyDescent="0.35">
      <c r="A118" s="1" t="s">
        <v>151</v>
      </c>
      <c r="B118" s="1" t="s">
        <v>5761</v>
      </c>
      <c r="C118" s="1" t="s">
        <v>5794</v>
      </c>
      <c r="D118" s="1" t="s">
        <v>2870</v>
      </c>
      <c r="E118" s="1" t="s">
        <v>5789</v>
      </c>
      <c r="F118" s="1" t="s">
        <v>5795</v>
      </c>
      <c r="G118" s="1" t="s">
        <v>74</v>
      </c>
      <c r="H118" s="1" t="s">
        <v>5796</v>
      </c>
      <c r="I118" s="1" t="s">
        <v>101</v>
      </c>
      <c r="J118" s="1" t="s">
        <v>398</v>
      </c>
      <c r="K118" s="1" t="s">
        <v>78</v>
      </c>
      <c r="L118" s="4">
        <v>39499</v>
      </c>
      <c r="M118" s="1" t="s">
        <v>79</v>
      </c>
    </row>
    <row r="119" spans="1:13" ht="15.75" customHeight="1" x14ac:dyDescent="0.35">
      <c r="A119" s="1" t="s">
        <v>30</v>
      </c>
      <c r="B119" s="1" t="s">
        <v>5810</v>
      </c>
      <c r="C119" s="1" t="s">
        <v>5794</v>
      </c>
      <c r="D119" s="1" t="s">
        <v>3231</v>
      </c>
      <c r="E119" s="1" t="s">
        <v>3816</v>
      </c>
      <c r="F119" s="1" t="s">
        <v>5795</v>
      </c>
      <c r="G119" s="1" t="s">
        <v>74</v>
      </c>
      <c r="H119" s="1" t="s">
        <v>5796</v>
      </c>
      <c r="I119" s="1" t="s">
        <v>101</v>
      </c>
      <c r="J119" s="1" t="s">
        <v>376</v>
      </c>
      <c r="K119" s="1" t="s">
        <v>165</v>
      </c>
      <c r="L119" s="4">
        <v>27549</v>
      </c>
      <c r="M119" s="1" t="s">
        <v>79</v>
      </c>
    </row>
    <row r="120" spans="1:13" ht="15.75" customHeight="1" x14ac:dyDescent="0.35">
      <c r="A120" s="1" t="s">
        <v>30</v>
      </c>
      <c r="B120" s="1" t="s">
        <v>5774</v>
      </c>
      <c r="C120" s="1" t="s">
        <v>5801</v>
      </c>
      <c r="D120" s="1" t="s">
        <v>5789</v>
      </c>
      <c r="E120" s="1" t="s">
        <v>5804</v>
      </c>
      <c r="F120" s="1" t="s">
        <v>5805</v>
      </c>
      <c r="G120" s="1" t="s">
        <v>38</v>
      </c>
      <c r="H120" s="1" t="s">
        <v>111</v>
      </c>
      <c r="I120" s="1" t="s">
        <v>90</v>
      </c>
      <c r="J120" s="1" t="s">
        <v>46</v>
      </c>
      <c r="K120" s="1" t="s">
        <v>165</v>
      </c>
      <c r="L120" s="4">
        <v>229999</v>
      </c>
      <c r="M120" s="1" t="s">
        <v>5735</v>
      </c>
    </row>
    <row r="121" spans="1:13" ht="15.75" customHeight="1" x14ac:dyDescent="0.35">
      <c r="A121" s="1" t="s">
        <v>112</v>
      </c>
      <c r="B121" s="1" t="s">
        <v>5753</v>
      </c>
      <c r="C121" s="1" t="s">
        <v>5800</v>
      </c>
      <c r="D121" s="1" t="s">
        <v>2870</v>
      </c>
      <c r="E121" s="1" t="s">
        <v>599</v>
      </c>
      <c r="F121" s="1" t="s">
        <v>5792</v>
      </c>
      <c r="G121" s="1" t="s">
        <v>74</v>
      </c>
      <c r="H121" s="1" t="s">
        <v>5735</v>
      </c>
      <c r="I121" s="1" t="s">
        <v>101</v>
      </c>
      <c r="J121" s="1" t="s">
        <v>127</v>
      </c>
      <c r="K121" s="1" t="s">
        <v>78</v>
      </c>
      <c r="L121" s="4">
        <v>44444</v>
      </c>
      <c r="M121" s="1" t="s">
        <v>79</v>
      </c>
    </row>
    <row r="122" spans="1:13" ht="15.75" customHeight="1" x14ac:dyDescent="0.35">
      <c r="A122" s="1" t="s">
        <v>112</v>
      </c>
      <c r="B122" s="1" t="s">
        <v>5753</v>
      </c>
      <c r="C122" s="1" t="s">
        <v>5794</v>
      </c>
      <c r="D122" s="1" t="s">
        <v>2870</v>
      </c>
      <c r="E122" s="1" t="s">
        <v>3816</v>
      </c>
      <c r="F122" s="1" t="s">
        <v>5795</v>
      </c>
      <c r="G122" s="1" t="s">
        <v>5817</v>
      </c>
      <c r="H122" s="1" t="s">
        <v>5735</v>
      </c>
      <c r="I122" s="1" t="s">
        <v>90</v>
      </c>
      <c r="J122" s="1" t="s">
        <v>5818</v>
      </c>
      <c r="K122" s="1" t="s">
        <v>78</v>
      </c>
      <c r="L122" s="4">
        <v>33699</v>
      </c>
      <c r="M122" s="1" t="s">
        <v>79</v>
      </c>
    </row>
    <row r="123" spans="1:13" ht="15.75" customHeight="1" x14ac:dyDescent="0.35">
      <c r="A123" s="1" t="s">
        <v>234</v>
      </c>
      <c r="B123" s="1" t="s">
        <v>5810</v>
      </c>
      <c r="C123" s="1" t="s">
        <v>5797</v>
      </c>
      <c r="D123" s="1" t="s">
        <v>2870</v>
      </c>
      <c r="E123" s="1" t="s">
        <v>599</v>
      </c>
      <c r="F123" s="1" t="s">
        <v>5795</v>
      </c>
      <c r="G123" s="1" t="s">
        <v>1015</v>
      </c>
      <c r="H123" s="1" t="s">
        <v>5796</v>
      </c>
      <c r="I123" s="1" t="s">
        <v>90</v>
      </c>
      <c r="J123" s="1" t="s">
        <v>923</v>
      </c>
      <c r="K123" s="1" t="s">
        <v>78</v>
      </c>
      <c r="L123" s="4">
        <v>39999</v>
      </c>
      <c r="M123" s="1" t="s">
        <v>5735</v>
      </c>
    </row>
    <row r="124" spans="1:13" ht="15.75" customHeight="1" x14ac:dyDescent="0.35">
      <c r="A124" s="1" t="s">
        <v>151</v>
      </c>
      <c r="B124" s="1" t="s">
        <v>5761</v>
      </c>
      <c r="C124" s="1" t="s">
        <v>5794</v>
      </c>
      <c r="D124" s="1" t="s">
        <v>2870</v>
      </c>
      <c r="E124" s="1" t="s">
        <v>5789</v>
      </c>
      <c r="F124" s="1" t="s">
        <v>5795</v>
      </c>
      <c r="G124" s="1" t="s">
        <v>74</v>
      </c>
      <c r="H124" s="1" t="s">
        <v>5796</v>
      </c>
      <c r="I124" s="1" t="s">
        <v>101</v>
      </c>
      <c r="J124" s="1" t="s">
        <v>398</v>
      </c>
      <c r="K124" s="1" t="s">
        <v>78</v>
      </c>
      <c r="L124" s="4">
        <v>38888</v>
      </c>
      <c r="M124" s="1" t="s">
        <v>166</v>
      </c>
    </row>
    <row r="125" spans="1:13" ht="15.75" customHeight="1" x14ac:dyDescent="0.35">
      <c r="A125" s="1" t="s">
        <v>151</v>
      </c>
      <c r="B125" s="1" t="s">
        <v>5761</v>
      </c>
      <c r="C125" s="1" t="s">
        <v>5794</v>
      </c>
      <c r="D125" s="1" t="s">
        <v>2870</v>
      </c>
      <c r="E125" s="1" t="s">
        <v>5789</v>
      </c>
      <c r="F125" s="1" t="s">
        <v>5795</v>
      </c>
      <c r="G125" s="1" t="s">
        <v>74</v>
      </c>
      <c r="H125" s="1" t="s">
        <v>5796</v>
      </c>
      <c r="I125" s="1" t="s">
        <v>90</v>
      </c>
      <c r="J125" s="1" t="s">
        <v>398</v>
      </c>
      <c r="K125" s="1" t="s">
        <v>78</v>
      </c>
      <c r="L125" s="4">
        <v>30999</v>
      </c>
      <c r="M125" s="1" t="s">
        <v>166</v>
      </c>
    </row>
    <row r="126" spans="1:13" ht="15.75" customHeight="1" x14ac:dyDescent="0.35">
      <c r="A126" s="1" t="s">
        <v>112</v>
      </c>
      <c r="B126" s="1" t="s">
        <v>5753</v>
      </c>
      <c r="C126" s="1" t="s">
        <v>5800</v>
      </c>
      <c r="D126" s="1" t="s">
        <v>2870</v>
      </c>
      <c r="E126" s="1" t="s">
        <v>3816</v>
      </c>
      <c r="F126" s="1" t="s">
        <v>5795</v>
      </c>
      <c r="G126" s="1" t="s">
        <v>74</v>
      </c>
      <c r="H126" s="1" t="s">
        <v>5796</v>
      </c>
      <c r="I126" s="1" t="s">
        <v>101</v>
      </c>
      <c r="J126" s="1" t="s">
        <v>127</v>
      </c>
      <c r="K126" s="1" t="s">
        <v>78</v>
      </c>
      <c r="L126" s="4">
        <v>43199</v>
      </c>
      <c r="M126" s="1" t="s">
        <v>79</v>
      </c>
    </row>
    <row r="127" spans="1:13" ht="15.75" customHeight="1" x14ac:dyDescent="0.35">
      <c r="A127" s="1" t="s">
        <v>151</v>
      </c>
      <c r="B127" s="1" t="s">
        <v>5761</v>
      </c>
      <c r="C127" s="1" t="s">
        <v>5800</v>
      </c>
      <c r="D127" s="1" t="s">
        <v>3816</v>
      </c>
      <c r="E127" s="1" t="s">
        <v>5789</v>
      </c>
      <c r="F127" s="1" t="s">
        <v>5795</v>
      </c>
      <c r="G127" s="1" t="s">
        <v>74</v>
      </c>
      <c r="H127" s="1" t="s">
        <v>5796</v>
      </c>
      <c r="I127" s="1" t="s">
        <v>101</v>
      </c>
      <c r="J127" s="1" t="s">
        <v>63</v>
      </c>
      <c r="K127" s="1" t="s">
        <v>165</v>
      </c>
      <c r="L127" s="4">
        <v>52999</v>
      </c>
      <c r="M127" s="1" t="s">
        <v>65</v>
      </c>
    </row>
    <row r="128" spans="1:13" ht="15.75" customHeight="1" x14ac:dyDescent="0.35">
      <c r="A128" s="1" t="s">
        <v>151</v>
      </c>
      <c r="B128" s="1" t="s">
        <v>5760</v>
      </c>
      <c r="C128" s="1" t="s">
        <v>5801</v>
      </c>
      <c r="D128" s="1" t="s">
        <v>5807</v>
      </c>
      <c r="E128" s="1" t="s">
        <v>5799</v>
      </c>
      <c r="F128" s="1" t="s">
        <v>5792</v>
      </c>
      <c r="G128" s="1" t="s">
        <v>224</v>
      </c>
      <c r="H128" s="1" t="s">
        <v>5793</v>
      </c>
      <c r="I128" s="1" t="s">
        <v>90</v>
      </c>
      <c r="J128" s="1" t="s">
        <v>205</v>
      </c>
      <c r="K128" s="1" t="s">
        <v>78</v>
      </c>
      <c r="L128" s="4">
        <v>160000</v>
      </c>
      <c r="M128" s="1" t="s">
        <v>5735</v>
      </c>
    </row>
    <row r="129" spans="1:13" ht="15.75" customHeight="1" x14ac:dyDescent="0.35">
      <c r="A129" s="1" t="s">
        <v>151</v>
      </c>
      <c r="B129" s="1" t="s">
        <v>5760</v>
      </c>
      <c r="C129" s="1" t="s">
        <v>5788</v>
      </c>
      <c r="D129" s="1" t="s">
        <v>3816</v>
      </c>
      <c r="E129" s="1" t="s">
        <v>5799</v>
      </c>
      <c r="F129" s="1" t="s">
        <v>5792</v>
      </c>
      <c r="G129" s="1" t="s">
        <v>224</v>
      </c>
      <c r="H129" s="1" t="s">
        <v>200</v>
      </c>
      <c r="I129" s="1" t="s">
        <v>90</v>
      </c>
      <c r="J129" s="1" t="s">
        <v>944</v>
      </c>
      <c r="K129" s="1" t="s">
        <v>78</v>
      </c>
      <c r="L129" s="4">
        <v>103499</v>
      </c>
      <c r="M129" s="1" t="s">
        <v>65</v>
      </c>
    </row>
    <row r="130" spans="1:13" ht="15.75" customHeight="1" x14ac:dyDescent="0.35">
      <c r="A130" s="1" t="s">
        <v>30</v>
      </c>
      <c r="B130" s="1" t="s">
        <v>5810</v>
      </c>
      <c r="C130" s="1" t="s">
        <v>5816</v>
      </c>
      <c r="D130" s="1" t="s">
        <v>3816</v>
      </c>
      <c r="E130" s="1" t="s">
        <v>599</v>
      </c>
      <c r="F130" s="1" t="s">
        <v>5792</v>
      </c>
      <c r="G130" s="1" t="s">
        <v>224</v>
      </c>
      <c r="H130" s="1" t="s">
        <v>200</v>
      </c>
      <c r="I130" s="1" t="s">
        <v>90</v>
      </c>
      <c r="J130" s="1" t="s">
        <v>944</v>
      </c>
      <c r="K130" s="1" t="s">
        <v>165</v>
      </c>
      <c r="L130" s="4">
        <v>76850</v>
      </c>
      <c r="M130" s="1" t="s">
        <v>5735</v>
      </c>
    </row>
    <row r="131" spans="1:13" ht="15.75" customHeight="1" x14ac:dyDescent="0.35">
      <c r="A131" s="1" t="s">
        <v>30</v>
      </c>
      <c r="B131" s="1" t="s">
        <v>5810</v>
      </c>
      <c r="C131" s="1" t="s">
        <v>5816</v>
      </c>
      <c r="D131" s="1" t="s">
        <v>3816</v>
      </c>
      <c r="E131" s="1" t="s">
        <v>599</v>
      </c>
      <c r="F131" s="1" t="s">
        <v>5792</v>
      </c>
      <c r="G131" s="1" t="s">
        <v>224</v>
      </c>
      <c r="H131" s="1" t="s">
        <v>200</v>
      </c>
      <c r="I131" s="1" t="s">
        <v>90</v>
      </c>
      <c r="J131" s="1" t="s">
        <v>944</v>
      </c>
      <c r="K131" s="1" t="s">
        <v>165</v>
      </c>
      <c r="L131" s="4">
        <v>85450</v>
      </c>
      <c r="M131" s="1" t="s">
        <v>5735</v>
      </c>
    </row>
    <row r="132" spans="1:13" ht="15.75" customHeight="1" x14ac:dyDescent="0.35">
      <c r="A132" s="1" t="s">
        <v>30</v>
      </c>
      <c r="B132" s="1" t="s">
        <v>5776</v>
      </c>
      <c r="C132" s="1" t="s">
        <v>5816</v>
      </c>
      <c r="D132" s="1" t="s">
        <v>5807</v>
      </c>
      <c r="E132" s="1" t="s">
        <v>599</v>
      </c>
      <c r="F132" s="1" t="s">
        <v>5792</v>
      </c>
      <c r="G132" s="1" t="s">
        <v>224</v>
      </c>
      <c r="H132" s="1" t="s">
        <v>200</v>
      </c>
      <c r="I132" s="1" t="s">
        <v>90</v>
      </c>
      <c r="J132" s="1" t="s">
        <v>537</v>
      </c>
      <c r="K132" s="1" t="s">
        <v>165</v>
      </c>
      <c r="L132" s="4">
        <v>158409</v>
      </c>
      <c r="M132" s="1" t="s">
        <v>5735</v>
      </c>
    </row>
    <row r="133" spans="1:13" ht="15.75" customHeight="1" x14ac:dyDescent="0.35">
      <c r="A133" s="1" t="s">
        <v>234</v>
      </c>
      <c r="B133" s="1" t="s">
        <v>5756</v>
      </c>
      <c r="C133" s="1" t="s">
        <v>5806</v>
      </c>
      <c r="D133" s="1" t="s">
        <v>5807</v>
      </c>
      <c r="E133" s="1" t="s">
        <v>5799</v>
      </c>
      <c r="F133" s="1" t="s">
        <v>5792</v>
      </c>
      <c r="G133" s="1" t="s">
        <v>224</v>
      </c>
      <c r="H133" s="1" t="s">
        <v>200</v>
      </c>
      <c r="I133" s="1" t="s">
        <v>90</v>
      </c>
      <c r="J133" s="1" t="s">
        <v>944</v>
      </c>
      <c r="K133" s="1" t="s">
        <v>78</v>
      </c>
      <c r="L133" s="4">
        <v>128888</v>
      </c>
      <c r="M133" s="1" t="s">
        <v>5735</v>
      </c>
    </row>
    <row r="134" spans="1:13" ht="15.75" customHeight="1" x14ac:dyDescent="0.35">
      <c r="A134" s="1" t="s">
        <v>151</v>
      </c>
      <c r="B134" s="1" t="s">
        <v>5761</v>
      </c>
      <c r="C134" s="1" t="s">
        <v>5800</v>
      </c>
      <c r="D134" s="1" t="s">
        <v>2870</v>
      </c>
      <c r="E134" s="1" t="s">
        <v>599</v>
      </c>
      <c r="F134" s="1" t="s">
        <v>5795</v>
      </c>
      <c r="G134" s="1" t="s">
        <v>74</v>
      </c>
      <c r="H134" s="1" t="s">
        <v>5796</v>
      </c>
      <c r="I134" s="1" t="s">
        <v>90</v>
      </c>
      <c r="J134" s="1" t="s">
        <v>163</v>
      </c>
      <c r="K134" s="1" t="s">
        <v>78</v>
      </c>
      <c r="L134" s="4">
        <v>40999</v>
      </c>
      <c r="M134" s="1" t="s">
        <v>166</v>
      </c>
    </row>
    <row r="135" spans="1:13" ht="15.75" customHeight="1" x14ac:dyDescent="0.35">
      <c r="A135" s="1" t="s">
        <v>234</v>
      </c>
      <c r="B135" s="1" t="s">
        <v>5758</v>
      </c>
      <c r="C135" s="1" t="s">
        <v>5800</v>
      </c>
      <c r="D135" s="1" t="s">
        <v>2870</v>
      </c>
      <c r="E135" s="1" t="s">
        <v>599</v>
      </c>
      <c r="F135" s="1" t="s">
        <v>5795</v>
      </c>
      <c r="G135" s="1" t="s">
        <v>1015</v>
      </c>
      <c r="H135" s="1" t="s">
        <v>5796</v>
      </c>
      <c r="I135" s="1" t="s">
        <v>90</v>
      </c>
      <c r="J135" s="1" t="s">
        <v>2878</v>
      </c>
      <c r="K135" s="1" t="s">
        <v>78</v>
      </c>
      <c r="L135" s="4">
        <v>49999</v>
      </c>
      <c r="M135" s="1" t="s">
        <v>79</v>
      </c>
    </row>
    <row r="136" spans="1:13" ht="15.75" customHeight="1" x14ac:dyDescent="0.35">
      <c r="A136" s="1" t="s">
        <v>234</v>
      </c>
      <c r="B136" s="1" t="s">
        <v>5758</v>
      </c>
      <c r="C136" s="1" t="s">
        <v>5812</v>
      </c>
      <c r="D136" s="1" t="s">
        <v>5735</v>
      </c>
      <c r="E136" s="1" t="s">
        <v>599</v>
      </c>
      <c r="F136" s="1" t="s">
        <v>5795</v>
      </c>
      <c r="G136" s="1" t="s">
        <v>1015</v>
      </c>
      <c r="H136" s="1" t="s">
        <v>5796</v>
      </c>
      <c r="I136" s="1" t="s">
        <v>90</v>
      </c>
      <c r="J136" s="1" t="s">
        <v>2878</v>
      </c>
      <c r="K136" s="1" t="s">
        <v>78</v>
      </c>
      <c r="L136" s="4">
        <v>42199</v>
      </c>
      <c r="M136" s="1" t="s">
        <v>5735</v>
      </c>
    </row>
    <row r="137" spans="1:13" ht="15.75" customHeight="1" x14ac:dyDescent="0.35">
      <c r="A137" s="1" t="s">
        <v>234</v>
      </c>
      <c r="B137" s="1" t="s">
        <v>5810</v>
      </c>
      <c r="C137" s="1" t="s">
        <v>5802</v>
      </c>
      <c r="D137" s="1" t="s">
        <v>3816</v>
      </c>
      <c r="E137" s="1" t="s">
        <v>5804</v>
      </c>
      <c r="F137" s="1" t="s">
        <v>5805</v>
      </c>
      <c r="G137" s="1" t="s">
        <v>38</v>
      </c>
      <c r="H137" s="1" t="s">
        <v>5819</v>
      </c>
      <c r="I137" s="1" t="s">
        <v>90</v>
      </c>
      <c r="J137" s="1" t="s">
        <v>976</v>
      </c>
      <c r="K137" s="1" t="s">
        <v>78</v>
      </c>
      <c r="L137" s="4">
        <v>152000</v>
      </c>
      <c r="M137" s="1" t="s">
        <v>5735</v>
      </c>
    </row>
    <row r="138" spans="1:13" ht="15.75" customHeight="1" x14ac:dyDescent="0.35">
      <c r="A138" s="1" t="s">
        <v>151</v>
      </c>
      <c r="B138" s="1" t="s">
        <v>5761</v>
      </c>
      <c r="C138" s="1" t="s">
        <v>5794</v>
      </c>
      <c r="D138" s="1" t="s">
        <v>2870</v>
      </c>
      <c r="E138" s="1" t="s">
        <v>599</v>
      </c>
      <c r="F138" s="1" t="s">
        <v>5795</v>
      </c>
      <c r="G138" s="1" t="s">
        <v>74</v>
      </c>
      <c r="H138" s="1" t="s">
        <v>5796</v>
      </c>
      <c r="I138" s="1" t="s">
        <v>101</v>
      </c>
      <c r="J138" s="1" t="s">
        <v>163</v>
      </c>
      <c r="K138" s="1" t="s">
        <v>78</v>
      </c>
      <c r="L138" s="4">
        <v>34999</v>
      </c>
      <c r="M138" s="1" t="s">
        <v>166</v>
      </c>
    </row>
    <row r="139" spans="1:13" ht="15.75" customHeight="1" x14ac:dyDescent="0.35">
      <c r="A139" s="1" t="s">
        <v>234</v>
      </c>
      <c r="B139" s="1" t="s">
        <v>5766</v>
      </c>
      <c r="C139" s="1" t="s">
        <v>5794</v>
      </c>
      <c r="D139" s="1" t="s">
        <v>3231</v>
      </c>
      <c r="E139" s="1" t="s">
        <v>599</v>
      </c>
      <c r="F139" s="1" t="s">
        <v>5795</v>
      </c>
      <c r="G139" s="1" t="s">
        <v>1015</v>
      </c>
      <c r="H139" s="1" t="s">
        <v>5796</v>
      </c>
      <c r="I139" s="1" t="s">
        <v>90</v>
      </c>
      <c r="J139" s="1" t="s">
        <v>359</v>
      </c>
      <c r="K139" s="1" t="s">
        <v>78</v>
      </c>
      <c r="L139" s="4">
        <v>36666</v>
      </c>
      <c r="M139" s="1" t="s">
        <v>79</v>
      </c>
    </row>
    <row r="140" spans="1:13" ht="15.75" customHeight="1" x14ac:dyDescent="0.35">
      <c r="A140" s="1" t="s">
        <v>112</v>
      </c>
      <c r="B140" s="1" t="s">
        <v>5753</v>
      </c>
      <c r="C140" s="1" t="s">
        <v>5794</v>
      </c>
      <c r="D140" s="1" t="s">
        <v>3231</v>
      </c>
      <c r="E140" s="1" t="s">
        <v>3816</v>
      </c>
      <c r="F140" s="1" t="s">
        <v>5792</v>
      </c>
      <c r="G140" s="1" t="s">
        <v>74</v>
      </c>
      <c r="H140" s="1" t="s">
        <v>5735</v>
      </c>
      <c r="I140" s="1" t="s">
        <v>90</v>
      </c>
      <c r="J140" s="1" t="s">
        <v>5735</v>
      </c>
      <c r="K140" s="1" t="s">
        <v>78</v>
      </c>
      <c r="L140" s="4">
        <v>29999</v>
      </c>
      <c r="M140" s="1" t="s">
        <v>79</v>
      </c>
    </row>
    <row r="141" spans="1:13" ht="15.75" customHeight="1" x14ac:dyDescent="0.35">
      <c r="A141" s="1" t="s">
        <v>151</v>
      </c>
      <c r="B141" s="1" t="s">
        <v>5761</v>
      </c>
      <c r="C141" s="1" t="s">
        <v>5800</v>
      </c>
      <c r="D141" s="1" t="s">
        <v>3816</v>
      </c>
      <c r="E141" s="1" t="s">
        <v>5789</v>
      </c>
      <c r="F141" s="1" t="s">
        <v>5795</v>
      </c>
      <c r="G141" s="1" t="s">
        <v>74</v>
      </c>
      <c r="H141" s="1" t="s">
        <v>5796</v>
      </c>
      <c r="I141" s="1" t="s">
        <v>101</v>
      </c>
      <c r="J141" s="1" t="s">
        <v>63</v>
      </c>
      <c r="K141" s="1" t="s">
        <v>165</v>
      </c>
      <c r="L141" s="4">
        <v>58499</v>
      </c>
      <c r="M141" s="1" t="s">
        <v>65</v>
      </c>
    </row>
    <row r="142" spans="1:13" ht="15.75" customHeight="1" x14ac:dyDescent="0.35">
      <c r="A142" s="1" t="s">
        <v>151</v>
      </c>
      <c r="B142" s="1" t="s">
        <v>5761</v>
      </c>
      <c r="C142" s="1" t="s">
        <v>5800</v>
      </c>
      <c r="D142" s="1" t="s">
        <v>3816</v>
      </c>
      <c r="E142" s="1" t="s">
        <v>5789</v>
      </c>
      <c r="F142" s="1" t="s">
        <v>5795</v>
      </c>
      <c r="G142" s="1" t="s">
        <v>74</v>
      </c>
      <c r="H142" s="1" t="s">
        <v>5796</v>
      </c>
      <c r="I142" s="1" t="s">
        <v>90</v>
      </c>
      <c r="J142" s="1" t="s">
        <v>63</v>
      </c>
      <c r="K142" s="1" t="s">
        <v>165</v>
      </c>
      <c r="L142" s="4">
        <v>58888</v>
      </c>
      <c r="M142" s="1" t="s">
        <v>65</v>
      </c>
    </row>
    <row r="143" spans="1:13" ht="15.75" customHeight="1" x14ac:dyDescent="0.35">
      <c r="A143" s="1" t="s">
        <v>112</v>
      </c>
      <c r="B143" s="1" t="s">
        <v>5753</v>
      </c>
      <c r="C143" s="1" t="s">
        <v>5800</v>
      </c>
      <c r="D143" s="1" t="s">
        <v>2870</v>
      </c>
      <c r="E143" s="1" t="s">
        <v>599</v>
      </c>
      <c r="F143" s="1" t="s">
        <v>5795</v>
      </c>
      <c r="G143" s="1" t="s">
        <v>74</v>
      </c>
      <c r="H143" s="1" t="s">
        <v>5796</v>
      </c>
      <c r="I143" s="1" t="s">
        <v>101</v>
      </c>
      <c r="J143" s="1" t="s">
        <v>127</v>
      </c>
      <c r="K143" s="1" t="s">
        <v>78</v>
      </c>
      <c r="L143" s="4">
        <v>46444</v>
      </c>
      <c r="M143" s="1" t="s">
        <v>79</v>
      </c>
    </row>
    <row r="144" spans="1:13" ht="15.75" customHeight="1" x14ac:dyDescent="0.35">
      <c r="A144" s="1" t="s">
        <v>112</v>
      </c>
      <c r="B144" s="1" t="s">
        <v>5753</v>
      </c>
      <c r="C144" s="1" t="s">
        <v>5800</v>
      </c>
      <c r="D144" s="1" t="s">
        <v>2870</v>
      </c>
      <c r="E144" s="1" t="s">
        <v>599</v>
      </c>
      <c r="F144" s="1" t="s">
        <v>5792</v>
      </c>
      <c r="G144" s="1" t="s">
        <v>74</v>
      </c>
      <c r="H144" s="1" t="s">
        <v>5796</v>
      </c>
      <c r="I144" s="1" t="s">
        <v>101</v>
      </c>
      <c r="J144" s="1" t="s">
        <v>267</v>
      </c>
      <c r="K144" s="1" t="s">
        <v>78</v>
      </c>
      <c r="L144" s="4">
        <v>48888</v>
      </c>
      <c r="M144" s="1" t="s">
        <v>79</v>
      </c>
    </row>
    <row r="145" spans="1:13" ht="15.75" customHeight="1" x14ac:dyDescent="0.35">
      <c r="A145" s="1" t="s">
        <v>30</v>
      </c>
      <c r="B145" s="1" t="s">
        <v>5773</v>
      </c>
      <c r="C145" s="1" t="s">
        <v>5800</v>
      </c>
      <c r="D145" s="1" t="s">
        <v>3816</v>
      </c>
      <c r="E145" s="1" t="s">
        <v>599</v>
      </c>
      <c r="F145" s="1" t="s">
        <v>5795</v>
      </c>
      <c r="G145" s="1" t="s">
        <v>1015</v>
      </c>
      <c r="H145" s="1" t="s">
        <v>5796</v>
      </c>
      <c r="I145" s="1" t="s">
        <v>90</v>
      </c>
      <c r="J145" s="1" t="s">
        <v>503</v>
      </c>
      <c r="K145" s="1" t="s">
        <v>165</v>
      </c>
      <c r="L145" s="4">
        <v>62999</v>
      </c>
      <c r="M145" s="1" t="s">
        <v>65</v>
      </c>
    </row>
    <row r="146" spans="1:13" ht="15.75" customHeight="1" x14ac:dyDescent="0.35">
      <c r="A146" s="1" t="s">
        <v>112</v>
      </c>
      <c r="B146" s="1" t="s">
        <v>5753</v>
      </c>
      <c r="C146" s="1" t="s">
        <v>5800</v>
      </c>
      <c r="D146" s="1" t="s">
        <v>2870</v>
      </c>
      <c r="E146" s="1" t="s">
        <v>599</v>
      </c>
      <c r="F146" s="1" t="s">
        <v>5795</v>
      </c>
      <c r="G146" s="1" t="s">
        <v>74</v>
      </c>
      <c r="H146" s="1" t="s">
        <v>5796</v>
      </c>
      <c r="I146" s="1" t="s">
        <v>90</v>
      </c>
      <c r="J146" s="1" t="s">
        <v>127</v>
      </c>
      <c r="K146" s="1" t="s">
        <v>78</v>
      </c>
      <c r="L146" s="4">
        <v>44444</v>
      </c>
      <c r="M146" s="1" t="s">
        <v>79</v>
      </c>
    </row>
    <row r="147" spans="1:13" ht="15.75" customHeight="1" x14ac:dyDescent="0.35">
      <c r="A147" s="1" t="s">
        <v>112</v>
      </c>
      <c r="B147" s="1" t="s">
        <v>5753</v>
      </c>
      <c r="C147" s="1" t="s">
        <v>5794</v>
      </c>
      <c r="D147" s="1" t="s">
        <v>2870</v>
      </c>
      <c r="E147" s="1" t="s">
        <v>599</v>
      </c>
      <c r="F147" s="1" t="s">
        <v>5792</v>
      </c>
      <c r="G147" s="1" t="s">
        <v>5817</v>
      </c>
      <c r="H147" s="1" t="s">
        <v>5735</v>
      </c>
      <c r="I147" s="1" t="s">
        <v>101</v>
      </c>
      <c r="J147" s="1" t="s">
        <v>142</v>
      </c>
      <c r="K147" s="1" t="s">
        <v>78</v>
      </c>
      <c r="L147" s="4">
        <v>38999</v>
      </c>
      <c r="M147" s="1" t="s">
        <v>65</v>
      </c>
    </row>
    <row r="148" spans="1:13" ht="15.75" customHeight="1" x14ac:dyDescent="0.35">
      <c r="A148" s="1" t="s">
        <v>151</v>
      </c>
      <c r="B148" s="1" t="s">
        <v>5761</v>
      </c>
      <c r="C148" s="1" t="s">
        <v>5815</v>
      </c>
      <c r="D148" s="1" t="s">
        <v>2870</v>
      </c>
      <c r="E148" s="1" t="s">
        <v>5807</v>
      </c>
      <c r="F148" s="1" t="s">
        <v>5795</v>
      </c>
      <c r="G148" s="1" t="s">
        <v>74</v>
      </c>
      <c r="H148" s="1" t="s">
        <v>5796</v>
      </c>
      <c r="I148" s="1" t="s">
        <v>90</v>
      </c>
      <c r="J148" s="1" t="s">
        <v>398</v>
      </c>
      <c r="K148" s="1" t="s">
        <v>78</v>
      </c>
      <c r="L148" s="4">
        <v>31999</v>
      </c>
      <c r="M148" s="1" t="s">
        <v>5735</v>
      </c>
    </row>
    <row r="149" spans="1:13" ht="15.75" customHeight="1" x14ac:dyDescent="0.35">
      <c r="A149" s="1" t="s">
        <v>151</v>
      </c>
      <c r="B149" s="1" t="s">
        <v>5761</v>
      </c>
      <c r="C149" s="1" t="s">
        <v>5800</v>
      </c>
      <c r="D149" s="1" t="s">
        <v>2870</v>
      </c>
      <c r="E149" s="1" t="s">
        <v>5789</v>
      </c>
      <c r="F149" s="1" t="s">
        <v>5795</v>
      </c>
      <c r="G149" s="1" t="s">
        <v>74</v>
      </c>
      <c r="H149" s="1" t="s">
        <v>5796</v>
      </c>
      <c r="I149" s="1" t="s">
        <v>101</v>
      </c>
      <c r="J149" s="1" t="s">
        <v>398</v>
      </c>
      <c r="K149" s="1" t="s">
        <v>78</v>
      </c>
      <c r="L149" s="4">
        <v>42999</v>
      </c>
      <c r="M149" s="1" t="s">
        <v>79</v>
      </c>
    </row>
    <row r="150" spans="1:13" ht="15.75" customHeight="1" x14ac:dyDescent="0.35">
      <c r="A150" s="1" t="s">
        <v>234</v>
      </c>
      <c r="B150" s="1" t="s">
        <v>5756</v>
      </c>
      <c r="C150" s="1" t="s">
        <v>5801</v>
      </c>
      <c r="D150" s="1" t="s">
        <v>5807</v>
      </c>
      <c r="E150" s="1" t="s">
        <v>5799</v>
      </c>
      <c r="F150" s="1" t="s">
        <v>5792</v>
      </c>
      <c r="G150" s="1" t="s">
        <v>1015</v>
      </c>
      <c r="H150" s="1" t="s">
        <v>5793</v>
      </c>
      <c r="I150" s="1" t="s">
        <v>90</v>
      </c>
      <c r="J150" s="1" t="s">
        <v>2696</v>
      </c>
      <c r="K150" s="1" t="s">
        <v>78</v>
      </c>
      <c r="L150" s="4">
        <v>134999</v>
      </c>
      <c r="M150" s="1" t="s">
        <v>5735</v>
      </c>
    </row>
    <row r="151" spans="1:13" ht="15.75" customHeight="1" x14ac:dyDescent="0.35">
      <c r="A151" s="1" t="s">
        <v>234</v>
      </c>
      <c r="B151" s="1" t="s">
        <v>5757</v>
      </c>
      <c r="C151" s="1" t="s">
        <v>5802</v>
      </c>
      <c r="D151" s="1" t="s">
        <v>5807</v>
      </c>
      <c r="E151" s="1" t="s">
        <v>5799</v>
      </c>
      <c r="F151" s="1" t="s">
        <v>5792</v>
      </c>
      <c r="G151" s="1" t="s">
        <v>5820</v>
      </c>
      <c r="H151" s="1" t="s">
        <v>111</v>
      </c>
      <c r="I151" s="1" t="s">
        <v>90</v>
      </c>
      <c r="J151" s="1" t="s">
        <v>5821</v>
      </c>
      <c r="K151" s="1" t="s">
        <v>78</v>
      </c>
      <c r="L151" s="4">
        <v>129500</v>
      </c>
      <c r="M151" s="1" t="s">
        <v>5735</v>
      </c>
    </row>
    <row r="152" spans="1:13" ht="15.75" customHeight="1" x14ac:dyDescent="0.35">
      <c r="A152" s="1" t="s">
        <v>234</v>
      </c>
      <c r="B152" s="1" t="s">
        <v>5756</v>
      </c>
      <c r="C152" s="1" t="s">
        <v>5801</v>
      </c>
      <c r="D152" s="1" t="s">
        <v>599</v>
      </c>
      <c r="E152" s="1" t="s">
        <v>5804</v>
      </c>
      <c r="F152" s="1" t="s">
        <v>5805</v>
      </c>
      <c r="G152" s="1" t="s">
        <v>224</v>
      </c>
      <c r="H152" s="1" t="s">
        <v>200</v>
      </c>
      <c r="I152" s="1" t="s">
        <v>90</v>
      </c>
      <c r="J152" s="1" t="s">
        <v>5813</v>
      </c>
      <c r="K152" s="1" t="s">
        <v>78</v>
      </c>
      <c r="L152" s="4">
        <v>204999</v>
      </c>
      <c r="M152" s="1" t="s">
        <v>5735</v>
      </c>
    </row>
    <row r="153" spans="1:13" ht="15.75" customHeight="1" x14ac:dyDescent="0.35">
      <c r="A153" s="1" t="s">
        <v>234</v>
      </c>
      <c r="B153" s="1" t="s">
        <v>5757</v>
      </c>
      <c r="C153" s="1" t="s">
        <v>5802</v>
      </c>
      <c r="D153" s="1" t="s">
        <v>5807</v>
      </c>
      <c r="E153" s="1" t="s">
        <v>5799</v>
      </c>
      <c r="F153" s="1" t="s">
        <v>5792</v>
      </c>
      <c r="G153" s="1" t="s">
        <v>5820</v>
      </c>
      <c r="H153" s="1" t="s">
        <v>111</v>
      </c>
      <c r="I153" s="1" t="s">
        <v>90</v>
      </c>
      <c r="J153" s="1" t="s">
        <v>5821</v>
      </c>
      <c r="K153" s="1" t="s">
        <v>78</v>
      </c>
      <c r="L153" s="4">
        <v>129500</v>
      </c>
      <c r="M153" s="1" t="s">
        <v>5735</v>
      </c>
    </row>
    <row r="154" spans="1:13" ht="15.75" customHeight="1" x14ac:dyDescent="0.35">
      <c r="A154" s="1" t="s">
        <v>234</v>
      </c>
      <c r="B154" s="1" t="s">
        <v>5757</v>
      </c>
      <c r="C154" s="1" t="s">
        <v>5801</v>
      </c>
      <c r="D154" s="1" t="s">
        <v>599</v>
      </c>
      <c r="E154" s="1" t="s">
        <v>5804</v>
      </c>
      <c r="F154" s="1" t="s">
        <v>5805</v>
      </c>
      <c r="G154" s="1" t="s">
        <v>224</v>
      </c>
      <c r="H154" s="1" t="s">
        <v>200</v>
      </c>
      <c r="I154" s="1" t="s">
        <v>90</v>
      </c>
      <c r="J154" s="1" t="s">
        <v>923</v>
      </c>
      <c r="K154" s="1" t="s">
        <v>78</v>
      </c>
      <c r="L154" s="4">
        <v>189999</v>
      </c>
      <c r="M154" s="1" t="s">
        <v>5735</v>
      </c>
    </row>
    <row r="155" spans="1:13" ht="15.75" customHeight="1" x14ac:dyDescent="0.35">
      <c r="A155" s="1" t="s">
        <v>151</v>
      </c>
      <c r="B155" s="1" t="s">
        <v>5761</v>
      </c>
      <c r="C155" s="1" t="s">
        <v>5794</v>
      </c>
      <c r="D155" s="1" t="s">
        <v>2870</v>
      </c>
      <c r="E155" s="1" t="s">
        <v>5807</v>
      </c>
      <c r="F155" s="1" t="s">
        <v>5795</v>
      </c>
      <c r="G155" s="1" t="s">
        <v>74</v>
      </c>
      <c r="H155" s="1" t="s">
        <v>5796</v>
      </c>
      <c r="I155" s="1" t="s">
        <v>101</v>
      </c>
      <c r="J155" s="1" t="s">
        <v>398</v>
      </c>
      <c r="K155" s="1" t="s">
        <v>165</v>
      </c>
      <c r="L155" s="4">
        <v>35555</v>
      </c>
      <c r="M155" s="1" t="s">
        <v>166</v>
      </c>
    </row>
    <row r="156" spans="1:13" ht="15.75" customHeight="1" x14ac:dyDescent="0.35">
      <c r="A156" s="1" t="s">
        <v>30</v>
      </c>
      <c r="B156" s="1" t="s">
        <v>5776</v>
      </c>
      <c r="C156" s="1" t="s">
        <v>5788</v>
      </c>
      <c r="D156" s="1" t="s">
        <v>5807</v>
      </c>
      <c r="E156" s="1" t="s">
        <v>599</v>
      </c>
      <c r="F156" s="1" t="s">
        <v>5792</v>
      </c>
      <c r="G156" s="1" t="s">
        <v>1015</v>
      </c>
      <c r="H156" s="1" t="s">
        <v>5796</v>
      </c>
      <c r="I156" s="1" t="s">
        <v>90</v>
      </c>
      <c r="J156" s="1" t="s">
        <v>537</v>
      </c>
      <c r="K156" s="1" t="s">
        <v>78</v>
      </c>
      <c r="L156" s="4">
        <v>122222</v>
      </c>
      <c r="M156" s="1" t="s">
        <v>79</v>
      </c>
    </row>
    <row r="157" spans="1:13" ht="15.75" customHeight="1" x14ac:dyDescent="0.35">
      <c r="A157" s="1" t="s">
        <v>112</v>
      </c>
      <c r="B157" s="1" t="s">
        <v>5753</v>
      </c>
      <c r="C157" s="1" t="s">
        <v>5800</v>
      </c>
      <c r="D157" s="1" t="s">
        <v>3816</v>
      </c>
      <c r="E157" s="1" t="s">
        <v>599</v>
      </c>
      <c r="F157" s="1" t="s">
        <v>5795</v>
      </c>
      <c r="G157" s="1" t="s">
        <v>74</v>
      </c>
      <c r="H157" s="1" t="s">
        <v>5796</v>
      </c>
      <c r="I157" s="1" t="s">
        <v>101</v>
      </c>
      <c r="J157" s="1" t="s">
        <v>142</v>
      </c>
      <c r="K157" s="1" t="s">
        <v>78</v>
      </c>
      <c r="L157" s="4">
        <v>52499</v>
      </c>
      <c r="M157" s="1" t="s">
        <v>79</v>
      </c>
    </row>
    <row r="158" spans="1:13" ht="15.75" customHeight="1" x14ac:dyDescent="0.35">
      <c r="A158" s="1" t="s">
        <v>81</v>
      </c>
      <c r="B158" s="1" t="s">
        <v>5810</v>
      </c>
      <c r="C158" s="1" t="s">
        <v>5788</v>
      </c>
      <c r="D158" s="1" t="s">
        <v>3816</v>
      </c>
      <c r="E158" s="1" t="s">
        <v>5799</v>
      </c>
      <c r="F158" s="1" t="s">
        <v>5792</v>
      </c>
      <c r="G158" s="1" t="s">
        <v>74</v>
      </c>
      <c r="H158" s="1" t="s">
        <v>5793</v>
      </c>
      <c r="I158" s="1" t="s">
        <v>90</v>
      </c>
      <c r="J158" s="1" t="s">
        <v>423</v>
      </c>
      <c r="K158" s="1" t="s">
        <v>78</v>
      </c>
      <c r="L158" s="4">
        <v>83999</v>
      </c>
      <c r="M158" s="1" t="s">
        <v>79</v>
      </c>
    </row>
    <row r="159" spans="1:13" ht="15.75" customHeight="1" x14ac:dyDescent="0.35">
      <c r="A159" s="1" t="s">
        <v>112</v>
      </c>
      <c r="B159" s="1" t="s">
        <v>5753</v>
      </c>
      <c r="C159" s="1" t="s">
        <v>5800</v>
      </c>
      <c r="D159" s="1" t="s">
        <v>2870</v>
      </c>
      <c r="E159" s="1" t="s">
        <v>599</v>
      </c>
      <c r="F159" s="1" t="s">
        <v>5792</v>
      </c>
      <c r="G159" s="1" t="s">
        <v>74</v>
      </c>
      <c r="H159" s="1" t="s">
        <v>5796</v>
      </c>
      <c r="I159" s="1" t="s">
        <v>101</v>
      </c>
      <c r="J159" s="1" t="s">
        <v>267</v>
      </c>
      <c r="K159" s="1" t="s">
        <v>78</v>
      </c>
      <c r="L159" s="4">
        <v>47999</v>
      </c>
      <c r="M159" s="1" t="s">
        <v>79</v>
      </c>
    </row>
    <row r="160" spans="1:13" ht="15.75" customHeight="1" x14ac:dyDescent="0.35">
      <c r="A160" s="1" t="s">
        <v>81</v>
      </c>
      <c r="B160" s="1" t="s">
        <v>5810</v>
      </c>
      <c r="C160" s="1" t="s">
        <v>5800</v>
      </c>
      <c r="D160" s="1" t="s">
        <v>3816</v>
      </c>
      <c r="E160" s="1" t="s">
        <v>599</v>
      </c>
      <c r="F160" s="1" t="s">
        <v>5792</v>
      </c>
      <c r="G160" s="1" t="s">
        <v>74</v>
      </c>
      <c r="H160" s="1" t="s">
        <v>5793</v>
      </c>
      <c r="I160" s="1" t="s">
        <v>101</v>
      </c>
      <c r="J160" s="1" t="s">
        <v>423</v>
      </c>
      <c r="K160" s="1" t="s">
        <v>425</v>
      </c>
      <c r="L160" s="4">
        <v>63599</v>
      </c>
      <c r="M160" s="1" t="s">
        <v>79</v>
      </c>
    </row>
    <row r="161" spans="1:13" ht="15.75" customHeight="1" x14ac:dyDescent="0.35">
      <c r="A161" s="1" t="s">
        <v>112</v>
      </c>
      <c r="B161" s="1" t="s">
        <v>5753</v>
      </c>
      <c r="C161" s="1" t="s">
        <v>5794</v>
      </c>
      <c r="D161" s="1" t="s">
        <v>2870</v>
      </c>
      <c r="E161" s="1" t="s">
        <v>599</v>
      </c>
      <c r="F161" s="1" t="s">
        <v>5795</v>
      </c>
      <c r="G161" s="1" t="s">
        <v>74</v>
      </c>
      <c r="H161" s="1" t="s">
        <v>5796</v>
      </c>
      <c r="I161" s="1" t="s">
        <v>101</v>
      </c>
      <c r="J161" s="1" t="s">
        <v>5735</v>
      </c>
      <c r="K161" s="1" t="s">
        <v>78</v>
      </c>
      <c r="L161" s="4">
        <v>41199</v>
      </c>
      <c r="M161" s="1" t="s">
        <v>79</v>
      </c>
    </row>
    <row r="162" spans="1:13" ht="15.75" customHeight="1" x14ac:dyDescent="0.35">
      <c r="A162" s="1" t="s">
        <v>112</v>
      </c>
      <c r="B162" s="1" t="s">
        <v>5753</v>
      </c>
      <c r="C162" s="1" t="s">
        <v>5800</v>
      </c>
      <c r="D162" s="1" t="s">
        <v>2870</v>
      </c>
      <c r="E162" s="1" t="s">
        <v>599</v>
      </c>
      <c r="F162" s="1" t="s">
        <v>5795</v>
      </c>
      <c r="G162" s="1" t="s">
        <v>74</v>
      </c>
      <c r="H162" s="1" t="s">
        <v>5796</v>
      </c>
      <c r="I162" s="1" t="s">
        <v>90</v>
      </c>
      <c r="J162" s="1" t="s">
        <v>127</v>
      </c>
      <c r="K162" s="1" t="s">
        <v>78</v>
      </c>
      <c r="L162" s="4">
        <v>44444</v>
      </c>
      <c r="M162" s="1" t="s">
        <v>79</v>
      </c>
    </row>
    <row r="163" spans="1:13" ht="15.75" customHeight="1" x14ac:dyDescent="0.35">
      <c r="A163" s="1" t="s">
        <v>151</v>
      </c>
      <c r="B163" s="1" t="s">
        <v>5760</v>
      </c>
      <c r="C163" s="1" t="s">
        <v>5800</v>
      </c>
      <c r="D163" s="1" t="s">
        <v>3816</v>
      </c>
      <c r="E163" s="1" t="s">
        <v>599</v>
      </c>
      <c r="F163" s="1" t="s">
        <v>5792</v>
      </c>
      <c r="G163" s="1" t="s">
        <v>74</v>
      </c>
      <c r="H163" s="1" t="s">
        <v>5793</v>
      </c>
      <c r="I163" s="1" t="s">
        <v>90</v>
      </c>
      <c r="J163" s="1" t="s">
        <v>63</v>
      </c>
      <c r="K163" s="1" t="s">
        <v>78</v>
      </c>
      <c r="L163" s="4">
        <v>57777</v>
      </c>
      <c r="M163" s="1" t="s">
        <v>1082</v>
      </c>
    </row>
    <row r="164" spans="1:13" ht="15.75" customHeight="1" x14ac:dyDescent="0.35">
      <c r="A164" s="1" t="s">
        <v>151</v>
      </c>
      <c r="B164" s="1" t="s">
        <v>5760</v>
      </c>
      <c r="C164" s="1" t="s">
        <v>5788</v>
      </c>
      <c r="D164" s="1" t="s">
        <v>2870</v>
      </c>
      <c r="E164" s="1" t="s">
        <v>599</v>
      </c>
      <c r="F164" s="1" t="s">
        <v>5795</v>
      </c>
      <c r="G164" s="1" t="s">
        <v>224</v>
      </c>
      <c r="H164" s="1" t="s">
        <v>5793</v>
      </c>
      <c r="I164" s="1" t="s">
        <v>101</v>
      </c>
      <c r="J164" s="1" t="s">
        <v>1091</v>
      </c>
      <c r="K164" s="1" t="s">
        <v>78</v>
      </c>
      <c r="L164" s="4">
        <v>72999</v>
      </c>
      <c r="M164" s="1" t="s">
        <v>79</v>
      </c>
    </row>
    <row r="165" spans="1:13" ht="15.75" customHeight="1" x14ac:dyDescent="0.35">
      <c r="A165" s="1" t="s">
        <v>151</v>
      </c>
      <c r="B165" s="1" t="s">
        <v>5763</v>
      </c>
      <c r="C165" s="1" t="s">
        <v>5816</v>
      </c>
      <c r="D165" s="1" t="s">
        <v>2870</v>
      </c>
      <c r="E165" s="1" t="s">
        <v>599</v>
      </c>
      <c r="F165" s="1" t="s">
        <v>5795</v>
      </c>
      <c r="G165" s="1" t="s">
        <v>1174</v>
      </c>
      <c r="H165" s="1" t="s">
        <v>111</v>
      </c>
      <c r="I165" s="1" t="s">
        <v>90</v>
      </c>
      <c r="J165" s="1" t="s">
        <v>1104</v>
      </c>
      <c r="K165" s="1" t="s">
        <v>78</v>
      </c>
      <c r="L165" s="4">
        <v>66666</v>
      </c>
      <c r="M165" s="1" t="s">
        <v>5735</v>
      </c>
    </row>
    <row r="166" spans="1:13" ht="15.75" customHeight="1" x14ac:dyDescent="0.35">
      <c r="A166" s="1" t="s">
        <v>151</v>
      </c>
      <c r="B166" s="1" t="s">
        <v>5760</v>
      </c>
      <c r="C166" s="1" t="s">
        <v>5808</v>
      </c>
      <c r="D166" s="1" t="s">
        <v>3816</v>
      </c>
      <c r="E166" s="1" t="s">
        <v>599</v>
      </c>
      <c r="F166" s="1" t="s">
        <v>5792</v>
      </c>
      <c r="G166" s="1" t="s">
        <v>74</v>
      </c>
      <c r="H166" s="1" t="s">
        <v>5793</v>
      </c>
      <c r="I166" s="1" t="s">
        <v>101</v>
      </c>
      <c r="J166" s="1" t="s">
        <v>63</v>
      </c>
      <c r="K166" s="1" t="s">
        <v>78</v>
      </c>
      <c r="L166" s="4">
        <v>45499</v>
      </c>
      <c r="M166" s="1" t="s">
        <v>5735</v>
      </c>
    </row>
    <row r="167" spans="1:13" ht="15.75" customHeight="1" x14ac:dyDescent="0.35">
      <c r="A167" s="1" t="s">
        <v>234</v>
      </c>
      <c r="B167" s="1" t="s">
        <v>5758</v>
      </c>
      <c r="C167" s="1" t="s">
        <v>5812</v>
      </c>
      <c r="D167" s="1" t="s">
        <v>2870</v>
      </c>
      <c r="E167" s="1" t="s">
        <v>599</v>
      </c>
      <c r="F167" s="1" t="s">
        <v>5795</v>
      </c>
      <c r="G167" s="1" t="s">
        <v>1015</v>
      </c>
      <c r="H167" s="1" t="s">
        <v>5796</v>
      </c>
      <c r="I167" s="1" t="s">
        <v>90</v>
      </c>
      <c r="J167" s="1" t="s">
        <v>2878</v>
      </c>
      <c r="K167" s="1" t="s">
        <v>78</v>
      </c>
      <c r="L167" s="4">
        <v>41999</v>
      </c>
      <c r="M167" s="1" t="s">
        <v>5735</v>
      </c>
    </row>
    <row r="168" spans="1:13" ht="15.75" customHeight="1" x14ac:dyDescent="0.35">
      <c r="A168" s="1" t="s">
        <v>234</v>
      </c>
      <c r="B168" s="1" t="s">
        <v>5758</v>
      </c>
      <c r="C168" s="1" t="s">
        <v>5800</v>
      </c>
      <c r="D168" s="1" t="s">
        <v>3816</v>
      </c>
      <c r="E168" s="1" t="s">
        <v>599</v>
      </c>
      <c r="F168" s="1" t="s">
        <v>5795</v>
      </c>
      <c r="G168" s="1" t="s">
        <v>74</v>
      </c>
      <c r="H168" s="1" t="s">
        <v>5796</v>
      </c>
      <c r="I168" s="1" t="s">
        <v>90</v>
      </c>
      <c r="J168" s="1" t="s">
        <v>5735</v>
      </c>
      <c r="K168" s="1" t="s">
        <v>78</v>
      </c>
      <c r="L168" s="4">
        <v>58999</v>
      </c>
      <c r="M168" s="1" t="s">
        <v>166</v>
      </c>
    </row>
    <row r="169" spans="1:13" ht="15.75" customHeight="1" x14ac:dyDescent="0.35">
      <c r="A169" s="1" t="s">
        <v>151</v>
      </c>
      <c r="B169" s="1" t="s">
        <v>5760</v>
      </c>
      <c r="C169" s="1" t="s">
        <v>5788</v>
      </c>
      <c r="D169" s="1" t="s">
        <v>3816</v>
      </c>
      <c r="E169" s="1" t="s">
        <v>5799</v>
      </c>
      <c r="F169" s="1" t="s">
        <v>5792</v>
      </c>
      <c r="G169" s="1" t="s">
        <v>224</v>
      </c>
      <c r="H169" s="1" t="s">
        <v>5793</v>
      </c>
      <c r="I169" s="1" t="s">
        <v>90</v>
      </c>
      <c r="J169" s="1" t="s">
        <v>1127</v>
      </c>
      <c r="K169" s="1" t="s">
        <v>78</v>
      </c>
      <c r="L169" s="4">
        <v>82499</v>
      </c>
      <c r="M169" s="1" t="s">
        <v>65</v>
      </c>
    </row>
    <row r="170" spans="1:13" ht="15.75" customHeight="1" x14ac:dyDescent="0.35">
      <c r="A170" s="1" t="s">
        <v>30</v>
      </c>
      <c r="B170" s="1" t="s">
        <v>5810</v>
      </c>
      <c r="C170" s="1" t="s">
        <v>5808</v>
      </c>
      <c r="D170" s="1" t="s">
        <v>3231</v>
      </c>
      <c r="E170" s="1" t="s">
        <v>599</v>
      </c>
      <c r="F170" s="1" t="s">
        <v>5795</v>
      </c>
      <c r="G170" s="1" t="s">
        <v>74</v>
      </c>
      <c r="H170" s="1" t="s">
        <v>5796</v>
      </c>
      <c r="I170" s="1" t="s">
        <v>101</v>
      </c>
      <c r="J170" s="1" t="s">
        <v>376</v>
      </c>
      <c r="K170" s="1" t="s">
        <v>165</v>
      </c>
      <c r="L170" s="4">
        <v>36899</v>
      </c>
      <c r="M170" s="1" t="s">
        <v>5735</v>
      </c>
    </row>
    <row r="171" spans="1:13" ht="15.75" customHeight="1" x14ac:dyDescent="0.35">
      <c r="A171" s="1" t="s">
        <v>30</v>
      </c>
      <c r="B171" s="1" t="s">
        <v>5810</v>
      </c>
      <c r="C171" s="1" t="s">
        <v>5808</v>
      </c>
      <c r="D171" s="1" t="s">
        <v>2870</v>
      </c>
      <c r="E171" s="1" t="s">
        <v>599</v>
      </c>
      <c r="F171" s="1" t="s">
        <v>5795</v>
      </c>
      <c r="G171" s="1" t="s">
        <v>74</v>
      </c>
      <c r="H171" s="1" t="s">
        <v>5796</v>
      </c>
      <c r="I171" s="1" t="s">
        <v>101</v>
      </c>
      <c r="J171" s="1" t="s">
        <v>376</v>
      </c>
      <c r="K171" s="1" t="s">
        <v>165</v>
      </c>
      <c r="L171" s="4">
        <v>38339</v>
      </c>
      <c r="M171" s="1" t="s">
        <v>5735</v>
      </c>
    </row>
    <row r="172" spans="1:13" ht="15.75" customHeight="1" x14ac:dyDescent="0.35">
      <c r="A172" s="1" t="s">
        <v>30</v>
      </c>
      <c r="B172" s="1" t="s">
        <v>5810</v>
      </c>
      <c r="C172" s="1" t="s">
        <v>5794</v>
      </c>
      <c r="D172" s="1" t="s">
        <v>3231</v>
      </c>
      <c r="E172" s="1" t="s">
        <v>3816</v>
      </c>
      <c r="F172" s="1" t="s">
        <v>5795</v>
      </c>
      <c r="G172" s="1" t="s">
        <v>74</v>
      </c>
      <c r="H172" s="1" t="s">
        <v>5796</v>
      </c>
      <c r="I172" s="1" t="s">
        <v>101</v>
      </c>
      <c r="J172" s="1" t="s">
        <v>376</v>
      </c>
      <c r="K172" s="1" t="s">
        <v>165</v>
      </c>
      <c r="L172" s="4">
        <v>28449</v>
      </c>
      <c r="M172" s="1" t="s">
        <v>166</v>
      </c>
    </row>
    <row r="173" spans="1:13" ht="15.75" customHeight="1" x14ac:dyDescent="0.35">
      <c r="A173" s="1" t="s">
        <v>30</v>
      </c>
      <c r="B173" s="1" t="s">
        <v>5810</v>
      </c>
      <c r="C173" s="1" t="s">
        <v>5800</v>
      </c>
      <c r="D173" s="1" t="s">
        <v>2870</v>
      </c>
      <c r="E173" s="1" t="s">
        <v>599</v>
      </c>
      <c r="F173" s="1" t="s">
        <v>5795</v>
      </c>
      <c r="G173" s="1" t="s">
        <v>74</v>
      </c>
      <c r="H173" s="1" t="s">
        <v>5796</v>
      </c>
      <c r="I173" s="1" t="s">
        <v>101</v>
      </c>
      <c r="J173" s="1" t="s">
        <v>376</v>
      </c>
      <c r="K173" s="1" t="s">
        <v>165</v>
      </c>
      <c r="L173" s="4">
        <v>42999</v>
      </c>
      <c r="M173" s="1" t="s">
        <v>79</v>
      </c>
    </row>
    <row r="174" spans="1:13" ht="15.75" customHeight="1" x14ac:dyDescent="0.35">
      <c r="A174" s="1" t="s">
        <v>112</v>
      </c>
      <c r="B174" s="1" t="s">
        <v>5810</v>
      </c>
      <c r="C174" s="1" t="s">
        <v>5800</v>
      </c>
      <c r="D174" s="1" t="s">
        <v>3816</v>
      </c>
      <c r="E174" s="1" t="s">
        <v>599</v>
      </c>
      <c r="F174" s="1" t="s">
        <v>5792</v>
      </c>
      <c r="G174" s="1" t="s">
        <v>74</v>
      </c>
      <c r="H174" s="1" t="s">
        <v>5796</v>
      </c>
      <c r="I174" s="1" t="s">
        <v>101</v>
      </c>
      <c r="J174" s="1" t="s">
        <v>267</v>
      </c>
      <c r="K174" s="1" t="s">
        <v>78</v>
      </c>
      <c r="L174" s="4">
        <v>51999</v>
      </c>
      <c r="M174" s="1" t="s">
        <v>79</v>
      </c>
    </row>
    <row r="175" spans="1:13" ht="15.75" customHeight="1" x14ac:dyDescent="0.35">
      <c r="A175" s="1" t="s">
        <v>112</v>
      </c>
      <c r="B175" s="1" t="s">
        <v>5754</v>
      </c>
      <c r="C175" s="1" t="s">
        <v>5800</v>
      </c>
      <c r="D175" s="1" t="s">
        <v>3816</v>
      </c>
      <c r="E175" s="1" t="s">
        <v>5799</v>
      </c>
      <c r="F175" s="1" t="s">
        <v>5792</v>
      </c>
      <c r="G175" s="1" t="s">
        <v>74</v>
      </c>
      <c r="H175" s="1" t="s">
        <v>5796</v>
      </c>
      <c r="I175" s="1" t="s">
        <v>90</v>
      </c>
      <c r="J175" s="1" t="s">
        <v>142</v>
      </c>
      <c r="K175" s="1" t="s">
        <v>78</v>
      </c>
      <c r="L175" s="4">
        <v>74999</v>
      </c>
      <c r="M175" s="1" t="s">
        <v>65</v>
      </c>
    </row>
    <row r="176" spans="1:13" ht="15.75" customHeight="1" x14ac:dyDescent="0.35">
      <c r="A176" s="1" t="s">
        <v>234</v>
      </c>
      <c r="B176" s="1" t="s">
        <v>5757</v>
      </c>
      <c r="C176" s="1" t="s">
        <v>5802</v>
      </c>
      <c r="D176" s="1" t="s">
        <v>3816</v>
      </c>
      <c r="E176" s="1" t="s">
        <v>5799</v>
      </c>
      <c r="F176" s="1" t="s">
        <v>5792</v>
      </c>
      <c r="G176" s="1" t="s">
        <v>224</v>
      </c>
      <c r="H176" s="1" t="s">
        <v>200</v>
      </c>
      <c r="I176" s="1" t="s">
        <v>90</v>
      </c>
      <c r="J176" s="1" t="s">
        <v>976</v>
      </c>
      <c r="K176" s="1" t="s">
        <v>78</v>
      </c>
      <c r="L176" s="4">
        <v>134999</v>
      </c>
      <c r="M176" s="1" t="s">
        <v>5735</v>
      </c>
    </row>
    <row r="177" spans="1:13" ht="15.75" customHeight="1" x14ac:dyDescent="0.35">
      <c r="A177" s="1" t="s">
        <v>234</v>
      </c>
      <c r="B177" s="1" t="s">
        <v>5810</v>
      </c>
      <c r="C177" s="1" t="s">
        <v>5802</v>
      </c>
      <c r="D177" s="1" t="s">
        <v>3816</v>
      </c>
      <c r="E177" s="1" t="s">
        <v>5804</v>
      </c>
      <c r="F177" s="1" t="s">
        <v>5805</v>
      </c>
      <c r="G177" s="1" t="s">
        <v>38</v>
      </c>
      <c r="H177" s="1" t="s">
        <v>5819</v>
      </c>
      <c r="I177" s="1" t="s">
        <v>90</v>
      </c>
      <c r="J177" s="1" t="s">
        <v>976</v>
      </c>
      <c r="K177" s="1" t="s">
        <v>78</v>
      </c>
      <c r="L177" s="4">
        <v>150000</v>
      </c>
      <c r="M177" s="1" t="s">
        <v>5735</v>
      </c>
    </row>
    <row r="178" spans="1:13" ht="15.75" customHeight="1" x14ac:dyDescent="0.35">
      <c r="A178" s="1" t="s">
        <v>234</v>
      </c>
      <c r="B178" s="1" t="s">
        <v>5758</v>
      </c>
      <c r="C178" s="1" t="s">
        <v>5802</v>
      </c>
      <c r="D178" s="1" t="s">
        <v>2870</v>
      </c>
      <c r="E178" s="1" t="s">
        <v>599</v>
      </c>
      <c r="F178" s="1" t="s">
        <v>5792</v>
      </c>
      <c r="G178" s="1" t="s">
        <v>224</v>
      </c>
      <c r="H178" s="1" t="s">
        <v>5793</v>
      </c>
      <c r="I178" s="1" t="s">
        <v>90</v>
      </c>
      <c r="J178" s="1" t="s">
        <v>5809</v>
      </c>
      <c r="K178" s="1" t="s">
        <v>78</v>
      </c>
      <c r="L178" s="4">
        <v>69999</v>
      </c>
      <c r="M178" s="1" t="s">
        <v>5735</v>
      </c>
    </row>
    <row r="179" spans="1:13" ht="15.75" customHeight="1" x14ac:dyDescent="0.35">
      <c r="A179" s="1" t="s">
        <v>151</v>
      </c>
      <c r="B179" s="1" t="s">
        <v>5760</v>
      </c>
      <c r="C179" s="1" t="s">
        <v>5800</v>
      </c>
      <c r="D179" s="1" t="s">
        <v>3816</v>
      </c>
      <c r="E179" s="1" t="s">
        <v>599</v>
      </c>
      <c r="F179" s="1" t="s">
        <v>5792</v>
      </c>
      <c r="G179" s="1" t="s">
        <v>224</v>
      </c>
      <c r="H179" s="1" t="s">
        <v>5793</v>
      </c>
      <c r="I179" s="1" t="s">
        <v>90</v>
      </c>
      <c r="J179" s="1" t="s">
        <v>1127</v>
      </c>
      <c r="K179" s="1" t="s">
        <v>78</v>
      </c>
      <c r="L179" s="4">
        <v>67999</v>
      </c>
      <c r="M179" s="1" t="s">
        <v>65</v>
      </c>
    </row>
    <row r="180" spans="1:13" ht="15.75" customHeight="1" x14ac:dyDescent="0.35">
      <c r="A180" s="1" t="s">
        <v>151</v>
      </c>
      <c r="B180" s="1" t="s">
        <v>5761</v>
      </c>
      <c r="C180" s="1" t="s">
        <v>5800</v>
      </c>
      <c r="D180" s="1" t="s">
        <v>3816</v>
      </c>
      <c r="E180" s="1" t="s">
        <v>5789</v>
      </c>
      <c r="F180" s="1" t="s">
        <v>5795</v>
      </c>
      <c r="G180" s="1" t="s">
        <v>74</v>
      </c>
      <c r="H180" s="1" t="s">
        <v>5796</v>
      </c>
      <c r="I180" s="1" t="s">
        <v>101</v>
      </c>
      <c r="J180" s="1" t="s">
        <v>398</v>
      </c>
      <c r="K180" s="1" t="s">
        <v>78</v>
      </c>
      <c r="L180" s="4">
        <v>51999</v>
      </c>
      <c r="M180" s="1" t="s">
        <v>79</v>
      </c>
    </row>
    <row r="181" spans="1:13" ht="15.75" customHeight="1" x14ac:dyDescent="0.35">
      <c r="A181" s="1" t="s">
        <v>151</v>
      </c>
      <c r="B181" s="1" t="s">
        <v>5760</v>
      </c>
      <c r="C181" s="1" t="s">
        <v>5800</v>
      </c>
      <c r="D181" s="1" t="s">
        <v>3816</v>
      </c>
      <c r="E181" s="1" t="s">
        <v>599</v>
      </c>
      <c r="F181" s="1" t="s">
        <v>5792</v>
      </c>
      <c r="G181" s="1" t="s">
        <v>224</v>
      </c>
      <c r="H181" s="1" t="s">
        <v>5793</v>
      </c>
      <c r="I181" s="1" t="s">
        <v>90</v>
      </c>
      <c r="J181" s="1" t="s">
        <v>944</v>
      </c>
      <c r="K181" s="1" t="s">
        <v>78</v>
      </c>
      <c r="L181" s="4">
        <v>89999</v>
      </c>
      <c r="M181" s="1" t="s">
        <v>65</v>
      </c>
    </row>
    <row r="182" spans="1:13" ht="15.75" customHeight="1" x14ac:dyDescent="0.35">
      <c r="A182" s="1" t="s">
        <v>151</v>
      </c>
      <c r="B182" s="1" t="s">
        <v>5810</v>
      </c>
      <c r="C182" s="1" t="s">
        <v>5794</v>
      </c>
      <c r="D182" s="1" t="s">
        <v>2870</v>
      </c>
      <c r="E182" s="1" t="s">
        <v>599</v>
      </c>
      <c r="F182" s="1" t="s">
        <v>5795</v>
      </c>
      <c r="G182" s="1" t="s">
        <v>74</v>
      </c>
      <c r="H182" s="1" t="s">
        <v>5796</v>
      </c>
      <c r="I182" s="1" t="s">
        <v>101</v>
      </c>
      <c r="J182" s="1" t="s">
        <v>163</v>
      </c>
      <c r="K182" s="1" t="s">
        <v>165</v>
      </c>
      <c r="L182" s="4">
        <v>31999</v>
      </c>
      <c r="M182" s="1" t="s">
        <v>166</v>
      </c>
    </row>
    <row r="183" spans="1:13" ht="15.75" customHeight="1" x14ac:dyDescent="0.35">
      <c r="A183" s="1" t="s">
        <v>151</v>
      </c>
      <c r="B183" s="1" t="s">
        <v>5763</v>
      </c>
      <c r="C183" s="1" t="s">
        <v>5801</v>
      </c>
      <c r="D183" s="1" t="s">
        <v>2870</v>
      </c>
      <c r="E183" s="1" t="s">
        <v>5799</v>
      </c>
      <c r="F183" s="1" t="s">
        <v>5792</v>
      </c>
      <c r="G183" s="1" t="s">
        <v>1174</v>
      </c>
      <c r="H183" s="1" t="s">
        <v>111</v>
      </c>
      <c r="I183" s="1" t="s">
        <v>90</v>
      </c>
      <c r="J183" s="1" t="s">
        <v>1104</v>
      </c>
      <c r="K183" s="1" t="s">
        <v>78</v>
      </c>
      <c r="L183" s="4">
        <v>70499</v>
      </c>
      <c r="M183" s="1" t="s">
        <v>5735</v>
      </c>
    </row>
    <row r="184" spans="1:13" ht="15.75" customHeight="1" x14ac:dyDescent="0.35">
      <c r="A184" s="1" t="s">
        <v>151</v>
      </c>
      <c r="B184" s="1" t="s">
        <v>5760</v>
      </c>
      <c r="C184" s="1" t="s">
        <v>5800</v>
      </c>
      <c r="D184" s="1" t="s">
        <v>3816</v>
      </c>
      <c r="E184" s="1" t="s">
        <v>599</v>
      </c>
      <c r="F184" s="1" t="s">
        <v>5792</v>
      </c>
      <c r="G184" s="1" t="s">
        <v>224</v>
      </c>
      <c r="H184" s="1" t="s">
        <v>5793</v>
      </c>
      <c r="I184" s="1" t="s">
        <v>90</v>
      </c>
      <c r="J184" s="1" t="s">
        <v>1127</v>
      </c>
      <c r="K184" s="1" t="s">
        <v>78</v>
      </c>
      <c r="L184" s="4">
        <v>64999</v>
      </c>
      <c r="M184" s="1" t="s">
        <v>79</v>
      </c>
    </row>
    <row r="185" spans="1:13" ht="15.75" customHeight="1" x14ac:dyDescent="0.35">
      <c r="A185" s="1" t="s">
        <v>112</v>
      </c>
      <c r="B185" s="1" t="s">
        <v>5754</v>
      </c>
      <c r="C185" s="1" t="s">
        <v>5800</v>
      </c>
      <c r="D185" s="1" t="s">
        <v>3816</v>
      </c>
      <c r="E185" s="1" t="s">
        <v>599</v>
      </c>
      <c r="F185" s="1" t="s">
        <v>5795</v>
      </c>
      <c r="G185" s="1" t="s">
        <v>74</v>
      </c>
      <c r="H185" s="1" t="s">
        <v>5793</v>
      </c>
      <c r="I185" s="1" t="s">
        <v>90</v>
      </c>
      <c r="J185" s="1" t="s">
        <v>684</v>
      </c>
      <c r="K185" s="1" t="s">
        <v>78</v>
      </c>
      <c r="L185" s="4">
        <v>86666</v>
      </c>
      <c r="M185" s="1" t="s">
        <v>65</v>
      </c>
    </row>
    <row r="186" spans="1:13" ht="15.75" customHeight="1" x14ac:dyDescent="0.35">
      <c r="A186" s="1" t="s">
        <v>151</v>
      </c>
      <c r="B186" s="1" t="s">
        <v>5760</v>
      </c>
      <c r="C186" s="1" t="s">
        <v>5788</v>
      </c>
      <c r="D186" s="1" t="s">
        <v>3816</v>
      </c>
      <c r="E186" s="1" t="s">
        <v>5799</v>
      </c>
      <c r="F186" s="1" t="s">
        <v>5792</v>
      </c>
      <c r="G186" s="1" t="s">
        <v>224</v>
      </c>
      <c r="H186" s="1" t="s">
        <v>200</v>
      </c>
      <c r="I186" s="1" t="s">
        <v>101</v>
      </c>
      <c r="J186" s="1" t="s">
        <v>944</v>
      </c>
      <c r="K186" s="1" t="s">
        <v>78</v>
      </c>
      <c r="L186" s="4">
        <v>109999</v>
      </c>
      <c r="M186" s="1" t="s">
        <v>65</v>
      </c>
    </row>
    <row r="187" spans="1:13" ht="15.75" customHeight="1" x14ac:dyDescent="0.35">
      <c r="A187" s="1" t="s">
        <v>112</v>
      </c>
      <c r="B187" s="1" t="s">
        <v>5753</v>
      </c>
      <c r="C187" s="1" t="s">
        <v>5800</v>
      </c>
      <c r="D187" s="1" t="s">
        <v>2870</v>
      </c>
      <c r="E187" s="1" t="s">
        <v>599</v>
      </c>
      <c r="F187" s="1" t="s">
        <v>5792</v>
      </c>
      <c r="G187" s="1" t="s">
        <v>74</v>
      </c>
      <c r="H187" s="1" t="s">
        <v>5796</v>
      </c>
      <c r="I187" s="1" t="s">
        <v>90</v>
      </c>
      <c r="J187" s="1" t="s">
        <v>127</v>
      </c>
      <c r="K187" s="1" t="s">
        <v>78</v>
      </c>
      <c r="L187" s="4">
        <v>50999</v>
      </c>
      <c r="M187" s="1" t="s">
        <v>79</v>
      </c>
    </row>
    <row r="188" spans="1:13" ht="15.75" customHeight="1" x14ac:dyDescent="0.35">
      <c r="A188" s="1" t="s">
        <v>112</v>
      </c>
      <c r="B188" s="1" t="s">
        <v>5753</v>
      </c>
      <c r="C188" s="1" t="s">
        <v>5794</v>
      </c>
      <c r="D188" s="1" t="s">
        <v>2870</v>
      </c>
      <c r="E188" s="1" t="s">
        <v>599</v>
      </c>
      <c r="F188" s="1" t="s">
        <v>5795</v>
      </c>
      <c r="G188" s="1" t="s">
        <v>74</v>
      </c>
      <c r="H188" s="1" t="s">
        <v>5796</v>
      </c>
      <c r="I188" s="1" t="s">
        <v>101</v>
      </c>
      <c r="J188" s="1" t="s">
        <v>127</v>
      </c>
      <c r="K188" s="1" t="s">
        <v>78</v>
      </c>
      <c r="L188" s="4">
        <v>35499</v>
      </c>
      <c r="M188" s="1" t="s">
        <v>79</v>
      </c>
    </row>
    <row r="189" spans="1:13" ht="15.75" customHeight="1" x14ac:dyDescent="0.35">
      <c r="A189" s="1" t="s">
        <v>151</v>
      </c>
      <c r="B189" s="1" t="s">
        <v>5760</v>
      </c>
      <c r="C189" s="1" t="s">
        <v>5800</v>
      </c>
      <c r="D189" s="1" t="s">
        <v>3816</v>
      </c>
      <c r="E189" s="1" t="s">
        <v>599</v>
      </c>
      <c r="F189" s="1" t="s">
        <v>5792</v>
      </c>
      <c r="G189" s="1" t="s">
        <v>224</v>
      </c>
      <c r="H189" s="1" t="s">
        <v>200</v>
      </c>
      <c r="I189" s="1" t="s">
        <v>101</v>
      </c>
      <c r="J189" s="1" t="s">
        <v>944</v>
      </c>
      <c r="K189" s="1" t="s">
        <v>78</v>
      </c>
      <c r="L189" s="4">
        <v>69999</v>
      </c>
      <c r="M189" s="1" t="s">
        <v>65</v>
      </c>
    </row>
    <row r="190" spans="1:13" ht="15.75" customHeight="1" x14ac:dyDescent="0.35">
      <c r="A190" s="1" t="s">
        <v>112</v>
      </c>
      <c r="B190" s="1" t="s">
        <v>5753</v>
      </c>
      <c r="C190" s="1" t="s">
        <v>5800</v>
      </c>
      <c r="D190" s="1" t="s">
        <v>2870</v>
      </c>
      <c r="E190" s="1" t="s">
        <v>599</v>
      </c>
      <c r="F190" s="1" t="s">
        <v>5795</v>
      </c>
      <c r="G190" s="1" t="s">
        <v>74</v>
      </c>
      <c r="H190" s="1" t="s">
        <v>5796</v>
      </c>
      <c r="I190" s="1" t="s">
        <v>101</v>
      </c>
      <c r="J190" s="1" t="s">
        <v>127</v>
      </c>
      <c r="K190" s="1" t="s">
        <v>78</v>
      </c>
      <c r="L190" s="4">
        <v>46999</v>
      </c>
      <c r="M190" s="1" t="s">
        <v>79</v>
      </c>
    </row>
    <row r="191" spans="1:13" ht="15.75" customHeight="1" x14ac:dyDescent="0.35">
      <c r="A191" s="1" t="s">
        <v>151</v>
      </c>
      <c r="B191" s="1" t="s">
        <v>5761</v>
      </c>
      <c r="C191" s="1" t="s">
        <v>5808</v>
      </c>
      <c r="D191" s="1" t="s">
        <v>3816</v>
      </c>
      <c r="E191" s="1" t="s">
        <v>599</v>
      </c>
      <c r="F191" s="1" t="s">
        <v>5795</v>
      </c>
      <c r="G191" s="1" t="s">
        <v>74</v>
      </c>
      <c r="H191" s="1" t="s">
        <v>5796</v>
      </c>
      <c r="I191" s="1" t="s">
        <v>90</v>
      </c>
      <c r="J191" s="1" t="s">
        <v>398</v>
      </c>
      <c r="K191" s="1" t="s">
        <v>78</v>
      </c>
      <c r="L191" s="4">
        <v>60650</v>
      </c>
      <c r="M191" s="1" t="s">
        <v>5735</v>
      </c>
    </row>
    <row r="192" spans="1:13" ht="15.75" customHeight="1" x14ac:dyDescent="0.35">
      <c r="A192" s="1" t="s">
        <v>151</v>
      </c>
      <c r="B192" s="1" t="s">
        <v>5761</v>
      </c>
      <c r="C192" s="1" t="s">
        <v>5800</v>
      </c>
      <c r="D192" s="1" t="s">
        <v>3816</v>
      </c>
      <c r="E192" s="1" t="s">
        <v>599</v>
      </c>
      <c r="F192" s="1" t="s">
        <v>5795</v>
      </c>
      <c r="G192" s="1" t="s">
        <v>74</v>
      </c>
      <c r="H192" s="1" t="s">
        <v>5796</v>
      </c>
      <c r="I192" s="1" t="s">
        <v>90</v>
      </c>
      <c r="J192" s="1" t="s">
        <v>398</v>
      </c>
      <c r="K192" s="1" t="s">
        <v>78</v>
      </c>
      <c r="L192" s="4">
        <v>53499</v>
      </c>
      <c r="M192" s="1" t="s">
        <v>79</v>
      </c>
    </row>
    <row r="193" spans="1:13" ht="15.75" customHeight="1" x14ac:dyDescent="0.35">
      <c r="A193" s="1" t="s">
        <v>30</v>
      </c>
      <c r="B193" s="1" t="s">
        <v>5773</v>
      </c>
      <c r="C193" s="1" t="s">
        <v>5800</v>
      </c>
      <c r="D193" s="1" t="s">
        <v>3816</v>
      </c>
      <c r="E193" s="1" t="s">
        <v>599</v>
      </c>
      <c r="F193" s="1" t="s">
        <v>5792</v>
      </c>
      <c r="G193" s="1" t="s">
        <v>224</v>
      </c>
      <c r="H193" s="1" t="s">
        <v>200</v>
      </c>
      <c r="I193" s="1" t="s">
        <v>90</v>
      </c>
      <c r="J193" s="1" t="s">
        <v>1196</v>
      </c>
      <c r="K193" s="1" t="s">
        <v>165</v>
      </c>
      <c r="L193" s="4">
        <v>88888</v>
      </c>
      <c r="M193" s="1" t="s">
        <v>65</v>
      </c>
    </row>
    <row r="194" spans="1:13" ht="15.75" customHeight="1" x14ac:dyDescent="0.35">
      <c r="A194" s="1" t="s">
        <v>30</v>
      </c>
      <c r="B194" s="1" t="s">
        <v>5771</v>
      </c>
      <c r="C194" s="1" t="s">
        <v>5788</v>
      </c>
      <c r="D194" s="1" t="s">
        <v>3816</v>
      </c>
      <c r="E194" s="1" t="s">
        <v>5799</v>
      </c>
      <c r="F194" s="1" t="s">
        <v>5792</v>
      </c>
      <c r="G194" s="1" t="s">
        <v>1371</v>
      </c>
      <c r="H194" s="1" t="s">
        <v>5793</v>
      </c>
      <c r="I194" s="1" t="s">
        <v>101</v>
      </c>
      <c r="J194" s="1" t="s">
        <v>1196</v>
      </c>
      <c r="K194" s="1" t="s">
        <v>165</v>
      </c>
      <c r="L194" s="4">
        <v>68422</v>
      </c>
      <c r="M194" s="1" t="s">
        <v>79</v>
      </c>
    </row>
    <row r="195" spans="1:13" ht="15.75" customHeight="1" x14ac:dyDescent="0.35">
      <c r="A195" s="1" t="s">
        <v>30</v>
      </c>
      <c r="B195" s="1" t="s">
        <v>5772</v>
      </c>
      <c r="C195" s="1" t="s">
        <v>5810</v>
      </c>
      <c r="D195" s="1" t="s">
        <v>2870</v>
      </c>
      <c r="E195" s="1" t="s">
        <v>599</v>
      </c>
      <c r="F195" s="1" t="s">
        <v>5795</v>
      </c>
      <c r="G195" s="1" t="s">
        <v>74</v>
      </c>
      <c r="H195" s="1" t="s">
        <v>5796</v>
      </c>
      <c r="I195" s="1" t="s">
        <v>101</v>
      </c>
      <c r="J195" s="1" t="s">
        <v>781</v>
      </c>
      <c r="K195" s="1" t="s">
        <v>78</v>
      </c>
      <c r="L195" s="4">
        <v>36499</v>
      </c>
      <c r="M195" s="1" t="s">
        <v>79</v>
      </c>
    </row>
    <row r="196" spans="1:13" ht="15.75" customHeight="1" x14ac:dyDescent="0.35">
      <c r="A196" s="1" t="s">
        <v>30</v>
      </c>
      <c r="B196" s="1" t="s">
        <v>5773</v>
      </c>
      <c r="C196" s="1" t="s">
        <v>5800</v>
      </c>
      <c r="D196" s="1" t="s">
        <v>3816</v>
      </c>
      <c r="E196" s="1" t="s">
        <v>599</v>
      </c>
      <c r="F196" s="1" t="s">
        <v>5795</v>
      </c>
      <c r="G196" s="1" t="s">
        <v>1015</v>
      </c>
      <c r="H196" s="1" t="s">
        <v>5796</v>
      </c>
      <c r="I196" s="1" t="s">
        <v>90</v>
      </c>
      <c r="J196" s="1" t="s">
        <v>503</v>
      </c>
      <c r="K196" s="1" t="s">
        <v>165</v>
      </c>
      <c r="L196" s="4">
        <v>57877</v>
      </c>
      <c r="M196" s="1" t="s">
        <v>79</v>
      </c>
    </row>
    <row r="197" spans="1:13" ht="15.75" customHeight="1" x14ac:dyDescent="0.35">
      <c r="A197" s="1" t="s">
        <v>30</v>
      </c>
      <c r="B197" s="1" t="s">
        <v>5776</v>
      </c>
      <c r="C197" s="1" t="s">
        <v>5788</v>
      </c>
      <c r="D197" s="1" t="s">
        <v>5807</v>
      </c>
      <c r="E197" s="1" t="s">
        <v>5799</v>
      </c>
      <c r="F197" s="1" t="s">
        <v>5792</v>
      </c>
      <c r="G197" s="1" t="s">
        <v>224</v>
      </c>
      <c r="H197" s="1" t="s">
        <v>200</v>
      </c>
      <c r="I197" s="1" t="s">
        <v>90</v>
      </c>
      <c r="J197" s="1" t="s">
        <v>537</v>
      </c>
      <c r="K197" s="1" t="s">
        <v>165</v>
      </c>
      <c r="L197" s="4">
        <v>129999</v>
      </c>
      <c r="M197" s="1" t="s">
        <v>65</v>
      </c>
    </row>
    <row r="198" spans="1:13" ht="15.75" customHeight="1" x14ac:dyDescent="0.35">
      <c r="A198" s="1" t="s">
        <v>30</v>
      </c>
      <c r="B198" s="1" t="s">
        <v>5810</v>
      </c>
      <c r="C198" s="1" t="s">
        <v>5800</v>
      </c>
      <c r="D198" s="1" t="s">
        <v>3231</v>
      </c>
      <c r="E198" s="1" t="s">
        <v>599</v>
      </c>
      <c r="F198" s="1" t="s">
        <v>5795</v>
      </c>
      <c r="G198" s="1" t="s">
        <v>74</v>
      </c>
      <c r="H198" s="1" t="s">
        <v>5796</v>
      </c>
      <c r="I198" s="1" t="s">
        <v>101</v>
      </c>
      <c r="J198" s="1" t="s">
        <v>376</v>
      </c>
      <c r="K198" s="1" t="s">
        <v>165</v>
      </c>
      <c r="L198" s="4">
        <v>33399</v>
      </c>
      <c r="M198" s="1" t="s">
        <v>79</v>
      </c>
    </row>
    <row r="199" spans="1:13" ht="15.75" customHeight="1" x14ac:dyDescent="0.35">
      <c r="A199" s="1" t="s">
        <v>30</v>
      </c>
      <c r="B199" s="1" t="s">
        <v>5810</v>
      </c>
      <c r="C199" s="1" t="s">
        <v>5801</v>
      </c>
      <c r="D199" s="1" t="s">
        <v>3816</v>
      </c>
      <c r="E199" s="1" t="s">
        <v>599</v>
      </c>
      <c r="F199" s="1" t="s">
        <v>5792</v>
      </c>
      <c r="G199" s="1" t="s">
        <v>224</v>
      </c>
      <c r="H199" s="1" t="s">
        <v>200</v>
      </c>
      <c r="I199" s="1" t="s">
        <v>90</v>
      </c>
      <c r="J199" s="1" t="s">
        <v>1227</v>
      </c>
      <c r="K199" s="1" t="s">
        <v>165</v>
      </c>
      <c r="L199" s="4">
        <v>102000</v>
      </c>
      <c r="M199" s="1" t="s">
        <v>5735</v>
      </c>
    </row>
    <row r="200" spans="1:13" ht="15.75" customHeight="1" x14ac:dyDescent="0.35">
      <c r="A200" s="1" t="s">
        <v>30</v>
      </c>
      <c r="B200" s="1" t="s">
        <v>5774</v>
      </c>
      <c r="C200" s="1" t="s">
        <v>5788</v>
      </c>
      <c r="D200" s="1" t="s">
        <v>599</v>
      </c>
      <c r="E200" s="1" t="s">
        <v>5799</v>
      </c>
      <c r="F200" s="1" t="s">
        <v>5805</v>
      </c>
      <c r="G200" s="1" t="s">
        <v>224</v>
      </c>
      <c r="H200" s="1" t="s">
        <v>200</v>
      </c>
      <c r="I200" s="1" t="s">
        <v>90</v>
      </c>
      <c r="J200" s="1" t="s">
        <v>46</v>
      </c>
      <c r="K200" s="1" t="s">
        <v>165</v>
      </c>
      <c r="L200" s="4">
        <v>176499</v>
      </c>
      <c r="M200" s="1" t="s">
        <v>65</v>
      </c>
    </row>
    <row r="201" spans="1:13" ht="15.75" customHeight="1" x14ac:dyDescent="0.35">
      <c r="A201" s="1" t="s">
        <v>112</v>
      </c>
      <c r="B201" s="1" t="s">
        <v>5753</v>
      </c>
      <c r="C201" s="1" t="s">
        <v>5800</v>
      </c>
      <c r="D201" s="1" t="s">
        <v>2870</v>
      </c>
      <c r="E201" s="1" t="s">
        <v>599</v>
      </c>
      <c r="F201" s="1" t="s">
        <v>5795</v>
      </c>
      <c r="G201" s="1" t="s">
        <v>74</v>
      </c>
      <c r="H201" s="1" t="s">
        <v>5796</v>
      </c>
      <c r="I201" s="1" t="s">
        <v>101</v>
      </c>
      <c r="J201" s="1" t="s">
        <v>127</v>
      </c>
      <c r="K201" s="1" t="s">
        <v>78</v>
      </c>
      <c r="L201" s="4">
        <v>43999</v>
      </c>
      <c r="M201" s="1" t="s">
        <v>79</v>
      </c>
    </row>
    <row r="202" spans="1:13" ht="15.75" customHeight="1" x14ac:dyDescent="0.35">
      <c r="A202" s="1" t="s">
        <v>112</v>
      </c>
      <c r="B202" s="1" t="s">
        <v>5753</v>
      </c>
      <c r="C202" s="1" t="s">
        <v>5815</v>
      </c>
      <c r="D202" s="1" t="s">
        <v>3231</v>
      </c>
      <c r="E202" s="1" t="s">
        <v>599</v>
      </c>
      <c r="F202" s="1" t="s">
        <v>5795</v>
      </c>
      <c r="G202" s="1" t="s">
        <v>74</v>
      </c>
      <c r="H202" s="1" t="s">
        <v>5796</v>
      </c>
      <c r="I202" s="1" t="s">
        <v>90</v>
      </c>
      <c r="J202" s="1" t="s">
        <v>127</v>
      </c>
      <c r="K202" s="1" t="s">
        <v>78</v>
      </c>
      <c r="L202" s="4">
        <v>29999</v>
      </c>
      <c r="M202" s="1" t="s">
        <v>5735</v>
      </c>
    </row>
    <row r="203" spans="1:13" ht="15.75" customHeight="1" x14ac:dyDescent="0.35">
      <c r="A203" s="1" t="s">
        <v>81</v>
      </c>
      <c r="B203" s="1" t="s">
        <v>5781</v>
      </c>
      <c r="C203" s="1" t="s">
        <v>5800</v>
      </c>
      <c r="D203" s="1" t="s">
        <v>2870</v>
      </c>
      <c r="E203" s="1" t="s">
        <v>599</v>
      </c>
      <c r="F203" s="1" t="s">
        <v>5805</v>
      </c>
      <c r="G203" s="1" t="s">
        <v>224</v>
      </c>
      <c r="H203" s="1" t="s">
        <v>111</v>
      </c>
      <c r="I203" s="1" t="s">
        <v>90</v>
      </c>
      <c r="J203" s="1" t="s">
        <v>1251</v>
      </c>
      <c r="K203" s="1" t="s">
        <v>78</v>
      </c>
      <c r="L203" s="4">
        <v>52499</v>
      </c>
      <c r="M203" s="1" t="s">
        <v>79</v>
      </c>
    </row>
    <row r="204" spans="1:13" ht="15.75" customHeight="1" x14ac:dyDescent="0.35">
      <c r="A204" s="1" t="s">
        <v>234</v>
      </c>
      <c r="B204" s="1" t="s">
        <v>5766</v>
      </c>
      <c r="C204" s="1" t="s">
        <v>5800</v>
      </c>
      <c r="D204" s="1" t="s">
        <v>3816</v>
      </c>
      <c r="E204" s="1" t="s">
        <v>599</v>
      </c>
      <c r="F204" s="1" t="s">
        <v>5795</v>
      </c>
      <c r="G204" s="1" t="s">
        <v>1015</v>
      </c>
      <c r="H204" s="1" t="s">
        <v>111</v>
      </c>
      <c r="I204" s="1" t="s">
        <v>90</v>
      </c>
      <c r="J204" s="1" t="s">
        <v>359</v>
      </c>
      <c r="K204" s="1" t="s">
        <v>78</v>
      </c>
      <c r="L204" s="4">
        <v>49999</v>
      </c>
      <c r="M204" s="1" t="s">
        <v>79</v>
      </c>
    </row>
    <row r="205" spans="1:13" ht="15.75" customHeight="1" x14ac:dyDescent="0.35">
      <c r="A205" s="1" t="s">
        <v>234</v>
      </c>
      <c r="B205" s="1" t="s">
        <v>5758</v>
      </c>
      <c r="C205" s="1" t="s">
        <v>5808</v>
      </c>
      <c r="D205" s="1" t="s">
        <v>3816</v>
      </c>
      <c r="E205" s="1" t="s">
        <v>599</v>
      </c>
      <c r="F205" s="1" t="s">
        <v>5795</v>
      </c>
      <c r="G205" s="1" t="s">
        <v>74</v>
      </c>
      <c r="H205" s="1" t="s">
        <v>5796</v>
      </c>
      <c r="I205" s="1" t="s">
        <v>90</v>
      </c>
      <c r="J205" s="1" t="s">
        <v>2878</v>
      </c>
      <c r="K205" s="1" t="s">
        <v>78</v>
      </c>
      <c r="L205" s="4">
        <v>47299</v>
      </c>
      <c r="M205" s="1" t="s">
        <v>5735</v>
      </c>
    </row>
    <row r="206" spans="1:13" ht="15.75" customHeight="1" x14ac:dyDescent="0.35">
      <c r="A206" s="1" t="s">
        <v>234</v>
      </c>
      <c r="B206" s="1" t="s">
        <v>5758</v>
      </c>
      <c r="C206" s="1" t="s">
        <v>5800</v>
      </c>
      <c r="D206" s="1" t="s">
        <v>2870</v>
      </c>
      <c r="E206" s="1" t="s">
        <v>599</v>
      </c>
      <c r="F206" s="1" t="s">
        <v>5795</v>
      </c>
      <c r="G206" s="1" t="s">
        <v>74</v>
      </c>
      <c r="H206" s="1" t="s">
        <v>5796</v>
      </c>
      <c r="I206" s="1" t="s">
        <v>90</v>
      </c>
      <c r="J206" s="1" t="s">
        <v>2878</v>
      </c>
      <c r="K206" s="1" t="s">
        <v>78</v>
      </c>
      <c r="L206" s="4">
        <v>47777</v>
      </c>
      <c r="M206" s="1" t="s">
        <v>79</v>
      </c>
    </row>
    <row r="207" spans="1:13" ht="15.75" customHeight="1" x14ac:dyDescent="0.35">
      <c r="A207" s="1" t="s">
        <v>234</v>
      </c>
      <c r="B207" s="1" t="s">
        <v>5758</v>
      </c>
      <c r="C207" s="1" t="s">
        <v>5800</v>
      </c>
      <c r="D207" s="1" t="s">
        <v>3816</v>
      </c>
      <c r="E207" s="1" t="s">
        <v>599</v>
      </c>
      <c r="F207" s="1" t="s">
        <v>5792</v>
      </c>
      <c r="G207" s="1" t="s">
        <v>74</v>
      </c>
      <c r="H207" s="1" t="s">
        <v>5796</v>
      </c>
      <c r="I207" s="1" t="s">
        <v>90</v>
      </c>
      <c r="J207" s="1" t="s">
        <v>2878</v>
      </c>
      <c r="K207" s="1" t="s">
        <v>78</v>
      </c>
      <c r="L207" s="4">
        <v>52999</v>
      </c>
      <c r="M207" s="1" t="s">
        <v>79</v>
      </c>
    </row>
    <row r="208" spans="1:13" ht="15.75" customHeight="1" x14ac:dyDescent="0.35">
      <c r="A208" s="1" t="s">
        <v>112</v>
      </c>
      <c r="B208" s="1" t="s">
        <v>5754</v>
      </c>
      <c r="C208" s="1" t="s">
        <v>5788</v>
      </c>
      <c r="D208" s="1" t="s">
        <v>3816</v>
      </c>
      <c r="E208" s="1" t="s">
        <v>599</v>
      </c>
      <c r="F208" s="1" t="s">
        <v>5792</v>
      </c>
      <c r="G208" s="1" t="s">
        <v>74</v>
      </c>
      <c r="H208" s="1" t="s">
        <v>5793</v>
      </c>
      <c r="I208" s="1" t="s">
        <v>90</v>
      </c>
      <c r="J208" s="1" t="s">
        <v>1285</v>
      </c>
      <c r="K208" s="1" t="s">
        <v>78</v>
      </c>
      <c r="L208" s="4">
        <v>72999</v>
      </c>
      <c r="M208" s="1" t="s">
        <v>79</v>
      </c>
    </row>
    <row r="209" spans="1:13" ht="15.75" customHeight="1" x14ac:dyDescent="0.35">
      <c r="A209" s="1" t="s">
        <v>234</v>
      </c>
      <c r="B209" s="1" t="s">
        <v>5758</v>
      </c>
      <c r="C209" s="1" t="s">
        <v>5800</v>
      </c>
      <c r="D209" s="1" t="s">
        <v>3816</v>
      </c>
      <c r="E209" s="1" t="s">
        <v>599</v>
      </c>
      <c r="F209" s="1" t="s">
        <v>5795</v>
      </c>
      <c r="G209" s="1" t="s">
        <v>74</v>
      </c>
      <c r="H209" s="1" t="s">
        <v>5796</v>
      </c>
      <c r="I209" s="1" t="s">
        <v>101</v>
      </c>
      <c r="J209" s="1" t="s">
        <v>2878</v>
      </c>
      <c r="K209" s="1" t="s">
        <v>78</v>
      </c>
      <c r="L209" s="4">
        <v>52999</v>
      </c>
      <c r="M209" s="1" t="s">
        <v>79</v>
      </c>
    </row>
    <row r="210" spans="1:13" ht="15.75" customHeight="1" x14ac:dyDescent="0.35">
      <c r="A210" s="1" t="s">
        <v>30</v>
      </c>
      <c r="B210" s="1" t="s">
        <v>5771</v>
      </c>
      <c r="C210" s="1" t="s">
        <v>5800</v>
      </c>
      <c r="D210" s="1" t="s">
        <v>3816</v>
      </c>
      <c r="E210" s="1" t="s">
        <v>599</v>
      </c>
      <c r="F210" s="1" t="s">
        <v>5792</v>
      </c>
      <c r="G210" s="1" t="s">
        <v>74</v>
      </c>
      <c r="H210" s="1" t="s">
        <v>5796</v>
      </c>
      <c r="I210" s="1" t="s">
        <v>90</v>
      </c>
      <c r="J210" s="1" t="s">
        <v>1299</v>
      </c>
      <c r="K210" s="1" t="s">
        <v>78</v>
      </c>
      <c r="L210" s="4">
        <v>68999</v>
      </c>
      <c r="M210" s="1" t="s">
        <v>79</v>
      </c>
    </row>
    <row r="211" spans="1:13" ht="15.75" customHeight="1" x14ac:dyDescent="0.35">
      <c r="A211" s="1" t="s">
        <v>30</v>
      </c>
      <c r="B211" s="1" t="s">
        <v>5771</v>
      </c>
      <c r="C211" s="1" t="s">
        <v>5800</v>
      </c>
      <c r="D211" s="1" t="s">
        <v>3816</v>
      </c>
      <c r="E211" s="1" t="s">
        <v>599</v>
      </c>
      <c r="F211" s="1" t="s">
        <v>5792</v>
      </c>
      <c r="G211" s="1" t="s">
        <v>74</v>
      </c>
      <c r="H211" s="1" t="s">
        <v>5796</v>
      </c>
      <c r="I211" s="1" t="s">
        <v>90</v>
      </c>
      <c r="J211" s="1" t="s">
        <v>1299</v>
      </c>
      <c r="K211" s="1" t="s">
        <v>78</v>
      </c>
      <c r="L211" s="4">
        <v>58888</v>
      </c>
      <c r="M211" s="1" t="s">
        <v>79</v>
      </c>
    </row>
    <row r="212" spans="1:13" ht="15.75" customHeight="1" x14ac:dyDescent="0.35">
      <c r="A212" s="1" t="s">
        <v>151</v>
      </c>
      <c r="B212" s="1" t="s">
        <v>5760</v>
      </c>
      <c r="C212" s="1" t="s">
        <v>5800</v>
      </c>
      <c r="D212" s="1" t="s">
        <v>3816</v>
      </c>
      <c r="E212" s="1" t="s">
        <v>599</v>
      </c>
      <c r="F212" s="1" t="s">
        <v>5795</v>
      </c>
      <c r="G212" s="1" t="s">
        <v>224</v>
      </c>
      <c r="H212" s="1" t="s">
        <v>5793</v>
      </c>
      <c r="I212" s="1" t="s">
        <v>90</v>
      </c>
      <c r="J212" s="1" t="s">
        <v>1127</v>
      </c>
      <c r="K212" s="1" t="s">
        <v>78</v>
      </c>
      <c r="L212" s="4">
        <v>66899</v>
      </c>
      <c r="M212" s="1" t="s">
        <v>65</v>
      </c>
    </row>
    <row r="213" spans="1:13" ht="15.75" customHeight="1" x14ac:dyDescent="0.35">
      <c r="A213" s="1" t="s">
        <v>30</v>
      </c>
      <c r="B213" s="1" t="s">
        <v>5774</v>
      </c>
      <c r="C213" s="1" t="s">
        <v>5788</v>
      </c>
      <c r="D213" s="1" t="s">
        <v>3816</v>
      </c>
      <c r="E213" s="1" t="s">
        <v>5799</v>
      </c>
      <c r="F213" s="1" t="s">
        <v>5792</v>
      </c>
      <c r="G213" s="1" t="s">
        <v>1015</v>
      </c>
      <c r="H213" s="1" t="s">
        <v>5735</v>
      </c>
      <c r="I213" s="1" t="s">
        <v>90</v>
      </c>
      <c r="J213" s="1" t="s">
        <v>5822</v>
      </c>
      <c r="K213" s="1" t="s">
        <v>78</v>
      </c>
      <c r="L213" s="4">
        <v>105000</v>
      </c>
      <c r="M213" s="1" t="s">
        <v>65</v>
      </c>
    </row>
    <row r="214" spans="1:13" ht="15.75" customHeight="1" x14ac:dyDescent="0.35">
      <c r="A214" s="1" t="s">
        <v>81</v>
      </c>
      <c r="B214" s="1" t="s">
        <v>5755</v>
      </c>
      <c r="C214" s="1" t="s">
        <v>5801</v>
      </c>
      <c r="D214" s="1" t="s">
        <v>3816</v>
      </c>
      <c r="E214" s="1" t="s">
        <v>5799</v>
      </c>
      <c r="F214" s="1" t="s">
        <v>5792</v>
      </c>
      <c r="G214" s="1" t="s">
        <v>224</v>
      </c>
      <c r="H214" s="1" t="s">
        <v>200</v>
      </c>
      <c r="I214" s="1" t="s">
        <v>90</v>
      </c>
      <c r="J214" s="1" t="s">
        <v>1321</v>
      </c>
      <c r="K214" s="1" t="s">
        <v>78</v>
      </c>
      <c r="L214" s="4">
        <v>125000</v>
      </c>
      <c r="M214" s="1" t="s">
        <v>5735</v>
      </c>
    </row>
    <row r="215" spans="1:13" ht="15.75" customHeight="1" x14ac:dyDescent="0.35">
      <c r="A215" s="1" t="s">
        <v>234</v>
      </c>
      <c r="B215" s="1" t="s">
        <v>5758</v>
      </c>
      <c r="C215" s="1" t="s">
        <v>5800</v>
      </c>
      <c r="D215" s="1" t="s">
        <v>3816</v>
      </c>
      <c r="E215" s="1" t="s">
        <v>599</v>
      </c>
      <c r="F215" s="1" t="s">
        <v>5792</v>
      </c>
      <c r="G215" s="1" t="s">
        <v>74</v>
      </c>
      <c r="H215" s="1" t="s">
        <v>5796</v>
      </c>
      <c r="I215" s="1" t="s">
        <v>90</v>
      </c>
      <c r="J215" s="1" t="s">
        <v>2878</v>
      </c>
      <c r="K215" s="1" t="s">
        <v>78</v>
      </c>
      <c r="L215" s="4">
        <v>64888</v>
      </c>
      <c r="M215" s="1" t="s">
        <v>79</v>
      </c>
    </row>
    <row r="216" spans="1:13" ht="15.75" customHeight="1" x14ac:dyDescent="0.35">
      <c r="A216" s="1" t="s">
        <v>151</v>
      </c>
      <c r="B216" s="1" t="s">
        <v>5760</v>
      </c>
      <c r="C216" s="1" t="s">
        <v>5800</v>
      </c>
      <c r="D216" s="1" t="s">
        <v>3816</v>
      </c>
      <c r="E216" s="1" t="s">
        <v>599</v>
      </c>
      <c r="F216" s="1" t="s">
        <v>5792</v>
      </c>
      <c r="G216" s="1" t="s">
        <v>224</v>
      </c>
      <c r="H216" s="1" t="s">
        <v>5793</v>
      </c>
      <c r="I216" s="1" t="s">
        <v>90</v>
      </c>
      <c r="J216" s="1" t="s">
        <v>1091</v>
      </c>
      <c r="K216" s="1" t="s">
        <v>78</v>
      </c>
      <c r="L216" s="4">
        <v>91999</v>
      </c>
      <c r="M216" s="1" t="s">
        <v>79</v>
      </c>
    </row>
    <row r="217" spans="1:13" ht="15.75" customHeight="1" x14ac:dyDescent="0.35">
      <c r="A217" s="1" t="s">
        <v>112</v>
      </c>
      <c r="B217" s="1" t="s">
        <v>5753</v>
      </c>
      <c r="C217" s="1" t="s">
        <v>5800</v>
      </c>
      <c r="D217" s="1" t="s">
        <v>2870</v>
      </c>
      <c r="E217" s="1" t="s">
        <v>599</v>
      </c>
      <c r="F217" s="1" t="s">
        <v>5795</v>
      </c>
      <c r="G217" s="1" t="s">
        <v>74</v>
      </c>
      <c r="H217" s="1" t="s">
        <v>5796</v>
      </c>
      <c r="I217" s="1" t="s">
        <v>101</v>
      </c>
      <c r="J217" s="1" t="s">
        <v>127</v>
      </c>
      <c r="K217" s="1" t="s">
        <v>78</v>
      </c>
      <c r="L217" s="4">
        <v>45999</v>
      </c>
      <c r="M217" s="1" t="s">
        <v>79</v>
      </c>
    </row>
    <row r="218" spans="1:13" ht="15.75" customHeight="1" x14ac:dyDescent="0.35">
      <c r="A218" s="1" t="s">
        <v>112</v>
      </c>
      <c r="B218" s="1" t="s">
        <v>5753</v>
      </c>
      <c r="C218" s="1" t="s">
        <v>5794</v>
      </c>
      <c r="D218" s="1" t="s">
        <v>2870</v>
      </c>
      <c r="E218" s="1" t="s">
        <v>3816</v>
      </c>
      <c r="F218" s="1" t="s">
        <v>5795</v>
      </c>
      <c r="G218" s="1" t="s">
        <v>74</v>
      </c>
      <c r="H218" s="1" t="s">
        <v>5796</v>
      </c>
      <c r="I218" s="1" t="s">
        <v>101</v>
      </c>
      <c r="J218" s="1" t="s">
        <v>127</v>
      </c>
      <c r="K218" s="1" t="s">
        <v>78</v>
      </c>
      <c r="L218" s="4">
        <v>35000</v>
      </c>
      <c r="M218" s="1" t="s">
        <v>79</v>
      </c>
    </row>
    <row r="219" spans="1:13" ht="15.75" customHeight="1" x14ac:dyDescent="0.35">
      <c r="A219" s="1" t="s">
        <v>151</v>
      </c>
      <c r="B219" s="1" t="s">
        <v>5763</v>
      </c>
      <c r="C219" s="1" t="s">
        <v>5815</v>
      </c>
      <c r="D219" s="1" t="s">
        <v>3231</v>
      </c>
      <c r="E219" s="1" t="s">
        <v>3816</v>
      </c>
      <c r="F219" s="1" t="s">
        <v>5795</v>
      </c>
      <c r="G219" s="1" t="s">
        <v>74</v>
      </c>
      <c r="H219" s="1" t="s">
        <v>5796</v>
      </c>
      <c r="I219" s="1" t="s">
        <v>101</v>
      </c>
      <c r="J219" s="1" t="s">
        <v>652</v>
      </c>
      <c r="K219" s="1" t="s">
        <v>78</v>
      </c>
      <c r="L219" s="4">
        <v>31399</v>
      </c>
      <c r="M219" s="1" t="s">
        <v>5735</v>
      </c>
    </row>
    <row r="220" spans="1:13" ht="15.75" customHeight="1" x14ac:dyDescent="0.35">
      <c r="A220" s="1" t="s">
        <v>151</v>
      </c>
      <c r="B220" s="1" t="s">
        <v>5761</v>
      </c>
      <c r="C220" s="1" t="s">
        <v>5800</v>
      </c>
      <c r="D220" s="1" t="s">
        <v>3816</v>
      </c>
      <c r="E220" s="1" t="s">
        <v>599</v>
      </c>
      <c r="F220" s="1" t="s">
        <v>5795</v>
      </c>
      <c r="G220" s="1" t="s">
        <v>74</v>
      </c>
      <c r="H220" s="1" t="s">
        <v>5796</v>
      </c>
      <c r="I220" s="1" t="s">
        <v>101</v>
      </c>
      <c r="J220" s="1" t="s">
        <v>398</v>
      </c>
      <c r="K220" s="1" t="s">
        <v>78</v>
      </c>
      <c r="L220" s="4">
        <v>52499</v>
      </c>
      <c r="M220" s="1" t="s">
        <v>79</v>
      </c>
    </row>
    <row r="221" spans="1:13" ht="15.75" customHeight="1" x14ac:dyDescent="0.35">
      <c r="A221" s="1" t="s">
        <v>151</v>
      </c>
      <c r="B221" s="1" t="s">
        <v>5761</v>
      </c>
      <c r="C221" s="1" t="s">
        <v>5794</v>
      </c>
      <c r="D221" s="1" t="s">
        <v>2870</v>
      </c>
      <c r="E221" s="1" t="s">
        <v>599</v>
      </c>
      <c r="F221" s="1" t="s">
        <v>5795</v>
      </c>
      <c r="G221" s="1" t="s">
        <v>74</v>
      </c>
      <c r="H221" s="1" t="s">
        <v>5796</v>
      </c>
      <c r="I221" s="1" t="s">
        <v>101</v>
      </c>
      <c r="J221" s="1" t="s">
        <v>398</v>
      </c>
      <c r="K221" s="1" t="s">
        <v>78</v>
      </c>
      <c r="L221" s="4">
        <v>38888</v>
      </c>
      <c r="M221" s="1" t="s">
        <v>79</v>
      </c>
    </row>
    <row r="222" spans="1:13" ht="15.75" customHeight="1" x14ac:dyDescent="0.35">
      <c r="A222" s="1" t="s">
        <v>151</v>
      </c>
      <c r="B222" s="1" t="s">
        <v>5760</v>
      </c>
      <c r="C222" s="1" t="s">
        <v>5788</v>
      </c>
      <c r="D222" s="1" t="s">
        <v>3816</v>
      </c>
      <c r="E222" s="1" t="s">
        <v>599</v>
      </c>
      <c r="F222" s="1" t="s">
        <v>5792</v>
      </c>
      <c r="G222" s="1" t="s">
        <v>224</v>
      </c>
      <c r="H222" s="1" t="s">
        <v>200</v>
      </c>
      <c r="I222" s="1" t="s">
        <v>90</v>
      </c>
      <c r="J222" s="1" t="s">
        <v>1299</v>
      </c>
      <c r="K222" s="1" t="s">
        <v>78</v>
      </c>
      <c r="L222" s="4">
        <v>105000</v>
      </c>
      <c r="M222" s="1" t="s">
        <v>65</v>
      </c>
    </row>
    <row r="223" spans="1:13" ht="15.75" customHeight="1" x14ac:dyDescent="0.35">
      <c r="A223" s="1" t="s">
        <v>81</v>
      </c>
      <c r="B223" s="1" t="s">
        <v>5755</v>
      </c>
      <c r="C223" s="1" t="s">
        <v>5816</v>
      </c>
      <c r="D223" s="1" t="s">
        <v>3816</v>
      </c>
      <c r="E223" s="1" t="s">
        <v>599</v>
      </c>
      <c r="F223" s="1" t="s">
        <v>5792</v>
      </c>
      <c r="G223" s="1" t="s">
        <v>224</v>
      </c>
      <c r="H223" s="1" t="s">
        <v>200</v>
      </c>
      <c r="I223" s="1" t="s">
        <v>90</v>
      </c>
      <c r="J223" s="1" t="s">
        <v>1321</v>
      </c>
      <c r="K223" s="1" t="s">
        <v>78</v>
      </c>
      <c r="L223" s="4">
        <v>99999</v>
      </c>
      <c r="M223" s="1" t="s">
        <v>5735</v>
      </c>
    </row>
    <row r="224" spans="1:13" ht="15.75" customHeight="1" x14ac:dyDescent="0.35">
      <c r="A224" s="1" t="s">
        <v>151</v>
      </c>
      <c r="B224" s="1" t="s">
        <v>5760</v>
      </c>
      <c r="C224" s="1" t="s">
        <v>5788</v>
      </c>
      <c r="D224" s="1" t="s">
        <v>3816</v>
      </c>
      <c r="E224" s="1" t="s">
        <v>599</v>
      </c>
      <c r="F224" s="1" t="s">
        <v>5792</v>
      </c>
      <c r="G224" s="1" t="s">
        <v>224</v>
      </c>
      <c r="H224" s="1" t="s">
        <v>5793</v>
      </c>
      <c r="I224" s="1" t="s">
        <v>90</v>
      </c>
      <c r="J224" s="1" t="s">
        <v>1127</v>
      </c>
      <c r="K224" s="1" t="s">
        <v>78</v>
      </c>
      <c r="L224" s="4">
        <v>95999</v>
      </c>
      <c r="M224" s="1" t="s">
        <v>65</v>
      </c>
    </row>
    <row r="225" spans="1:13" ht="15.75" customHeight="1" x14ac:dyDescent="0.35">
      <c r="A225" s="1" t="s">
        <v>30</v>
      </c>
      <c r="B225" s="1" t="s">
        <v>5810</v>
      </c>
      <c r="C225" s="1" t="s">
        <v>5794</v>
      </c>
      <c r="D225" s="1" t="s">
        <v>2870</v>
      </c>
      <c r="E225" s="1" t="s">
        <v>3816</v>
      </c>
      <c r="F225" s="1" t="s">
        <v>5795</v>
      </c>
      <c r="G225" s="1" t="s">
        <v>74</v>
      </c>
      <c r="H225" s="1" t="s">
        <v>5796</v>
      </c>
      <c r="I225" s="1" t="s">
        <v>90</v>
      </c>
      <c r="J225" s="1" t="s">
        <v>376</v>
      </c>
      <c r="K225" s="1" t="s">
        <v>165</v>
      </c>
      <c r="L225" s="4">
        <v>39999</v>
      </c>
      <c r="M225" s="1" t="s">
        <v>166</v>
      </c>
    </row>
    <row r="226" spans="1:13" ht="15.75" customHeight="1" x14ac:dyDescent="0.35">
      <c r="A226" s="1" t="s">
        <v>151</v>
      </c>
      <c r="B226" s="1" t="s">
        <v>5760</v>
      </c>
      <c r="C226" s="1" t="s">
        <v>5800</v>
      </c>
      <c r="D226" s="1" t="s">
        <v>3816</v>
      </c>
      <c r="E226" s="1" t="s">
        <v>599</v>
      </c>
      <c r="F226" s="1" t="s">
        <v>5792</v>
      </c>
      <c r="G226" s="1" t="s">
        <v>224</v>
      </c>
      <c r="H226" s="1" t="s">
        <v>200</v>
      </c>
      <c r="I226" s="1" t="s">
        <v>90</v>
      </c>
      <c r="J226" s="1" t="s">
        <v>1127</v>
      </c>
      <c r="K226" s="1" t="s">
        <v>78</v>
      </c>
      <c r="L226" s="4">
        <v>69888</v>
      </c>
      <c r="M226" s="1" t="s">
        <v>65</v>
      </c>
    </row>
    <row r="227" spans="1:13" ht="15.75" customHeight="1" x14ac:dyDescent="0.35">
      <c r="A227" s="1" t="s">
        <v>151</v>
      </c>
      <c r="B227" s="1" t="s">
        <v>5760</v>
      </c>
      <c r="C227" s="1" t="s">
        <v>5808</v>
      </c>
      <c r="D227" s="1" t="s">
        <v>3816</v>
      </c>
      <c r="E227" s="1" t="s">
        <v>599</v>
      </c>
      <c r="F227" s="1" t="s">
        <v>5792</v>
      </c>
      <c r="G227" s="1" t="s">
        <v>1371</v>
      </c>
      <c r="H227" s="1" t="s">
        <v>5793</v>
      </c>
      <c r="I227" s="1" t="s">
        <v>90</v>
      </c>
      <c r="J227" s="1" t="s">
        <v>63</v>
      </c>
      <c r="K227" s="1" t="s">
        <v>78</v>
      </c>
      <c r="L227" s="4">
        <v>63333</v>
      </c>
      <c r="M227" s="1" t="s">
        <v>5735</v>
      </c>
    </row>
    <row r="228" spans="1:13" ht="15.75" customHeight="1" x14ac:dyDescent="0.35">
      <c r="A228" s="1" t="s">
        <v>81</v>
      </c>
      <c r="B228" s="1" t="s">
        <v>5810</v>
      </c>
      <c r="C228" s="1" t="s">
        <v>5800</v>
      </c>
      <c r="D228" s="1" t="s">
        <v>2870</v>
      </c>
      <c r="E228" s="1" t="s">
        <v>599</v>
      </c>
      <c r="F228" s="1" t="s">
        <v>5795</v>
      </c>
      <c r="G228" s="1" t="s">
        <v>74</v>
      </c>
      <c r="H228" s="1" t="s">
        <v>111</v>
      </c>
      <c r="I228" s="1" t="s">
        <v>101</v>
      </c>
      <c r="J228" s="1" t="s">
        <v>423</v>
      </c>
      <c r="K228" s="1" t="s">
        <v>78</v>
      </c>
      <c r="L228" s="4">
        <v>52999</v>
      </c>
      <c r="M228" s="1" t="s">
        <v>79</v>
      </c>
    </row>
    <row r="229" spans="1:13" ht="15.75" customHeight="1" x14ac:dyDescent="0.35">
      <c r="A229" s="1" t="s">
        <v>151</v>
      </c>
      <c r="B229" s="1" t="s">
        <v>5760</v>
      </c>
      <c r="C229" s="1" t="s">
        <v>5788</v>
      </c>
      <c r="D229" s="1" t="s">
        <v>599</v>
      </c>
      <c r="E229" s="1" t="s">
        <v>5799</v>
      </c>
      <c r="F229" s="1" t="s">
        <v>5792</v>
      </c>
      <c r="G229" s="1" t="s">
        <v>224</v>
      </c>
      <c r="H229" s="1" t="s">
        <v>200</v>
      </c>
      <c r="I229" s="1" t="s">
        <v>101</v>
      </c>
      <c r="J229" s="1" t="s">
        <v>1383</v>
      </c>
      <c r="K229" s="1" t="s">
        <v>78</v>
      </c>
      <c r="L229" s="4">
        <v>235000</v>
      </c>
      <c r="M229" s="1" t="s">
        <v>65</v>
      </c>
    </row>
    <row r="230" spans="1:13" ht="15.75" customHeight="1" x14ac:dyDescent="0.35">
      <c r="A230" s="1" t="s">
        <v>112</v>
      </c>
      <c r="B230" s="1" t="s">
        <v>5753</v>
      </c>
      <c r="C230" s="1" t="s">
        <v>5800</v>
      </c>
      <c r="D230" s="1" t="s">
        <v>3816</v>
      </c>
      <c r="E230" s="1" t="s">
        <v>599</v>
      </c>
      <c r="F230" s="1" t="s">
        <v>5792</v>
      </c>
      <c r="G230" s="1" t="s">
        <v>74</v>
      </c>
      <c r="H230" s="1" t="s">
        <v>5796</v>
      </c>
      <c r="I230" s="1" t="s">
        <v>101</v>
      </c>
      <c r="J230" s="1" t="s">
        <v>267</v>
      </c>
      <c r="K230" s="1" t="s">
        <v>78</v>
      </c>
      <c r="L230" s="4">
        <v>67999</v>
      </c>
      <c r="M230" s="1" t="s">
        <v>65</v>
      </c>
    </row>
    <row r="231" spans="1:13" ht="15.75" customHeight="1" x14ac:dyDescent="0.35">
      <c r="A231" s="1" t="s">
        <v>112</v>
      </c>
      <c r="B231" s="1" t="s">
        <v>5753</v>
      </c>
      <c r="C231" s="1" t="s">
        <v>5800</v>
      </c>
      <c r="D231" s="1" t="s">
        <v>3816</v>
      </c>
      <c r="E231" s="1" t="s">
        <v>599</v>
      </c>
      <c r="F231" s="1" t="s">
        <v>5792</v>
      </c>
      <c r="G231" s="1" t="s">
        <v>74</v>
      </c>
      <c r="H231" s="1" t="s">
        <v>5796</v>
      </c>
      <c r="I231" s="1" t="s">
        <v>101</v>
      </c>
      <c r="J231" s="1" t="s">
        <v>267</v>
      </c>
      <c r="K231" s="1" t="s">
        <v>78</v>
      </c>
      <c r="L231" s="4">
        <v>53999</v>
      </c>
      <c r="M231" s="1" t="s">
        <v>79</v>
      </c>
    </row>
    <row r="232" spans="1:13" ht="15.75" customHeight="1" x14ac:dyDescent="0.35">
      <c r="A232" s="1" t="s">
        <v>234</v>
      </c>
      <c r="B232" s="1" t="s">
        <v>5756</v>
      </c>
      <c r="C232" s="1" t="s">
        <v>5800</v>
      </c>
      <c r="D232" s="1" t="s">
        <v>3816</v>
      </c>
      <c r="E232" s="1" t="s">
        <v>599</v>
      </c>
      <c r="F232" s="1" t="s">
        <v>5792</v>
      </c>
      <c r="G232" s="1" t="s">
        <v>1015</v>
      </c>
      <c r="H232" s="1" t="s">
        <v>5793</v>
      </c>
      <c r="I232" s="1" t="s">
        <v>90</v>
      </c>
      <c r="J232" s="1" t="s">
        <v>944</v>
      </c>
      <c r="K232" s="1" t="s">
        <v>78</v>
      </c>
      <c r="L232" s="4">
        <v>62999</v>
      </c>
      <c r="M232" s="1" t="s">
        <v>79</v>
      </c>
    </row>
    <row r="233" spans="1:13" ht="15.75" customHeight="1" x14ac:dyDescent="0.35">
      <c r="A233" s="1" t="s">
        <v>234</v>
      </c>
      <c r="B233" s="1" t="s">
        <v>5758</v>
      </c>
      <c r="C233" s="1" t="s">
        <v>5808</v>
      </c>
      <c r="D233" s="1" t="s">
        <v>3231</v>
      </c>
      <c r="E233" s="1" t="s">
        <v>3816</v>
      </c>
      <c r="F233" s="1" t="s">
        <v>5795</v>
      </c>
      <c r="G233" s="1" t="s">
        <v>74</v>
      </c>
      <c r="H233" s="1" t="s">
        <v>5796</v>
      </c>
      <c r="I233" s="1" t="s">
        <v>90</v>
      </c>
      <c r="J233" s="1" t="s">
        <v>503</v>
      </c>
      <c r="K233" s="1" t="s">
        <v>78</v>
      </c>
      <c r="L233" s="4">
        <v>32666</v>
      </c>
      <c r="M233" s="1" t="s">
        <v>5735</v>
      </c>
    </row>
    <row r="234" spans="1:13" ht="15.75" customHeight="1" x14ac:dyDescent="0.35">
      <c r="A234" s="1" t="s">
        <v>234</v>
      </c>
      <c r="B234" s="1" t="s">
        <v>5758</v>
      </c>
      <c r="C234" s="1" t="s">
        <v>5808</v>
      </c>
      <c r="D234" s="1" t="s">
        <v>3231</v>
      </c>
      <c r="E234" s="1" t="s">
        <v>3816</v>
      </c>
      <c r="F234" s="1" t="s">
        <v>5795</v>
      </c>
      <c r="G234" s="1" t="s">
        <v>74</v>
      </c>
      <c r="H234" s="1" t="s">
        <v>5796</v>
      </c>
      <c r="I234" s="1" t="s">
        <v>90</v>
      </c>
      <c r="J234" s="1" t="s">
        <v>503</v>
      </c>
      <c r="K234" s="1" t="s">
        <v>78</v>
      </c>
      <c r="L234" s="4">
        <v>32499</v>
      </c>
      <c r="M234" s="1" t="s">
        <v>5735</v>
      </c>
    </row>
    <row r="235" spans="1:13" ht="15.75" customHeight="1" x14ac:dyDescent="0.35">
      <c r="A235" s="1" t="s">
        <v>151</v>
      </c>
      <c r="B235" s="1" t="s">
        <v>5760</v>
      </c>
      <c r="C235" s="1" t="s">
        <v>5800</v>
      </c>
      <c r="D235" s="1" t="s">
        <v>3816</v>
      </c>
      <c r="E235" s="1" t="s">
        <v>599</v>
      </c>
      <c r="F235" s="1" t="s">
        <v>5792</v>
      </c>
      <c r="G235" s="1" t="s">
        <v>224</v>
      </c>
      <c r="H235" s="1" t="s">
        <v>200</v>
      </c>
      <c r="I235" s="1" t="s">
        <v>101</v>
      </c>
      <c r="J235" s="1" t="s">
        <v>1127</v>
      </c>
      <c r="K235" s="1" t="s">
        <v>78</v>
      </c>
      <c r="L235" s="4">
        <v>78888</v>
      </c>
      <c r="M235" s="1" t="s">
        <v>65</v>
      </c>
    </row>
    <row r="236" spans="1:13" ht="15.75" customHeight="1" x14ac:dyDescent="0.35">
      <c r="A236" s="1" t="s">
        <v>112</v>
      </c>
      <c r="B236" s="1" t="s">
        <v>5753</v>
      </c>
      <c r="C236" s="1" t="s">
        <v>5794</v>
      </c>
      <c r="D236" s="1" t="s">
        <v>3231</v>
      </c>
      <c r="E236" s="1" t="s">
        <v>3816</v>
      </c>
      <c r="F236" s="1" t="s">
        <v>5795</v>
      </c>
      <c r="G236" s="1" t="s">
        <v>74</v>
      </c>
      <c r="H236" s="1" t="s">
        <v>5796</v>
      </c>
      <c r="I236" s="1" t="s">
        <v>90</v>
      </c>
      <c r="J236" s="1" t="s">
        <v>127</v>
      </c>
      <c r="K236" s="1" t="s">
        <v>78</v>
      </c>
      <c r="L236" s="4">
        <v>30999</v>
      </c>
      <c r="M236" s="1" t="s">
        <v>166</v>
      </c>
    </row>
    <row r="237" spans="1:13" ht="15.75" customHeight="1" x14ac:dyDescent="0.35">
      <c r="A237" s="1" t="s">
        <v>151</v>
      </c>
      <c r="B237" s="1" t="s">
        <v>5761</v>
      </c>
      <c r="C237" s="1" t="s">
        <v>5800</v>
      </c>
      <c r="D237" s="1" t="s">
        <v>2870</v>
      </c>
      <c r="E237" s="1" t="s">
        <v>599</v>
      </c>
      <c r="F237" s="1" t="s">
        <v>5792</v>
      </c>
      <c r="G237" s="1" t="s">
        <v>74</v>
      </c>
      <c r="H237" s="1" t="s">
        <v>5796</v>
      </c>
      <c r="I237" s="1" t="s">
        <v>90</v>
      </c>
      <c r="J237" s="1" t="s">
        <v>398</v>
      </c>
      <c r="K237" s="1" t="s">
        <v>78</v>
      </c>
      <c r="L237" s="4">
        <v>48888</v>
      </c>
      <c r="M237" s="1" t="s">
        <v>79</v>
      </c>
    </row>
    <row r="238" spans="1:13" ht="15.75" customHeight="1" x14ac:dyDescent="0.35">
      <c r="A238" s="1" t="s">
        <v>151</v>
      </c>
      <c r="B238" s="1" t="s">
        <v>5761</v>
      </c>
      <c r="C238" s="1" t="s">
        <v>5794</v>
      </c>
      <c r="D238" s="1" t="s">
        <v>2870</v>
      </c>
      <c r="E238" s="1" t="s">
        <v>5789</v>
      </c>
      <c r="F238" s="1" t="s">
        <v>5795</v>
      </c>
      <c r="G238" s="1" t="s">
        <v>74</v>
      </c>
      <c r="H238" s="1" t="s">
        <v>5796</v>
      </c>
      <c r="I238" s="1" t="s">
        <v>101</v>
      </c>
      <c r="J238" s="1" t="s">
        <v>398</v>
      </c>
      <c r="K238" s="1" t="s">
        <v>78</v>
      </c>
      <c r="L238" s="4">
        <v>36999</v>
      </c>
      <c r="M238" s="1" t="s">
        <v>166</v>
      </c>
    </row>
    <row r="239" spans="1:13" ht="15.75" customHeight="1" x14ac:dyDescent="0.35">
      <c r="A239" s="1" t="s">
        <v>151</v>
      </c>
      <c r="B239" s="1" t="s">
        <v>5760</v>
      </c>
      <c r="C239" s="1" t="s">
        <v>5800</v>
      </c>
      <c r="D239" s="1" t="s">
        <v>3816</v>
      </c>
      <c r="E239" s="1" t="s">
        <v>599</v>
      </c>
      <c r="F239" s="1" t="s">
        <v>5792</v>
      </c>
      <c r="G239" s="1" t="s">
        <v>224</v>
      </c>
      <c r="H239" s="1" t="s">
        <v>200</v>
      </c>
      <c r="I239" s="1" t="s">
        <v>90</v>
      </c>
      <c r="J239" s="1" t="s">
        <v>1091</v>
      </c>
      <c r="K239" s="1" t="s">
        <v>78</v>
      </c>
      <c r="L239" s="4">
        <v>72999</v>
      </c>
      <c r="M239" s="1" t="s">
        <v>79</v>
      </c>
    </row>
    <row r="240" spans="1:13" ht="15.75" customHeight="1" x14ac:dyDescent="0.35">
      <c r="A240" s="1" t="s">
        <v>151</v>
      </c>
      <c r="B240" s="1" t="s">
        <v>5761</v>
      </c>
      <c r="C240" s="1" t="s">
        <v>5800</v>
      </c>
      <c r="D240" s="1" t="s">
        <v>2870</v>
      </c>
      <c r="E240" s="1" t="s">
        <v>599</v>
      </c>
      <c r="F240" s="1" t="s">
        <v>5792</v>
      </c>
      <c r="G240" s="1" t="s">
        <v>74</v>
      </c>
      <c r="H240" s="1" t="s">
        <v>5796</v>
      </c>
      <c r="I240" s="1" t="s">
        <v>90</v>
      </c>
      <c r="J240" s="1" t="s">
        <v>398</v>
      </c>
      <c r="K240" s="1" t="s">
        <v>78</v>
      </c>
      <c r="L240" s="4">
        <v>45499</v>
      </c>
      <c r="M240" s="1" t="s">
        <v>79</v>
      </c>
    </row>
    <row r="241" spans="1:13" ht="15.75" customHeight="1" x14ac:dyDescent="0.35">
      <c r="A241" s="1" t="s">
        <v>112</v>
      </c>
      <c r="B241" s="1" t="s">
        <v>5753</v>
      </c>
      <c r="C241" s="1" t="s">
        <v>5794</v>
      </c>
      <c r="D241" s="1" t="s">
        <v>2870</v>
      </c>
      <c r="E241" s="1" t="s">
        <v>3816</v>
      </c>
      <c r="F241" s="1" t="s">
        <v>5795</v>
      </c>
      <c r="G241" s="1" t="s">
        <v>74</v>
      </c>
      <c r="H241" s="1" t="s">
        <v>5796</v>
      </c>
      <c r="I241" s="1" t="s">
        <v>101</v>
      </c>
      <c r="J241" s="1" t="s">
        <v>127</v>
      </c>
      <c r="K241" s="1" t="s">
        <v>78</v>
      </c>
      <c r="L241" s="4">
        <v>34477</v>
      </c>
      <c r="M241" s="1" t="s">
        <v>79</v>
      </c>
    </row>
    <row r="242" spans="1:13" ht="15.75" customHeight="1" x14ac:dyDescent="0.35">
      <c r="A242" s="1" t="s">
        <v>112</v>
      </c>
      <c r="B242" s="1" t="s">
        <v>5753</v>
      </c>
      <c r="C242" s="1" t="s">
        <v>5794</v>
      </c>
      <c r="D242" s="1" t="s">
        <v>3231</v>
      </c>
      <c r="E242" s="1" t="s">
        <v>3816</v>
      </c>
      <c r="F242" s="1" t="s">
        <v>5795</v>
      </c>
      <c r="G242" s="1" t="s">
        <v>74</v>
      </c>
      <c r="H242" s="1" t="s">
        <v>5735</v>
      </c>
      <c r="I242" s="1" t="s">
        <v>90</v>
      </c>
      <c r="J242" s="1" t="s">
        <v>127</v>
      </c>
      <c r="K242" s="1" t="s">
        <v>78</v>
      </c>
      <c r="L242" s="4">
        <v>36249</v>
      </c>
      <c r="M242" s="1" t="s">
        <v>166</v>
      </c>
    </row>
    <row r="243" spans="1:13" ht="15.75" customHeight="1" x14ac:dyDescent="0.35">
      <c r="A243" s="1" t="s">
        <v>151</v>
      </c>
      <c r="B243" s="1" t="s">
        <v>5761</v>
      </c>
      <c r="C243" s="1" t="s">
        <v>5794</v>
      </c>
      <c r="D243" s="1" t="s">
        <v>2870</v>
      </c>
      <c r="E243" s="1" t="s">
        <v>3816</v>
      </c>
      <c r="F243" s="1" t="s">
        <v>5795</v>
      </c>
      <c r="G243" s="1" t="s">
        <v>74</v>
      </c>
      <c r="H243" s="1" t="s">
        <v>5796</v>
      </c>
      <c r="I243" s="1" t="s">
        <v>101</v>
      </c>
      <c r="J243" s="1" t="s">
        <v>398</v>
      </c>
      <c r="K243" s="1" t="s">
        <v>165</v>
      </c>
      <c r="L243" s="4">
        <v>34333</v>
      </c>
      <c r="M243" s="1" t="s">
        <v>166</v>
      </c>
    </row>
    <row r="244" spans="1:13" ht="15.75" customHeight="1" x14ac:dyDescent="0.35">
      <c r="A244" s="1" t="s">
        <v>30</v>
      </c>
      <c r="B244" s="1" t="s">
        <v>5771</v>
      </c>
      <c r="C244" s="1" t="s">
        <v>5800</v>
      </c>
      <c r="D244" s="1" t="s">
        <v>3816</v>
      </c>
      <c r="E244" s="1" t="s">
        <v>599</v>
      </c>
      <c r="F244" s="1" t="s">
        <v>5795</v>
      </c>
      <c r="G244" s="1" t="s">
        <v>74</v>
      </c>
      <c r="H244" s="1" t="s">
        <v>5796</v>
      </c>
      <c r="I244" s="1" t="s">
        <v>90</v>
      </c>
      <c r="J244" s="1" t="s">
        <v>652</v>
      </c>
      <c r="K244" s="1" t="s">
        <v>165</v>
      </c>
      <c r="L244" s="4">
        <v>71930</v>
      </c>
      <c r="M244" s="1" t="s">
        <v>79</v>
      </c>
    </row>
    <row r="245" spans="1:13" ht="15.75" customHeight="1" x14ac:dyDescent="0.35">
      <c r="A245" s="1" t="s">
        <v>30</v>
      </c>
      <c r="B245" s="1" t="s">
        <v>5810</v>
      </c>
      <c r="C245" s="1" t="s">
        <v>5800</v>
      </c>
      <c r="D245" s="1" t="s">
        <v>3231</v>
      </c>
      <c r="E245" s="1" t="s">
        <v>599</v>
      </c>
      <c r="F245" s="1" t="s">
        <v>5795</v>
      </c>
      <c r="G245" s="1" t="s">
        <v>74</v>
      </c>
      <c r="H245" s="1" t="s">
        <v>5796</v>
      </c>
      <c r="I245" s="1" t="s">
        <v>101</v>
      </c>
      <c r="J245" s="1" t="s">
        <v>376</v>
      </c>
      <c r="K245" s="1" t="s">
        <v>165</v>
      </c>
      <c r="L245" s="4">
        <v>38999</v>
      </c>
      <c r="M245" s="1" t="s">
        <v>166</v>
      </c>
    </row>
    <row r="246" spans="1:13" ht="15.75" customHeight="1" x14ac:dyDescent="0.35">
      <c r="A246" s="1" t="s">
        <v>30</v>
      </c>
      <c r="B246" s="1" t="s">
        <v>5810</v>
      </c>
      <c r="C246" s="1" t="s">
        <v>5794</v>
      </c>
      <c r="D246" s="1" t="s">
        <v>3231</v>
      </c>
      <c r="E246" s="1" t="s">
        <v>3816</v>
      </c>
      <c r="F246" s="1" t="s">
        <v>5795</v>
      </c>
      <c r="G246" s="1" t="s">
        <v>74</v>
      </c>
      <c r="H246" s="1" t="s">
        <v>5796</v>
      </c>
      <c r="I246" s="1" t="s">
        <v>101</v>
      </c>
      <c r="J246" s="1" t="s">
        <v>376</v>
      </c>
      <c r="K246" s="1" t="s">
        <v>165</v>
      </c>
      <c r="L246" s="4">
        <v>28899</v>
      </c>
      <c r="M246" s="1" t="s">
        <v>166</v>
      </c>
    </row>
    <row r="247" spans="1:13" ht="15.75" customHeight="1" x14ac:dyDescent="0.35">
      <c r="A247" s="1" t="s">
        <v>30</v>
      </c>
      <c r="B247" s="1" t="s">
        <v>5772</v>
      </c>
      <c r="C247" s="1" t="s">
        <v>5800</v>
      </c>
      <c r="D247" s="1" t="s">
        <v>2870</v>
      </c>
      <c r="E247" s="1" t="s">
        <v>599</v>
      </c>
      <c r="F247" s="1" t="s">
        <v>5795</v>
      </c>
      <c r="G247" s="1" t="s">
        <v>74</v>
      </c>
      <c r="H247" s="1" t="s">
        <v>5796</v>
      </c>
      <c r="I247" s="1" t="s">
        <v>101</v>
      </c>
      <c r="J247" s="1" t="s">
        <v>781</v>
      </c>
      <c r="K247" s="1" t="s">
        <v>165</v>
      </c>
      <c r="L247" s="4">
        <v>49999</v>
      </c>
      <c r="M247" s="1" t="s">
        <v>79</v>
      </c>
    </row>
    <row r="248" spans="1:13" ht="15.75" customHeight="1" x14ac:dyDescent="0.35">
      <c r="A248" s="1" t="s">
        <v>151</v>
      </c>
      <c r="B248" s="1" t="s">
        <v>5761</v>
      </c>
      <c r="C248" s="1" t="s">
        <v>5794</v>
      </c>
      <c r="D248" s="1" t="s">
        <v>3231</v>
      </c>
      <c r="E248" s="1" t="s">
        <v>599</v>
      </c>
      <c r="F248" s="1" t="s">
        <v>5795</v>
      </c>
      <c r="G248" s="1" t="s">
        <v>74</v>
      </c>
      <c r="H248" s="1" t="s">
        <v>5796</v>
      </c>
      <c r="I248" s="1" t="s">
        <v>101</v>
      </c>
      <c r="J248" s="1" t="s">
        <v>398</v>
      </c>
      <c r="K248" s="1" t="s">
        <v>165</v>
      </c>
      <c r="L248" s="4">
        <v>31999</v>
      </c>
      <c r="M248" s="1" t="s">
        <v>166</v>
      </c>
    </row>
    <row r="249" spans="1:13" ht="15.75" customHeight="1" x14ac:dyDescent="0.35">
      <c r="A249" s="1" t="s">
        <v>151</v>
      </c>
      <c r="B249" s="1" t="s">
        <v>5763</v>
      </c>
      <c r="C249" s="1" t="s">
        <v>5815</v>
      </c>
      <c r="D249" s="1" t="s">
        <v>3231</v>
      </c>
      <c r="E249" s="1" t="s">
        <v>599</v>
      </c>
      <c r="F249" s="1" t="s">
        <v>5795</v>
      </c>
      <c r="G249" s="1" t="s">
        <v>74</v>
      </c>
      <c r="H249" s="1" t="s">
        <v>5796</v>
      </c>
      <c r="I249" s="1" t="s">
        <v>90</v>
      </c>
      <c r="J249" s="1" t="s">
        <v>652</v>
      </c>
      <c r="K249" s="1" t="s">
        <v>78</v>
      </c>
      <c r="L249" s="4">
        <v>26999</v>
      </c>
      <c r="M249" s="1" t="s">
        <v>5735</v>
      </c>
    </row>
    <row r="250" spans="1:13" ht="15.75" customHeight="1" x14ac:dyDescent="0.35">
      <c r="A250" s="1" t="s">
        <v>112</v>
      </c>
      <c r="B250" s="1" t="s">
        <v>5753</v>
      </c>
      <c r="C250" s="1" t="s">
        <v>5800</v>
      </c>
      <c r="D250" s="1" t="s">
        <v>2870</v>
      </c>
      <c r="E250" s="1" t="s">
        <v>599</v>
      </c>
      <c r="F250" s="1" t="s">
        <v>5795</v>
      </c>
      <c r="G250" s="1" t="s">
        <v>74</v>
      </c>
      <c r="H250" s="1" t="s">
        <v>5796</v>
      </c>
      <c r="I250" s="1" t="s">
        <v>90</v>
      </c>
      <c r="J250" s="1" t="s">
        <v>5735</v>
      </c>
      <c r="K250" s="1" t="s">
        <v>78</v>
      </c>
      <c r="L250" s="4">
        <v>52599</v>
      </c>
      <c r="M250" s="1" t="s">
        <v>166</v>
      </c>
    </row>
    <row r="251" spans="1:13" ht="15.75" customHeight="1" x14ac:dyDescent="0.35">
      <c r="A251" s="1" t="s">
        <v>112</v>
      </c>
      <c r="B251" s="1" t="s">
        <v>5753</v>
      </c>
      <c r="C251" s="1" t="s">
        <v>5800</v>
      </c>
      <c r="D251" s="1" t="s">
        <v>2870</v>
      </c>
      <c r="E251" s="1" t="s">
        <v>599</v>
      </c>
      <c r="F251" s="1" t="s">
        <v>5795</v>
      </c>
      <c r="G251" s="1" t="s">
        <v>74</v>
      </c>
      <c r="H251" s="1" t="s">
        <v>5796</v>
      </c>
      <c r="I251" s="1" t="s">
        <v>101</v>
      </c>
      <c r="J251" s="1" t="s">
        <v>127</v>
      </c>
      <c r="K251" s="1" t="s">
        <v>78</v>
      </c>
      <c r="L251" s="4">
        <v>54499</v>
      </c>
      <c r="M251" s="1" t="s">
        <v>79</v>
      </c>
    </row>
    <row r="252" spans="1:13" ht="15.75" customHeight="1" x14ac:dyDescent="0.35">
      <c r="A252" s="1" t="s">
        <v>151</v>
      </c>
      <c r="B252" s="1" t="s">
        <v>5761</v>
      </c>
      <c r="C252" s="1" t="s">
        <v>5794</v>
      </c>
      <c r="D252" s="1" t="s">
        <v>2870</v>
      </c>
      <c r="E252" s="1" t="s">
        <v>599</v>
      </c>
      <c r="F252" s="1" t="s">
        <v>5795</v>
      </c>
      <c r="G252" s="1" t="s">
        <v>74</v>
      </c>
      <c r="H252" s="1" t="s">
        <v>5796</v>
      </c>
      <c r="I252" s="1" t="s">
        <v>101</v>
      </c>
      <c r="J252" s="1" t="s">
        <v>398</v>
      </c>
      <c r="K252" s="1" t="s">
        <v>78</v>
      </c>
      <c r="L252" s="4">
        <v>38888</v>
      </c>
      <c r="M252" s="1" t="s">
        <v>166</v>
      </c>
    </row>
    <row r="253" spans="1:13" ht="15.75" customHeight="1" x14ac:dyDescent="0.35">
      <c r="A253" s="1" t="s">
        <v>151</v>
      </c>
      <c r="B253" s="1" t="s">
        <v>5761</v>
      </c>
      <c r="C253" s="1" t="s">
        <v>5794</v>
      </c>
      <c r="D253" s="1" t="s">
        <v>3231</v>
      </c>
      <c r="E253" s="1" t="s">
        <v>5789</v>
      </c>
      <c r="F253" s="1" t="s">
        <v>5795</v>
      </c>
      <c r="G253" s="1" t="s">
        <v>74</v>
      </c>
      <c r="H253" s="1" t="s">
        <v>5796</v>
      </c>
      <c r="I253" s="1" t="s">
        <v>101</v>
      </c>
      <c r="J253" s="1" t="s">
        <v>398</v>
      </c>
      <c r="K253" s="1" t="s">
        <v>78</v>
      </c>
      <c r="L253" s="4">
        <v>30999</v>
      </c>
      <c r="M253" s="1" t="s">
        <v>166</v>
      </c>
    </row>
    <row r="254" spans="1:13" ht="15.75" customHeight="1" x14ac:dyDescent="0.35">
      <c r="A254" s="1" t="s">
        <v>234</v>
      </c>
      <c r="B254" s="1" t="s">
        <v>5758</v>
      </c>
      <c r="C254" s="1" t="s">
        <v>5815</v>
      </c>
      <c r="D254" s="1" t="s">
        <v>3231</v>
      </c>
      <c r="E254" s="1" t="s">
        <v>3816</v>
      </c>
      <c r="F254" s="1" t="s">
        <v>5795</v>
      </c>
      <c r="G254" s="1" t="s">
        <v>74</v>
      </c>
      <c r="H254" s="1" t="s">
        <v>5796</v>
      </c>
      <c r="I254" s="1" t="s">
        <v>90</v>
      </c>
      <c r="J254" s="1" t="s">
        <v>503</v>
      </c>
      <c r="K254" s="1" t="s">
        <v>78</v>
      </c>
      <c r="L254" s="4">
        <v>29199</v>
      </c>
      <c r="M254" s="1" t="s">
        <v>5735</v>
      </c>
    </row>
    <row r="255" spans="1:13" ht="15.75" customHeight="1" x14ac:dyDescent="0.35">
      <c r="A255" s="1" t="s">
        <v>234</v>
      </c>
      <c r="B255" s="1" t="s">
        <v>5758</v>
      </c>
      <c r="C255" s="1" t="s">
        <v>5815</v>
      </c>
      <c r="D255" s="1" t="s">
        <v>3231</v>
      </c>
      <c r="E255" s="1" t="s">
        <v>3816</v>
      </c>
      <c r="F255" s="1" t="s">
        <v>5795</v>
      </c>
      <c r="G255" s="1" t="s">
        <v>74</v>
      </c>
      <c r="H255" s="1" t="s">
        <v>5796</v>
      </c>
      <c r="I255" s="1" t="s">
        <v>90</v>
      </c>
      <c r="J255" s="1" t="s">
        <v>503</v>
      </c>
      <c r="K255" s="1" t="s">
        <v>78</v>
      </c>
      <c r="L255" s="4">
        <v>36000</v>
      </c>
      <c r="M255" s="1" t="s">
        <v>5735</v>
      </c>
    </row>
    <row r="256" spans="1:13" ht="15.75" customHeight="1" x14ac:dyDescent="0.35">
      <c r="A256" s="1" t="s">
        <v>234</v>
      </c>
      <c r="B256" s="1" t="s">
        <v>5758</v>
      </c>
      <c r="C256" s="1" t="s">
        <v>5815</v>
      </c>
      <c r="D256" s="1" t="s">
        <v>2870</v>
      </c>
      <c r="E256" s="1" t="s">
        <v>3816</v>
      </c>
      <c r="F256" s="1" t="s">
        <v>5795</v>
      </c>
      <c r="G256" s="1" t="s">
        <v>74</v>
      </c>
      <c r="H256" s="1" t="s">
        <v>5796</v>
      </c>
      <c r="I256" s="1" t="s">
        <v>90</v>
      </c>
      <c r="J256" s="1" t="s">
        <v>2878</v>
      </c>
      <c r="K256" s="1" t="s">
        <v>78</v>
      </c>
      <c r="L256" s="4">
        <v>39888</v>
      </c>
      <c r="M256" s="1" t="s">
        <v>5735</v>
      </c>
    </row>
    <row r="257" spans="1:13" ht="15.75" customHeight="1" x14ac:dyDescent="0.35">
      <c r="A257" s="1" t="s">
        <v>151</v>
      </c>
      <c r="B257" s="1" t="s">
        <v>5761</v>
      </c>
      <c r="C257" s="1" t="s">
        <v>5794</v>
      </c>
      <c r="D257" s="1" t="s">
        <v>3231</v>
      </c>
      <c r="E257" s="1" t="s">
        <v>3816</v>
      </c>
      <c r="F257" s="1" t="s">
        <v>5795</v>
      </c>
      <c r="G257" s="1" t="s">
        <v>74</v>
      </c>
      <c r="H257" s="1" t="s">
        <v>5796</v>
      </c>
      <c r="I257" s="1" t="s">
        <v>101</v>
      </c>
      <c r="J257" s="1" t="s">
        <v>398</v>
      </c>
      <c r="K257" s="1" t="s">
        <v>165</v>
      </c>
      <c r="L257" s="4">
        <v>31499</v>
      </c>
      <c r="M257" s="1" t="s">
        <v>166</v>
      </c>
    </row>
    <row r="258" spans="1:13" ht="15.75" customHeight="1" x14ac:dyDescent="0.35">
      <c r="A258" s="1" t="s">
        <v>112</v>
      </c>
      <c r="B258" s="1" t="s">
        <v>5754</v>
      </c>
      <c r="C258" s="1" t="s">
        <v>5800</v>
      </c>
      <c r="D258" s="1" t="s">
        <v>3816</v>
      </c>
      <c r="E258" s="1" t="s">
        <v>5799</v>
      </c>
      <c r="F258" s="1" t="s">
        <v>5792</v>
      </c>
      <c r="G258" s="1" t="s">
        <v>224</v>
      </c>
      <c r="H258" s="1" t="s">
        <v>200</v>
      </c>
      <c r="I258" s="1" t="s">
        <v>90</v>
      </c>
      <c r="J258" s="1" t="s">
        <v>1488</v>
      </c>
      <c r="K258" s="1" t="s">
        <v>78</v>
      </c>
      <c r="L258" s="4">
        <v>119999</v>
      </c>
      <c r="M258" s="1" t="s">
        <v>65</v>
      </c>
    </row>
    <row r="259" spans="1:13" ht="15.75" customHeight="1" x14ac:dyDescent="0.35">
      <c r="A259" s="1" t="s">
        <v>112</v>
      </c>
      <c r="B259" s="1" t="s">
        <v>5754</v>
      </c>
      <c r="C259" s="1" t="s">
        <v>5800</v>
      </c>
      <c r="D259" s="1" t="s">
        <v>3816</v>
      </c>
      <c r="E259" s="1" t="s">
        <v>599</v>
      </c>
      <c r="F259" s="1" t="s">
        <v>5795</v>
      </c>
      <c r="G259" s="1" t="s">
        <v>1371</v>
      </c>
      <c r="H259" s="1" t="s">
        <v>5793</v>
      </c>
      <c r="I259" s="1" t="s">
        <v>90</v>
      </c>
      <c r="J259" s="1" t="s">
        <v>5823</v>
      </c>
      <c r="K259" s="1" t="s">
        <v>78</v>
      </c>
      <c r="L259" s="4">
        <v>89999</v>
      </c>
      <c r="M259" s="1" t="s">
        <v>79</v>
      </c>
    </row>
    <row r="260" spans="1:13" ht="15.75" customHeight="1" x14ac:dyDescent="0.35">
      <c r="A260" s="1" t="s">
        <v>151</v>
      </c>
      <c r="B260" s="1" t="s">
        <v>5761</v>
      </c>
      <c r="C260" s="1" t="s">
        <v>5800</v>
      </c>
      <c r="D260" s="1" t="s">
        <v>2870</v>
      </c>
      <c r="E260" s="1" t="s">
        <v>599</v>
      </c>
      <c r="F260" s="1" t="s">
        <v>5795</v>
      </c>
      <c r="G260" s="1" t="s">
        <v>74</v>
      </c>
      <c r="H260" s="1" t="s">
        <v>5796</v>
      </c>
      <c r="I260" s="1" t="s">
        <v>101</v>
      </c>
      <c r="J260" s="1" t="s">
        <v>398</v>
      </c>
      <c r="K260" s="1" t="s">
        <v>78</v>
      </c>
      <c r="L260" s="4">
        <v>42999</v>
      </c>
      <c r="M260" s="1" t="s">
        <v>79</v>
      </c>
    </row>
    <row r="261" spans="1:13" ht="15.75" customHeight="1" x14ac:dyDescent="0.35">
      <c r="A261" s="1" t="s">
        <v>151</v>
      </c>
      <c r="B261" s="1" t="s">
        <v>5760</v>
      </c>
      <c r="C261" s="1" t="s">
        <v>5815</v>
      </c>
      <c r="D261" s="1" t="s">
        <v>2870</v>
      </c>
      <c r="E261" s="1" t="s">
        <v>599</v>
      </c>
      <c r="F261" s="1" t="s">
        <v>5792</v>
      </c>
      <c r="G261" s="1" t="s">
        <v>74</v>
      </c>
      <c r="H261" s="1" t="s">
        <v>5793</v>
      </c>
      <c r="I261" s="1" t="s">
        <v>101</v>
      </c>
      <c r="J261" s="1" t="s">
        <v>63</v>
      </c>
      <c r="K261" s="1" t="s">
        <v>78</v>
      </c>
      <c r="L261" s="4">
        <v>55999</v>
      </c>
      <c r="M261" s="1" t="s">
        <v>5735</v>
      </c>
    </row>
    <row r="262" spans="1:13" ht="15.75" customHeight="1" x14ac:dyDescent="0.35">
      <c r="A262" s="1" t="s">
        <v>151</v>
      </c>
      <c r="B262" s="1" t="s">
        <v>5760</v>
      </c>
      <c r="C262" s="1" t="s">
        <v>5815</v>
      </c>
      <c r="D262" s="1" t="s">
        <v>3231</v>
      </c>
      <c r="E262" s="1" t="s">
        <v>3816</v>
      </c>
      <c r="F262" s="1" t="s">
        <v>5795</v>
      </c>
      <c r="G262" s="1" t="s">
        <v>74</v>
      </c>
      <c r="H262" s="1" t="s">
        <v>111</v>
      </c>
      <c r="I262" s="1" t="s">
        <v>90</v>
      </c>
      <c r="J262" s="1" t="s">
        <v>63</v>
      </c>
      <c r="K262" s="1" t="s">
        <v>78</v>
      </c>
      <c r="L262" s="4">
        <v>39499</v>
      </c>
      <c r="M262" s="1" t="s">
        <v>5735</v>
      </c>
    </row>
    <row r="263" spans="1:13" ht="15.75" customHeight="1" x14ac:dyDescent="0.35">
      <c r="A263" s="1" t="s">
        <v>151</v>
      </c>
      <c r="B263" s="1" t="s">
        <v>5761</v>
      </c>
      <c r="C263" s="1" t="s">
        <v>5808</v>
      </c>
      <c r="D263" s="1" t="s">
        <v>2870</v>
      </c>
      <c r="E263" s="1" t="s">
        <v>599</v>
      </c>
      <c r="F263" s="1" t="s">
        <v>5795</v>
      </c>
      <c r="G263" s="1" t="s">
        <v>74</v>
      </c>
      <c r="H263" s="1" t="s">
        <v>5796</v>
      </c>
      <c r="I263" s="1" t="s">
        <v>90</v>
      </c>
      <c r="J263" s="1" t="s">
        <v>63</v>
      </c>
      <c r="K263" s="1" t="s">
        <v>78</v>
      </c>
      <c r="L263" s="4">
        <v>48000</v>
      </c>
      <c r="M263" s="1" t="s">
        <v>5735</v>
      </c>
    </row>
    <row r="264" spans="1:13" ht="15.75" customHeight="1" x14ac:dyDescent="0.35">
      <c r="A264" s="1" t="s">
        <v>81</v>
      </c>
      <c r="B264" s="1" t="s">
        <v>5810</v>
      </c>
      <c r="C264" s="1" t="s">
        <v>5800</v>
      </c>
      <c r="D264" s="1" t="s">
        <v>3816</v>
      </c>
      <c r="E264" s="1" t="s">
        <v>599</v>
      </c>
      <c r="F264" s="1" t="s">
        <v>5792</v>
      </c>
      <c r="G264" s="1" t="s">
        <v>74</v>
      </c>
      <c r="H264" s="1" t="s">
        <v>1518</v>
      </c>
      <c r="I264" s="1" t="s">
        <v>90</v>
      </c>
      <c r="J264" s="1" t="s">
        <v>423</v>
      </c>
      <c r="K264" s="1" t="s">
        <v>78</v>
      </c>
      <c r="L264" s="4">
        <v>63999</v>
      </c>
      <c r="M264" s="1" t="s">
        <v>79</v>
      </c>
    </row>
    <row r="265" spans="1:13" ht="15.75" customHeight="1" x14ac:dyDescent="0.35">
      <c r="A265" s="1" t="s">
        <v>151</v>
      </c>
      <c r="B265" s="1" t="s">
        <v>5763</v>
      </c>
      <c r="C265" s="1" t="s">
        <v>5808</v>
      </c>
      <c r="D265" s="1" t="s">
        <v>2870</v>
      </c>
      <c r="E265" s="1" t="s">
        <v>3816</v>
      </c>
      <c r="F265" s="1" t="s">
        <v>5795</v>
      </c>
      <c r="G265" s="1" t="s">
        <v>74</v>
      </c>
      <c r="H265" s="1" t="s">
        <v>111</v>
      </c>
      <c r="I265" s="1" t="s">
        <v>101</v>
      </c>
      <c r="J265" s="1" t="s">
        <v>652</v>
      </c>
      <c r="K265" s="1" t="s">
        <v>78</v>
      </c>
      <c r="L265" s="4">
        <v>45999</v>
      </c>
      <c r="M265" s="1" t="s">
        <v>5735</v>
      </c>
    </row>
    <row r="266" spans="1:13" ht="15.75" customHeight="1" x14ac:dyDescent="0.35">
      <c r="A266" s="1" t="s">
        <v>112</v>
      </c>
      <c r="B266" s="1" t="s">
        <v>5753</v>
      </c>
      <c r="C266" s="1" t="s">
        <v>5794</v>
      </c>
      <c r="D266" s="1" t="s">
        <v>2870</v>
      </c>
      <c r="E266" s="1" t="s">
        <v>3816</v>
      </c>
      <c r="F266" s="1" t="s">
        <v>5795</v>
      </c>
      <c r="G266" s="1" t="s">
        <v>74</v>
      </c>
      <c r="H266" s="1" t="s">
        <v>5796</v>
      </c>
      <c r="I266" s="1" t="s">
        <v>90</v>
      </c>
      <c r="J266" s="1" t="s">
        <v>127</v>
      </c>
      <c r="K266" s="1" t="s">
        <v>78</v>
      </c>
      <c r="L266" s="4">
        <v>38799</v>
      </c>
      <c r="M266" s="1" t="s">
        <v>79</v>
      </c>
    </row>
    <row r="267" spans="1:13" ht="15.75" customHeight="1" x14ac:dyDescent="0.35">
      <c r="A267" s="1" t="s">
        <v>112</v>
      </c>
      <c r="B267" s="1" t="s">
        <v>5753</v>
      </c>
      <c r="C267" s="1" t="s">
        <v>5794</v>
      </c>
      <c r="D267" s="1" t="s">
        <v>3231</v>
      </c>
      <c r="E267" s="1" t="s">
        <v>3816</v>
      </c>
      <c r="F267" s="1" t="s">
        <v>5792</v>
      </c>
      <c r="G267" s="1" t="s">
        <v>74</v>
      </c>
      <c r="H267" s="1" t="s">
        <v>5796</v>
      </c>
      <c r="I267" s="1" t="s">
        <v>90</v>
      </c>
      <c r="J267" s="1" t="s">
        <v>127</v>
      </c>
      <c r="K267" s="1" t="s">
        <v>78</v>
      </c>
      <c r="L267" s="4">
        <v>30499</v>
      </c>
      <c r="M267" s="1" t="s">
        <v>166</v>
      </c>
    </row>
    <row r="268" spans="1:13" ht="15.75" customHeight="1" x14ac:dyDescent="0.35">
      <c r="A268" s="1" t="s">
        <v>151</v>
      </c>
      <c r="B268" s="1" t="s">
        <v>5761</v>
      </c>
      <c r="C268" s="1" t="s">
        <v>5794</v>
      </c>
      <c r="D268" s="1" t="s">
        <v>2870</v>
      </c>
      <c r="E268" s="1" t="s">
        <v>599</v>
      </c>
      <c r="F268" s="1" t="s">
        <v>5795</v>
      </c>
      <c r="G268" s="1" t="s">
        <v>74</v>
      </c>
      <c r="H268" s="1" t="s">
        <v>5796</v>
      </c>
      <c r="I268" s="1" t="s">
        <v>101</v>
      </c>
      <c r="J268" s="1" t="s">
        <v>63</v>
      </c>
      <c r="K268" s="1" t="s">
        <v>78</v>
      </c>
      <c r="L268" s="4">
        <v>37149</v>
      </c>
      <c r="M268" s="1" t="s">
        <v>166</v>
      </c>
    </row>
    <row r="269" spans="1:13" ht="15.75" customHeight="1" x14ac:dyDescent="0.35">
      <c r="A269" s="1" t="s">
        <v>151</v>
      </c>
      <c r="B269" s="1" t="s">
        <v>5761</v>
      </c>
      <c r="C269" s="1" t="s">
        <v>5794</v>
      </c>
      <c r="D269" s="1" t="s">
        <v>2870</v>
      </c>
      <c r="E269" s="1" t="s">
        <v>599</v>
      </c>
      <c r="F269" s="1" t="s">
        <v>5792</v>
      </c>
      <c r="G269" s="1" t="s">
        <v>74</v>
      </c>
      <c r="H269" s="1" t="s">
        <v>5796</v>
      </c>
      <c r="I269" s="1" t="s">
        <v>90</v>
      </c>
      <c r="J269" s="1" t="s">
        <v>63</v>
      </c>
      <c r="K269" s="1" t="s">
        <v>78</v>
      </c>
      <c r="L269" s="4">
        <v>39800</v>
      </c>
      <c r="M269" s="1" t="s">
        <v>79</v>
      </c>
    </row>
    <row r="270" spans="1:13" ht="15.75" customHeight="1" x14ac:dyDescent="0.35">
      <c r="A270" s="1" t="s">
        <v>234</v>
      </c>
      <c r="B270" s="1" t="s">
        <v>5756</v>
      </c>
      <c r="C270" s="1" t="s">
        <v>5788</v>
      </c>
      <c r="D270" s="1" t="s">
        <v>3816</v>
      </c>
      <c r="E270" s="1" t="s">
        <v>599</v>
      </c>
      <c r="F270" s="1" t="s">
        <v>5792</v>
      </c>
      <c r="G270" s="1" t="s">
        <v>1015</v>
      </c>
      <c r="H270" s="1" t="s">
        <v>5793</v>
      </c>
      <c r="I270" s="1" t="s">
        <v>90</v>
      </c>
      <c r="J270" s="1" t="s">
        <v>944</v>
      </c>
      <c r="K270" s="1" t="s">
        <v>165</v>
      </c>
      <c r="L270" s="4">
        <v>94499</v>
      </c>
      <c r="M270" s="1" t="s">
        <v>65</v>
      </c>
    </row>
    <row r="271" spans="1:13" ht="15.75" customHeight="1" x14ac:dyDescent="0.35">
      <c r="A271" s="1" t="s">
        <v>234</v>
      </c>
      <c r="B271" s="1" t="s">
        <v>5756</v>
      </c>
      <c r="C271" s="1" t="s">
        <v>5788</v>
      </c>
      <c r="D271" s="1" t="s">
        <v>599</v>
      </c>
      <c r="E271" s="1" t="s">
        <v>5799</v>
      </c>
      <c r="F271" s="1" t="s">
        <v>5805</v>
      </c>
      <c r="G271" s="1" t="s">
        <v>224</v>
      </c>
      <c r="H271" s="1" t="s">
        <v>200</v>
      </c>
      <c r="I271" s="1" t="s">
        <v>90</v>
      </c>
      <c r="J271" s="1" t="s">
        <v>329</v>
      </c>
      <c r="K271" s="1" t="s">
        <v>165</v>
      </c>
      <c r="L271" s="4">
        <v>178199</v>
      </c>
      <c r="M271" s="1" t="s">
        <v>65</v>
      </c>
    </row>
    <row r="272" spans="1:13" ht="15.75" customHeight="1" x14ac:dyDescent="0.35">
      <c r="A272" s="1" t="s">
        <v>234</v>
      </c>
      <c r="B272" s="1" t="s">
        <v>5756</v>
      </c>
      <c r="C272" s="1" t="s">
        <v>5788</v>
      </c>
      <c r="D272" s="1" t="s">
        <v>5807</v>
      </c>
      <c r="E272" s="1" t="s">
        <v>5799</v>
      </c>
      <c r="F272" s="1" t="s">
        <v>5792</v>
      </c>
      <c r="G272" s="1" t="s">
        <v>224</v>
      </c>
      <c r="H272" s="1" t="s">
        <v>200</v>
      </c>
      <c r="I272" s="1" t="s">
        <v>90</v>
      </c>
      <c r="J272" s="1" t="s">
        <v>329</v>
      </c>
      <c r="K272" s="1" t="s">
        <v>165</v>
      </c>
      <c r="L272" s="4">
        <v>139000</v>
      </c>
      <c r="M272" s="1" t="s">
        <v>65</v>
      </c>
    </row>
    <row r="273" spans="1:13" ht="15.75" customHeight="1" x14ac:dyDescent="0.35">
      <c r="A273" s="1" t="s">
        <v>30</v>
      </c>
      <c r="B273" s="1" t="s">
        <v>5771</v>
      </c>
      <c r="C273" s="1" t="s">
        <v>5788</v>
      </c>
      <c r="D273" s="1" t="s">
        <v>3816</v>
      </c>
      <c r="E273" s="1" t="s">
        <v>599</v>
      </c>
      <c r="F273" s="1" t="s">
        <v>5795</v>
      </c>
      <c r="G273" s="1" t="s">
        <v>74</v>
      </c>
      <c r="H273" s="1" t="s">
        <v>5796</v>
      </c>
      <c r="I273" s="1" t="s">
        <v>90</v>
      </c>
      <c r="J273" s="1" t="s">
        <v>1196</v>
      </c>
      <c r="K273" s="1" t="s">
        <v>165</v>
      </c>
      <c r="L273" s="4">
        <v>77930</v>
      </c>
      <c r="M273" s="1" t="s">
        <v>79</v>
      </c>
    </row>
    <row r="274" spans="1:13" ht="15.75" customHeight="1" x14ac:dyDescent="0.35">
      <c r="A274" s="1" t="s">
        <v>30</v>
      </c>
      <c r="B274" s="1" t="s">
        <v>5776</v>
      </c>
      <c r="C274" s="1" t="s">
        <v>5788</v>
      </c>
      <c r="D274" s="1" t="s">
        <v>5807</v>
      </c>
      <c r="E274" s="1" t="s">
        <v>5799</v>
      </c>
      <c r="F274" s="1" t="s">
        <v>5792</v>
      </c>
      <c r="G274" s="1" t="s">
        <v>224</v>
      </c>
      <c r="H274" s="1" t="s">
        <v>200</v>
      </c>
      <c r="I274" s="1" t="s">
        <v>90</v>
      </c>
      <c r="J274" s="1" t="s">
        <v>337</v>
      </c>
      <c r="K274" s="1" t="s">
        <v>165</v>
      </c>
      <c r="L274" s="4">
        <v>131845</v>
      </c>
      <c r="M274" s="1" t="s">
        <v>5735</v>
      </c>
    </row>
    <row r="275" spans="1:13" ht="15.75" customHeight="1" x14ac:dyDescent="0.35">
      <c r="A275" s="1" t="s">
        <v>30</v>
      </c>
      <c r="B275" s="1" t="s">
        <v>5774</v>
      </c>
      <c r="C275" s="1" t="s">
        <v>5788</v>
      </c>
      <c r="D275" s="1" t="s">
        <v>599</v>
      </c>
      <c r="E275" s="1" t="s">
        <v>5799</v>
      </c>
      <c r="F275" s="1" t="s">
        <v>5805</v>
      </c>
      <c r="G275" s="1" t="s">
        <v>224</v>
      </c>
      <c r="H275" s="1" t="s">
        <v>200</v>
      </c>
      <c r="I275" s="1" t="s">
        <v>90</v>
      </c>
      <c r="J275" s="1" t="s">
        <v>329</v>
      </c>
      <c r="K275" s="1" t="s">
        <v>165</v>
      </c>
      <c r="L275" s="4">
        <v>180449</v>
      </c>
      <c r="M275" s="1" t="s">
        <v>5735</v>
      </c>
    </row>
    <row r="276" spans="1:13" ht="15.75" customHeight="1" x14ac:dyDescent="0.35">
      <c r="A276" s="1" t="s">
        <v>30</v>
      </c>
      <c r="B276" s="1" t="s">
        <v>5775</v>
      </c>
      <c r="C276" s="1" t="s">
        <v>5788</v>
      </c>
      <c r="D276" s="1" t="s">
        <v>599</v>
      </c>
      <c r="E276" s="1" t="s">
        <v>5804</v>
      </c>
      <c r="F276" s="1" t="s">
        <v>5805</v>
      </c>
      <c r="G276" s="1" t="s">
        <v>38</v>
      </c>
      <c r="H276" s="1" t="s">
        <v>111</v>
      </c>
      <c r="I276" s="1" t="s">
        <v>90</v>
      </c>
      <c r="J276" s="1" t="s">
        <v>46</v>
      </c>
      <c r="K276" s="1" t="s">
        <v>165</v>
      </c>
      <c r="L276" s="4">
        <v>229999</v>
      </c>
      <c r="M276" s="1" t="s">
        <v>5735</v>
      </c>
    </row>
    <row r="277" spans="1:13" ht="15.75" customHeight="1" x14ac:dyDescent="0.35">
      <c r="A277" s="1" t="s">
        <v>30</v>
      </c>
      <c r="B277" s="1" t="s">
        <v>5772</v>
      </c>
      <c r="C277" s="1" t="s">
        <v>5816</v>
      </c>
      <c r="D277" s="1" t="s">
        <v>3816</v>
      </c>
      <c r="E277" s="1" t="s">
        <v>599</v>
      </c>
      <c r="F277" s="1" t="s">
        <v>5795</v>
      </c>
      <c r="G277" s="1" t="s">
        <v>74</v>
      </c>
      <c r="H277" s="1" t="s">
        <v>5796</v>
      </c>
      <c r="I277" s="1" t="s">
        <v>90</v>
      </c>
      <c r="J277" s="1" t="s">
        <v>781</v>
      </c>
      <c r="K277" s="1" t="s">
        <v>165</v>
      </c>
      <c r="L277" s="4">
        <v>60999</v>
      </c>
      <c r="M277" s="1" t="s">
        <v>5735</v>
      </c>
    </row>
    <row r="278" spans="1:13" ht="15.75" customHeight="1" x14ac:dyDescent="0.35">
      <c r="A278" s="1" t="s">
        <v>234</v>
      </c>
      <c r="B278" s="1" t="s">
        <v>5810</v>
      </c>
      <c r="C278" s="1" t="s">
        <v>5815</v>
      </c>
      <c r="D278" s="1" t="s">
        <v>2870</v>
      </c>
      <c r="E278" s="1" t="s">
        <v>3816</v>
      </c>
      <c r="F278" s="1" t="s">
        <v>5795</v>
      </c>
      <c r="G278" s="1" t="s">
        <v>74</v>
      </c>
      <c r="H278" s="1" t="s">
        <v>5796</v>
      </c>
      <c r="I278" s="1" t="s">
        <v>90</v>
      </c>
      <c r="J278" s="1" t="s">
        <v>2878</v>
      </c>
      <c r="K278" s="1" t="s">
        <v>78</v>
      </c>
      <c r="L278" s="4">
        <v>39666</v>
      </c>
      <c r="M278" s="1" t="s">
        <v>5735</v>
      </c>
    </row>
    <row r="279" spans="1:13" ht="15.75" customHeight="1" x14ac:dyDescent="0.35">
      <c r="A279" s="1" t="s">
        <v>234</v>
      </c>
      <c r="B279" s="1" t="s">
        <v>5810</v>
      </c>
      <c r="C279" s="1" t="s">
        <v>5801</v>
      </c>
      <c r="D279" s="1" t="s">
        <v>599</v>
      </c>
      <c r="E279" s="1" t="s">
        <v>5799</v>
      </c>
      <c r="F279" s="1" t="s">
        <v>5805</v>
      </c>
      <c r="G279" s="1" t="s">
        <v>224</v>
      </c>
      <c r="H279" s="1" t="s">
        <v>200</v>
      </c>
      <c r="I279" s="1" t="s">
        <v>90</v>
      </c>
      <c r="J279" s="1" t="s">
        <v>923</v>
      </c>
      <c r="K279" s="1" t="s">
        <v>165</v>
      </c>
      <c r="L279" s="4">
        <v>169888</v>
      </c>
      <c r="M279" s="1" t="s">
        <v>5735</v>
      </c>
    </row>
    <row r="280" spans="1:13" ht="15.75" customHeight="1" x14ac:dyDescent="0.35">
      <c r="A280" s="1" t="s">
        <v>234</v>
      </c>
      <c r="B280" s="1" t="s">
        <v>5766</v>
      </c>
      <c r="C280" s="1" t="s">
        <v>5808</v>
      </c>
      <c r="D280" s="1" t="s">
        <v>3231</v>
      </c>
      <c r="E280" s="1" t="s">
        <v>599</v>
      </c>
      <c r="F280" s="1" t="s">
        <v>5795</v>
      </c>
      <c r="G280" s="1" t="s">
        <v>74</v>
      </c>
      <c r="H280" s="1" t="s">
        <v>5819</v>
      </c>
      <c r="I280" s="1" t="s">
        <v>90</v>
      </c>
      <c r="J280" s="1" t="s">
        <v>1609</v>
      </c>
      <c r="K280" s="1" t="s">
        <v>165</v>
      </c>
      <c r="L280" s="4">
        <v>48999</v>
      </c>
      <c r="M280" s="1" t="s">
        <v>5735</v>
      </c>
    </row>
    <row r="281" spans="1:13" ht="15.75" customHeight="1" x14ac:dyDescent="0.35">
      <c r="A281" s="1" t="s">
        <v>30</v>
      </c>
      <c r="B281" s="1" t="s">
        <v>5810</v>
      </c>
      <c r="C281" s="1" t="s">
        <v>5794</v>
      </c>
      <c r="D281" s="1" t="s">
        <v>3231</v>
      </c>
      <c r="E281" s="1" t="s">
        <v>3816</v>
      </c>
      <c r="F281" s="1" t="s">
        <v>5795</v>
      </c>
      <c r="G281" s="1" t="s">
        <v>74</v>
      </c>
      <c r="H281" s="1" t="s">
        <v>5796</v>
      </c>
      <c r="I281" s="1" t="s">
        <v>101</v>
      </c>
      <c r="J281" s="1" t="s">
        <v>376</v>
      </c>
      <c r="K281" s="1" t="s">
        <v>78</v>
      </c>
      <c r="L281" s="4">
        <v>28888</v>
      </c>
      <c r="M281" s="1" t="s">
        <v>5735</v>
      </c>
    </row>
    <row r="282" spans="1:13" ht="15.75" customHeight="1" x14ac:dyDescent="0.35">
      <c r="A282" s="1" t="s">
        <v>112</v>
      </c>
      <c r="B282" s="1" t="s">
        <v>5753</v>
      </c>
      <c r="C282" s="1" t="s">
        <v>5808</v>
      </c>
      <c r="D282" s="1" t="s">
        <v>3231</v>
      </c>
      <c r="E282" s="1" t="s">
        <v>599</v>
      </c>
      <c r="F282" s="1" t="s">
        <v>5795</v>
      </c>
      <c r="G282" s="1" t="s">
        <v>74</v>
      </c>
      <c r="H282" s="1" t="s">
        <v>5796</v>
      </c>
      <c r="I282" s="1" t="s">
        <v>90</v>
      </c>
      <c r="J282" s="1" t="s">
        <v>127</v>
      </c>
      <c r="K282" s="1" t="s">
        <v>78</v>
      </c>
      <c r="L282" s="4">
        <v>31999</v>
      </c>
      <c r="M282" s="1" t="s">
        <v>5735</v>
      </c>
    </row>
    <row r="283" spans="1:13" ht="15.75" customHeight="1" x14ac:dyDescent="0.35">
      <c r="A283" s="1" t="s">
        <v>112</v>
      </c>
      <c r="B283" s="1" t="s">
        <v>5753</v>
      </c>
      <c r="C283" s="1" t="s">
        <v>5808</v>
      </c>
      <c r="D283" s="1" t="s">
        <v>3231</v>
      </c>
      <c r="E283" s="1" t="s">
        <v>599</v>
      </c>
      <c r="F283" s="1" t="s">
        <v>5792</v>
      </c>
      <c r="G283" s="1" t="s">
        <v>74</v>
      </c>
      <c r="H283" s="1" t="s">
        <v>5796</v>
      </c>
      <c r="I283" s="1" t="s">
        <v>90</v>
      </c>
      <c r="J283" s="1" t="s">
        <v>127</v>
      </c>
      <c r="K283" s="1" t="s">
        <v>78</v>
      </c>
      <c r="L283" s="4">
        <v>49199</v>
      </c>
      <c r="M283" s="1" t="s">
        <v>5735</v>
      </c>
    </row>
    <row r="284" spans="1:13" ht="15.75" customHeight="1" x14ac:dyDescent="0.35">
      <c r="A284" s="1" t="s">
        <v>112</v>
      </c>
      <c r="B284" s="1" t="s">
        <v>5753</v>
      </c>
      <c r="C284" s="1" t="s">
        <v>5794</v>
      </c>
      <c r="D284" s="1" t="s">
        <v>3231</v>
      </c>
      <c r="E284" s="1" t="s">
        <v>3816</v>
      </c>
      <c r="F284" s="1" t="s">
        <v>5792</v>
      </c>
      <c r="G284" s="1" t="s">
        <v>74</v>
      </c>
      <c r="H284" s="1" t="s">
        <v>5796</v>
      </c>
      <c r="I284" s="1" t="s">
        <v>90</v>
      </c>
      <c r="J284" s="1" t="s">
        <v>127</v>
      </c>
      <c r="K284" s="1" t="s">
        <v>78</v>
      </c>
      <c r="L284" s="4">
        <v>45999</v>
      </c>
      <c r="M284" s="1" t="s">
        <v>166</v>
      </c>
    </row>
    <row r="285" spans="1:13" ht="15.75" customHeight="1" x14ac:dyDescent="0.35">
      <c r="A285" s="1" t="s">
        <v>112</v>
      </c>
      <c r="B285" s="1" t="s">
        <v>5753</v>
      </c>
      <c r="C285" s="1" t="s">
        <v>5794</v>
      </c>
      <c r="D285" s="1" t="s">
        <v>3231</v>
      </c>
      <c r="E285" s="1" t="s">
        <v>3816</v>
      </c>
      <c r="F285" s="1" t="s">
        <v>5795</v>
      </c>
      <c r="G285" s="1" t="s">
        <v>74</v>
      </c>
      <c r="H285" s="1" t="s">
        <v>5796</v>
      </c>
      <c r="I285" s="1" t="s">
        <v>101</v>
      </c>
      <c r="J285" s="1" t="s">
        <v>127</v>
      </c>
      <c r="K285" s="1" t="s">
        <v>78</v>
      </c>
      <c r="L285" s="4">
        <v>31666</v>
      </c>
      <c r="M285" s="1" t="s">
        <v>79</v>
      </c>
    </row>
    <row r="286" spans="1:13" ht="15.75" customHeight="1" x14ac:dyDescent="0.35">
      <c r="A286" s="1" t="s">
        <v>112</v>
      </c>
      <c r="B286" s="1" t="s">
        <v>5753</v>
      </c>
      <c r="C286" s="1" t="s">
        <v>5794</v>
      </c>
      <c r="D286" s="1" t="s">
        <v>3231</v>
      </c>
      <c r="E286" s="1" t="s">
        <v>3816</v>
      </c>
      <c r="F286" s="1" t="s">
        <v>5792</v>
      </c>
      <c r="G286" s="1" t="s">
        <v>74</v>
      </c>
      <c r="H286" s="1" t="s">
        <v>5796</v>
      </c>
      <c r="I286" s="1" t="s">
        <v>90</v>
      </c>
      <c r="J286" s="1" t="s">
        <v>127</v>
      </c>
      <c r="K286" s="1" t="s">
        <v>78</v>
      </c>
      <c r="L286" s="4">
        <v>36999</v>
      </c>
      <c r="M286" s="1" t="s">
        <v>166</v>
      </c>
    </row>
    <row r="287" spans="1:13" ht="15.75" customHeight="1" x14ac:dyDescent="0.35">
      <c r="A287" s="1" t="s">
        <v>112</v>
      </c>
      <c r="B287" s="1" t="s">
        <v>5753</v>
      </c>
      <c r="C287" s="1" t="s">
        <v>5800</v>
      </c>
      <c r="D287" s="1" t="s">
        <v>3816</v>
      </c>
      <c r="E287" s="1" t="s">
        <v>5799</v>
      </c>
      <c r="F287" s="1" t="s">
        <v>5792</v>
      </c>
      <c r="G287" s="1" t="s">
        <v>74</v>
      </c>
      <c r="H287" s="1" t="s">
        <v>5796</v>
      </c>
      <c r="I287" s="1" t="s">
        <v>90</v>
      </c>
      <c r="J287" s="1" t="s">
        <v>142</v>
      </c>
      <c r="K287" s="1" t="s">
        <v>78</v>
      </c>
      <c r="L287" s="4">
        <v>70499</v>
      </c>
      <c r="M287" s="1" t="s">
        <v>79</v>
      </c>
    </row>
    <row r="288" spans="1:13" ht="15.75" customHeight="1" x14ac:dyDescent="0.35">
      <c r="A288" s="1" t="s">
        <v>112</v>
      </c>
      <c r="B288" s="1" t="s">
        <v>5753</v>
      </c>
      <c r="C288" s="1" t="s">
        <v>5800</v>
      </c>
      <c r="D288" s="1" t="s">
        <v>3816</v>
      </c>
      <c r="E288" s="1" t="s">
        <v>599</v>
      </c>
      <c r="F288" s="1" t="s">
        <v>5792</v>
      </c>
      <c r="G288" s="1" t="s">
        <v>74</v>
      </c>
      <c r="H288" s="1" t="s">
        <v>5796</v>
      </c>
      <c r="I288" s="1" t="s">
        <v>90</v>
      </c>
      <c r="J288" s="1" t="s">
        <v>267</v>
      </c>
      <c r="K288" s="1" t="s">
        <v>78</v>
      </c>
      <c r="L288" s="4">
        <v>59499</v>
      </c>
      <c r="M288" s="1" t="s">
        <v>79</v>
      </c>
    </row>
    <row r="289" spans="1:13" ht="15.75" customHeight="1" x14ac:dyDescent="0.35">
      <c r="A289" s="1" t="s">
        <v>112</v>
      </c>
      <c r="B289" s="1" t="s">
        <v>5753</v>
      </c>
      <c r="C289" s="1" t="s">
        <v>5800</v>
      </c>
      <c r="D289" s="1" t="s">
        <v>2870</v>
      </c>
      <c r="E289" s="1" t="s">
        <v>599</v>
      </c>
      <c r="F289" s="1" t="s">
        <v>5792</v>
      </c>
      <c r="G289" s="1" t="s">
        <v>74</v>
      </c>
      <c r="H289" s="1" t="s">
        <v>5796</v>
      </c>
      <c r="I289" s="1" t="s">
        <v>101</v>
      </c>
      <c r="J289" s="1" t="s">
        <v>267</v>
      </c>
      <c r="K289" s="1" t="s">
        <v>78</v>
      </c>
      <c r="L289" s="4">
        <v>74999</v>
      </c>
      <c r="M289" s="1" t="s">
        <v>79</v>
      </c>
    </row>
    <row r="290" spans="1:13" ht="15.75" customHeight="1" x14ac:dyDescent="0.35">
      <c r="A290" s="1" t="s">
        <v>112</v>
      </c>
      <c r="B290" s="1" t="s">
        <v>5753</v>
      </c>
      <c r="C290" s="1" t="s">
        <v>5815</v>
      </c>
      <c r="D290" s="1" t="s">
        <v>3231</v>
      </c>
      <c r="E290" s="1" t="s">
        <v>3816</v>
      </c>
      <c r="F290" s="1" t="s">
        <v>5795</v>
      </c>
      <c r="G290" s="1" t="s">
        <v>74</v>
      </c>
      <c r="H290" s="1" t="s">
        <v>5796</v>
      </c>
      <c r="I290" s="1" t="s">
        <v>101</v>
      </c>
      <c r="J290" s="1" t="s">
        <v>127</v>
      </c>
      <c r="K290" s="1" t="s">
        <v>78</v>
      </c>
      <c r="L290" s="4">
        <v>27999</v>
      </c>
      <c r="M290" s="1" t="s">
        <v>5735</v>
      </c>
    </row>
    <row r="291" spans="1:13" ht="15.75" customHeight="1" x14ac:dyDescent="0.35">
      <c r="A291" s="1" t="s">
        <v>151</v>
      </c>
      <c r="B291" s="1" t="s">
        <v>5760</v>
      </c>
      <c r="C291" s="1" t="s">
        <v>5800</v>
      </c>
      <c r="D291" s="1" t="s">
        <v>2870</v>
      </c>
      <c r="E291" s="1" t="s">
        <v>599</v>
      </c>
      <c r="F291" s="1" t="s">
        <v>5795</v>
      </c>
      <c r="G291" s="1" t="s">
        <v>224</v>
      </c>
      <c r="H291" s="1" t="s">
        <v>5793</v>
      </c>
      <c r="I291" s="1" t="s">
        <v>101</v>
      </c>
      <c r="J291" s="1" t="s">
        <v>63</v>
      </c>
      <c r="K291" s="1" t="s">
        <v>78</v>
      </c>
      <c r="L291" s="4">
        <v>66000</v>
      </c>
      <c r="M291" s="1" t="s">
        <v>79</v>
      </c>
    </row>
    <row r="292" spans="1:13" ht="15.75" customHeight="1" x14ac:dyDescent="0.35">
      <c r="A292" s="1" t="s">
        <v>81</v>
      </c>
      <c r="B292" s="1" t="s">
        <v>5810</v>
      </c>
      <c r="C292" s="1" t="s">
        <v>5800</v>
      </c>
      <c r="D292" s="1" t="s">
        <v>2870</v>
      </c>
      <c r="E292" s="1" t="s">
        <v>599</v>
      </c>
      <c r="F292" s="1" t="s">
        <v>5792</v>
      </c>
      <c r="G292" s="1" t="s">
        <v>74</v>
      </c>
      <c r="H292" s="1" t="s">
        <v>5793</v>
      </c>
      <c r="I292" s="1" t="s">
        <v>90</v>
      </c>
      <c r="J292" s="1" t="s">
        <v>5824</v>
      </c>
      <c r="K292" s="1" t="s">
        <v>78</v>
      </c>
      <c r="L292" s="4">
        <v>54499</v>
      </c>
      <c r="M292" s="1" t="s">
        <v>166</v>
      </c>
    </row>
    <row r="293" spans="1:13" ht="15.75" customHeight="1" x14ac:dyDescent="0.35">
      <c r="A293" s="1" t="s">
        <v>151</v>
      </c>
      <c r="B293" s="1" t="s">
        <v>5760</v>
      </c>
      <c r="C293" s="1" t="s">
        <v>5800</v>
      </c>
      <c r="D293" s="1" t="s">
        <v>3816</v>
      </c>
      <c r="E293" s="1" t="s">
        <v>599</v>
      </c>
      <c r="F293" s="1" t="s">
        <v>5792</v>
      </c>
      <c r="G293" s="1" t="s">
        <v>5825</v>
      </c>
      <c r="H293" s="1" t="s">
        <v>5793</v>
      </c>
      <c r="I293" s="1" t="s">
        <v>101</v>
      </c>
      <c r="J293" s="1" t="s">
        <v>1670</v>
      </c>
      <c r="K293" s="1" t="s">
        <v>78</v>
      </c>
      <c r="L293" s="4">
        <v>79199</v>
      </c>
      <c r="M293" s="1" t="s">
        <v>79</v>
      </c>
    </row>
    <row r="294" spans="1:13" ht="15.75" customHeight="1" x14ac:dyDescent="0.35">
      <c r="A294" s="1" t="s">
        <v>151</v>
      </c>
      <c r="B294" s="1" t="s">
        <v>5763</v>
      </c>
      <c r="C294" s="1" t="s">
        <v>5800</v>
      </c>
      <c r="D294" s="1" t="s">
        <v>2870</v>
      </c>
      <c r="E294" s="1" t="s">
        <v>5799</v>
      </c>
      <c r="F294" s="1" t="s">
        <v>5795</v>
      </c>
      <c r="G294" s="1" t="s">
        <v>74</v>
      </c>
      <c r="H294" s="1" t="s">
        <v>5793</v>
      </c>
      <c r="I294" s="1" t="s">
        <v>101</v>
      </c>
      <c r="J294" s="1" t="s">
        <v>5826</v>
      </c>
      <c r="K294" s="1" t="s">
        <v>78</v>
      </c>
      <c r="L294" s="4">
        <v>61200</v>
      </c>
      <c r="M294" s="1" t="s">
        <v>166</v>
      </c>
    </row>
    <row r="295" spans="1:13" ht="15.75" customHeight="1" x14ac:dyDescent="0.35">
      <c r="A295" s="1" t="s">
        <v>151</v>
      </c>
      <c r="B295" s="1" t="s">
        <v>5761</v>
      </c>
      <c r="C295" s="1" t="s">
        <v>5800</v>
      </c>
      <c r="D295" s="1" t="s">
        <v>3816</v>
      </c>
      <c r="E295" s="1" t="s">
        <v>599</v>
      </c>
      <c r="F295" s="1" t="s">
        <v>5792</v>
      </c>
      <c r="G295" s="1" t="s">
        <v>74</v>
      </c>
      <c r="H295" s="1" t="s">
        <v>5796</v>
      </c>
      <c r="I295" s="1" t="s">
        <v>101</v>
      </c>
      <c r="J295" s="1" t="s">
        <v>398</v>
      </c>
      <c r="K295" s="1" t="s">
        <v>78</v>
      </c>
      <c r="L295" s="4">
        <v>73700</v>
      </c>
      <c r="M295" s="1" t="s">
        <v>79</v>
      </c>
    </row>
    <row r="296" spans="1:13" ht="15.75" customHeight="1" x14ac:dyDescent="0.35">
      <c r="A296" s="1" t="s">
        <v>151</v>
      </c>
      <c r="B296" s="1" t="s">
        <v>5761</v>
      </c>
      <c r="C296" s="1" t="s">
        <v>5794</v>
      </c>
      <c r="D296" s="1" t="s">
        <v>3231</v>
      </c>
      <c r="E296" s="1" t="s">
        <v>599</v>
      </c>
      <c r="F296" s="1" t="s">
        <v>5795</v>
      </c>
      <c r="G296" s="1" t="s">
        <v>74</v>
      </c>
      <c r="H296" s="1" t="s">
        <v>5796</v>
      </c>
      <c r="I296" s="1" t="s">
        <v>101</v>
      </c>
      <c r="J296" s="1" t="s">
        <v>63</v>
      </c>
      <c r="K296" s="1" t="s">
        <v>78</v>
      </c>
      <c r="L296" s="4">
        <v>31799</v>
      </c>
      <c r="M296" s="1" t="s">
        <v>166</v>
      </c>
    </row>
    <row r="297" spans="1:13" ht="15.75" customHeight="1" x14ac:dyDescent="0.35">
      <c r="A297" s="1" t="s">
        <v>151</v>
      </c>
      <c r="B297" s="1" t="s">
        <v>5761</v>
      </c>
      <c r="C297" s="1" t="s">
        <v>5794</v>
      </c>
      <c r="D297" s="1" t="s">
        <v>3231</v>
      </c>
      <c r="E297" s="1" t="s">
        <v>3816</v>
      </c>
      <c r="F297" s="1" t="s">
        <v>5795</v>
      </c>
      <c r="G297" s="1" t="s">
        <v>74</v>
      </c>
      <c r="H297" s="1" t="s">
        <v>5796</v>
      </c>
      <c r="I297" s="1" t="s">
        <v>101</v>
      </c>
      <c r="J297" s="1" t="s">
        <v>63</v>
      </c>
      <c r="K297" s="1" t="s">
        <v>78</v>
      </c>
      <c r="L297" s="4">
        <v>31777</v>
      </c>
      <c r="M297" s="1" t="s">
        <v>166</v>
      </c>
    </row>
    <row r="298" spans="1:13" ht="15.75" customHeight="1" x14ac:dyDescent="0.35">
      <c r="A298" s="1" t="s">
        <v>81</v>
      </c>
      <c r="B298" s="1" t="s">
        <v>5810</v>
      </c>
      <c r="C298" s="1" t="s">
        <v>5800</v>
      </c>
      <c r="D298" s="1" t="s">
        <v>2870</v>
      </c>
      <c r="E298" s="1" t="s">
        <v>3816</v>
      </c>
      <c r="F298" s="1" t="s">
        <v>5792</v>
      </c>
      <c r="G298" s="1" t="s">
        <v>74</v>
      </c>
      <c r="H298" s="1" t="s">
        <v>111</v>
      </c>
      <c r="I298" s="1" t="s">
        <v>90</v>
      </c>
      <c r="J298" s="1" t="s">
        <v>423</v>
      </c>
      <c r="K298" s="1" t="s">
        <v>78</v>
      </c>
      <c r="L298" s="4">
        <v>58000</v>
      </c>
      <c r="M298" s="1" t="s">
        <v>79</v>
      </c>
    </row>
    <row r="299" spans="1:13" ht="15.75" customHeight="1" x14ac:dyDescent="0.35">
      <c r="A299" s="1" t="s">
        <v>30</v>
      </c>
      <c r="B299" s="1" t="s">
        <v>5810</v>
      </c>
      <c r="C299" s="1" t="s">
        <v>5794</v>
      </c>
      <c r="D299" s="1" t="s">
        <v>3231</v>
      </c>
      <c r="E299" s="1" t="s">
        <v>599</v>
      </c>
      <c r="F299" s="1" t="s">
        <v>5795</v>
      </c>
      <c r="G299" s="1" t="s">
        <v>74</v>
      </c>
      <c r="H299" s="1" t="s">
        <v>5796</v>
      </c>
      <c r="I299" s="1" t="s">
        <v>90</v>
      </c>
      <c r="J299" s="1" t="s">
        <v>376</v>
      </c>
      <c r="K299" s="1" t="s">
        <v>78</v>
      </c>
      <c r="L299" s="4">
        <v>45000</v>
      </c>
      <c r="M299" s="1" t="s">
        <v>1082</v>
      </c>
    </row>
    <row r="300" spans="1:13" ht="15.75" customHeight="1" x14ac:dyDescent="0.35">
      <c r="A300" s="1" t="s">
        <v>234</v>
      </c>
      <c r="B300" s="1" t="s">
        <v>5758</v>
      </c>
      <c r="C300" s="1" t="s">
        <v>5800</v>
      </c>
      <c r="D300" s="1" t="s">
        <v>3231</v>
      </c>
      <c r="E300" s="1" t="s">
        <v>599</v>
      </c>
      <c r="F300" s="1" t="s">
        <v>5795</v>
      </c>
      <c r="G300" s="1" t="s">
        <v>74</v>
      </c>
      <c r="H300" s="1" t="s">
        <v>5796</v>
      </c>
      <c r="I300" s="1" t="s">
        <v>90</v>
      </c>
      <c r="J300" s="1" t="s">
        <v>503</v>
      </c>
      <c r="K300" s="1" t="s">
        <v>165</v>
      </c>
      <c r="L300" s="4">
        <v>42800</v>
      </c>
      <c r="M300" s="1" t="s">
        <v>1082</v>
      </c>
    </row>
    <row r="301" spans="1:13" ht="15.75" customHeight="1" x14ac:dyDescent="0.35">
      <c r="A301" s="1" t="s">
        <v>112</v>
      </c>
      <c r="B301" s="1" t="s">
        <v>5753</v>
      </c>
      <c r="C301" s="1" t="s">
        <v>5815</v>
      </c>
      <c r="D301" s="1" t="s">
        <v>3231</v>
      </c>
      <c r="E301" s="1" t="s">
        <v>3816</v>
      </c>
      <c r="F301" s="1" t="s">
        <v>5792</v>
      </c>
      <c r="G301" s="1" t="s">
        <v>74</v>
      </c>
      <c r="H301" s="1" t="s">
        <v>5796</v>
      </c>
      <c r="I301" s="1" t="s">
        <v>90</v>
      </c>
      <c r="J301" s="1" t="s">
        <v>127</v>
      </c>
      <c r="K301" s="1" t="s">
        <v>78</v>
      </c>
      <c r="L301" s="4">
        <v>39049</v>
      </c>
      <c r="M301" s="1" t="s">
        <v>5735</v>
      </c>
    </row>
    <row r="302" spans="1:13" ht="15.75" customHeight="1" x14ac:dyDescent="0.35">
      <c r="A302" s="1" t="s">
        <v>112</v>
      </c>
      <c r="B302" s="1" t="s">
        <v>5753</v>
      </c>
      <c r="C302" s="1" t="s">
        <v>5815</v>
      </c>
      <c r="D302" s="1" t="s">
        <v>3231</v>
      </c>
      <c r="E302" s="1" t="s">
        <v>599</v>
      </c>
      <c r="F302" s="1" t="s">
        <v>5792</v>
      </c>
      <c r="G302" s="1" t="s">
        <v>74</v>
      </c>
      <c r="H302" s="1" t="s">
        <v>5796</v>
      </c>
      <c r="I302" s="1" t="s">
        <v>90</v>
      </c>
      <c r="J302" s="1" t="s">
        <v>127</v>
      </c>
      <c r="K302" s="1" t="s">
        <v>78</v>
      </c>
      <c r="L302" s="4">
        <v>33499</v>
      </c>
      <c r="M302" s="1" t="s">
        <v>5735</v>
      </c>
    </row>
    <row r="303" spans="1:13" ht="15.75" customHeight="1" x14ac:dyDescent="0.35">
      <c r="A303" s="1" t="s">
        <v>151</v>
      </c>
      <c r="B303" s="1" t="s">
        <v>5760</v>
      </c>
      <c r="C303" s="1" t="s">
        <v>5800</v>
      </c>
      <c r="D303" s="1" t="s">
        <v>3231</v>
      </c>
      <c r="E303" s="1" t="s">
        <v>599</v>
      </c>
      <c r="F303" s="1" t="s">
        <v>5792</v>
      </c>
      <c r="G303" s="1" t="s">
        <v>1371</v>
      </c>
      <c r="H303" s="1" t="s">
        <v>5793</v>
      </c>
      <c r="I303" s="1" t="s">
        <v>101</v>
      </c>
      <c r="J303" s="1" t="s">
        <v>789</v>
      </c>
      <c r="K303" s="1" t="s">
        <v>78</v>
      </c>
      <c r="L303" s="4">
        <v>49000</v>
      </c>
      <c r="M303" s="1" t="s">
        <v>166</v>
      </c>
    </row>
    <row r="304" spans="1:13" ht="15.75" customHeight="1" x14ac:dyDescent="0.35">
      <c r="A304" s="1" t="s">
        <v>81</v>
      </c>
      <c r="B304" s="1" t="s">
        <v>5810</v>
      </c>
      <c r="C304" s="1" t="s">
        <v>5800</v>
      </c>
      <c r="D304" s="1" t="s">
        <v>2870</v>
      </c>
      <c r="E304" s="1" t="s">
        <v>599</v>
      </c>
      <c r="F304" s="1" t="s">
        <v>5792</v>
      </c>
      <c r="G304" s="1" t="s">
        <v>74</v>
      </c>
      <c r="H304" s="1" t="s">
        <v>111</v>
      </c>
      <c r="I304" s="1" t="s">
        <v>90</v>
      </c>
      <c r="J304" s="1" t="s">
        <v>423</v>
      </c>
      <c r="K304" s="1" t="s">
        <v>78</v>
      </c>
      <c r="L304" s="4">
        <v>59000</v>
      </c>
      <c r="M304" s="1" t="s">
        <v>79</v>
      </c>
    </row>
    <row r="305" spans="1:13" ht="15.75" customHeight="1" x14ac:dyDescent="0.35">
      <c r="A305" s="1" t="s">
        <v>81</v>
      </c>
      <c r="B305" s="1" t="s">
        <v>5810</v>
      </c>
      <c r="C305" s="1" t="s">
        <v>5800</v>
      </c>
      <c r="D305" s="1" t="s">
        <v>2870</v>
      </c>
      <c r="E305" s="1" t="s">
        <v>599</v>
      </c>
      <c r="F305" s="1" t="s">
        <v>5792</v>
      </c>
      <c r="G305" s="1" t="s">
        <v>74</v>
      </c>
      <c r="H305" s="1" t="s">
        <v>5793</v>
      </c>
      <c r="I305" s="1" t="s">
        <v>1722</v>
      </c>
      <c r="J305" s="1" t="s">
        <v>5824</v>
      </c>
      <c r="K305" s="1" t="s">
        <v>78</v>
      </c>
      <c r="L305" s="4">
        <v>52777</v>
      </c>
      <c r="M305" s="1" t="s">
        <v>166</v>
      </c>
    </row>
    <row r="306" spans="1:13" ht="15.75" customHeight="1" x14ac:dyDescent="0.35">
      <c r="A306" s="1" t="s">
        <v>151</v>
      </c>
      <c r="B306" s="1" t="s">
        <v>5761</v>
      </c>
      <c r="C306" s="1" t="s">
        <v>5794</v>
      </c>
      <c r="D306" s="1" t="s">
        <v>2870</v>
      </c>
      <c r="E306" s="1" t="s">
        <v>3816</v>
      </c>
      <c r="F306" s="1" t="s">
        <v>5792</v>
      </c>
      <c r="G306" s="1" t="s">
        <v>74</v>
      </c>
      <c r="H306" s="1" t="s">
        <v>5796</v>
      </c>
      <c r="I306" s="1" t="s">
        <v>90</v>
      </c>
      <c r="J306" s="1" t="s">
        <v>63</v>
      </c>
      <c r="K306" s="1" t="s">
        <v>78</v>
      </c>
      <c r="L306" s="4">
        <v>37999</v>
      </c>
      <c r="M306" s="1" t="s">
        <v>79</v>
      </c>
    </row>
    <row r="307" spans="1:13" ht="15.75" customHeight="1" x14ac:dyDescent="0.35">
      <c r="A307" s="1" t="s">
        <v>151</v>
      </c>
      <c r="B307" s="1" t="s">
        <v>5761</v>
      </c>
      <c r="C307" s="1" t="s">
        <v>5808</v>
      </c>
      <c r="D307" s="1" t="s">
        <v>2870</v>
      </c>
      <c r="E307" s="1" t="s">
        <v>599</v>
      </c>
      <c r="F307" s="1" t="s">
        <v>5795</v>
      </c>
      <c r="G307" s="1" t="s">
        <v>74</v>
      </c>
      <c r="H307" s="1" t="s">
        <v>5796</v>
      </c>
      <c r="I307" s="1" t="s">
        <v>90</v>
      </c>
      <c r="J307" s="1" t="s">
        <v>63</v>
      </c>
      <c r="K307" s="1" t="s">
        <v>78</v>
      </c>
      <c r="L307" s="4">
        <v>49999</v>
      </c>
      <c r="M307" s="1" t="s">
        <v>5735</v>
      </c>
    </row>
    <row r="308" spans="1:13" ht="15.75" customHeight="1" x14ac:dyDescent="0.35">
      <c r="A308" s="1" t="s">
        <v>151</v>
      </c>
      <c r="B308" s="1" t="s">
        <v>5760</v>
      </c>
      <c r="C308" s="1" t="s">
        <v>5800</v>
      </c>
      <c r="D308" s="1" t="s">
        <v>599</v>
      </c>
      <c r="E308" s="1" t="s">
        <v>5799</v>
      </c>
      <c r="F308" s="1" t="s">
        <v>5735</v>
      </c>
      <c r="G308" s="1" t="s">
        <v>224</v>
      </c>
      <c r="H308" s="1" t="s">
        <v>5793</v>
      </c>
      <c r="I308" s="1" t="s">
        <v>90</v>
      </c>
      <c r="J308" s="1" t="s">
        <v>944</v>
      </c>
      <c r="K308" s="1" t="s">
        <v>78</v>
      </c>
      <c r="L308" s="4">
        <v>106000</v>
      </c>
      <c r="M308" s="1" t="s">
        <v>1082</v>
      </c>
    </row>
    <row r="309" spans="1:13" ht="15.75" customHeight="1" x14ac:dyDescent="0.35">
      <c r="A309" s="1" t="s">
        <v>112</v>
      </c>
      <c r="B309" s="1" t="s">
        <v>5753</v>
      </c>
      <c r="C309" s="1" t="s">
        <v>5815</v>
      </c>
      <c r="D309" s="1" t="s">
        <v>3231</v>
      </c>
      <c r="E309" s="1" t="s">
        <v>599</v>
      </c>
      <c r="F309" s="1" t="s">
        <v>5795</v>
      </c>
      <c r="G309" s="1" t="s">
        <v>74</v>
      </c>
      <c r="H309" s="1" t="s">
        <v>5796</v>
      </c>
      <c r="I309" s="1" t="s">
        <v>90</v>
      </c>
      <c r="J309" s="1" t="s">
        <v>127</v>
      </c>
      <c r="K309" s="1" t="s">
        <v>78</v>
      </c>
      <c r="L309" s="4">
        <v>34999</v>
      </c>
      <c r="M309" s="1" t="s">
        <v>5735</v>
      </c>
    </row>
    <row r="310" spans="1:13" ht="15.75" customHeight="1" x14ac:dyDescent="0.35">
      <c r="A310" s="1" t="s">
        <v>81</v>
      </c>
      <c r="B310" s="1" t="s">
        <v>5755</v>
      </c>
      <c r="C310" s="1" t="s">
        <v>5800</v>
      </c>
      <c r="D310" s="1" t="s">
        <v>3816</v>
      </c>
      <c r="E310" s="1" t="s">
        <v>599</v>
      </c>
      <c r="F310" s="1" t="s">
        <v>5792</v>
      </c>
      <c r="G310" s="1" t="s">
        <v>224</v>
      </c>
      <c r="H310" s="1" t="s">
        <v>5793</v>
      </c>
      <c r="I310" s="1" t="s">
        <v>725</v>
      </c>
      <c r="J310" s="1" t="s">
        <v>1752</v>
      </c>
      <c r="K310" s="1" t="s">
        <v>78</v>
      </c>
      <c r="L310" s="4">
        <v>147450</v>
      </c>
      <c r="M310" s="1" t="s">
        <v>79</v>
      </c>
    </row>
    <row r="311" spans="1:13" ht="15.75" customHeight="1" x14ac:dyDescent="0.35">
      <c r="A311" s="1" t="s">
        <v>112</v>
      </c>
      <c r="B311" s="1" t="s">
        <v>5754</v>
      </c>
      <c r="C311" s="1" t="s">
        <v>5788</v>
      </c>
      <c r="D311" s="1" t="s">
        <v>2870</v>
      </c>
      <c r="E311" s="1" t="s">
        <v>599</v>
      </c>
      <c r="F311" s="1" t="s">
        <v>5792</v>
      </c>
      <c r="G311" s="1" t="s">
        <v>1371</v>
      </c>
      <c r="H311" s="1" t="s">
        <v>5793</v>
      </c>
      <c r="I311" s="1" t="s">
        <v>90</v>
      </c>
      <c r="J311" s="1" t="s">
        <v>789</v>
      </c>
      <c r="K311" s="1" t="s">
        <v>78</v>
      </c>
      <c r="L311" s="4">
        <v>79777</v>
      </c>
      <c r="M311" s="1" t="s">
        <v>166</v>
      </c>
    </row>
    <row r="312" spans="1:13" ht="15.75" customHeight="1" x14ac:dyDescent="0.35">
      <c r="A312" s="1" t="s">
        <v>151</v>
      </c>
      <c r="B312" s="1" t="s">
        <v>5760</v>
      </c>
      <c r="C312" s="1" t="s">
        <v>5800</v>
      </c>
      <c r="D312" s="1" t="s">
        <v>3816</v>
      </c>
      <c r="E312" s="1" t="s">
        <v>599</v>
      </c>
      <c r="F312" s="1" t="s">
        <v>5792</v>
      </c>
      <c r="G312" s="1" t="s">
        <v>224</v>
      </c>
      <c r="H312" s="1" t="s">
        <v>200</v>
      </c>
      <c r="I312" s="1" t="s">
        <v>101</v>
      </c>
      <c r="J312" s="1" t="s">
        <v>1091</v>
      </c>
      <c r="K312" s="1" t="s">
        <v>78</v>
      </c>
      <c r="L312" s="4">
        <v>70999</v>
      </c>
      <c r="M312" s="1" t="s">
        <v>79</v>
      </c>
    </row>
    <row r="313" spans="1:13" ht="15.75" customHeight="1" x14ac:dyDescent="0.35">
      <c r="A313" s="1" t="s">
        <v>151</v>
      </c>
      <c r="B313" s="1" t="s">
        <v>5761</v>
      </c>
      <c r="C313" s="1" t="s">
        <v>5800</v>
      </c>
      <c r="D313" s="1" t="s">
        <v>3816</v>
      </c>
      <c r="E313" s="1" t="s">
        <v>599</v>
      </c>
      <c r="F313" s="1" t="s">
        <v>5792</v>
      </c>
      <c r="G313" s="1" t="s">
        <v>74</v>
      </c>
      <c r="H313" s="1" t="s">
        <v>5796</v>
      </c>
      <c r="I313" s="1" t="s">
        <v>90</v>
      </c>
      <c r="J313" s="1" t="s">
        <v>63</v>
      </c>
      <c r="K313" s="1" t="s">
        <v>78</v>
      </c>
      <c r="L313" s="4">
        <v>57799</v>
      </c>
      <c r="M313" s="1" t="s">
        <v>79</v>
      </c>
    </row>
    <row r="314" spans="1:13" ht="15.75" customHeight="1" x14ac:dyDescent="0.35">
      <c r="A314" s="1" t="s">
        <v>151</v>
      </c>
      <c r="B314" s="1" t="s">
        <v>5763</v>
      </c>
      <c r="C314" s="1" t="s">
        <v>5808</v>
      </c>
      <c r="D314" s="1" t="s">
        <v>2870</v>
      </c>
      <c r="E314" s="1" t="s">
        <v>3816</v>
      </c>
      <c r="F314" s="1" t="s">
        <v>5795</v>
      </c>
      <c r="G314" s="1" t="s">
        <v>74</v>
      </c>
      <c r="H314" s="1" t="s">
        <v>111</v>
      </c>
      <c r="I314" s="1" t="s">
        <v>90</v>
      </c>
      <c r="J314" s="1" t="s">
        <v>652</v>
      </c>
      <c r="K314" s="1" t="s">
        <v>78</v>
      </c>
      <c r="L314" s="4">
        <v>43999</v>
      </c>
      <c r="M314" s="1" t="s">
        <v>5735</v>
      </c>
    </row>
    <row r="315" spans="1:13" ht="15.75" customHeight="1" x14ac:dyDescent="0.35">
      <c r="A315" s="1" t="s">
        <v>151</v>
      </c>
      <c r="B315" s="1" t="s">
        <v>5760</v>
      </c>
      <c r="C315" s="1" t="s">
        <v>5800</v>
      </c>
      <c r="D315" s="1" t="s">
        <v>3231</v>
      </c>
      <c r="E315" s="1" t="s">
        <v>599</v>
      </c>
      <c r="F315" s="1" t="s">
        <v>5792</v>
      </c>
      <c r="G315" s="1" t="s">
        <v>224</v>
      </c>
      <c r="H315" s="1" t="s">
        <v>5793</v>
      </c>
      <c r="I315" s="1" t="s">
        <v>101</v>
      </c>
      <c r="J315" s="1" t="s">
        <v>503</v>
      </c>
      <c r="K315" s="1" t="s">
        <v>78</v>
      </c>
      <c r="L315" s="4">
        <v>58999</v>
      </c>
      <c r="M315" s="1" t="s">
        <v>1082</v>
      </c>
    </row>
    <row r="316" spans="1:13" ht="15.75" customHeight="1" x14ac:dyDescent="0.35">
      <c r="A316" s="1" t="s">
        <v>151</v>
      </c>
      <c r="B316" s="1" t="s">
        <v>5760</v>
      </c>
      <c r="C316" s="1" t="s">
        <v>5788</v>
      </c>
      <c r="D316" s="1" t="s">
        <v>3816</v>
      </c>
      <c r="E316" s="1" t="s">
        <v>599</v>
      </c>
      <c r="F316" s="1" t="s">
        <v>5792</v>
      </c>
      <c r="G316" s="1" t="s">
        <v>224</v>
      </c>
      <c r="H316" s="1" t="s">
        <v>200</v>
      </c>
      <c r="I316" s="1" t="s">
        <v>90</v>
      </c>
      <c r="J316" s="1" t="s">
        <v>1091</v>
      </c>
      <c r="K316" s="1" t="s">
        <v>78</v>
      </c>
      <c r="L316" s="4">
        <v>124999</v>
      </c>
      <c r="M316" s="1" t="s">
        <v>79</v>
      </c>
    </row>
    <row r="317" spans="1:13" ht="15.75" customHeight="1" x14ac:dyDescent="0.35">
      <c r="A317" s="1" t="s">
        <v>66</v>
      </c>
      <c r="B317" s="1" t="s">
        <v>5770</v>
      </c>
      <c r="C317" s="1" t="s">
        <v>5800</v>
      </c>
      <c r="D317" s="1" t="s">
        <v>2870</v>
      </c>
      <c r="E317" s="1" t="s">
        <v>599</v>
      </c>
      <c r="F317" s="1" t="s">
        <v>5795</v>
      </c>
      <c r="G317" s="1" t="s">
        <v>74</v>
      </c>
      <c r="H317" s="1" t="s">
        <v>5796</v>
      </c>
      <c r="I317" s="1" t="s">
        <v>1722</v>
      </c>
      <c r="J317" s="1" t="s">
        <v>94</v>
      </c>
      <c r="K317" s="1" t="s">
        <v>78</v>
      </c>
      <c r="L317" s="4">
        <v>54999</v>
      </c>
      <c r="M317" s="1" t="s">
        <v>1082</v>
      </c>
    </row>
    <row r="318" spans="1:13" ht="15.75" customHeight="1" x14ac:dyDescent="0.35">
      <c r="A318" s="1" t="s">
        <v>234</v>
      </c>
      <c r="B318" s="1" t="s">
        <v>5810</v>
      </c>
      <c r="C318" s="1" t="s">
        <v>5808</v>
      </c>
      <c r="D318" s="1" t="s">
        <v>2870</v>
      </c>
      <c r="E318" s="1" t="s">
        <v>599</v>
      </c>
      <c r="F318" s="1" t="s">
        <v>5792</v>
      </c>
      <c r="G318" s="1" t="s">
        <v>224</v>
      </c>
      <c r="H318" s="1" t="s">
        <v>5793</v>
      </c>
      <c r="I318" s="1" t="s">
        <v>90</v>
      </c>
      <c r="J318" s="1" t="s">
        <v>1670</v>
      </c>
      <c r="K318" s="1" t="s">
        <v>78</v>
      </c>
      <c r="L318" s="4">
        <v>82999</v>
      </c>
      <c r="M318" s="1" t="s">
        <v>5735</v>
      </c>
    </row>
    <row r="319" spans="1:13" ht="15.75" customHeight="1" x14ac:dyDescent="0.35">
      <c r="A319" s="1" t="s">
        <v>81</v>
      </c>
      <c r="B319" s="1" t="s">
        <v>5810</v>
      </c>
      <c r="C319" s="1" t="s">
        <v>5808</v>
      </c>
      <c r="D319" s="1" t="s">
        <v>3231</v>
      </c>
      <c r="E319" s="1" t="s">
        <v>599</v>
      </c>
      <c r="F319" s="1" t="s">
        <v>5795</v>
      </c>
      <c r="G319" s="1" t="s">
        <v>74</v>
      </c>
      <c r="H319" s="1" t="s">
        <v>111</v>
      </c>
      <c r="I319" s="1" t="s">
        <v>90</v>
      </c>
      <c r="J319" s="1" t="s">
        <v>1804</v>
      </c>
      <c r="K319" s="1" t="s">
        <v>78</v>
      </c>
      <c r="L319" s="4">
        <v>39999</v>
      </c>
      <c r="M319" s="1" t="s">
        <v>5735</v>
      </c>
    </row>
    <row r="320" spans="1:13" ht="15.75" customHeight="1" x14ac:dyDescent="0.35">
      <c r="A320" s="1" t="s">
        <v>112</v>
      </c>
      <c r="B320" s="1" t="s">
        <v>5753</v>
      </c>
      <c r="C320" s="1" t="s">
        <v>5800</v>
      </c>
      <c r="D320" s="1" t="s">
        <v>2870</v>
      </c>
      <c r="E320" s="1" t="s">
        <v>599</v>
      </c>
      <c r="F320" s="1" t="s">
        <v>5795</v>
      </c>
      <c r="G320" s="1" t="s">
        <v>74</v>
      </c>
      <c r="H320" s="1" t="s">
        <v>5796</v>
      </c>
      <c r="I320" s="1" t="s">
        <v>101</v>
      </c>
      <c r="J320" s="1" t="s">
        <v>127</v>
      </c>
      <c r="K320" s="1" t="s">
        <v>78</v>
      </c>
      <c r="L320" s="4">
        <v>53599</v>
      </c>
      <c r="M320" s="1" t="s">
        <v>79</v>
      </c>
    </row>
    <row r="321" spans="1:13" ht="15.75" customHeight="1" x14ac:dyDescent="0.35">
      <c r="A321" s="1" t="s">
        <v>112</v>
      </c>
      <c r="B321" s="1" t="s">
        <v>5753</v>
      </c>
      <c r="C321" s="1" t="s">
        <v>5808</v>
      </c>
      <c r="D321" s="1" t="s">
        <v>3231</v>
      </c>
      <c r="E321" s="1" t="s">
        <v>599</v>
      </c>
      <c r="F321" s="1" t="s">
        <v>5795</v>
      </c>
      <c r="G321" s="1" t="s">
        <v>74</v>
      </c>
      <c r="H321" s="1" t="s">
        <v>5796</v>
      </c>
      <c r="I321" s="1" t="s">
        <v>101</v>
      </c>
      <c r="J321" s="1" t="s">
        <v>63</v>
      </c>
      <c r="K321" s="1" t="s">
        <v>78</v>
      </c>
      <c r="L321" s="4">
        <v>46149</v>
      </c>
      <c r="M321" s="1" t="s">
        <v>5735</v>
      </c>
    </row>
    <row r="322" spans="1:13" ht="15.75" customHeight="1" x14ac:dyDescent="0.35">
      <c r="A322" s="1" t="s">
        <v>112</v>
      </c>
      <c r="B322" s="1" t="s">
        <v>5753</v>
      </c>
      <c r="C322" s="1" t="s">
        <v>5815</v>
      </c>
      <c r="D322" s="1" t="s">
        <v>3231</v>
      </c>
      <c r="E322" s="1" t="s">
        <v>599</v>
      </c>
      <c r="F322" s="1" t="s">
        <v>5795</v>
      </c>
      <c r="G322" s="1" t="s">
        <v>74</v>
      </c>
      <c r="H322" s="1" t="s">
        <v>5796</v>
      </c>
      <c r="I322" s="1" t="s">
        <v>101</v>
      </c>
      <c r="J322" s="1" t="s">
        <v>63</v>
      </c>
      <c r="K322" s="1" t="s">
        <v>78</v>
      </c>
      <c r="L322" s="4">
        <v>42000</v>
      </c>
      <c r="M322" s="1" t="s">
        <v>5735</v>
      </c>
    </row>
    <row r="323" spans="1:13" ht="15.75" customHeight="1" x14ac:dyDescent="0.35">
      <c r="A323" s="1" t="s">
        <v>151</v>
      </c>
      <c r="B323" s="1" t="s">
        <v>5760</v>
      </c>
      <c r="C323" s="1" t="s">
        <v>5808</v>
      </c>
      <c r="D323" s="1" t="s">
        <v>3816</v>
      </c>
      <c r="E323" s="1" t="s">
        <v>599</v>
      </c>
      <c r="F323" s="1" t="s">
        <v>5795</v>
      </c>
      <c r="G323" s="1" t="s">
        <v>74</v>
      </c>
      <c r="H323" s="1" t="s">
        <v>5793</v>
      </c>
      <c r="I323" s="1" t="s">
        <v>101</v>
      </c>
      <c r="J323" s="1" t="s">
        <v>63</v>
      </c>
      <c r="K323" s="1" t="s">
        <v>78</v>
      </c>
      <c r="L323" s="4">
        <v>50777</v>
      </c>
      <c r="M323" s="1" t="s">
        <v>5735</v>
      </c>
    </row>
    <row r="324" spans="1:13" ht="15.75" customHeight="1" x14ac:dyDescent="0.35">
      <c r="A324" s="1" t="s">
        <v>151</v>
      </c>
      <c r="B324" s="1" t="s">
        <v>5760</v>
      </c>
      <c r="C324" s="1" t="s">
        <v>5800</v>
      </c>
      <c r="D324" s="1" t="s">
        <v>3231</v>
      </c>
      <c r="E324" s="1" t="s">
        <v>599</v>
      </c>
      <c r="F324" s="1" t="s">
        <v>5795</v>
      </c>
      <c r="G324" s="1" t="s">
        <v>1371</v>
      </c>
      <c r="H324" s="1" t="s">
        <v>5793</v>
      </c>
      <c r="I324" s="1" t="s">
        <v>101</v>
      </c>
      <c r="J324" s="1" t="s">
        <v>789</v>
      </c>
      <c r="K324" s="1" t="s">
        <v>78</v>
      </c>
      <c r="L324" s="4">
        <v>43499</v>
      </c>
      <c r="M324" s="1" t="s">
        <v>166</v>
      </c>
    </row>
    <row r="325" spans="1:13" ht="15.75" customHeight="1" x14ac:dyDescent="0.35">
      <c r="A325" s="1" t="s">
        <v>151</v>
      </c>
      <c r="B325" s="1" t="s">
        <v>5763</v>
      </c>
      <c r="C325" s="1" t="s">
        <v>5808</v>
      </c>
      <c r="D325" s="1" t="s">
        <v>2870</v>
      </c>
      <c r="E325" s="1" t="s">
        <v>599</v>
      </c>
      <c r="F325" s="1" t="s">
        <v>5795</v>
      </c>
      <c r="G325" s="1" t="s">
        <v>74</v>
      </c>
      <c r="H325" s="1" t="s">
        <v>5793</v>
      </c>
      <c r="I325" s="1" t="s">
        <v>101</v>
      </c>
      <c r="J325" s="1" t="s">
        <v>652</v>
      </c>
      <c r="K325" s="1" t="s">
        <v>78</v>
      </c>
      <c r="L325" s="4">
        <v>43800</v>
      </c>
      <c r="M325" s="1" t="s">
        <v>5735</v>
      </c>
    </row>
    <row r="326" spans="1:13" ht="15.75" customHeight="1" x14ac:dyDescent="0.35">
      <c r="A326" s="1" t="s">
        <v>151</v>
      </c>
      <c r="B326" s="1" t="s">
        <v>5763</v>
      </c>
      <c r="C326" s="1" t="s">
        <v>5808</v>
      </c>
      <c r="D326" s="1" t="s">
        <v>2870</v>
      </c>
      <c r="E326" s="1" t="s">
        <v>3816</v>
      </c>
      <c r="F326" s="1" t="s">
        <v>5795</v>
      </c>
      <c r="G326" s="1" t="s">
        <v>74</v>
      </c>
      <c r="H326" s="1" t="s">
        <v>111</v>
      </c>
      <c r="I326" s="1" t="s">
        <v>101</v>
      </c>
      <c r="J326" s="1" t="s">
        <v>652</v>
      </c>
      <c r="K326" s="1" t="s">
        <v>78</v>
      </c>
      <c r="L326" s="4">
        <v>43000</v>
      </c>
      <c r="M326" s="1" t="s">
        <v>5735</v>
      </c>
    </row>
    <row r="327" spans="1:13" ht="15.75" customHeight="1" x14ac:dyDescent="0.35">
      <c r="A327" s="1" t="s">
        <v>112</v>
      </c>
      <c r="B327" s="1" t="s">
        <v>5753</v>
      </c>
      <c r="C327" s="1" t="s">
        <v>5815</v>
      </c>
      <c r="D327" s="1" t="s">
        <v>3231</v>
      </c>
      <c r="E327" s="1" t="s">
        <v>599</v>
      </c>
      <c r="F327" s="1" t="s">
        <v>5795</v>
      </c>
      <c r="G327" s="1" t="s">
        <v>74</v>
      </c>
      <c r="H327" s="1" t="s">
        <v>5796</v>
      </c>
      <c r="I327" s="1" t="s">
        <v>101</v>
      </c>
      <c r="J327" s="1" t="s">
        <v>63</v>
      </c>
      <c r="K327" s="1" t="s">
        <v>78</v>
      </c>
      <c r="L327" s="4">
        <v>58888</v>
      </c>
      <c r="M327" s="1" t="s">
        <v>5735</v>
      </c>
    </row>
    <row r="328" spans="1:13" ht="15.75" customHeight="1" x14ac:dyDescent="0.35">
      <c r="A328" s="1" t="s">
        <v>112</v>
      </c>
      <c r="B328" s="1" t="s">
        <v>5753</v>
      </c>
      <c r="C328" s="1" t="s">
        <v>5808</v>
      </c>
      <c r="D328" s="1" t="s">
        <v>3231</v>
      </c>
      <c r="E328" s="1" t="s">
        <v>599</v>
      </c>
      <c r="F328" s="1" t="s">
        <v>5795</v>
      </c>
      <c r="G328" s="1" t="s">
        <v>74</v>
      </c>
      <c r="H328" s="1" t="s">
        <v>5796</v>
      </c>
      <c r="I328" s="1" t="s">
        <v>101</v>
      </c>
      <c r="J328" s="1" t="s">
        <v>63</v>
      </c>
      <c r="K328" s="1" t="s">
        <v>78</v>
      </c>
      <c r="L328" s="4">
        <v>46149</v>
      </c>
      <c r="M328" s="1" t="s">
        <v>5735</v>
      </c>
    </row>
    <row r="329" spans="1:13" ht="15.75" customHeight="1" x14ac:dyDescent="0.35">
      <c r="A329" s="1" t="s">
        <v>112</v>
      </c>
      <c r="B329" s="1" t="s">
        <v>5753</v>
      </c>
      <c r="C329" s="1" t="s">
        <v>5808</v>
      </c>
      <c r="D329" s="1" t="s">
        <v>3231</v>
      </c>
      <c r="E329" s="1" t="s">
        <v>599</v>
      </c>
      <c r="F329" s="1" t="s">
        <v>5795</v>
      </c>
      <c r="G329" s="1" t="s">
        <v>74</v>
      </c>
      <c r="H329" s="1" t="s">
        <v>5796</v>
      </c>
      <c r="I329" s="1" t="s">
        <v>101</v>
      </c>
      <c r="J329" s="1" t="s">
        <v>63</v>
      </c>
      <c r="K329" s="1" t="s">
        <v>78</v>
      </c>
      <c r="L329" s="4">
        <v>46149</v>
      </c>
      <c r="M329" s="1" t="s">
        <v>5735</v>
      </c>
    </row>
    <row r="330" spans="1:13" ht="15.75" customHeight="1" x14ac:dyDescent="0.35">
      <c r="A330" s="1" t="s">
        <v>112</v>
      </c>
      <c r="B330" s="1" t="s">
        <v>5753</v>
      </c>
      <c r="C330" s="1" t="s">
        <v>5800</v>
      </c>
      <c r="D330" s="1" t="s">
        <v>2870</v>
      </c>
      <c r="E330" s="1" t="s">
        <v>599</v>
      </c>
      <c r="F330" s="1" t="s">
        <v>5792</v>
      </c>
      <c r="G330" s="1" t="s">
        <v>74</v>
      </c>
      <c r="H330" s="1" t="s">
        <v>5796</v>
      </c>
      <c r="I330" s="1" t="s">
        <v>101</v>
      </c>
      <c r="J330" s="1" t="s">
        <v>267</v>
      </c>
      <c r="K330" s="1" t="s">
        <v>78</v>
      </c>
      <c r="L330" s="4">
        <v>55999</v>
      </c>
      <c r="M330" s="1" t="s">
        <v>79</v>
      </c>
    </row>
    <row r="331" spans="1:13" ht="15.75" customHeight="1" x14ac:dyDescent="0.35">
      <c r="A331" s="1" t="s">
        <v>112</v>
      </c>
      <c r="B331" s="1" t="s">
        <v>5753</v>
      </c>
      <c r="C331" s="1" t="s">
        <v>5815</v>
      </c>
      <c r="D331" s="1" t="s">
        <v>3231</v>
      </c>
      <c r="E331" s="1" t="s">
        <v>599</v>
      </c>
      <c r="F331" s="1" t="s">
        <v>5795</v>
      </c>
      <c r="G331" s="1" t="s">
        <v>74</v>
      </c>
      <c r="H331" s="1" t="s">
        <v>5796</v>
      </c>
      <c r="I331" s="1" t="s">
        <v>101</v>
      </c>
      <c r="J331" s="1" t="s">
        <v>63</v>
      </c>
      <c r="K331" s="1" t="s">
        <v>78</v>
      </c>
      <c r="L331" s="4">
        <v>36999</v>
      </c>
      <c r="M331" s="1" t="s">
        <v>5735</v>
      </c>
    </row>
    <row r="332" spans="1:13" ht="15.75" customHeight="1" x14ac:dyDescent="0.35">
      <c r="A332" s="1" t="s">
        <v>112</v>
      </c>
      <c r="B332" s="1" t="s">
        <v>5753</v>
      </c>
      <c r="C332" s="1" t="s">
        <v>5800</v>
      </c>
      <c r="D332" s="1" t="s">
        <v>2870</v>
      </c>
      <c r="E332" s="1" t="s">
        <v>599</v>
      </c>
      <c r="F332" s="1" t="s">
        <v>5795</v>
      </c>
      <c r="G332" s="1" t="s">
        <v>74</v>
      </c>
      <c r="H332" s="1" t="s">
        <v>5796</v>
      </c>
      <c r="I332" s="1" t="s">
        <v>101</v>
      </c>
      <c r="J332" s="1" t="s">
        <v>127</v>
      </c>
      <c r="K332" s="1" t="s">
        <v>78</v>
      </c>
      <c r="L332" s="4">
        <v>50499</v>
      </c>
      <c r="M332" s="1" t="s">
        <v>79</v>
      </c>
    </row>
    <row r="333" spans="1:13" ht="15.75" customHeight="1" x14ac:dyDescent="0.35">
      <c r="A333" s="1" t="s">
        <v>112</v>
      </c>
      <c r="B333" s="1" t="s">
        <v>5753</v>
      </c>
      <c r="C333" s="1" t="s">
        <v>5800</v>
      </c>
      <c r="D333" s="1" t="s">
        <v>2870</v>
      </c>
      <c r="E333" s="1" t="s">
        <v>599</v>
      </c>
      <c r="F333" s="1" t="s">
        <v>5795</v>
      </c>
      <c r="G333" s="1" t="s">
        <v>74</v>
      </c>
      <c r="H333" s="1" t="s">
        <v>5796</v>
      </c>
      <c r="I333" s="1" t="s">
        <v>101</v>
      </c>
      <c r="J333" s="1" t="s">
        <v>127</v>
      </c>
      <c r="K333" s="1" t="s">
        <v>78</v>
      </c>
      <c r="L333" s="4">
        <v>50999</v>
      </c>
      <c r="M333" s="1" t="s">
        <v>79</v>
      </c>
    </row>
    <row r="334" spans="1:13" ht="15.75" customHeight="1" x14ac:dyDescent="0.35">
      <c r="A334" s="1" t="s">
        <v>112</v>
      </c>
      <c r="B334" s="1" t="s">
        <v>5753</v>
      </c>
      <c r="C334" s="1" t="s">
        <v>5815</v>
      </c>
      <c r="D334" s="1" t="s">
        <v>3231</v>
      </c>
      <c r="E334" s="1" t="s">
        <v>3816</v>
      </c>
      <c r="F334" s="1" t="s">
        <v>5795</v>
      </c>
      <c r="G334" s="1" t="s">
        <v>74</v>
      </c>
      <c r="H334" s="1" t="s">
        <v>5796</v>
      </c>
      <c r="I334" s="1" t="s">
        <v>101</v>
      </c>
      <c r="J334" s="1" t="s">
        <v>127</v>
      </c>
      <c r="K334" s="1" t="s">
        <v>78</v>
      </c>
      <c r="L334" s="4">
        <v>30999</v>
      </c>
      <c r="M334" s="1" t="s">
        <v>5735</v>
      </c>
    </row>
    <row r="335" spans="1:13" ht="15.75" customHeight="1" x14ac:dyDescent="0.35">
      <c r="A335" s="1" t="s">
        <v>112</v>
      </c>
      <c r="B335" s="1" t="s">
        <v>5753</v>
      </c>
      <c r="C335" s="1" t="s">
        <v>5815</v>
      </c>
      <c r="D335" s="1" t="s">
        <v>3231</v>
      </c>
      <c r="E335" s="1" t="s">
        <v>3816</v>
      </c>
      <c r="F335" s="1" t="s">
        <v>5795</v>
      </c>
      <c r="G335" s="1" t="s">
        <v>74</v>
      </c>
      <c r="H335" s="1" t="s">
        <v>5796</v>
      </c>
      <c r="I335" s="1" t="s">
        <v>101</v>
      </c>
      <c r="J335" s="1" t="s">
        <v>127</v>
      </c>
      <c r="K335" s="1" t="s">
        <v>78</v>
      </c>
      <c r="L335" s="4">
        <v>28999</v>
      </c>
      <c r="M335" s="1" t="s">
        <v>5735</v>
      </c>
    </row>
    <row r="336" spans="1:13" ht="15.75" customHeight="1" x14ac:dyDescent="0.35">
      <c r="A336" s="1" t="s">
        <v>234</v>
      </c>
      <c r="B336" s="1" t="s">
        <v>5756</v>
      </c>
      <c r="C336" s="1" t="s">
        <v>5788</v>
      </c>
      <c r="D336" s="1" t="s">
        <v>3816</v>
      </c>
      <c r="E336" s="1" t="s">
        <v>5799</v>
      </c>
      <c r="F336" s="1" t="s">
        <v>5792</v>
      </c>
      <c r="G336" s="1" t="s">
        <v>74</v>
      </c>
      <c r="H336" s="1" t="s">
        <v>1518</v>
      </c>
      <c r="I336" s="1" t="s">
        <v>90</v>
      </c>
      <c r="J336" s="1" t="s">
        <v>2064</v>
      </c>
      <c r="K336" s="1" t="s">
        <v>165</v>
      </c>
      <c r="L336" s="4">
        <v>103999</v>
      </c>
      <c r="M336" s="1" t="s">
        <v>166</v>
      </c>
    </row>
    <row r="337" spans="1:13" ht="15.75" customHeight="1" x14ac:dyDescent="0.35">
      <c r="A337" s="1" t="s">
        <v>234</v>
      </c>
      <c r="B337" s="1" t="s">
        <v>5757</v>
      </c>
      <c r="C337" s="1" t="s">
        <v>5808</v>
      </c>
      <c r="D337" s="1" t="s">
        <v>3816</v>
      </c>
      <c r="E337" s="1" t="s">
        <v>599</v>
      </c>
      <c r="F337" s="1" t="s">
        <v>5792</v>
      </c>
      <c r="G337" s="1" t="s">
        <v>224</v>
      </c>
      <c r="H337" s="1" t="s">
        <v>111</v>
      </c>
      <c r="I337" s="1" t="s">
        <v>90</v>
      </c>
      <c r="J337" s="1" t="s">
        <v>1609</v>
      </c>
      <c r="K337" s="1" t="s">
        <v>165</v>
      </c>
      <c r="L337" s="4">
        <v>53499</v>
      </c>
      <c r="M337" s="1" t="s">
        <v>5735</v>
      </c>
    </row>
    <row r="338" spans="1:13" ht="15.75" customHeight="1" x14ac:dyDescent="0.35">
      <c r="A338" s="1" t="s">
        <v>234</v>
      </c>
      <c r="B338" s="1" t="s">
        <v>5757</v>
      </c>
      <c r="C338" s="1" t="s">
        <v>5808</v>
      </c>
      <c r="D338" s="1" t="s">
        <v>3816</v>
      </c>
      <c r="E338" s="1" t="s">
        <v>599</v>
      </c>
      <c r="F338" s="1" t="s">
        <v>5792</v>
      </c>
      <c r="G338" s="1" t="s">
        <v>224</v>
      </c>
      <c r="H338" s="1" t="s">
        <v>111</v>
      </c>
      <c r="I338" s="1" t="s">
        <v>90</v>
      </c>
      <c r="J338" s="1" t="s">
        <v>1609</v>
      </c>
      <c r="K338" s="1" t="s">
        <v>165</v>
      </c>
      <c r="L338" s="4">
        <v>53499</v>
      </c>
      <c r="M338" s="1" t="s">
        <v>5735</v>
      </c>
    </row>
    <row r="339" spans="1:13" ht="15.75" customHeight="1" x14ac:dyDescent="0.35">
      <c r="A339" s="1" t="s">
        <v>234</v>
      </c>
      <c r="B339" s="1" t="s">
        <v>5757</v>
      </c>
      <c r="C339" s="1" t="s">
        <v>5788</v>
      </c>
      <c r="D339" s="1" t="s">
        <v>599</v>
      </c>
      <c r="E339" s="1" t="s">
        <v>5799</v>
      </c>
      <c r="F339" s="1" t="s">
        <v>5792</v>
      </c>
      <c r="G339" s="1" t="s">
        <v>5827</v>
      </c>
      <c r="H339" s="1" t="s">
        <v>111</v>
      </c>
      <c r="I339" s="1" t="s">
        <v>90</v>
      </c>
      <c r="J339" s="1" t="s">
        <v>1196</v>
      </c>
      <c r="K339" s="1" t="s">
        <v>165</v>
      </c>
      <c r="L339" s="4">
        <v>117699</v>
      </c>
      <c r="M339" s="1" t="s">
        <v>1082</v>
      </c>
    </row>
    <row r="340" spans="1:13" ht="15.75" customHeight="1" x14ac:dyDescent="0.35">
      <c r="A340" s="1" t="s">
        <v>112</v>
      </c>
      <c r="B340" s="1" t="s">
        <v>5753</v>
      </c>
      <c r="C340" s="1" t="s">
        <v>5808</v>
      </c>
      <c r="D340" s="1" t="s">
        <v>3231</v>
      </c>
      <c r="E340" s="1" t="s">
        <v>599</v>
      </c>
      <c r="F340" s="1" t="s">
        <v>5795</v>
      </c>
      <c r="G340" s="1" t="s">
        <v>74</v>
      </c>
      <c r="H340" s="1" t="s">
        <v>5796</v>
      </c>
      <c r="I340" s="1" t="s">
        <v>101</v>
      </c>
      <c r="J340" s="1" t="s">
        <v>2011</v>
      </c>
      <c r="K340" s="1" t="s">
        <v>78</v>
      </c>
      <c r="L340" s="4">
        <v>35500</v>
      </c>
      <c r="M340" s="1" t="s">
        <v>5735</v>
      </c>
    </row>
    <row r="341" spans="1:13" ht="15.75" customHeight="1" x14ac:dyDescent="0.35">
      <c r="A341" s="1" t="s">
        <v>112</v>
      </c>
      <c r="B341" s="1" t="s">
        <v>5753</v>
      </c>
      <c r="C341" s="1" t="s">
        <v>5808</v>
      </c>
      <c r="D341" s="1" t="s">
        <v>3231</v>
      </c>
      <c r="E341" s="1" t="s">
        <v>599</v>
      </c>
      <c r="F341" s="1" t="s">
        <v>5795</v>
      </c>
      <c r="G341" s="1" t="s">
        <v>74</v>
      </c>
      <c r="H341" s="1" t="s">
        <v>5796</v>
      </c>
      <c r="I341" s="1" t="s">
        <v>101</v>
      </c>
      <c r="J341" s="1" t="s">
        <v>2011</v>
      </c>
      <c r="K341" s="1" t="s">
        <v>78</v>
      </c>
      <c r="L341" s="4">
        <v>35500</v>
      </c>
      <c r="M341" s="1" t="s">
        <v>5735</v>
      </c>
    </row>
    <row r="342" spans="1:13" ht="15.75" customHeight="1" x14ac:dyDescent="0.35">
      <c r="A342" s="1" t="s">
        <v>112</v>
      </c>
      <c r="B342" s="1" t="s">
        <v>5753</v>
      </c>
      <c r="C342" s="1" t="s">
        <v>5800</v>
      </c>
      <c r="D342" s="1" t="s">
        <v>3231</v>
      </c>
      <c r="E342" s="1" t="s">
        <v>599</v>
      </c>
      <c r="F342" s="1" t="s">
        <v>5792</v>
      </c>
      <c r="G342" s="1" t="s">
        <v>74</v>
      </c>
      <c r="H342" s="1" t="s">
        <v>5796</v>
      </c>
      <c r="I342" s="1" t="s">
        <v>101</v>
      </c>
      <c r="J342" s="1" t="s">
        <v>2011</v>
      </c>
      <c r="K342" s="1" t="s">
        <v>78</v>
      </c>
      <c r="L342" s="4">
        <v>54699</v>
      </c>
      <c r="M342" s="1" t="s">
        <v>166</v>
      </c>
    </row>
    <row r="343" spans="1:13" ht="15.75" customHeight="1" x14ac:dyDescent="0.35">
      <c r="A343" s="1" t="s">
        <v>66</v>
      </c>
      <c r="B343" s="1" t="s">
        <v>5769</v>
      </c>
      <c r="C343" s="1" t="s">
        <v>5794</v>
      </c>
      <c r="D343" s="1" t="s">
        <v>3231</v>
      </c>
      <c r="E343" s="1" t="s">
        <v>3816</v>
      </c>
      <c r="F343" s="1" t="s">
        <v>5795</v>
      </c>
      <c r="G343" s="1" t="s">
        <v>74</v>
      </c>
      <c r="H343" s="1" t="s">
        <v>5796</v>
      </c>
      <c r="I343" s="1" t="s">
        <v>101</v>
      </c>
      <c r="J343" s="1" t="s">
        <v>944</v>
      </c>
      <c r="K343" s="1" t="s">
        <v>78</v>
      </c>
      <c r="L343" s="4">
        <v>29999</v>
      </c>
      <c r="M343" s="1" t="s">
        <v>166</v>
      </c>
    </row>
    <row r="344" spans="1:13" ht="15.75" customHeight="1" x14ac:dyDescent="0.35">
      <c r="A344" s="1" t="s">
        <v>151</v>
      </c>
      <c r="B344" s="1" t="s">
        <v>5763</v>
      </c>
      <c r="C344" s="1" t="s">
        <v>5794</v>
      </c>
      <c r="D344" s="1" t="s">
        <v>3231</v>
      </c>
      <c r="E344" s="1" t="s">
        <v>3816</v>
      </c>
      <c r="F344" s="1" t="s">
        <v>5795</v>
      </c>
      <c r="G344" s="1" t="s">
        <v>74</v>
      </c>
      <c r="H344" s="1" t="s">
        <v>111</v>
      </c>
      <c r="I344" s="1" t="s">
        <v>90</v>
      </c>
      <c r="J344" s="1" t="s">
        <v>5826</v>
      </c>
      <c r="K344" s="1" t="s">
        <v>78</v>
      </c>
      <c r="L344" s="4">
        <v>46800</v>
      </c>
      <c r="M344" s="1" t="s">
        <v>166</v>
      </c>
    </row>
    <row r="345" spans="1:13" ht="15.75" customHeight="1" x14ac:dyDescent="0.35">
      <c r="A345" s="1" t="s">
        <v>234</v>
      </c>
      <c r="B345" s="1" t="s">
        <v>5757</v>
      </c>
      <c r="C345" s="1" t="s">
        <v>5808</v>
      </c>
      <c r="D345" s="1" t="s">
        <v>2870</v>
      </c>
      <c r="E345" s="1" t="s">
        <v>599</v>
      </c>
      <c r="F345" s="1" t="s">
        <v>5792</v>
      </c>
      <c r="G345" s="1" t="s">
        <v>1371</v>
      </c>
      <c r="H345" s="1" t="s">
        <v>5793</v>
      </c>
      <c r="I345" s="1" t="s">
        <v>90</v>
      </c>
      <c r="J345" s="1" t="s">
        <v>230</v>
      </c>
      <c r="K345" s="1" t="s">
        <v>165</v>
      </c>
      <c r="L345" s="4">
        <v>44999</v>
      </c>
      <c r="M345" s="1" t="s">
        <v>5735</v>
      </c>
    </row>
    <row r="346" spans="1:13" ht="15.75" customHeight="1" x14ac:dyDescent="0.35">
      <c r="A346" s="1" t="s">
        <v>234</v>
      </c>
      <c r="B346" s="1" t="s">
        <v>5757</v>
      </c>
      <c r="C346" s="1" t="s">
        <v>5806</v>
      </c>
      <c r="D346" s="1" t="s">
        <v>3231</v>
      </c>
      <c r="E346" s="1" t="s">
        <v>599</v>
      </c>
      <c r="F346" s="1" t="s">
        <v>5795</v>
      </c>
      <c r="G346" s="1" t="s">
        <v>1371</v>
      </c>
      <c r="H346" s="1" t="s">
        <v>111</v>
      </c>
      <c r="I346" s="1" t="s">
        <v>90</v>
      </c>
      <c r="J346" s="1" t="s">
        <v>3338</v>
      </c>
      <c r="K346" s="1" t="s">
        <v>165</v>
      </c>
      <c r="L346" s="4">
        <v>45999</v>
      </c>
      <c r="M346" s="1" t="s">
        <v>5735</v>
      </c>
    </row>
    <row r="347" spans="1:13" ht="15.75" customHeight="1" x14ac:dyDescent="0.35">
      <c r="A347" s="1" t="s">
        <v>234</v>
      </c>
      <c r="B347" s="1" t="s">
        <v>5758</v>
      </c>
      <c r="C347" s="1" t="s">
        <v>5800</v>
      </c>
      <c r="D347" s="1" t="s">
        <v>2870</v>
      </c>
      <c r="E347" s="1" t="s">
        <v>599</v>
      </c>
      <c r="F347" s="1" t="s">
        <v>5792</v>
      </c>
      <c r="G347" s="1" t="s">
        <v>74</v>
      </c>
      <c r="H347" s="1" t="s">
        <v>5796</v>
      </c>
      <c r="I347" s="1" t="s">
        <v>1722</v>
      </c>
      <c r="J347" s="1" t="s">
        <v>1196</v>
      </c>
      <c r="K347" s="1" t="s">
        <v>165</v>
      </c>
      <c r="L347" s="4">
        <v>47049</v>
      </c>
      <c r="M347" s="1" t="s">
        <v>1082</v>
      </c>
    </row>
    <row r="348" spans="1:13" ht="15.75" customHeight="1" x14ac:dyDescent="0.35">
      <c r="A348" s="1" t="s">
        <v>234</v>
      </c>
      <c r="B348" s="1" t="s">
        <v>5756</v>
      </c>
      <c r="C348" s="1" t="s">
        <v>5808</v>
      </c>
      <c r="D348" s="1" t="s">
        <v>2870</v>
      </c>
      <c r="E348" s="1" t="s">
        <v>599</v>
      </c>
      <c r="F348" s="1" t="s">
        <v>5792</v>
      </c>
      <c r="G348" s="1" t="s">
        <v>1371</v>
      </c>
      <c r="H348" s="1" t="s">
        <v>5793</v>
      </c>
      <c r="I348" s="1" t="s">
        <v>1722</v>
      </c>
      <c r="J348" s="1" t="s">
        <v>503</v>
      </c>
      <c r="K348" s="1" t="s">
        <v>165</v>
      </c>
      <c r="L348" s="4">
        <v>41999</v>
      </c>
      <c r="M348" s="1" t="s">
        <v>5735</v>
      </c>
    </row>
    <row r="349" spans="1:13" ht="15.75" customHeight="1" x14ac:dyDescent="0.35">
      <c r="A349" s="1" t="s">
        <v>234</v>
      </c>
      <c r="B349" s="1" t="s">
        <v>5757</v>
      </c>
      <c r="C349" s="1" t="s">
        <v>5806</v>
      </c>
      <c r="D349" s="1" t="s">
        <v>2870</v>
      </c>
      <c r="E349" s="1" t="s">
        <v>599</v>
      </c>
      <c r="F349" s="1" t="s">
        <v>5792</v>
      </c>
      <c r="G349" s="1" t="s">
        <v>1371</v>
      </c>
      <c r="H349" s="1" t="s">
        <v>111</v>
      </c>
      <c r="I349" s="1" t="s">
        <v>90</v>
      </c>
      <c r="J349" s="1" t="s">
        <v>3321</v>
      </c>
      <c r="K349" s="1" t="s">
        <v>165</v>
      </c>
      <c r="L349" s="4">
        <v>50999</v>
      </c>
      <c r="M349" s="1" t="s">
        <v>5735</v>
      </c>
    </row>
    <row r="350" spans="1:13" ht="15.75" customHeight="1" x14ac:dyDescent="0.35">
      <c r="A350" s="1" t="s">
        <v>234</v>
      </c>
      <c r="B350" s="1" t="s">
        <v>5810</v>
      </c>
      <c r="C350" s="1" t="s">
        <v>5808</v>
      </c>
      <c r="D350" s="1" t="s">
        <v>3231</v>
      </c>
      <c r="E350" s="1" t="s">
        <v>599</v>
      </c>
      <c r="F350" s="1" t="s">
        <v>5795</v>
      </c>
      <c r="G350" s="1" t="s">
        <v>1015</v>
      </c>
      <c r="H350" s="1" t="s">
        <v>111</v>
      </c>
      <c r="I350" s="1" t="s">
        <v>90</v>
      </c>
      <c r="J350" s="1" t="s">
        <v>4249</v>
      </c>
      <c r="K350" s="1" t="s">
        <v>165</v>
      </c>
      <c r="L350" s="4">
        <v>52999</v>
      </c>
      <c r="M350" s="1" t="s">
        <v>5735</v>
      </c>
    </row>
    <row r="351" spans="1:13" ht="15.75" customHeight="1" x14ac:dyDescent="0.35">
      <c r="A351" s="1" t="s">
        <v>234</v>
      </c>
      <c r="B351" s="1" t="s">
        <v>5810</v>
      </c>
      <c r="C351" s="1" t="s">
        <v>5808</v>
      </c>
      <c r="D351" s="1" t="s">
        <v>3231</v>
      </c>
      <c r="E351" s="1" t="s">
        <v>599</v>
      </c>
      <c r="F351" s="1" t="s">
        <v>5795</v>
      </c>
      <c r="G351" s="1" t="s">
        <v>1015</v>
      </c>
      <c r="H351" s="1" t="s">
        <v>111</v>
      </c>
      <c r="I351" s="1" t="s">
        <v>90</v>
      </c>
      <c r="J351" s="1" t="s">
        <v>4249</v>
      </c>
      <c r="K351" s="1" t="s">
        <v>165</v>
      </c>
      <c r="L351" s="4">
        <v>62400</v>
      </c>
      <c r="M351" s="1" t="s">
        <v>5735</v>
      </c>
    </row>
    <row r="352" spans="1:13" ht="15.75" customHeight="1" x14ac:dyDescent="0.35">
      <c r="A352" s="1" t="s">
        <v>234</v>
      </c>
      <c r="B352" s="1" t="s">
        <v>5810</v>
      </c>
      <c r="C352" s="1" t="s">
        <v>5800</v>
      </c>
      <c r="D352" s="1" t="s">
        <v>3231</v>
      </c>
      <c r="E352" s="1" t="s">
        <v>599</v>
      </c>
      <c r="F352" s="1" t="s">
        <v>5795</v>
      </c>
      <c r="G352" s="1" t="s">
        <v>1015</v>
      </c>
      <c r="H352" s="1" t="s">
        <v>111</v>
      </c>
      <c r="I352" s="1" t="s">
        <v>90</v>
      </c>
      <c r="J352" s="1" t="s">
        <v>5828</v>
      </c>
      <c r="K352" s="1" t="s">
        <v>165</v>
      </c>
      <c r="L352" s="4">
        <v>53499</v>
      </c>
      <c r="M352" s="1" t="s">
        <v>166</v>
      </c>
    </row>
    <row r="353" spans="1:13" ht="15.75" customHeight="1" x14ac:dyDescent="0.35">
      <c r="A353" s="1" t="s">
        <v>234</v>
      </c>
      <c r="B353" s="1" t="s">
        <v>5810</v>
      </c>
      <c r="C353" s="1" t="s">
        <v>5788</v>
      </c>
      <c r="D353" s="1" t="s">
        <v>3231</v>
      </c>
      <c r="E353" s="1" t="s">
        <v>599</v>
      </c>
      <c r="F353" s="1" t="s">
        <v>5792</v>
      </c>
      <c r="G353" s="1" t="s">
        <v>38</v>
      </c>
      <c r="H353" s="1" t="s">
        <v>5735</v>
      </c>
      <c r="I353" s="1" t="s">
        <v>90</v>
      </c>
      <c r="J353" s="1" t="s">
        <v>5828</v>
      </c>
      <c r="K353" s="1" t="s">
        <v>165</v>
      </c>
      <c r="L353" s="4">
        <v>69099</v>
      </c>
      <c r="M353" s="1" t="s">
        <v>166</v>
      </c>
    </row>
    <row r="354" spans="1:13" ht="15.75" customHeight="1" x14ac:dyDescent="0.35">
      <c r="A354" s="1" t="s">
        <v>234</v>
      </c>
      <c r="B354" s="1" t="s">
        <v>5756</v>
      </c>
      <c r="C354" s="1" t="s">
        <v>5788</v>
      </c>
      <c r="D354" s="1" t="s">
        <v>3816</v>
      </c>
      <c r="E354" s="1" t="s">
        <v>5799</v>
      </c>
      <c r="F354" s="1" t="s">
        <v>5792</v>
      </c>
      <c r="G354" s="1" t="s">
        <v>1371</v>
      </c>
      <c r="H354" s="1" t="s">
        <v>200</v>
      </c>
      <c r="I354" s="1" t="s">
        <v>90</v>
      </c>
      <c r="J354" s="1" t="s">
        <v>503</v>
      </c>
      <c r="K354" s="1" t="s">
        <v>165</v>
      </c>
      <c r="L354" s="4">
        <v>108900</v>
      </c>
      <c r="M354" s="1" t="s">
        <v>166</v>
      </c>
    </row>
    <row r="355" spans="1:13" ht="15.75" customHeight="1" x14ac:dyDescent="0.35">
      <c r="A355" s="1" t="s">
        <v>234</v>
      </c>
      <c r="B355" s="1" t="s">
        <v>5756</v>
      </c>
      <c r="C355" s="1" t="s">
        <v>5788</v>
      </c>
      <c r="D355" s="1" t="s">
        <v>3816</v>
      </c>
      <c r="E355" s="1" t="s">
        <v>5799</v>
      </c>
      <c r="F355" s="1" t="s">
        <v>5805</v>
      </c>
      <c r="G355" s="1" t="s">
        <v>74</v>
      </c>
      <c r="H355" s="1" t="s">
        <v>1518</v>
      </c>
      <c r="I355" s="1" t="s">
        <v>90</v>
      </c>
      <c r="J355" s="1" t="s">
        <v>2064</v>
      </c>
      <c r="K355" s="1" t="s">
        <v>165</v>
      </c>
      <c r="L355" s="4">
        <v>107000</v>
      </c>
      <c r="M355" s="1" t="s">
        <v>166</v>
      </c>
    </row>
    <row r="356" spans="1:13" ht="15.75" customHeight="1" x14ac:dyDescent="0.35">
      <c r="A356" s="1" t="s">
        <v>234</v>
      </c>
      <c r="B356" s="1" t="s">
        <v>5756</v>
      </c>
      <c r="C356" s="1" t="s">
        <v>5788</v>
      </c>
      <c r="D356" s="1" t="s">
        <v>599</v>
      </c>
      <c r="E356" s="1" t="s">
        <v>5799</v>
      </c>
      <c r="F356" s="1" t="s">
        <v>5792</v>
      </c>
      <c r="G356" s="1" t="s">
        <v>74</v>
      </c>
      <c r="H356" s="1" t="s">
        <v>1518</v>
      </c>
      <c r="I356" s="1" t="s">
        <v>90</v>
      </c>
      <c r="J356" s="1" t="s">
        <v>2064</v>
      </c>
      <c r="K356" s="1" t="s">
        <v>165</v>
      </c>
      <c r="L356" s="4">
        <v>119999</v>
      </c>
      <c r="M356" s="1" t="s">
        <v>166</v>
      </c>
    </row>
    <row r="357" spans="1:13" ht="15.75" customHeight="1" x14ac:dyDescent="0.35">
      <c r="A357" s="1" t="s">
        <v>234</v>
      </c>
      <c r="B357" s="1" t="s">
        <v>5758</v>
      </c>
      <c r="C357" s="1" t="s">
        <v>5808</v>
      </c>
      <c r="D357" s="1" t="s">
        <v>2870</v>
      </c>
      <c r="E357" s="1" t="s">
        <v>599</v>
      </c>
      <c r="F357" s="1" t="s">
        <v>5795</v>
      </c>
      <c r="G357" s="1" t="s">
        <v>74</v>
      </c>
      <c r="H357" s="1" t="s">
        <v>5796</v>
      </c>
      <c r="I357" s="1" t="s">
        <v>90</v>
      </c>
      <c r="J357" s="1" t="s">
        <v>2878</v>
      </c>
      <c r="K357" s="1" t="s">
        <v>165</v>
      </c>
      <c r="L357" s="4">
        <v>44000</v>
      </c>
      <c r="M357" s="1" t="s">
        <v>5735</v>
      </c>
    </row>
    <row r="358" spans="1:13" ht="15.75" customHeight="1" x14ac:dyDescent="0.35">
      <c r="A358" s="1" t="s">
        <v>112</v>
      </c>
      <c r="B358" s="1" t="s">
        <v>5753</v>
      </c>
      <c r="C358" s="1" t="s">
        <v>5808</v>
      </c>
      <c r="D358" s="1" t="s">
        <v>3231</v>
      </c>
      <c r="E358" s="1" t="s">
        <v>599</v>
      </c>
      <c r="F358" s="1" t="s">
        <v>5795</v>
      </c>
      <c r="G358" s="1" t="s">
        <v>74</v>
      </c>
      <c r="H358" s="1" t="s">
        <v>5796</v>
      </c>
      <c r="I358" s="1" t="s">
        <v>90</v>
      </c>
      <c r="J358" s="1" t="s">
        <v>127</v>
      </c>
      <c r="K358" s="1" t="s">
        <v>78</v>
      </c>
      <c r="L358" s="4">
        <v>43899</v>
      </c>
      <c r="M358" s="1" t="s">
        <v>5735</v>
      </c>
    </row>
    <row r="359" spans="1:13" ht="15.75" customHeight="1" x14ac:dyDescent="0.35">
      <c r="A359" s="1" t="s">
        <v>112</v>
      </c>
      <c r="B359" s="1" t="s">
        <v>5753</v>
      </c>
      <c r="C359" s="1" t="s">
        <v>5800</v>
      </c>
      <c r="D359" s="1" t="s">
        <v>3231</v>
      </c>
      <c r="E359" s="1" t="s">
        <v>599</v>
      </c>
      <c r="F359" s="1" t="s">
        <v>5792</v>
      </c>
      <c r="G359" s="1" t="s">
        <v>74</v>
      </c>
      <c r="H359" s="1" t="s">
        <v>5796</v>
      </c>
      <c r="I359" s="1" t="s">
        <v>101</v>
      </c>
      <c r="J359" s="1" t="s">
        <v>2011</v>
      </c>
      <c r="K359" s="1" t="s">
        <v>78</v>
      </c>
      <c r="L359" s="4">
        <v>39499</v>
      </c>
      <c r="M359" s="1" t="s">
        <v>166</v>
      </c>
    </row>
    <row r="360" spans="1:13" ht="15.75" customHeight="1" x14ac:dyDescent="0.35">
      <c r="A360" s="1" t="s">
        <v>112</v>
      </c>
      <c r="B360" s="1" t="s">
        <v>5753</v>
      </c>
      <c r="C360" s="1" t="s">
        <v>5800</v>
      </c>
      <c r="D360" s="1" t="s">
        <v>3231</v>
      </c>
      <c r="E360" s="1" t="s">
        <v>3816</v>
      </c>
      <c r="F360" s="1" t="s">
        <v>5795</v>
      </c>
      <c r="G360" s="1" t="s">
        <v>74</v>
      </c>
      <c r="H360" s="1" t="s">
        <v>5796</v>
      </c>
      <c r="I360" s="1" t="s">
        <v>101</v>
      </c>
      <c r="J360" s="1" t="s">
        <v>127</v>
      </c>
      <c r="K360" s="1" t="s">
        <v>78</v>
      </c>
      <c r="L360" s="4">
        <v>36999</v>
      </c>
      <c r="M360" s="1" t="s">
        <v>166</v>
      </c>
    </row>
    <row r="361" spans="1:13" ht="15.75" customHeight="1" x14ac:dyDescent="0.35">
      <c r="A361" s="1" t="s">
        <v>151</v>
      </c>
      <c r="B361" s="1" t="s">
        <v>5763</v>
      </c>
      <c r="C361" s="1" t="s">
        <v>5808</v>
      </c>
      <c r="D361" s="1" t="s">
        <v>3231</v>
      </c>
      <c r="E361" s="1" t="s">
        <v>5799</v>
      </c>
      <c r="F361" s="1" t="s">
        <v>5795</v>
      </c>
      <c r="G361" s="1" t="s">
        <v>74</v>
      </c>
      <c r="H361" s="1" t="s">
        <v>111</v>
      </c>
      <c r="I361" s="1" t="s">
        <v>101</v>
      </c>
      <c r="J361" s="1" t="s">
        <v>652</v>
      </c>
      <c r="K361" s="1" t="s">
        <v>78</v>
      </c>
      <c r="L361" s="4">
        <v>27499</v>
      </c>
      <c r="M361" s="1" t="s">
        <v>5735</v>
      </c>
    </row>
    <row r="362" spans="1:13" ht="15.75" customHeight="1" x14ac:dyDescent="0.35">
      <c r="A362" s="1" t="s">
        <v>112</v>
      </c>
      <c r="B362" s="1" t="s">
        <v>5753</v>
      </c>
      <c r="C362" s="1" t="s">
        <v>5815</v>
      </c>
      <c r="D362" s="1" t="s">
        <v>3231</v>
      </c>
      <c r="E362" s="1" t="s">
        <v>3816</v>
      </c>
      <c r="F362" s="1" t="s">
        <v>5795</v>
      </c>
      <c r="G362" s="1" t="s">
        <v>74</v>
      </c>
      <c r="H362" s="1" t="s">
        <v>5735</v>
      </c>
      <c r="I362" s="1" t="s">
        <v>90</v>
      </c>
      <c r="J362" s="1" t="s">
        <v>2011</v>
      </c>
      <c r="K362" s="1" t="s">
        <v>78</v>
      </c>
      <c r="L362" s="4">
        <v>24750</v>
      </c>
      <c r="M362" s="1" t="s">
        <v>5735</v>
      </c>
    </row>
    <row r="363" spans="1:13" ht="15.75" customHeight="1" x14ac:dyDescent="0.35">
      <c r="A363" s="1" t="s">
        <v>30</v>
      </c>
      <c r="B363" s="1" t="s">
        <v>5774</v>
      </c>
      <c r="C363" s="1" t="s">
        <v>5788</v>
      </c>
      <c r="D363" s="1" t="s">
        <v>599</v>
      </c>
      <c r="E363" s="1" t="s">
        <v>5804</v>
      </c>
      <c r="F363" s="1" t="s">
        <v>5805</v>
      </c>
      <c r="G363" s="1" t="s">
        <v>74</v>
      </c>
      <c r="H363" s="1" t="s">
        <v>1518</v>
      </c>
      <c r="I363" s="1" t="s">
        <v>90</v>
      </c>
      <c r="J363" s="1" t="s">
        <v>5829</v>
      </c>
      <c r="K363" s="1" t="s">
        <v>165</v>
      </c>
      <c r="L363" s="4">
        <v>129999</v>
      </c>
      <c r="M363" s="1" t="s">
        <v>166</v>
      </c>
    </row>
    <row r="364" spans="1:13" ht="15.75" customHeight="1" x14ac:dyDescent="0.35">
      <c r="A364" s="1" t="s">
        <v>30</v>
      </c>
      <c r="B364" s="1" t="s">
        <v>5777</v>
      </c>
      <c r="C364" s="1" t="s">
        <v>5800</v>
      </c>
      <c r="D364" s="1" t="s">
        <v>3816</v>
      </c>
      <c r="E364" s="1" t="s">
        <v>599</v>
      </c>
      <c r="F364" s="1" t="s">
        <v>5792</v>
      </c>
      <c r="G364" s="1" t="s">
        <v>1371</v>
      </c>
      <c r="H364" s="1" t="s">
        <v>200</v>
      </c>
      <c r="I364" s="1" t="s">
        <v>90</v>
      </c>
      <c r="J364" s="1" t="s">
        <v>2045</v>
      </c>
      <c r="K364" s="1" t="s">
        <v>165</v>
      </c>
      <c r="L364" s="4">
        <v>57999</v>
      </c>
      <c r="M364" s="1" t="s">
        <v>1082</v>
      </c>
    </row>
    <row r="365" spans="1:13" ht="15.75" customHeight="1" x14ac:dyDescent="0.35">
      <c r="A365" s="1" t="s">
        <v>30</v>
      </c>
      <c r="B365" s="1" t="s">
        <v>5771</v>
      </c>
      <c r="C365" s="1" t="s">
        <v>5800</v>
      </c>
      <c r="D365" s="1" t="s">
        <v>3816</v>
      </c>
      <c r="E365" s="1" t="s">
        <v>599</v>
      </c>
      <c r="F365" s="1" t="s">
        <v>5792</v>
      </c>
      <c r="G365" s="1" t="s">
        <v>74</v>
      </c>
      <c r="H365" s="1" t="s">
        <v>5796</v>
      </c>
      <c r="I365" s="1" t="s">
        <v>90</v>
      </c>
      <c r="J365" s="1" t="s">
        <v>652</v>
      </c>
      <c r="K365" s="1" t="s">
        <v>165</v>
      </c>
      <c r="L365" s="4">
        <v>62049</v>
      </c>
      <c r="M365" s="1" t="s">
        <v>166</v>
      </c>
    </row>
    <row r="366" spans="1:13" ht="15.75" customHeight="1" x14ac:dyDescent="0.35">
      <c r="A366" s="1" t="s">
        <v>30</v>
      </c>
      <c r="B366" s="1" t="s">
        <v>5810</v>
      </c>
      <c r="C366" s="1" t="s">
        <v>5800</v>
      </c>
      <c r="D366" s="1" t="s">
        <v>3231</v>
      </c>
      <c r="E366" s="1" t="s">
        <v>3816</v>
      </c>
      <c r="F366" s="1" t="s">
        <v>5830</v>
      </c>
      <c r="G366" s="1" t="s">
        <v>74</v>
      </c>
      <c r="H366" s="1" t="s">
        <v>5796</v>
      </c>
      <c r="I366" s="1" t="s">
        <v>90</v>
      </c>
      <c r="J366" s="1" t="s">
        <v>376</v>
      </c>
      <c r="K366" s="1" t="s">
        <v>165</v>
      </c>
      <c r="L366" s="4">
        <v>36144</v>
      </c>
      <c r="M366" s="1" t="s">
        <v>1082</v>
      </c>
    </row>
    <row r="367" spans="1:13" ht="15.75" customHeight="1" x14ac:dyDescent="0.35">
      <c r="A367" s="1" t="s">
        <v>30</v>
      </c>
      <c r="B367" s="1" t="s">
        <v>5810</v>
      </c>
      <c r="C367" s="1" t="s">
        <v>5800</v>
      </c>
      <c r="D367" s="1" t="s">
        <v>3231</v>
      </c>
      <c r="E367" s="1" t="s">
        <v>3816</v>
      </c>
      <c r="F367" s="1" t="s">
        <v>5830</v>
      </c>
      <c r="G367" s="1" t="s">
        <v>74</v>
      </c>
      <c r="H367" s="1" t="s">
        <v>5819</v>
      </c>
      <c r="I367" s="1" t="s">
        <v>101</v>
      </c>
      <c r="J367" s="1" t="s">
        <v>376</v>
      </c>
      <c r="K367" s="1" t="s">
        <v>78</v>
      </c>
      <c r="L367" s="4">
        <v>32100</v>
      </c>
      <c r="M367" s="1" t="s">
        <v>1082</v>
      </c>
    </row>
    <row r="368" spans="1:13" ht="15.75" customHeight="1" x14ac:dyDescent="0.35">
      <c r="A368" s="1" t="s">
        <v>30</v>
      </c>
      <c r="B368" s="1" t="s">
        <v>5776</v>
      </c>
      <c r="C368" s="1" t="s">
        <v>5800</v>
      </c>
      <c r="D368" s="1" t="s">
        <v>3816</v>
      </c>
      <c r="E368" s="1" t="s">
        <v>5799</v>
      </c>
      <c r="F368" s="1" t="s">
        <v>5792</v>
      </c>
      <c r="G368" s="1" t="s">
        <v>1371</v>
      </c>
      <c r="H368" s="1" t="s">
        <v>200</v>
      </c>
      <c r="I368" s="1" t="s">
        <v>90</v>
      </c>
      <c r="J368" s="1" t="s">
        <v>2064</v>
      </c>
      <c r="K368" s="1" t="s">
        <v>165</v>
      </c>
      <c r="L368" s="4">
        <v>79599</v>
      </c>
      <c r="M368" s="1" t="s">
        <v>166</v>
      </c>
    </row>
    <row r="369" spans="1:13" ht="15.75" customHeight="1" x14ac:dyDescent="0.35">
      <c r="A369" s="1" t="s">
        <v>30</v>
      </c>
      <c r="B369" s="1" t="s">
        <v>5776</v>
      </c>
      <c r="C369" s="1" t="s">
        <v>5800</v>
      </c>
      <c r="D369" s="1" t="s">
        <v>3816</v>
      </c>
      <c r="E369" s="1" t="s">
        <v>5799</v>
      </c>
      <c r="F369" s="1" t="s">
        <v>5792</v>
      </c>
      <c r="G369" s="1" t="s">
        <v>1371</v>
      </c>
      <c r="H369" s="1" t="s">
        <v>5793</v>
      </c>
      <c r="I369" s="1" t="s">
        <v>90</v>
      </c>
      <c r="J369" s="1" t="s">
        <v>398</v>
      </c>
      <c r="K369" s="1" t="s">
        <v>165</v>
      </c>
      <c r="L369" s="4">
        <v>83299</v>
      </c>
      <c r="M369" s="1" t="s">
        <v>166</v>
      </c>
    </row>
    <row r="370" spans="1:13" ht="15.75" customHeight="1" x14ac:dyDescent="0.35">
      <c r="A370" s="1" t="s">
        <v>151</v>
      </c>
      <c r="B370" s="1" t="s">
        <v>5760</v>
      </c>
      <c r="C370" s="1" t="s">
        <v>5800</v>
      </c>
      <c r="D370" s="1" t="s">
        <v>3816</v>
      </c>
      <c r="E370" s="1" t="s">
        <v>599</v>
      </c>
      <c r="F370" s="1" t="s">
        <v>5795</v>
      </c>
      <c r="G370" s="1" t="s">
        <v>224</v>
      </c>
      <c r="H370" s="1" t="s">
        <v>5793</v>
      </c>
      <c r="I370" s="1" t="s">
        <v>90</v>
      </c>
      <c r="J370" s="1" t="s">
        <v>1091</v>
      </c>
      <c r="K370" s="1" t="s">
        <v>78</v>
      </c>
      <c r="L370" s="4">
        <v>71000</v>
      </c>
      <c r="M370" s="1" t="s">
        <v>79</v>
      </c>
    </row>
    <row r="371" spans="1:13" ht="15.75" customHeight="1" x14ac:dyDescent="0.35">
      <c r="A371" s="1" t="s">
        <v>234</v>
      </c>
      <c r="B371" s="1" t="s">
        <v>5757</v>
      </c>
      <c r="C371" s="1" t="s">
        <v>5788</v>
      </c>
      <c r="D371" s="1" t="s">
        <v>3816</v>
      </c>
      <c r="E371" s="1" t="s">
        <v>5799</v>
      </c>
      <c r="F371" s="1" t="s">
        <v>5792</v>
      </c>
      <c r="G371" s="1" t="s">
        <v>224</v>
      </c>
      <c r="H371" s="1" t="s">
        <v>5793</v>
      </c>
      <c r="I371" s="1" t="s">
        <v>90</v>
      </c>
      <c r="J371" s="1" t="s">
        <v>1670</v>
      </c>
      <c r="K371" s="1" t="s">
        <v>165</v>
      </c>
      <c r="L371" s="4">
        <v>102999</v>
      </c>
      <c r="M371" s="1" t="s">
        <v>166</v>
      </c>
    </row>
    <row r="372" spans="1:13" ht="15.75" customHeight="1" x14ac:dyDescent="0.35">
      <c r="A372" s="1" t="s">
        <v>234</v>
      </c>
      <c r="B372" s="1" t="s">
        <v>5756</v>
      </c>
      <c r="C372" s="1" t="s">
        <v>5800</v>
      </c>
      <c r="D372" s="1" t="s">
        <v>5807</v>
      </c>
      <c r="E372" s="1" t="s">
        <v>599</v>
      </c>
      <c r="F372" s="1" t="s">
        <v>5792</v>
      </c>
      <c r="G372" s="1" t="s">
        <v>1015</v>
      </c>
      <c r="H372" s="1" t="s">
        <v>5793</v>
      </c>
      <c r="I372" s="1" t="s">
        <v>90</v>
      </c>
      <c r="J372" s="1" t="s">
        <v>944</v>
      </c>
      <c r="K372" s="1" t="s">
        <v>165</v>
      </c>
      <c r="L372" s="4">
        <v>135000</v>
      </c>
      <c r="M372" s="1" t="s">
        <v>79</v>
      </c>
    </row>
    <row r="373" spans="1:13" ht="15.75" customHeight="1" x14ac:dyDescent="0.35">
      <c r="A373" s="1" t="s">
        <v>234</v>
      </c>
      <c r="B373" s="1" t="s">
        <v>5758</v>
      </c>
      <c r="C373" s="1" t="s">
        <v>5808</v>
      </c>
      <c r="D373" s="1" t="s">
        <v>2870</v>
      </c>
      <c r="E373" s="1" t="s">
        <v>599</v>
      </c>
      <c r="F373" s="1" t="s">
        <v>5795</v>
      </c>
      <c r="G373" s="1" t="s">
        <v>74</v>
      </c>
      <c r="H373" s="1" t="s">
        <v>5796</v>
      </c>
      <c r="I373" s="1" t="s">
        <v>90</v>
      </c>
      <c r="J373" s="1" t="s">
        <v>2878</v>
      </c>
      <c r="K373" s="1" t="s">
        <v>165</v>
      </c>
      <c r="L373" s="4">
        <v>47599</v>
      </c>
      <c r="M373" s="1" t="s">
        <v>5735</v>
      </c>
    </row>
    <row r="374" spans="1:13" ht="15.75" customHeight="1" x14ac:dyDescent="0.35">
      <c r="A374" s="1" t="s">
        <v>234</v>
      </c>
      <c r="B374" s="1" t="s">
        <v>5758</v>
      </c>
      <c r="C374" s="1" t="s">
        <v>5806</v>
      </c>
      <c r="D374" s="1" t="s">
        <v>3816</v>
      </c>
      <c r="E374" s="1" t="s">
        <v>599</v>
      </c>
      <c r="F374" s="1" t="s">
        <v>5795</v>
      </c>
      <c r="G374" s="1" t="s">
        <v>74</v>
      </c>
      <c r="H374" s="1" t="s">
        <v>5796</v>
      </c>
      <c r="I374" s="1" t="s">
        <v>90</v>
      </c>
      <c r="J374" s="1" t="s">
        <v>2878</v>
      </c>
      <c r="K374" s="1" t="s">
        <v>165</v>
      </c>
      <c r="L374" s="4">
        <v>84999</v>
      </c>
      <c r="M374" s="1" t="s">
        <v>5735</v>
      </c>
    </row>
    <row r="375" spans="1:13" ht="15.75" customHeight="1" x14ac:dyDescent="0.35">
      <c r="A375" s="1" t="s">
        <v>234</v>
      </c>
      <c r="B375" s="1" t="s">
        <v>5758</v>
      </c>
      <c r="C375" s="1" t="s">
        <v>5808</v>
      </c>
      <c r="D375" s="1" t="s">
        <v>3231</v>
      </c>
      <c r="E375" s="1" t="s">
        <v>599</v>
      </c>
      <c r="F375" s="1" t="s">
        <v>5795</v>
      </c>
      <c r="G375" s="1" t="s">
        <v>74</v>
      </c>
      <c r="H375" s="1" t="s">
        <v>5796</v>
      </c>
      <c r="I375" s="1" t="s">
        <v>90</v>
      </c>
      <c r="J375" s="1" t="s">
        <v>2878</v>
      </c>
      <c r="K375" s="1" t="s">
        <v>165</v>
      </c>
      <c r="L375" s="4">
        <v>34499</v>
      </c>
      <c r="M375" s="1" t="s">
        <v>5735</v>
      </c>
    </row>
    <row r="376" spans="1:13" ht="15.75" customHeight="1" x14ac:dyDescent="0.35">
      <c r="A376" s="1" t="s">
        <v>234</v>
      </c>
      <c r="B376" s="1" t="s">
        <v>5758</v>
      </c>
      <c r="C376" s="1" t="s">
        <v>5800</v>
      </c>
      <c r="D376" s="1" t="s">
        <v>3816</v>
      </c>
      <c r="E376" s="1" t="s">
        <v>599</v>
      </c>
      <c r="F376" s="1" t="s">
        <v>5795</v>
      </c>
      <c r="G376" s="1" t="s">
        <v>74</v>
      </c>
      <c r="H376" s="1" t="s">
        <v>5796</v>
      </c>
      <c r="I376" s="1" t="s">
        <v>90</v>
      </c>
      <c r="J376" s="1" t="s">
        <v>2878</v>
      </c>
      <c r="K376" s="1" t="s">
        <v>165</v>
      </c>
      <c r="L376" s="4">
        <v>60149</v>
      </c>
      <c r="M376" s="1" t="s">
        <v>166</v>
      </c>
    </row>
    <row r="377" spans="1:13" ht="15.75" customHeight="1" x14ac:dyDescent="0.35">
      <c r="A377" s="1" t="s">
        <v>234</v>
      </c>
      <c r="B377" s="1" t="s">
        <v>5758</v>
      </c>
      <c r="C377" s="1" t="s">
        <v>5800</v>
      </c>
      <c r="D377" s="1" t="s">
        <v>2870</v>
      </c>
      <c r="E377" s="1" t="s">
        <v>599</v>
      </c>
      <c r="F377" s="1" t="s">
        <v>5795</v>
      </c>
      <c r="G377" s="1" t="s">
        <v>74</v>
      </c>
      <c r="H377" s="1" t="s">
        <v>5796</v>
      </c>
      <c r="I377" s="1" t="s">
        <v>90</v>
      </c>
      <c r="J377" s="1" t="s">
        <v>2878</v>
      </c>
      <c r="K377" s="1" t="s">
        <v>165</v>
      </c>
      <c r="L377" s="4">
        <v>69700</v>
      </c>
      <c r="M377" s="1" t="s">
        <v>166</v>
      </c>
    </row>
    <row r="378" spans="1:13" ht="15.75" customHeight="1" x14ac:dyDescent="0.35">
      <c r="A378" s="1" t="s">
        <v>234</v>
      </c>
      <c r="B378" s="1" t="s">
        <v>5758</v>
      </c>
      <c r="C378" s="1" t="s">
        <v>5788</v>
      </c>
      <c r="D378" s="1" t="s">
        <v>2870</v>
      </c>
      <c r="E378" s="1" t="s">
        <v>599</v>
      </c>
      <c r="F378" s="1" t="s">
        <v>5795</v>
      </c>
      <c r="G378" s="1" t="s">
        <v>74</v>
      </c>
      <c r="H378" s="1" t="s">
        <v>5796</v>
      </c>
      <c r="I378" s="1" t="s">
        <v>90</v>
      </c>
      <c r="J378" s="1" t="s">
        <v>2878</v>
      </c>
      <c r="K378" s="1" t="s">
        <v>165</v>
      </c>
      <c r="L378" s="4">
        <v>64999</v>
      </c>
      <c r="M378" s="1" t="s">
        <v>79</v>
      </c>
    </row>
    <row r="379" spans="1:13" ht="15.75" customHeight="1" x14ac:dyDescent="0.35">
      <c r="A379" s="1" t="s">
        <v>81</v>
      </c>
      <c r="B379" s="1" t="s">
        <v>5810</v>
      </c>
      <c r="C379" s="1" t="s">
        <v>5800</v>
      </c>
      <c r="D379" s="1" t="s">
        <v>2870</v>
      </c>
      <c r="E379" s="1" t="s">
        <v>599</v>
      </c>
      <c r="F379" s="1" t="s">
        <v>5795</v>
      </c>
      <c r="G379" s="1" t="s">
        <v>74</v>
      </c>
      <c r="H379" s="1" t="s">
        <v>111</v>
      </c>
      <c r="I379" s="1" t="s">
        <v>90</v>
      </c>
      <c r="J379" s="1" t="s">
        <v>423</v>
      </c>
      <c r="K379" s="1" t="s">
        <v>78</v>
      </c>
      <c r="L379" s="4">
        <v>50099</v>
      </c>
      <c r="M379" s="1" t="s">
        <v>79</v>
      </c>
    </row>
    <row r="380" spans="1:13" ht="15.75" customHeight="1" x14ac:dyDescent="0.35">
      <c r="A380" s="1" t="s">
        <v>234</v>
      </c>
      <c r="B380" s="1" t="s">
        <v>5810</v>
      </c>
      <c r="C380" s="1" t="s">
        <v>5800</v>
      </c>
      <c r="D380" s="1" t="s">
        <v>3231</v>
      </c>
      <c r="E380" s="1" t="s">
        <v>3816</v>
      </c>
      <c r="F380" s="1" t="s">
        <v>5795</v>
      </c>
      <c r="G380" s="1" t="s">
        <v>74</v>
      </c>
      <c r="H380" s="1" t="s">
        <v>5796</v>
      </c>
      <c r="I380" s="1" t="s">
        <v>1722</v>
      </c>
      <c r="J380" s="1" t="s">
        <v>1670</v>
      </c>
      <c r="K380" s="1" t="s">
        <v>165</v>
      </c>
      <c r="L380" s="4">
        <v>44999</v>
      </c>
      <c r="M380" s="1" t="s">
        <v>1082</v>
      </c>
    </row>
    <row r="381" spans="1:13" ht="15.75" customHeight="1" x14ac:dyDescent="0.35">
      <c r="A381" s="1" t="s">
        <v>151</v>
      </c>
      <c r="B381" s="1" t="s">
        <v>5760</v>
      </c>
      <c r="C381" s="1" t="s">
        <v>5800</v>
      </c>
      <c r="D381" s="1" t="s">
        <v>3231</v>
      </c>
      <c r="E381" s="1" t="s">
        <v>599</v>
      </c>
      <c r="F381" s="1" t="s">
        <v>5795</v>
      </c>
      <c r="G381" s="1" t="s">
        <v>224</v>
      </c>
      <c r="H381" s="1" t="s">
        <v>5793</v>
      </c>
      <c r="I381" s="1" t="s">
        <v>101</v>
      </c>
      <c r="J381" s="1" t="s">
        <v>503</v>
      </c>
      <c r="K381" s="1" t="s">
        <v>78</v>
      </c>
      <c r="L381" s="4">
        <v>40000</v>
      </c>
      <c r="M381" s="1" t="s">
        <v>1082</v>
      </c>
    </row>
    <row r="382" spans="1:13" ht="15.75" customHeight="1" x14ac:dyDescent="0.35">
      <c r="A382" s="1" t="s">
        <v>234</v>
      </c>
      <c r="B382" s="1" t="s">
        <v>5758</v>
      </c>
      <c r="C382" s="1" t="s">
        <v>5788</v>
      </c>
      <c r="D382" s="1" t="s">
        <v>3816</v>
      </c>
      <c r="E382" s="1" t="s">
        <v>599</v>
      </c>
      <c r="F382" s="1" t="s">
        <v>5795</v>
      </c>
      <c r="G382" s="1" t="s">
        <v>74</v>
      </c>
      <c r="H382" s="1" t="s">
        <v>5796</v>
      </c>
      <c r="I382" s="1" t="s">
        <v>90</v>
      </c>
      <c r="J382" s="1" t="s">
        <v>2878</v>
      </c>
      <c r="K382" s="1" t="s">
        <v>165</v>
      </c>
      <c r="L382" s="4">
        <v>91555</v>
      </c>
      <c r="M382" s="1" t="s">
        <v>79</v>
      </c>
    </row>
    <row r="383" spans="1:13" ht="15.75" customHeight="1" x14ac:dyDescent="0.35">
      <c r="A383" s="1" t="s">
        <v>112</v>
      </c>
      <c r="B383" s="1" t="s">
        <v>5753</v>
      </c>
      <c r="C383" s="1" t="s">
        <v>5815</v>
      </c>
      <c r="D383" s="1" t="s">
        <v>3231</v>
      </c>
      <c r="E383" s="1" t="s">
        <v>3816</v>
      </c>
      <c r="F383" s="1" t="s">
        <v>5795</v>
      </c>
      <c r="G383" s="1" t="s">
        <v>74</v>
      </c>
      <c r="H383" s="1" t="s">
        <v>5735</v>
      </c>
      <c r="I383" s="1" t="s">
        <v>90</v>
      </c>
      <c r="J383" s="1" t="s">
        <v>2011</v>
      </c>
      <c r="K383" s="1" t="s">
        <v>78</v>
      </c>
      <c r="L383" s="4">
        <v>24799</v>
      </c>
      <c r="M383" s="1" t="s">
        <v>5735</v>
      </c>
    </row>
    <row r="384" spans="1:13" ht="15.75" customHeight="1" x14ac:dyDescent="0.35">
      <c r="A384" s="1" t="s">
        <v>234</v>
      </c>
      <c r="B384" s="1" t="s">
        <v>5758</v>
      </c>
      <c r="C384" s="1" t="s">
        <v>5800</v>
      </c>
      <c r="D384" s="1" t="s">
        <v>3231</v>
      </c>
      <c r="E384" s="1" t="s">
        <v>599</v>
      </c>
      <c r="F384" s="1" t="s">
        <v>5795</v>
      </c>
      <c r="G384" s="1" t="s">
        <v>74</v>
      </c>
      <c r="H384" s="1" t="s">
        <v>5796</v>
      </c>
      <c r="I384" s="1" t="s">
        <v>90</v>
      </c>
      <c r="J384" s="1" t="s">
        <v>2878</v>
      </c>
      <c r="K384" s="1" t="s">
        <v>165</v>
      </c>
      <c r="L384" s="4">
        <v>43999</v>
      </c>
      <c r="M384" s="1" t="s">
        <v>166</v>
      </c>
    </row>
    <row r="385" spans="1:13" ht="15.75" customHeight="1" x14ac:dyDescent="0.35">
      <c r="A385" s="1" t="s">
        <v>81</v>
      </c>
      <c r="B385" s="1" t="s">
        <v>5810</v>
      </c>
      <c r="C385" s="1" t="s">
        <v>5800</v>
      </c>
      <c r="D385" s="1" t="s">
        <v>3816</v>
      </c>
      <c r="E385" s="1" t="s">
        <v>599</v>
      </c>
      <c r="F385" s="1" t="s">
        <v>5795</v>
      </c>
      <c r="G385" s="1" t="s">
        <v>74</v>
      </c>
      <c r="H385" s="1" t="s">
        <v>5793</v>
      </c>
      <c r="I385" s="1" t="s">
        <v>90</v>
      </c>
      <c r="J385" s="1" t="s">
        <v>423</v>
      </c>
      <c r="K385" s="1" t="s">
        <v>78</v>
      </c>
      <c r="L385" s="4">
        <v>62000</v>
      </c>
      <c r="M385" s="1" t="s">
        <v>79</v>
      </c>
    </row>
    <row r="386" spans="1:13" ht="15.75" customHeight="1" x14ac:dyDescent="0.35">
      <c r="A386" s="1" t="s">
        <v>151</v>
      </c>
      <c r="B386" s="1" t="s">
        <v>5763</v>
      </c>
      <c r="C386" s="1" t="s">
        <v>5800</v>
      </c>
      <c r="D386" s="1" t="s">
        <v>2870</v>
      </c>
      <c r="E386" s="1" t="s">
        <v>599</v>
      </c>
      <c r="F386" s="1" t="s">
        <v>5795</v>
      </c>
      <c r="G386" s="1" t="s">
        <v>224</v>
      </c>
      <c r="H386" s="1" t="s">
        <v>111</v>
      </c>
      <c r="I386" s="1" t="s">
        <v>101</v>
      </c>
      <c r="J386" s="1" t="s">
        <v>923</v>
      </c>
      <c r="K386" s="1" t="s">
        <v>78</v>
      </c>
      <c r="L386" s="4">
        <v>47499</v>
      </c>
      <c r="M386" s="1" t="s">
        <v>79</v>
      </c>
    </row>
    <row r="387" spans="1:13" ht="15.75" customHeight="1" x14ac:dyDescent="0.35">
      <c r="A387" s="1" t="s">
        <v>151</v>
      </c>
      <c r="B387" s="1" t="s">
        <v>5763</v>
      </c>
      <c r="C387" s="1" t="s">
        <v>5800</v>
      </c>
      <c r="D387" s="1" t="s">
        <v>3231</v>
      </c>
      <c r="E387" s="1" t="s">
        <v>599</v>
      </c>
      <c r="F387" s="1" t="s">
        <v>5795</v>
      </c>
      <c r="G387" s="1" t="s">
        <v>74</v>
      </c>
      <c r="H387" s="1" t="s">
        <v>111</v>
      </c>
      <c r="I387" s="1" t="s">
        <v>90</v>
      </c>
      <c r="J387" s="1" t="s">
        <v>5826</v>
      </c>
      <c r="K387" s="1" t="s">
        <v>165</v>
      </c>
      <c r="L387" s="4">
        <v>49999</v>
      </c>
      <c r="M387" s="1" t="s">
        <v>166</v>
      </c>
    </row>
    <row r="388" spans="1:13" ht="15.75" customHeight="1" x14ac:dyDescent="0.35">
      <c r="A388" s="1" t="s">
        <v>151</v>
      </c>
      <c r="B388" s="1" t="s">
        <v>5760</v>
      </c>
      <c r="C388" s="1" t="s">
        <v>5815</v>
      </c>
      <c r="D388" s="1" t="s">
        <v>3231</v>
      </c>
      <c r="E388" s="1" t="s">
        <v>3816</v>
      </c>
      <c r="F388" s="1" t="s">
        <v>5795</v>
      </c>
      <c r="G388" s="1" t="s">
        <v>74</v>
      </c>
      <c r="H388" s="1" t="s">
        <v>111</v>
      </c>
      <c r="I388" s="1" t="s">
        <v>90</v>
      </c>
      <c r="J388" s="1" t="s">
        <v>63</v>
      </c>
      <c r="K388" s="1" t="s">
        <v>78</v>
      </c>
      <c r="L388" s="4">
        <v>41299</v>
      </c>
      <c r="M388" s="1" t="s">
        <v>5735</v>
      </c>
    </row>
    <row r="389" spans="1:13" ht="15.75" customHeight="1" x14ac:dyDescent="0.35">
      <c r="A389" s="1" t="s">
        <v>151</v>
      </c>
      <c r="B389" s="1" t="s">
        <v>5761</v>
      </c>
      <c r="C389" s="1" t="s">
        <v>5800</v>
      </c>
      <c r="D389" s="1" t="s">
        <v>2870</v>
      </c>
      <c r="E389" s="1" t="s">
        <v>3816</v>
      </c>
      <c r="F389" s="1" t="s">
        <v>5795</v>
      </c>
      <c r="G389" s="1" t="s">
        <v>74</v>
      </c>
      <c r="H389" s="1" t="s">
        <v>5796</v>
      </c>
      <c r="I389" s="1" t="s">
        <v>101</v>
      </c>
      <c r="J389" s="1" t="s">
        <v>63</v>
      </c>
      <c r="K389" s="1" t="s">
        <v>78</v>
      </c>
      <c r="L389" s="4">
        <v>46000</v>
      </c>
      <c r="M389" s="1" t="s">
        <v>79</v>
      </c>
    </row>
    <row r="390" spans="1:13" ht="15.75" customHeight="1" x14ac:dyDescent="0.35">
      <c r="A390" s="1" t="s">
        <v>151</v>
      </c>
      <c r="B390" s="1" t="s">
        <v>5761</v>
      </c>
      <c r="C390" s="1" t="s">
        <v>5800</v>
      </c>
      <c r="D390" s="1" t="s">
        <v>2870</v>
      </c>
      <c r="E390" s="1" t="s">
        <v>599</v>
      </c>
      <c r="F390" s="1" t="s">
        <v>5795</v>
      </c>
      <c r="G390" s="1" t="s">
        <v>74</v>
      </c>
      <c r="H390" s="1" t="s">
        <v>5796</v>
      </c>
      <c r="I390" s="1" t="s">
        <v>101</v>
      </c>
      <c r="J390" s="1" t="s">
        <v>63</v>
      </c>
      <c r="K390" s="1" t="s">
        <v>78</v>
      </c>
      <c r="L390" s="4">
        <v>49499</v>
      </c>
      <c r="M390" s="1" t="s">
        <v>79</v>
      </c>
    </row>
    <row r="391" spans="1:13" ht="15.75" customHeight="1" x14ac:dyDescent="0.35">
      <c r="A391" s="1" t="s">
        <v>151</v>
      </c>
      <c r="B391" s="1" t="s">
        <v>5761</v>
      </c>
      <c r="C391" s="1" t="s">
        <v>5800</v>
      </c>
      <c r="D391" s="1" t="s">
        <v>3816</v>
      </c>
      <c r="E391" s="1" t="s">
        <v>599</v>
      </c>
      <c r="F391" s="1" t="s">
        <v>5795</v>
      </c>
      <c r="G391" s="1" t="s">
        <v>74</v>
      </c>
      <c r="H391" s="1" t="s">
        <v>5796</v>
      </c>
      <c r="I391" s="1" t="s">
        <v>101</v>
      </c>
      <c r="J391" s="1" t="s">
        <v>63</v>
      </c>
      <c r="K391" s="1" t="s">
        <v>78</v>
      </c>
      <c r="L391" s="4">
        <v>46199</v>
      </c>
      <c r="M391" s="1" t="s">
        <v>79</v>
      </c>
    </row>
    <row r="392" spans="1:13" ht="15.75" customHeight="1" x14ac:dyDescent="0.35">
      <c r="A392" s="1" t="s">
        <v>81</v>
      </c>
      <c r="B392" s="1" t="s">
        <v>5810</v>
      </c>
      <c r="C392" s="1" t="s">
        <v>5815</v>
      </c>
      <c r="D392" s="1" t="s">
        <v>3231</v>
      </c>
      <c r="E392" s="1" t="s">
        <v>3816</v>
      </c>
      <c r="F392" s="1" t="s">
        <v>5795</v>
      </c>
      <c r="G392" s="1" t="s">
        <v>74</v>
      </c>
      <c r="H392" s="1" t="s">
        <v>111</v>
      </c>
      <c r="I392" s="1" t="s">
        <v>90</v>
      </c>
      <c r="J392" s="1" t="s">
        <v>262</v>
      </c>
      <c r="K392" s="1" t="s">
        <v>78</v>
      </c>
      <c r="L392" s="4">
        <v>38000</v>
      </c>
      <c r="M392" s="1" t="s">
        <v>5735</v>
      </c>
    </row>
    <row r="393" spans="1:13" ht="15.75" customHeight="1" x14ac:dyDescent="0.35">
      <c r="A393" s="1" t="s">
        <v>234</v>
      </c>
      <c r="B393" s="1" t="s">
        <v>5756</v>
      </c>
      <c r="C393" s="1" t="s">
        <v>5788</v>
      </c>
      <c r="D393" s="1" t="s">
        <v>599</v>
      </c>
      <c r="E393" s="1" t="s">
        <v>5799</v>
      </c>
      <c r="F393" s="1" t="s">
        <v>5805</v>
      </c>
      <c r="G393" s="1" t="s">
        <v>224</v>
      </c>
      <c r="H393" s="1" t="s">
        <v>200</v>
      </c>
      <c r="I393" s="1" t="s">
        <v>725</v>
      </c>
      <c r="J393" s="1" t="s">
        <v>329</v>
      </c>
      <c r="K393" s="1" t="s">
        <v>165</v>
      </c>
      <c r="L393" s="4">
        <v>146499</v>
      </c>
      <c r="M393" s="1" t="s">
        <v>79</v>
      </c>
    </row>
    <row r="394" spans="1:13" ht="15.75" customHeight="1" x14ac:dyDescent="0.35">
      <c r="A394" s="1" t="s">
        <v>234</v>
      </c>
      <c r="B394" s="1" t="s">
        <v>5810</v>
      </c>
      <c r="C394" s="1" t="s">
        <v>5800</v>
      </c>
      <c r="D394" s="1" t="s">
        <v>2870</v>
      </c>
      <c r="E394" s="1" t="s">
        <v>599</v>
      </c>
      <c r="F394" s="1" t="s">
        <v>5795</v>
      </c>
      <c r="G394" s="1" t="s">
        <v>74</v>
      </c>
      <c r="H394" s="1" t="s">
        <v>5796</v>
      </c>
      <c r="I394" s="1" t="s">
        <v>1722</v>
      </c>
      <c r="J394" s="1" t="s">
        <v>1670</v>
      </c>
      <c r="K394" s="1" t="s">
        <v>165</v>
      </c>
      <c r="L394" s="4">
        <v>43999</v>
      </c>
      <c r="M394" s="1" t="s">
        <v>1082</v>
      </c>
    </row>
    <row r="395" spans="1:13" ht="15.75" customHeight="1" x14ac:dyDescent="0.35">
      <c r="A395" s="1" t="s">
        <v>234</v>
      </c>
      <c r="B395" s="1" t="s">
        <v>5756</v>
      </c>
      <c r="C395" s="1" t="s">
        <v>5808</v>
      </c>
      <c r="D395" s="1" t="s">
        <v>2870</v>
      </c>
      <c r="E395" s="1" t="s">
        <v>599</v>
      </c>
      <c r="F395" s="1" t="s">
        <v>5792</v>
      </c>
      <c r="G395" s="1" t="s">
        <v>74</v>
      </c>
      <c r="H395" s="1" t="s">
        <v>5796</v>
      </c>
      <c r="I395" s="1" t="s">
        <v>90</v>
      </c>
      <c r="J395" s="1" t="s">
        <v>503</v>
      </c>
      <c r="K395" s="1" t="s">
        <v>165</v>
      </c>
      <c r="L395" s="4">
        <v>47555</v>
      </c>
      <c r="M395" s="1" t="s">
        <v>5735</v>
      </c>
    </row>
    <row r="396" spans="1:13" ht="15.75" customHeight="1" x14ac:dyDescent="0.35">
      <c r="A396" s="1" t="s">
        <v>30</v>
      </c>
      <c r="B396" s="1" t="s">
        <v>5810</v>
      </c>
      <c r="C396" s="1" t="s">
        <v>5794</v>
      </c>
      <c r="D396" s="1" t="s">
        <v>3231</v>
      </c>
      <c r="E396" s="1" t="s">
        <v>3816</v>
      </c>
      <c r="F396" s="1" t="s">
        <v>5792</v>
      </c>
      <c r="G396" s="1" t="s">
        <v>74</v>
      </c>
      <c r="H396" s="1" t="s">
        <v>5735</v>
      </c>
      <c r="I396" s="1" t="s">
        <v>5735</v>
      </c>
      <c r="J396" s="1" t="s">
        <v>376</v>
      </c>
      <c r="K396" s="1" t="s">
        <v>78</v>
      </c>
      <c r="L396" s="4">
        <v>25999</v>
      </c>
      <c r="M396" s="1" t="s">
        <v>2181</v>
      </c>
    </row>
    <row r="397" spans="1:13" ht="15.75" customHeight="1" x14ac:dyDescent="0.35">
      <c r="A397" s="1" t="s">
        <v>30</v>
      </c>
      <c r="B397" s="1" t="s">
        <v>5810</v>
      </c>
      <c r="C397" s="1" t="s">
        <v>5800</v>
      </c>
      <c r="D397" s="1" t="s">
        <v>3231</v>
      </c>
      <c r="E397" s="1" t="s">
        <v>599</v>
      </c>
      <c r="F397" s="1" t="s">
        <v>5792</v>
      </c>
      <c r="G397" s="1" t="s">
        <v>74</v>
      </c>
      <c r="H397" s="1" t="s">
        <v>5735</v>
      </c>
      <c r="I397" s="1" t="s">
        <v>5735</v>
      </c>
      <c r="J397" s="1" t="s">
        <v>376</v>
      </c>
      <c r="K397" s="1" t="s">
        <v>78</v>
      </c>
      <c r="L397" s="4">
        <v>32099</v>
      </c>
      <c r="M397" s="1" t="s">
        <v>2181</v>
      </c>
    </row>
    <row r="398" spans="1:13" ht="15.75" customHeight="1" x14ac:dyDescent="0.35">
      <c r="A398" s="1" t="s">
        <v>30</v>
      </c>
      <c r="B398" s="1" t="s">
        <v>5810</v>
      </c>
      <c r="C398" s="1" t="s">
        <v>5794</v>
      </c>
      <c r="D398" s="1" t="s">
        <v>3231</v>
      </c>
      <c r="E398" s="1" t="s">
        <v>3816</v>
      </c>
      <c r="F398" s="1" t="s">
        <v>5792</v>
      </c>
      <c r="G398" s="1" t="s">
        <v>74</v>
      </c>
      <c r="H398" s="1" t="s">
        <v>5735</v>
      </c>
      <c r="I398" s="1" t="s">
        <v>5735</v>
      </c>
      <c r="J398" s="1" t="s">
        <v>376</v>
      </c>
      <c r="K398" s="1" t="s">
        <v>78</v>
      </c>
      <c r="L398" s="4">
        <v>29050</v>
      </c>
      <c r="M398" s="1" t="s">
        <v>1082</v>
      </c>
    </row>
    <row r="399" spans="1:13" ht="15.75" customHeight="1" x14ac:dyDescent="0.35">
      <c r="A399" s="1" t="s">
        <v>30</v>
      </c>
      <c r="B399" s="1" t="s">
        <v>5810</v>
      </c>
      <c r="C399" s="1" t="s">
        <v>5794</v>
      </c>
      <c r="D399" s="1" t="s">
        <v>3231</v>
      </c>
      <c r="E399" s="1" t="s">
        <v>3816</v>
      </c>
      <c r="F399" s="1" t="s">
        <v>5792</v>
      </c>
      <c r="G399" s="1" t="s">
        <v>74</v>
      </c>
      <c r="H399" s="1" t="s">
        <v>5735</v>
      </c>
      <c r="I399" s="1" t="s">
        <v>101</v>
      </c>
      <c r="J399" s="1" t="s">
        <v>376</v>
      </c>
      <c r="K399" s="1" t="s">
        <v>78</v>
      </c>
      <c r="L399" s="4">
        <v>38499</v>
      </c>
      <c r="M399" s="1" t="s">
        <v>1082</v>
      </c>
    </row>
    <row r="400" spans="1:13" ht="15.75" customHeight="1" x14ac:dyDescent="0.35">
      <c r="A400" s="1" t="s">
        <v>234</v>
      </c>
      <c r="B400" s="1" t="s">
        <v>5810</v>
      </c>
      <c r="C400" s="1" t="s">
        <v>5788</v>
      </c>
      <c r="D400" s="1" t="s">
        <v>3231</v>
      </c>
      <c r="E400" s="1" t="s">
        <v>599</v>
      </c>
      <c r="F400" s="1" t="s">
        <v>5792</v>
      </c>
      <c r="G400" s="1" t="s">
        <v>1015</v>
      </c>
      <c r="H400" s="1" t="s">
        <v>111</v>
      </c>
      <c r="I400" s="1" t="s">
        <v>90</v>
      </c>
      <c r="J400" s="1" t="s">
        <v>5828</v>
      </c>
      <c r="K400" s="1" t="s">
        <v>165</v>
      </c>
      <c r="L400" s="4">
        <v>84999</v>
      </c>
      <c r="M400" s="1" t="s">
        <v>166</v>
      </c>
    </row>
    <row r="401" spans="1:13" ht="15.75" customHeight="1" x14ac:dyDescent="0.35">
      <c r="A401" s="1" t="s">
        <v>234</v>
      </c>
      <c r="B401" s="1" t="s">
        <v>5766</v>
      </c>
      <c r="C401" s="1" t="s">
        <v>5815</v>
      </c>
      <c r="D401" s="1" t="s">
        <v>3231</v>
      </c>
      <c r="E401" s="1" t="s">
        <v>3816</v>
      </c>
      <c r="F401" s="1" t="s">
        <v>5795</v>
      </c>
      <c r="G401" s="1" t="s">
        <v>5831</v>
      </c>
      <c r="H401" s="1" t="s">
        <v>111</v>
      </c>
      <c r="I401" s="1" t="s">
        <v>90</v>
      </c>
      <c r="J401" s="1" t="s">
        <v>359</v>
      </c>
      <c r="K401" s="1" t="s">
        <v>165</v>
      </c>
      <c r="L401" s="4">
        <v>49500</v>
      </c>
      <c r="M401" s="1" t="s">
        <v>5735</v>
      </c>
    </row>
    <row r="402" spans="1:13" ht="15.75" customHeight="1" x14ac:dyDescent="0.35">
      <c r="A402" s="1" t="s">
        <v>234</v>
      </c>
      <c r="B402" s="1" t="s">
        <v>5766</v>
      </c>
      <c r="C402" s="1" t="s">
        <v>5808</v>
      </c>
      <c r="D402" s="1" t="s">
        <v>3231</v>
      </c>
      <c r="E402" s="1" t="s">
        <v>599</v>
      </c>
      <c r="F402" s="1" t="s">
        <v>5792</v>
      </c>
      <c r="G402" s="1" t="s">
        <v>38</v>
      </c>
      <c r="H402" s="1" t="s">
        <v>5819</v>
      </c>
      <c r="I402" s="1" t="s">
        <v>90</v>
      </c>
      <c r="J402" s="1" t="s">
        <v>923</v>
      </c>
      <c r="K402" s="1" t="s">
        <v>165</v>
      </c>
      <c r="L402" s="4">
        <v>39999</v>
      </c>
      <c r="M402" s="1" t="s">
        <v>5735</v>
      </c>
    </row>
    <row r="403" spans="1:13" ht="15.75" customHeight="1" x14ac:dyDescent="0.35">
      <c r="A403" s="1" t="s">
        <v>234</v>
      </c>
      <c r="B403" s="1" t="s">
        <v>5810</v>
      </c>
      <c r="C403" s="1" t="s">
        <v>5808</v>
      </c>
      <c r="D403" s="1" t="s">
        <v>2870</v>
      </c>
      <c r="E403" s="1" t="s">
        <v>599</v>
      </c>
      <c r="F403" s="1" t="s">
        <v>5792</v>
      </c>
      <c r="G403" s="1" t="s">
        <v>224</v>
      </c>
      <c r="H403" s="1" t="s">
        <v>5793</v>
      </c>
      <c r="I403" s="1" t="s">
        <v>90</v>
      </c>
      <c r="J403" s="1" t="s">
        <v>1670</v>
      </c>
      <c r="K403" s="1" t="s">
        <v>165</v>
      </c>
      <c r="L403" s="4">
        <v>83999</v>
      </c>
      <c r="M403" s="1" t="s">
        <v>5735</v>
      </c>
    </row>
    <row r="404" spans="1:13" ht="15.75" customHeight="1" x14ac:dyDescent="0.35">
      <c r="A404" s="1" t="s">
        <v>234</v>
      </c>
      <c r="B404" s="1" t="s">
        <v>5810</v>
      </c>
      <c r="C404" s="1" t="s">
        <v>5806</v>
      </c>
      <c r="D404" s="1" t="s">
        <v>3816</v>
      </c>
      <c r="E404" s="1" t="s">
        <v>5799</v>
      </c>
      <c r="F404" s="1" t="s">
        <v>5792</v>
      </c>
      <c r="G404" s="1" t="s">
        <v>224</v>
      </c>
      <c r="H404" s="1" t="s">
        <v>200</v>
      </c>
      <c r="I404" s="1" t="s">
        <v>90</v>
      </c>
      <c r="J404" s="1" t="s">
        <v>1670</v>
      </c>
      <c r="K404" s="1" t="s">
        <v>165</v>
      </c>
      <c r="L404" s="4">
        <v>89999</v>
      </c>
      <c r="M404" s="1" t="s">
        <v>5735</v>
      </c>
    </row>
    <row r="405" spans="1:13" ht="15.75" customHeight="1" x14ac:dyDescent="0.35">
      <c r="A405" s="1" t="s">
        <v>234</v>
      </c>
      <c r="B405" s="1" t="s">
        <v>5810</v>
      </c>
      <c r="C405" s="1" t="s">
        <v>5800</v>
      </c>
      <c r="D405" s="1" t="s">
        <v>2870</v>
      </c>
      <c r="E405" s="1" t="s">
        <v>5799</v>
      </c>
      <c r="F405" s="1" t="s">
        <v>5792</v>
      </c>
      <c r="G405" s="1" t="s">
        <v>38</v>
      </c>
      <c r="H405" s="1" t="s">
        <v>5819</v>
      </c>
      <c r="I405" s="1" t="s">
        <v>90</v>
      </c>
      <c r="J405" s="1" t="s">
        <v>63</v>
      </c>
      <c r="K405" s="1" t="s">
        <v>165</v>
      </c>
      <c r="L405" s="4">
        <v>73999</v>
      </c>
      <c r="M405" s="1" t="s">
        <v>1082</v>
      </c>
    </row>
    <row r="406" spans="1:13" ht="15.75" customHeight="1" x14ac:dyDescent="0.35">
      <c r="A406" s="1" t="s">
        <v>234</v>
      </c>
      <c r="B406" s="1" t="s">
        <v>5810</v>
      </c>
      <c r="C406" s="1" t="s">
        <v>5806</v>
      </c>
      <c r="D406" s="1" t="s">
        <v>2870</v>
      </c>
      <c r="E406" s="1" t="s">
        <v>5799</v>
      </c>
      <c r="F406" s="1" t="s">
        <v>5792</v>
      </c>
      <c r="G406" s="1" t="s">
        <v>38</v>
      </c>
      <c r="H406" s="1" t="s">
        <v>5819</v>
      </c>
      <c r="I406" s="1" t="s">
        <v>90</v>
      </c>
      <c r="J406" s="1" t="s">
        <v>63</v>
      </c>
      <c r="K406" s="1" t="s">
        <v>165</v>
      </c>
      <c r="L406" s="4">
        <v>85699</v>
      </c>
      <c r="M406" s="1" t="s">
        <v>5735</v>
      </c>
    </row>
    <row r="407" spans="1:13" ht="15.75" customHeight="1" x14ac:dyDescent="0.35">
      <c r="A407" s="1" t="s">
        <v>234</v>
      </c>
      <c r="B407" s="1" t="s">
        <v>5758</v>
      </c>
      <c r="C407" s="1" t="s">
        <v>5800</v>
      </c>
      <c r="D407" s="1" t="s">
        <v>3816</v>
      </c>
      <c r="E407" s="1" t="s">
        <v>599</v>
      </c>
      <c r="F407" s="1" t="s">
        <v>5792</v>
      </c>
      <c r="G407" s="1" t="s">
        <v>74</v>
      </c>
      <c r="H407" s="1" t="s">
        <v>5796</v>
      </c>
      <c r="I407" s="1" t="s">
        <v>90</v>
      </c>
      <c r="J407" s="1" t="s">
        <v>2878</v>
      </c>
      <c r="K407" s="1" t="s">
        <v>165</v>
      </c>
      <c r="L407" s="4">
        <v>57999</v>
      </c>
      <c r="M407" s="1" t="s">
        <v>166</v>
      </c>
    </row>
    <row r="408" spans="1:13" ht="15.75" customHeight="1" x14ac:dyDescent="0.35">
      <c r="A408" s="1" t="s">
        <v>234</v>
      </c>
      <c r="B408" s="1" t="s">
        <v>5767</v>
      </c>
      <c r="C408" s="1" t="s">
        <v>5788</v>
      </c>
      <c r="D408" s="1" t="s">
        <v>2870</v>
      </c>
      <c r="E408" s="1" t="s">
        <v>5804</v>
      </c>
      <c r="F408" s="1" t="s">
        <v>5792</v>
      </c>
      <c r="G408" s="1" t="s">
        <v>5827</v>
      </c>
      <c r="H408" s="1" t="s">
        <v>5819</v>
      </c>
      <c r="I408" s="1" t="s">
        <v>725</v>
      </c>
      <c r="J408" s="1" t="s">
        <v>766</v>
      </c>
      <c r="K408" s="1" t="s">
        <v>165</v>
      </c>
      <c r="L408" s="4">
        <v>135500</v>
      </c>
      <c r="M408" s="1" t="s">
        <v>166</v>
      </c>
    </row>
    <row r="409" spans="1:13" ht="15.75" customHeight="1" x14ac:dyDescent="0.35">
      <c r="A409" s="1" t="s">
        <v>234</v>
      </c>
      <c r="B409" s="1" t="s">
        <v>5756</v>
      </c>
      <c r="C409" s="1" t="s">
        <v>5808</v>
      </c>
      <c r="D409" s="1" t="s">
        <v>2870</v>
      </c>
      <c r="E409" s="1" t="s">
        <v>599</v>
      </c>
      <c r="F409" s="1" t="s">
        <v>5792</v>
      </c>
      <c r="G409" s="1" t="s">
        <v>1371</v>
      </c>
      <c r="H409" s="1" t="s">
        <v>200</v>
      </c>
      <c r="I409" s="1" t="s">
        <v>90</v>
      </c>
      <c r="J409" s="1" t="s">
        <v>503</v>
      </c>
      <c r="K409" s="1" t="s">
        <v>165</v>
      </c>
      <c r="L409" s="4">
        <v>51999</v>
      </c>
      <c r="M409" s="1" t="s">
        <v>5735</v>
      </c>
    </row>
    <row r="410" spans="1:13" ht="15.75" customHeight="1" x14ac:dyDescent="0.35">
      <c r="A410" s="1" t="s">
        <v>66</v>
      </c>
      <c r="B410" s="1" t="s">
        <v>5769</v>
      </c>
      <c r="C410" s="1" t="s">
        <v>5800</v>
      </c>
      <c r="D410" s="1" t="s">
        <v>2870</v>
      </c>
      <c r="E410" s="1" t="s">
        <v>599</v>
      </c>
      <c r="F410" s="1" t="s">
        <v>5795</v>
      </c>
      <c r="G410" s="1" t="s">
        <v>74</v>
      </c>
      <c r="H410" s="1" t="s">
        <v>5796</v>
      </c>
      <c r="I410" s="1" t="s">
        <v>101</v>
      </c>
      <c r="J410" s="1" t="s">
        <v>944</v>
      </c>
      <c r="K410" s="1" t="s">
        <v>165</v>
      </c>
      <c r="L410" s="4">
        <v>41999</v>
      </c>
      <c r="M410" s="1" t="s">
        <v>166</v>
      </c>
    </row>
    <row r="411" spans="1:13" ht="15.75" customHeight="1" x14ac:dyDescent="0.35">
      <c r="A411" s="1" t="s">
        <v>66</v>
      </c>
      <c r="B411" s="1" t="s">
        <v>5768</v>
      </c>
      <c r="C411" s="1" t="s">
        <v>5800</v>
      </c>
      <c r="D411" s="1" t="s">
        <v>3231</v>
      </c>
      <c r="E411" s="1" t="s">
        <v>599</v>
      </c>
      <c r="F411" s="1" t="s">
        <v>5795</v>
      </c>
      <c r="G411" s="1" t="s">
        <v>74</v>
      </c>
      <c r="H411" s="1" t="s">
        <v>5735</v>
      </c>
      <c r="I411" s="1" t="s">
        <v>101</v>
      </c>
      <c r="J411" s="1" t="s">
        <v>2045</v>
      </c>
      <c r="K411" s="1" t="s">
        <v>165</v>
      </c>
      <c r="L411" s="4">
        <v>24999</v>
      </c>
      <c r="M411" s="1" t="s">
        <v>166</v>
      </c>
    </row>
    <row r="412" spans="1:13" ht="15.75" customHeight="1" x14ac:dyDescent="0.35">
      <c r="A412" s="1" t="s">
        <v>66</v>
      </c>
      <c r="B412" s="1" t="s">
        <v>5768</v>
      </c>
      <c r="C412" s="1" t="s">
        <v>5794</v>
      </c>
      <c r="D412" s="1" t="s">
        <v>3231</v>
      </c>
      <c r="E412" s="1" t="s">
        <v>3816</v>
      </c>
      <c r="F412" s="1" t="s">
        <v>5795</v>
      </c>
      <c r="G412" s="1" t="s">
        <v>74</v>
      </c>
      <c r="H412" s="1" t="s">
        <v>5735</v>
      </c>
      <c r="I412" s="1" t="s">
        <v>101</v>
      </c>
      <c r="J412" s="1" t="s">
        <v>2045</v>
      </c>
      <c r="K412" s="1" t="s">
        <v>165</v>
      </c>
      <c r="L412" s="4">
        <v>23999</v>
      </c>
      <c r="M412" s="1" t="s">
        <v>166</v>
      </c>
    </row>
    <row r="413" spans="1:13" ht="15.75" customHeight="1" x14ac:dyDescent="0.35">
      <c r="A413" s="1" t="s">
        <v>66</v>
      </c>
      <c r="B413" s="1" t="s">
        <v>5770</v>
      </c>
      <c r="C413" s="1" t="s">
        <v>5800</v>
      </c>
      <c r="D413" s="1" t="s">
        <v>3816</v>
      </c>
      <c r="E413" s="1" t="s">
        <v>5799</v>
      </c>
      <c r="F413" s="1" t="s">
        <v>5792</v>
      </c>
      <c r="G413" s="1" t="s">
        <v>1371</v>
      </c>
      <c r="H413" s="1" t="s">
        <v>5793</v>
      </c>
      <c r="I413" s="1" t="s">
        <v>101</v>
      </c>
      <c r="J413" s="1" t="s">
        <v>1196</v>
      </c>
      <c r="K413" s="1" t="s">
        <v>165</v>
      </c>
      <c r="L413" s="4">
        <v>40000</v>
      </c>
      <c r="M413" s="1" t="s">
        <v>166</v>
      </c>
    </row>
    <row r="414" spans="1:13" ht="15.75" customHeight="1" x14ac:dyDescent="0.35">
      <c r="A414" s="1" t="s">
        <v>66</v>
      </c>
      <c r="B414" s="1" t="s">
        <v>5769</v>
      </c>
      <c r="C414" s="1" t="s">
        <v>5800</v>
      </c>
      <c r="D414" s="1" t="s">
        <v>2870</v>
      </c>
      <c r="E414" s="1" t="s">
        <v>5789</v>
      </c>
      <c r="F414" s="1" t="s">
        <v>5792</v>
      </c>
      <c r="G414" s="1" t="s">
        <v>74</v>
      </c>
      <c r="H414" s="1" t="s">
        <v>5796</v>
      </c>
      <c r="I414" s="1" t="s">
        <v>101</v>
      </c>
      <c r="J414" s="1" t="s">
        <v>2878</v>
      </c>
      <c r="K414" s="1" t="s">
        <v>165</v>
      </c>
      <c r="L414" s="4">
        <v>36999</v>
      </c>
      <c r="M414" s="1" t="s">
        <v>1082</v>
      </c>
    </row>
    <row r="415" spans="1:13" ht="15.75" customHeight="1" x14ac:dyDescent="0.35">
      <c r="A415" s="1" t="s">
        <v>234</v>
      </c>
      <c r="B415" s="1" t="s">
        <v>5758</v>
      </c>
      <c r="C415" s="1" t="s">
        <v>5794</v>
      </c>
      <c r="D415" s="1" t="s">
        <v>3231</v>
      </c>
      <c r="E415" s="1" t="s">
        <v>3816</v>
      </c>
      <c r="F415" s="1" t="s">
        <v>5795</v>
      </c>
      <c r="G415" s="1" t="s">
        <v>74</v>
      </c>
      <c r="H415" s="1" t="s">
        <v>5796</v>
      </c>
      <c r="I415" s="1" t="s">
        <v>90</v>
      </c>
      <c r="J415" s="1" t="s">
        <v>503</v>
      </c>
      <c r="K415" s="1" t="s">
        <v>165</v>
      </c>
      <c r="L415" s="4">
        <v>30999</v>
      </c>
      <c r="M415" s="1" t="s">
        <v>1082</v>
      </c>
    </row>
    <row r="416" spans="1:13" ht="15.75" customHeight="1" x14ac:dyDescent="0.35">
      <c r="A416" s="1" t="s">
        <v>234</v>
      </c>
      <c r="B416" s="1" t="s">
        <v>5756</v>
      </c>
      <c r="C416" s="1" t="s">
        <v>5808</v>
      </c>
      <c r="D416" s="1" t="s">
        <v>2870</v>
      </c>
      <c r="E416" s="1" t="s">
        <v>599</v>
      </c>
      <c r="F416" s="1" t="s">
        <v>5792</v>
      </c>
      <c r="G416" s="1" t="s">
        <v>74</v>
      </c>
      <c r="H416" s="1" t="s">
        <v>2323</v>
      </c>
      <c r="I416" s="1" t="s">
        <v>90</v>
      </c>
      <c r="J416" s="1" t="s">
        <v>503</v>
      </c>
      <c r="K416" s="1" t="s">
        <v>165</v>
      </c>
      <c r="L416" s="4">
        <v>49999</v>
      </c>
      <c r="M416" s="1" t="s">
        <v>5735</v>
      </c>
    </row>
    <row r="417" spans="1:13" ht="15.75" customHeight="1" x14ac:dyDescent="0.35">
      <c r="A417" s="1" t="s">
        <v>234</v>
      </c>
      <c r="B417" s="1" t="s">
        <v>5757</v>
      </c>
      <c r="C417" s="1" t="s">
        <v>5806</v>
      </c>
      <c r="D417" s="1" t="s">
        <v>3816</v>
      </c>
      <c r="E417" s="1" t="s">
        <v>5799</v>
      </c>
      <c r="F417" s="1" t="s">
        <v>5792</v>
      </c>
      <c r="G417" s="1" t="s">
        <v>1371</v>
      </c>
      <c r="H417" s="1" t="s">
        <v>200</v>
      </c>
      <c r="I417" s="1" t="s">
        <v>90</v>
      </c>
      <c r="J417" s="1" t="s">
        <v>230</v>
      </c>
      <c r="K417" s="1" t="s">
        <v>165</v>
      </c>
      <c r="L417" s="4">
        <v>69999</v>
      </c>
      <c r="M417" s="1" t="s">
        <v>5735</v>
      </c>
    </row>
    <row r="418" spans="1:13" ht="15.75" customHeight="1" x14ac:dyDescent="0.35">
      <c r="A418" s="1" t="s">
        <v>234</v>
      </c>
      <c r="B418" s="1" t="s">
        <v>5756</v>
      </c>
      <c r="C418" s="1" t="s">
        <v>5788</v>
      </c>
      <c r="D418" s="1" t="s">
        <v>5807</v>
      </c>
      <c r="E418" s="1" t="s">
        <v>5799</v>
      </c>
      <c r="F418" s="1" t="s">
        <v>5792</v>
      </c>
      <c r="G418" s="1" t="s">
        <v>224</v>
      </c>
      <c r="H418" s="1" t="s">
        <v>200</v>
      </c>
      <c r="I418" s="1" t="s">
        <v>90</v>
      </c>
      <c r="J418" s="1" t="s">
        <v>329</v>
      </c>
      <c r="K418" s="1" t="s">
        <v>165</v>
      </c>
      <c r="L418" s="4">
        <v>124999</v>
      </c>
      <c r="M418" s="1" t="s">
        <v>79</v>
      </c>
    </row>
    <row r="419" spans="1:13" ht="15.75" customHeight="1" x14ac:dyDescent="0.35">
      <c r="A419" s="1" t="s">
        <v>30</v>
      </c>
      <c r="B419" s="1" t="s">
        <v>5810</v>
      </c>
      <c r="C419" s="1" t="s">
        <v>5794</v>
      </c>
      <c r="D419" s="1" t="s">
        <v>3231</v>
      </c>
      <c r="E419" s="1" t="s">
        <v>3816</v>
      </c>
      <c r="F419" s="1" t="s">
        <v>5792</v>
      </c>
      <c r="G419" s="1" t="s">
        <v>74</v>
      </c>
      <c r="H419" s="1" t="s">
        <v>5735</v>
      </c>
      <c r="I419" s="1" t="s">
        <v>101</v>
      </c>
      <c r="J419" s="1" t="s">
        <v>376</v>
      </c>
      <c r="K419" s="1" t="s">
        <v>78</v>
      </c>
      <c r="L419" s="4">
        <v>24499</v>
      </c>
      <c r="M419" s="1" t="s">
        <v>2181</v>
      </c>
    </row>
    <row r="420" spans="1:13" ht="15.75" customHeight="1" x14ac:dyDescent="0.35">
      <c r="A420" s="1" t="s">
        <v>30</v>
      </c>
      <c r="B420" s="1" t="s">
        <v>5771</v>
      </c>
      <c r="C420" s="1" t="s">
        <v>5800</v>
      </c>
      <c r="D420" s="1" t="s">
        <v>2870</v>
      </c>
      <c r="E420" s="1" t="s">
        <v>599</v>
      </c>
      <c r="F420" s="1" t="s">
        <v>5792</v>
      </c>
      <c r="G420" s="1" t="s">
        <v>74</v>
      </c>
      <c r="H420" s="1" t="s">
        <v>5796</v>
      </c>
      <c r="I420" s="1" t="s">
        <v>90</v>
      </c>
      <c r="J420" s="1" t="s">
        <v>652</v>
      </c>
      <c r="K420" s="1" t="s">
        <v>78</v>
      </c>
      <c r="L420" s="4">
        <v>41999</v>
      </c>
      <c r="M420" s="1" t="s">
        <v>1082</v>
      </c>
    </row>
    <row r="421" spans="1:13" ht="15.75" customHeight="1" x14ac:dyDescent="0.35">
      <c r="A421" s="1" t="s">
        <v>234</v>
      </c>
      <c r="B421" s="1" t="s">
        <v>5810</v>
      </c>
      <c r="C421" s="1" t="s">
        <v>5800</v>
      </c>
      <c r="D421" s="1" t="s">
        <v>2870</v>
      </c>
      <c r="E421" s="1" t="s">
        <v>599</v>
      </c>
      <c r="F421" s="1" t="s">
        <v>5795</v>
      </c>
      <c r="G421" s="1" t="s">
        <v>74</v>
      </c>
      <c r="H421" s="1" t="s">
        <v>5796</v>
      </c>
      <c r="I421" s="1" t="s">
        <v>90</v>
      </c>
      <c r="J421" s="1" t="s">
        <v>1670</v>
      </c>
      <c r="K421" s="1" t="s">
        <v>165</v>
      </c>
      <c r="L421" s="4">
        <v>42500</v>
      </c>
      <c r="M421" s="1" t="s">
        <v>166</v>
      </c>
    </row>
    <row r="422" spans="1:13" ht="15.75" customHeight="1" x14ac:dyDescent="0.35">
      <c r="A422" s="1" t="s">
        <v>30</v>
      </c>
      <c r="B422" s="1" t="s">
        <v>5771</v>
      </c>
      <c r="C422" s="1" t="s">
        <v>5800</v>
      </c>
      <c r="D422" s="1" t="s">
        <v>3816</v>
      </c>
      <c r="E422" s="1" t="s">
        <v>599</v>
      </c>
      <c r="F422" s="1" t="s">
        <v>5792</v>
      </c>
      <c r="G422" s="1" t="s">
        <v>74</v>
      </c>
      <c r="H422" s="1" t="s">
        <v>200</v>
      </c>
      <c r="I422" s="1" t="s">
        <v>90</v>
      </c>
      <c r="J422" s="1" t="s">
        <v>652</v>
      </c>
      <c r="K422" s="1" t="s">
        <v>78</v>
      </c>
      <c r="L422" s="4">
        <v>57799</v>
      </c>
      <c r="M422" s="1" t="s">
        <v>166</v>
      </c>
    </row>
    <row r="423" spans="1:13" ht="15.75" customHeight="1" x14ac:dyDescent="0.35">
      <c r="A423" s="1" t="s">
        <v>30</v>
      </c>
      <c r="B423" s="1" t="s">
        <v>5771</v>
      </c>
      <c r="C423" s="1" t="s">
        <v>5800</v>
      </c>
      <c r="D423" s="1" t="s">
        <v>3816</v>
      </c>
      <c r="E423" s="1" t="s">
        <v>599</v>
      </c>
      <c r="F423" s="1" t="s">
        <v>5792</v>
      </c>
      <c r="G423" s="1" t="s">
        <v>74</v>
      </c>
      <c r="H423" s="1" t="s">
        <v>5796</v>
      </c>
      <c r="I423" s="1" t="s">
        <v>90</v>
      </c>
      <c r="J423" s="1" t="s">
        <v>652</v>
      </c>
      <c r="K423" s="1" t="s">
        <v>78</v>
      </c>
      <c r="L423" s="4">
        <v>70000</v>
      </c>
      <c r="M423" s="1" t="s">
        <v>166</v>
      </c>
    </row>
    <row r="424" spans="1:13" ht="15.75" customHeight="1" x14ac:dyDescent="0.35">
      <c r="A424" s="1" t="s">
        <v>30</v>
      </c>
      <c r="B424" s="1" t="s">
        <v>5810</v>
      </c>
      <c r="C424" s="1" t="s">
        <v>5800</v>
      </c>
      <c r="D424" s="1" t="s">
        <v>3231</v>
      </c>
      <c r="E424" s="1" t="s">
        <v>599</v>
      </c>
      <c r="F424" s="1" t="s">
        <v>5792</v>
      </c>
      <c r="G424" s="1" t="s">
        <v>74</v>
      </c>
      <c r="H424" s="1" t="s">
        <v>5796</v>
      </c>
      <c r="I424" s="1" t="s">
        <v>1722</v>
      </c>
      <c r="J424" s="1" t="s">
        <v>376</v>
      </c>
      <c r="K424" s="1" t="s">
        <v>78</v>
      </c>
      <c r="L424" s="4">
        <v>35480</v>
      </c>
      <c r="M424" s="1" t="s">
        <v>2181</v>
      </c>
    </row>
    <row r="425" spans="1:13" ht="15.75" customHeight="1" x14ac:dyDescent="0.35">
      <c r="A425" s="1" t="s">
        <v>30</v>
      </c>
      <c r="B425" s="1" t="s">
        <v>5810</v>
      </c>
      <c r="C425" s="1" t="s">
        <v>5800</v>
      </c>
      <c r="D425" s="1" t="s">
        <v>3231</v>
      </c>
      <c r="E425" s="1" t="s">
        <v>599</v>
      </c>
      <c r="F425" s="1" t="s">
        <v>5792</v>
      </c>
      <c r="G425" s="1" t="s">
        <v>74</v>
      </c>
      <c r="H425" s="1" t="s">
        <v>5796</v>
      </c>
      <c r="I425" s="1" t="s">
        <v>90</v>
      </c>
      <c r="J425" s="1" t="s">
        <v>376</v>
      </c>
      <c r="K425" s="1" t="s">
        <v>78</v>
      </c>
      <c r="L425" s="4">
        <v>36959</v>
      </c>
      <c r="M425" s="1" t="s">
        <v>1082</v>
      </c>
    </row>
    <row r="426" spans="1:13" ht="15.75" customHeight="1" x14ac:dyDescent="0.35">
      <c r="A426" s="1" t="s">
        <v>234</v>
      </c>
      <c r="B426" s="1" t="s">
        <v>5810</v>
      </c>
      <c r="C426" s="1" t="s">
        <v>5808</v>
      </c>
      <c r="D426" s="1" t="s">
        <v>2870</v>
      </c>
      <c r="E426" s="1" t="s">
        <v>599</v>
      </c>
      <c r="F426" s="1" t="s">
        <v>5795</v>
      </c>
      <c r="G426" s="1" t="s">
        <v>224</v>
      </c>
      <c r="H426" s="1" t="s">
        <v>5793</v>
      </c>
      <c r="I426" s="1" t="s">
        <v>90</v>
      </c>
      <c r="J426" s="1" t="s">
        <v>1670</v>
      </c>
      <c r="K426" s="1" t="s">
        <v>165</v>
      </c>
      <c r="L426" s="4">
        <v>69999</v>
      </c>
      <c r="M426" s="1" t="s">
        <v>5735</v>
      </c>
    </row>
    <row r="427" spans="1:13" ht="15.75" customHeight="1" x14ac:dyDescent="0.35">
      <c r="A427" s="1" t="s">
        <v>234</v>
      </c>
      <c r="B427" s="1" t="s">
        <v>5758</v>
      </c>
      <c r="C427" s="1" t="s">
        <v>5800</v>
      </c>
      <c r="D427" s="1" t="s">
        <v>2870</v>
      </c>
      <c r="E427" s="1" t="s">
        <v>599</v>
      </c>
      <c r="F427" s="1" t="s">
        <v>5792</v>
      </c>
      <c r="G427" s="1" t="s">
        <v>74</v>
      </c>
      <c r="H427" s="1" t="s">
        <v>5793</v>
      </c>
      <c r="I427" s="1" t="s">
        <v>90</v>
      </c>
      <c r="J427" s="1" t="s">
        <v>2878</v>
      </c>
      <c r="K427" s="1" t="s">
        <v>165</v>
      </c>
      <c r="L427" s="4">
        <v>44449</v>
      </c>
      <c r="M427" s="1" t="s">
        <v>166</v>
      </c>
    </row>
    <row r="428" spans="1:13" ht="15.75" customHeight="1" x14ac:dyDescent="0.35">
      <c r="A428" s="1" t="s">
        <v>234</v>
      </c>
      <c r="B428" s="1" t="s">
        <v>5810</v>
      </c>
      <c r="C428" s="1" t="s">
        <v>5808</v>
      </c>
      <c r="D428" s="1" t="s">
        <v>3231</v>
      </c>
      <c r="E428" s="1" t="s">
        <v>599</v>
      </c>
      <c r="F428" s="1" t="s">
        <v>5795</v>
      </c>
      <c r="G428" s="1" t="s">
        <v>224</v>
      </c>
      <c r="H428" s="1" t="s">
        <v>5793</v>
      </c>
      <c r="I428" s="1" t="s">
        <v>90</v>
      </c>
      <c r="J428" s="1" t="s">
        <v>2045</v>
      </c>
      <c r="K428" s="1" t="s">
        <v>165</v>
      </c>
      <c r="L428" s="4">
        <v>64999</v>
      </c>
      <c r="M428" s="1" t="s">
        <v>5735</v>
      </c>
    </row>
    <row r="429" spans="1:13" ht="15.75" customHeight="1" x14ac:dyDescent="0.35">
      <c r="A429" s="1" t="s">
        <v>151</v>
      </c>
      <c r="B429" s="1" t="s">
        <v>5763</v>
      </c>
      <c r="C429" s="1" t="s">
        <v>5800</v>
      </c>
      <c r="D429" s="1" t="s">
        <v>3231</v>
      </c>
      <c r="E429" s="1" t="s">
        <v>599</v>
      </c>
      <c r="F429" s="1" t="s">
        <v>5795</v>
      </c>
      <c r="G429" s="1" t="s">
        <v>74</v>
      </c>
      <c r="H429" s="1" t="s">
        <v>111</v>
      </c>
      <c r="I429" s="1" t="s">
        <v>101</v>
      </c>
      <c r="J429" s="1" t="s">
        <v>652</v>
      </c>
      <c r="K429" s="1" t="s">
        <v>78</v>
      </c>
      <c r="L429" s="4">
        <v>29999</v>
      </c>
      <c r="M429" s="1" t="s">
        <v>1082</v>
      </c>
    </row>
    <row r="430" spans="1:13" ht="15.75" customHeight="1" x14ac:dyDescent="0.35">
      <c r="A430" s="1" t="s">
        <v>66</v>
      </c>
      <c r="B430" s="1" t="s">
        <v>5768</v>
      </c>
      <c r="C430" s="1" t="s">
        <v>5794</v>
      </c>
      <c r="D430" s="1" t="s">
        <v>3231</v>
      </c>
      <c r="E430" s="1" t="s">
        <v>3816</v>
      </c>
      <c r="F430" s="1" t="s">
        <v>5830</v>
      </c>
      <c r="G430" s="1" t="s">
        <v>74</v>
      </c>
      <c r="H430" s="1" t="s">
        <v>5735</v>
      </c>
      <c r="I430" s="1" t="s">
        <v>101</v>
      </c>
      <c r="J430" s="1" t="s">
        <v>3713</v>
      </c>
      <c r="K430" s="1" t="s">
        <v>165</v>
      </c>
      <c r="L430" s="4">
        <v>24199</v>
      </c>
      <c r="M430" s="1" t="s">
        <v>166</v>
      </c>
    </row>
    <row r="431" spans="1:13" ht="15.75" customHeight="1" x14ac:dyDescent="0.35">
      <c r="A431" s="1" t="s">
        <v>66</v>
      </c>
      <c r="B431" s="1" t="s">
        <v>5768</v>
      </c>
      <c r="C431" s="1" t="s">
        <v>5800</v>
      </c>
      <c r="D431" s="1" t="s">
        <v>3231</v>
      </c>
      <c r="E431" s="1" t="s">
        <v>3816</v>
      </c>
      <c r="F431" s="1" t="s">
        <v>5795</v>
      </c>
      <c r="G431" s="1" t="s">
        <v>74</v>
      </c>
      <c r="H431" s="1" t="s">
        <v>5735</v>
      </c>
      <c r="I431" s="1" t="s">
        <v>101</v>
      </c>
      <c r="J431" s="1" t="s">
        <v>3713</v>
      </c>
      <c r="K431" s="1" t="s">
        <v>165</v>
      </c>
      <c r="L431" s="4">
        <v>25700</v>
      </c>
      <c r="M431" s="1" t="s">
        <v>166</v>
      </c>
    </row>
    <row r="432" spans="1:13" ht="15.75" customHeight="1" x14ac:dyDescent="0.35">
      <c r="A432" s="1" t="s">
        <v>66</v>
      </c>
      <c r="B432" s="1" t="s">
        <v>5768</v>
      </c>
      <c r="C432" s="1" t="s">
        <v>5815</v>
      </c>
      <c r="D432" s="1" t="s">
        <v>3231</v>
      </c>
      <c r="E432" s="1" t="s">
        <v>3816</v>
      </c>
      <c r="F432" s="1" t="s">
        <v>5795</v>
      </c>
      <c r="G432" s="1" t="s">
        <v>74</v>
      </c>
      <c r="H432" s="1" t="s">
        <v>5735</v>
      </c>
      <c r="I432" s="1" t="s">
        <v>101</v>
      </c>
      <c r="J432" s="1" t="s">
        <v>5705</v>
      </c>
      <c r="K432" s="1" t="s">
        <v>165</v>
      </c>
      <c r="L432" s="4">
        <v>25299</v>
      </c>
      <c r="M432" s="1" t="s">
        <v>5735</v>
      </c>
    </row>
    <row r="433" spans="1:13" ht="15.75" customHeight="1" x14ac:dyDescent="0.35">
      <c r="A433" s="1" t="s">
        <v>66</v>
      </c>
      <c r="B433" s="1" t="s">
        <v>5768</v>
      </c>
      <c r="C433" s="1" t="s">
        <v>5808</v>
      </c>
      <c r="D433" s="1" t="s">
        <v>3231</v>
      </c>
      <c r="E433" s="1" t="s">
        <v>599</v>
      </c>
      <c r="F433" s="1" t="s">
        <v>5795</v>
      </c>
      <c r="G433" s="1" t="s">
        <v>74</v>
      </c>
      <c r="H433" s="1" t="s">
        <v>5796</v>
      </c>
      <c r="I433" s="1" t="s">
        <v>101</v>
      </c>
      <c r="J433" s="1" t="s">
        <v>5705</v>
      </c>
      <c r="K433" s="1" t="s">
        <v>165</v>
      </c>
      <c r="L433" s="4">
        <v>32499</v>
      </c>
      <c r="M433" s="1" t="s">
        <v>5735</v>
      </c>
    </row>
    <row r="434" spans="1:13" ht="15.75" customHeight="1" x14ac:dyDescent="0.35">
      <c r="A434" s="1" t="s">
        <v>234</v>
      </c>
      <c r="B434" s="1" t="s">
        <v>5810</v>
      </c>
      <c r="C434" s="1" t="s">
        <v>5800</v>
      </c>
      <c r="D434" s="1" t="s">
        <v>3231</v>
      </c>
      <c r="E434" s="1" t="s">
        <v>599</v>
      </c>
      <c r="F434" s="1" t="s">
        <v>5795</v>
      </c>
      <c r="G434" s="1" t="s">
        <v>74</v>
      </c>
      <c r="H434" s="1" t="s">
        <v>5796</v>
      </c>
      <c r="I434" s="1" t="s">
        <v>90</v>
      </c>
      <c r="J434" s="1" t="s">
        <v>1670</v>
      </c>
      <c r="K434" s="1" t="s">
        <v>165</v>
      </c>
      <c r="L434" s="4">
        <v>36000</v>
      </c>
      <c r="M434" s="1" t="s">
        <v>166</v>
      </c>
    </row>
    <row r="435" spans="1:13" ht="15.75" customHeight="1" x14ac:dyDescent="0.35">
      <c r="A435" s="1" t="s">
        <v>151</v>
      </c>
      <c r="B435" s="1" t="s">
        <v>5763</v>
      </c>
      <c r="C435" s="1" t="s">
        <v>5800</v>
      </c>
      <c r="D435" s="1" t="s">
        <v>2870</v>
      </c>
      <c r="E435" s="1" t="s">
        <v>599</v>
      </c>
      <c r="F435" s="1" t="s">
        <v>5795</v>
      </c>
      <c r="G435" s="1" t="s">
        <v>74</v>
      </c>
      <c r="H435" s="1" t="s">
        <v>111</v>
      </c>
      <c r="I435" s="1" t="s">
        <v>101</v>
      </c>
      <c r="J435" s="1" t="s">
        <v>5826</v>
      </c>
      <c r="K435" s="1" t="s">
        <v>78</v>
      </c>
      <c r="L435" s="4">
        <v>60499</v>
      </c>
      <c r="M435" s="1" t="s">
        <v>166</v>
      </c>
    </row>
    <row r="436" spans="1:13" ht="15.75" customHeight="1" x14ac:dyDescent="0.35">
      <c r="A436" s="1" t="s">
        <v>234</v>
      </c>
      <c r="B436" s="1" t="s">
        <v>5758</v>
      </c>
      <c r="C436" s="1" t="s">
        <v>5815</v>
      </c>
      <c r="D436" s="1" t="s">
        <v>3231</v>
      </c>
      <c r="E436" s="1" t="s">
        <v>3816</v>
      </c>
      <c r="F436" s="1" t="s">
        <v>5795</v>
      </c>
      <c r="G436" s="1" t="s">
        <v>74</v>
      </c>
      <c r="H436" s="1" t="s">
        <v>5796</v>
      </c>
      <c r="I436" s="1" t="s">
        <v>90</v>
      </c>
      <c r="J436" s="1" t="s">
        <v>503</v>
      </c>
      <c r="K436" s="1" t="s">
        <v>78</v>
      </c>
      <c r="L436" s="4">
        <v>20999</v>
      </c>
      <c r="M436" s="1" t="s">
        <v>5735</v>
      </c>
    </row>
    <row r="437" spans="1:13" ht="15.75" customHeight="1" x14ac:dyDescent="0.35">
      <c r="A437" s="1" t="s">
        <v>234</v>
      </c>
      <c r="B437" s="1" t="s">
        <v>5758</v>
      </c>
      <c r="C437" s="1" t="s">
        <v>5815</v>
      </c>
      <c r="D437" s="1" t="s">
        <v>3231</v>
      </c>
      <c r="E437" s="1" t="s">
        <v>3816</v>
      </c>
      <c r="F437" s="1" t="s">
        <v>5795</v>
      </c>
      <c r="G437" s="1" t="s">
        <v>74</v>
      </c>
      <c r="H437" s="1" t="s">
        <v>5796</v>
      </c>
      <c r="I437" s="1" t="s">
        <v>90</v>
      </c>
      <c r="J437" s="1" t="s">
        <v>503</v>
      </c>
      <c r="K437" s="1" t="s">
        <v>165</v>
      </c>
      <c r="L437" s="4">
        <v>23100</v>
      </c>
      <c r="M437" s="1" t="s">
        <v>5735</v>
      </c>
    </row>
    <row r="438" spans="1:13" ht="15.75" customHeight="1" x14ac:dyDescent="0.35">
      <c r="A438" s="1" t="s">
        <v>30</v>
      </c>
      <c r="B438" s="1" t="s">
        <v>5810</v>
      </c>
      <c r="C438" s="1" t="s">
        <v>5800</v>
      </c>
      <c r="D438" s="1" t="s">
        <v>3231</v>
      </c>
      <c r="E438" s="1" t="s">
        <v>3816</v>
      </c>
      <c r="F438" s="1" t="s">
        <v>5830</v>
      </c>
      <c r="G438" s="1" t="s">
        <v>74</v>
      </c>
      <c r="H438" s="1" t="s">
        <v>5735</v>
      </c>
      <c r="I438" s="1" t="s">
        <v>101</v>
      </c>
      <c r="J438" s="1" t="s">
        <v>376</v>
      </c>
      <c r="K438" s="1" t="s">
        <v>78</v>
      </c>
      <c r="L438" s="4">
        <v>32000</v>
      </c>
      <c r="M438" s="1" t="s">
        <v>2181</v>
      </c>
    </row>
    <row r="439" spans="1:13" ht="15.75" customHeight="1" x14ac:dyDescent="0.35">
      <c r="A439" s="1" t="s">
        <v>112</v>
      </c>
      <c r="B439" s="1" t="s">
        <v>5753</v>
      </c>
      <c r="C439" s="1" t="s">
        <v>5800</v>
      </c>
      <c r="D439" s="1" t="s">
        <v>2870</v>
      </c>
      <c r="E439" s="1" t="s">
        <v>599</v>
      </c>
      <c r="F439" s="1" t="s">
        <v>5792</v>
      </c>
      <c r="G439" s="1" t="s">
        <v>74</v>
      </c>
      <c r="H439" s="1" t="s">
        <v>5796</v>
      </c>
      <c r="I439" s="1" t="s">
        <v>101</v>
      </c>
      <c r="J439" s="1" t="s">
        <v>2011</v>
      </c>
      <c r="K439" s="1" t="s">
        <v>78</v>
      </c>
      <c r="L439" s="4">
        <v>49999</v>
      </c>
      <c r="M439" s="1" t="s">
        <v>166</v>
      </c>
    </row>
    <row r="440" spans="1:13" ht="15.75" customHeight="1" x14ac:dyDescent="0.35">
      <c r="A440" s="1" t="s">
        <v>112</v>
      </c>
      <c r="B440" s="1" t="s">
        <v>5753</v>
      </c>
      <c r="C440" s="1" t="s">
        <v>5815</v>
      </c>
      <c r="D440" s="1" t="s">
        <v>3231</v>
      </c>
      <c r="E440" s="1" t="s">
        <v>3816</v>
      </c>
      <c r="F440" s="1" t="s">
        <v>5795</v>
      </c>
      <c r="G440" s="1" t="s">
        <v>74</v>
      </c>
      <c r="H440" s="1" t="s">
        <v>5735</v>
      </c>
      <c r="I440" s="1" t="s">
        <v>90</v>
      </c>
      <c r="J440" s="1" t="s">
        <v>2011</v>
      </c>
      <c r="K440" s="1" t="s">
        <v>78</v>
      </c>
      <c r="L440" s="4">
        <v>24999</v>
      </c>
      <c r="M440" s="1" t="s">
        <v>5735</v>
      </c>
    </row>
    <row r="441" spans="1:13" ht="15.75" customHeight="1" x14ac:dyDescent="0.35">
      <c r="A441" s="1" t="s">
        <v>66</v>
      </c>
      <c r="B441" s="1" t="s">
        <v>5769</v>
      </c>
      <c r="C441" s="1" t="s">
        <v>5794</v>
      </c>
      <c r="D441" s="1" t="s">
        <v>3231</v>
      </c>
      <c r="E441" s="1" t="s">
        <v>599</v>
      </c>
      <c r="F441" s="1" t="s">
        <v>5795</v>
      </c>
      <c r="G441" s="1" t="s">
        <v>74</v>
      </c>
      <c r="H441" s="1" t="s">
        <v>5796</v>
      </c>
      <c r="I441" s="1" t="s">
        <v>1722</v>
      </c>
      <c r="J441" s="1" t="s">
        <v>63</v>
      </c>
      <c r="K441" s="1" t="s">
        <v>78</v>
      </c>
      <c r="L441" s="4">
        <v>24499</v>
      </c>
      <c r="M441" s="1" t="s">
        <v>1082</v>
      </c>
    </row>
    <row r="442" spans="1:13" ht="15.75" customHeight="1" x14ac:dyDescent="0.35">
      <c r="A442" s="1" t="s">
        <v>81</v>
      </c>
      <c r="B442" s="1" t="s">
        <v>5810</v>
      </c>
      <c r="C442" s="1" t="s">
        <v>5794</v>
      </c>
      <c r="D442" s="1" t="s">
        <v>3231</v>
      </c>
      <c r="E442" s="1" t="s">
        <v>3816</v>
      </c>
      <c r="F442" s="1" t="s">
        <v>5795</v>
      </c>
      <c r="G442" s="1" t="s">
        <v>74</v>
      </c>
      <c r="H442" s="1" t="s">
        <v>111</v>
      </c>
      <c r="I442" s="1" t="s">
        <v>90</v>
      </c>
      <c r="J442" s="1" t="s">
        <v>5832</v>
      </c>
      <c r="K442" s="1" t="s">
        <v>78</v>
      </c>
      <c r="L442" s="4">
        <v>47777</v>
      </c>
      <c r="M442" s="1" t="s">
        <v>1082</v>
      </c>
    </row>
    <row r="443" spans="1:13" ht="15.75" customHeight="1" x14ac:dyDescent="0.35">
      <c r="A443" s="1" t="s">
        <v>112</v>
      </c>
      <c r="B443" s="1" t="s">
        <v>5754</v>
      </c>
      <c r="C443" s="1" t="s">
        <v>5794</v>
      </c>
      <c r="D443" s="1" t="s">
        <v>3231</v>
      </c>
      <c r="E443" s="1" t="s">
        <v>599</v>
      </c>
      <c r="F443" s="1" t="s">
        <v>5795</v>
      </c>
      <c r="G443" s="1" t="s">
        <v>74</v>
      </c>
      <c r="H443" s="1" t="s">
        <v>5735</v>
      </c>
      <c r="I443" s="1" t="s">
        <v>90</v>
      </c>
      <c r="J443" s="1" t="s">
        <v>503</v>
      </c>
      <c r="K443" s="1" t="s">
        <v>78</v>
      </c>
      <c r="L443" s="4">
        <v>28999</v>
      </c>
      <c r="M443" s="1" t="s">
        <v>1082</v>
      </c>
    </row>
    <row r="444" spans="1:13" ht="15.75" customHeight="1" x14ac:dyDescent="0.35">
      <c r="A444" s="1" t="s">
        <v>112</v>
      </c>
      <c r="B444" s="1" t="s">
        <v>5753</v>
      </c>
      <c r="C444" s="1" t="s">
        <v>5800</v>
      </c>
      <c r="D444" s="1" t="s">
        <v>2870</v>
      </c>
      <c r="E444" s="1" t="s">
        <v>599</v>
      </c>
      <c r="F444" s="1" t="s">
        <v>5792</v>
      </c>
      <c r="G444" s="1" t="s">
        <v>74</v>
      </c>
      <c r="H444" s="1" t="s">
        <v>5796</v>
      </c>
      <c r="I444" s="1" t="s">
        <v>101</v>
      </c>
      <c r="J444" s="1" t="s">
        <v>2483</v>
      </c>
      <c r="K444" s="1" t="s">
        <v>78</v>
      </c>
      <c r="L444" s="4">
        <v>37800</v>
      </c>
      <c r="M444" s="1" t="s">
        <v>1082</v>
      </c>
    </row>
    <row r="445" spans="1:13" ht="15.75" customHeight="1" x14ac:dyDescent="0.35">
      <c r="A445" s="1" t="s">
        <v>112</v>
      </c>
      <c r="B445" s="1" t="s">
        <v>5753</v>
      </c>
      <c r="C445" s="1" t="s">
        <v>5800</v>
      </c>
      <c r="D445" s="1" t="s">
        <v>3231</v>
      </c>
      <c r="E445" s="1" t="s">
        <v>599</v>
      </c>
      <c r="F445" s="1" t="s">
        <v>5795</v>
      </c>
      <c r="G445" s="1" t="s">
        <v>74</v>
      </c>
      <c r="H445" s="1" t="s">
        <v>5796</v>
      </c>
      <c r="I445" s="1" t="s">
        <v>90</v>
      </c>
      <c r="J445" s="1" t="s">
        <v>2011</v>
      </c>
      <c r="K445" s="1" t="s">
        <v>78</v>
      </c>
      <c r="L445" s="4">
        <v>47500</v>
      </c>
      <c r="M445" s="1" t="s">
        <v>166</v>
      </c>
    </row>
    <row r="446" spans="1:13" ht="15.75" customHeight="1" x14ac:dyDescent="0.35">
      <c r="A446" s="1" t="s">
        <v>234</v>
      </c>
      <c r="B446" s="1" t="s">
        <v>5756</v>
      </c>
      <c r="C446" s="1" t="s">
        <v>5808</v>
      </c>
      <c r="D446" s="1" t="s">
        <v>3231</v>
      </c>
      <c r="E446" s="1" t="s">
        <v>599</v>
      </c>
      <c r="F446" s="1" t="s">
        <v>5795</v>
      </c>
      <c r="G446" s="1" t="s">
        <v>74</v>
      </c>
      <c r="H446" s="1" t="s">
        <v>5796</v>
      </c>
      <c r="I446" s="1" t="s">
        <v>90</v>
      </c>
      <c r="J446" s="1" t="s">
        <v>2045</v>
      </c>
      <c r="K446" s="1" t="s">
        <v>165</v>
      </c>
      <c r="L446" s="4">
        <v>57666</v>
      </c>
      <c r="M446" s="1" t="s">
        <v>5735</v>
      </c>
    </row>
    <row r="447" spans="1:13" ht="15.75" customHeight="1" x14ac:dyDescent="0.35">
      <c r="A447" s="1" t="s">
        <v>151</v>
      </c>
      <c r="B447" s="1" t="s">
        <v>5760</v>
      </c>
      <c r="C447" s="1" t="s">
        <v>5800</v>
      </c>
      <c r="D447" s="1" t="s">
        <v>3816</v>
      </c>
      <c r="E447" s="1" t="s">
        <v>599</v>
      </c>
      <c r="F447" s="1" t="s">
        <v>5792</v>
      </c>
      <c r="G447" s="1" t="s">
        <v>1371</v>
      </c>
      <c r="H447" s="1" t="s">
        <v>5793</v>
      </c>
      <c r="I447" s="1" t="s">
        <v>101</v>
      </c>
      <c r="J447" s="1" t="s">
        <v>63</v>
      </c>
      <c r="K447" s="1" t="s">
        <v>78</v>
      </c>
      <c r="L447" s="4">
        <v>49999</v>
      </c>
      <c r="M447" s="1" t="s">
        <v>1082</v>
      </c>
    </row>
    <row r="448" spans="1:13" ht="15.75" customHeight="1" x14ac:dyDescent="0.35">
      <c r="A448" s="1" t="s">
        <v>151</v>
      </c>
      <c r="B448" s="1" t="s">
        <v>5760</v>
      </c>
      <c r="C448" s="1" t="s">
        <v>5808</v>
      </c>
      <c r="D448" s="1" t="s">
        <v>3816</v>
      </c>
      <c r="E448" s="1" t="s">
        <v>599</v>
      </c>
      <c r="F448" s="1" t="s">
        <v>5795</v>
      </c>
      <c r="G448" s="1" t="s">
        <v>224</v>
      </c>
      <c r="H448" s="1" t="s">
        <v>5793</v>
      </c>
      <c r="I448" s="1" t="s">
        <v>90</v>
      </c>
      <c r="J448" s="1" t="s">
        <v>2517</v>
      </c>
      <c r="K448" s="1" t="s">
        <v>78</v>
      </c>
      <c r="L448" s="4">
        <v>53999</v>
      </c>
      <c r="M448" s="1" t="s">
        <v>5735</v>
      </c>
    </row>
    <row r="449" spans="1:13" ht="15.75" customHeight="1" x14ac:dyDescent="0.35">
      <c r="A449" s="1" t="s">
        <v>81</v>
      </c>
      <c r="B449" s="1" t="s">
        <v>5810</v>
      </c>
      <c r="C449" s="1" t="s">
        <v>5794</v>
      </c>
      <c r="D449" s="1" t="s">
        <v>3231</v>
      </c>
      <c r="E449" s="1" t="s">
        <v>3816</v>
      </c>
      <c r="F449" s="1" t="s">
        <v>5795</v>
      </c>
      <c r="G449" s="1" t="s">
        <v>74</v>
      </c>
      <c r="H449" s="1" t="s">
        <v>111</v>
      </c>
      <c r="I449" s="1" t="s">
        <v>101</v>
      </c>
      <c r="J449" s="1" t="s">
        <v>5832</v>
      </c>
      <c r="K449" s="1" t="s">
        <v>78</v>
      </c>
      <c r="L449" s="4">
        <v>33999</v>
      </c>
      <c r="M449" s="1" t="s">
        <v>1082</v>
      </c>
    </row>
    <row r="450" spans="1:13" ht="15.75" customHeight="1" x14ac:dyDescent="0.35">
      <c r="A450" s="1" t="s">
        <v>234</v>
      </c>
      <c r="B450" s="1" t="s">
        <v>5756</v>
      </c>
      <c r="C450" s="1" t="s">
        <v>5808</v>
      </c>
      <c r="D450" s="1" t="s">
        <v>3231</v>
      </c>
      <c r="E450" s="1" t="s">
        <v>599</v>
      </c>
      <c r="F450" s="1" t="s">
        <v>5792</v>
      </c>
      <c r="G450" s="1" t="s">
        <v>74</v>
      </c>
      <c r="H450" s="1" t="s">
        <v>5796</v>
      </c>
      <c r="I450" s="1" t="s">
        <v>90</v>
      </c>
      <c r="J450" s="1" t="s">
        <v>2045</v>
      </c>
      <c r="K450" s="1" t="s">
        <v>165</v>
      </c>
      <c r="L450" s="4">
        <v>35999</v>
      </c>
      <c r="M450" s="1" t="s">
        <v>5735</v>
      </c>
    </row>
    <row r="451" spans="1:13" ht="15.75" customHeight="1" x14ac:dyDescent="0.35">
      <c r="A451" s="1" t="s">
        <v>234</v>
      </c>
      <c r="B451" s="1" t="s">
        <v>5758</v>
      </c>
      <c r="C451" s="1" t="s">
        <v>5800</v>
      </c>
      <c r="D451" s="1" t="s">
        <v>2870</v>
      </c>
      <c r="E451" s="1" t="s">
        <v>599</v>
      </c>
      <c r="F451" s="1" t="s">
        <v>5795</v>
      </c>
      <c r="G451" s="1" t="s">
        <v>74</v>
      </c>
      <c r="H451" s="1" t="s">
        <v>2323</v>
      </c>
      <c r="I451" s="1" t="s">
        <v>90</v>
      </c>
      <c r="J451" s="1" t="s">
        <v>2878</v>
      </c>
      <c r="K451" s="1" t="s">
        <v>165</v>
      </c>
      <c r="L451" s="4">
        <v>49999</v>
      </c>
      <c r="M451" s="1" t="s">
        <v>166</v>
      </c>
    </row>
    <row r="452" spans="1:13" ht="15.75" customHeight="1" x14ac:dyDescent="0.35">
      <c r="A452" s="1" t="s">
        <v>234</v>
      </c>
      <c r="B452" s="1" t="s">
        <v>5758</v>
      </c>
      <c r="C452" s="1" t="s">
        <v>5794</v>
      </c>
      <c r="D452" s="1" t="s">
        <v>3231</v>
      </c>
      <c r="E452" s="1" t="s">
        <v>3816</v>
      </c>
      <c r="F452" s="1" t="s">
        <v>5795</v>
      </c>
      <c r="G452" s="1" t="s">
        <v>74</v>
      </c>
      <c r="H452" s="1" t="s">
        <v>5796</v>
      </c>
      <c r="I452" s="1" t="s">
        <v>90</v>
      </c>
      <c r="J452" s="1" t="s">
        <v>1670</v>
      </c>
      <c r="K452" s="1" t="s">
        <v>165</v>
      </c>
      <c r="L452" s="4">
        <v>29999</v>
      </c>
      <c r="M452" s="1" t="s">
        <v>1082</v>
      </c>
    </row>
    <row r="453" spans="1:13" ht="15.75" customHeight="1" x14ac:dyDescent="0.35">
      <c r="A453" s="1" t="s">
        <v>151</v>
      </c>
      <c r="B453" s="1" t="s">
        <v>5760</v>
      </c>
      <c r="C453" s="1" t="s">
        <v>5808</v>
      </c>
      <c r="D453" s="1" t="s">
        <v>3816</v>
      </c>
      <c r="E453" s="1" t="s">
        <v>599</v>
      </c>
      <c r="F453" s="1" t="s">
        <v>5792</v>
      </c>
      <c r="G453" s="1" t="s">
        <v>1371</v>
      </c>
      <c r="H453" s="1" t="s">
        <v>5793</v>
      </c>
      <c r="I453" s="1" t="s">
        <v>101</v>
      </c>
      <c r="J453" s="1" t="s">
        <v>63</v>
      </c>
      <c r="K453" s="1" t="s">
        <v>78</v>
      </c>
      <c r="L453" s="4">
        <v>45999</v>
      </c>
      <c r="M453" s="1" t="s">
        <v>5735</v>
      </c>
    </row>
    <row r="454" spans="1:13" ht="15.75" customHeight="1" x14ac:dyDescent="0.35">
      <c r="A454" s="1" t="s">
        <v>234</v>
      </c>
      <c r="B454" s="1" t="s">
        <v>5766</v>
      </c>
      <c r="C454" s="1" t="s">
        <v>5800</v>
      </c>
      <c r="D454" s="1" t="s">
        <v>3231</v>
      </c>
      <c r="E454" s="1" t="s">
        <v>599</v>
      </c>
      <c r="F454" s="1" t="s">
        <v>5792</v>
      </c>
      <c r="G454" s="1" t="s">
        <v>74</v>
      </c>
      <c r="H454" s="1" t="s">
        <v>5735</v>
      </c>
      <c r="I454" s="1" t="s">
        <v>90</v>
      </c>
      <c r="J454" s="1" t="s">
        <v>1609</v>
      </c>
      <c r="K454" s="1" t="s">
        <v>165</v>
      </c>
      <c r="L454" s="4">
        <v>30999</v>
      </c>
      <c r="M454" s="1" t="s">
        <v>1082</v>
      </c>
    </row>
    <row r="455" spans="1:13" ht="15.75" customHeight="1" x14ac:dyDescent="0.35">
      <c r="A455" s="1" t="s">
        <v>234</v>
      </c>
      <c r="B455" s="1" t="s">
        <v>5810</v>
      </c>
      <c r="C455" s="1" t="s">
        <v>5794</v>
      </c>
      <c r="D455" s="1" t="s">
        <v>3231</v>
      </c>
      <c r="E455" s="1" t="s">
        <v>3816</v>
      </c>
      <c r="F455" s="1" t="s">
        <v>5795</v>
      </c>
      <c r="G455" s="1" t="s">
        <v>1371</v>
      </c>
      <c r="H455" s="1" t="s">
        <v>5793</v>
      </c>
      <c r="I455" s="1" t="s">
        <v>90</v>
      </c>
      <c r="J455" s="1" t="s">
        <v>1670</v>
      </c>
      <c r="K455" s="1" t="s">
        <v>165</v>
      </c>
      <c r="L455" s="4">
        <v>25999</v>
      </c>
      <c r="M455" s="1" t="s">
        <v>166</v>
      </c>
    </row>
    <row r="456" spans="1:13" ht="15.75" customHeight="1" x14ac:dyDescent="0.35">
      <c r="A456" s="1" t="s">
        <v>234</v>
      </c>
      <c r="B456" s="1" t="s">
        <v>5810</v>
      </c>
      <c r="C456" s="1" t="s">
        <v>5800</v>
      </c>
      <c r="D456" s="1" t="s">
        <v>3231</v>
      </c>
      <c r="E456" s="1" t="s">
        <v>599</v>
      </c>
      <c r="F456" s="1" t="s">
        <v>5795</v>
      </c>
      <c r="G456" s="1" t="s">
        <v>74</v>
      </c>
      <c r="H456" s="1" t="s">
        <v>5796</v>
      </c>
      <c r="I456" s="1" t="s">
        <v>90</v>
      </c>
      <c r="J456" s="1" t="s">
        <v>1670</v>
      </c>
      <c r="K456" s="1" t="s">
        <v>165</v>
      </c>
      <c r="L456" s="4">
        <v>33499</v>
      </c>
      <c r="M456" s="1" t="s">
        <v>166</v>
      </c>
    </row>
    <row r="457" spans="1:13" ht="15.75" customHeight="1" x14ac:dyDescent="0.35">
      <c r="A457" s="1" t="s">
        <v>234</v>
      </c>
      <c r="B457" s="1" t="s">
        <v>5756</v>
      </c>
      <c r="C457" s="1" t="s">
        <v>5808</v>
      </c>
      <c r="D457" s="1" t="s">
        <v>2870</v>
      </c>
      <c r="E457" s="1" t="s">
        <v>599</v>
      </c>
      <c r="F457" s="1" t="s">
        <v>5795</v>
      </c>
      <c r="G457" s="1" t="s">
        <v>74</v>
      </c>
      <c r="H457" s="1" t="s">
        <v>2323</v>
      </c>
      <c r="I457" s="1" t="s">
        <v>90</v>
      </c>
      <c r="J457" s="1" t="s">
        <v>503</v>
      </c>
      <c r="K457" s="1" t="s">
        <v>165</v>
      </c>
      <c r="L457" s="4">
        <v>40999</v>
      </c>
      <c r="M457" s="1" t="s">
        <v>5735</v>
      </c>
    </row>
    <row r="458" spans="1:13" ht="15.75" customHeight="1" x14ac:dyDescent="0.35">
      <c r="A458" s="1" t="s">
        <v>151</v>
      </c>
      <c r="B458" s="1" t="s">
        <v>5763</v>
      </c>
      <c r="C458" s="1" t="s">
        <v>5800</v>
      </c>
      <c r="D458" s="1" t="s">
        <v>3231</v>
      </c>
      <c r="E458" s="1" t="s">
        <v>3816</v>
      </c>
      <c r="F458" s="1" t="s">
        <v>5830</v>
      </c>
      <c r="G458" s="1" t="s">
        <v>74</v>
      </c>
      <c r="H458" s="1" t="s">
        <v>111</v>
      </c>
      <c r="I458" s="1" t="s">
        <v>90</v>
      </c>
      <c r="J458" s="1" t="s">
        <v>652</v>
      </c>
      <c r="K458" s="1" t="s">
        <v>78</v>
      </c>
      <c r="L458" s="4">
        <v>27499</v>
      </c>
      <c r="M458" s="1" t="s">
        <v>1082</v>
      </c>
    </row>
    <row r="459" spans="1:13" ht="15.75" customHeight="1" x14ac:dyDescent="0.35">
      <c r="A459" s="1" t="s">
        <v>66</v>
      </c>
      <c r="B459" s="1" t="s">
        <v>5810</v>
      </c>
      <c r="C459" s="1" t="s">
        <v>5808</v>
      </c>
      <c r="D459" s="1" t="s">
        <v>3231</v>
      </c>
      <c r="E459" s="1" t="s">
        <v>599</v>
      </c>
      <c r="F459" s="1" t="s">
        <v>5795</v>
      </c>
      <c r="G459" s="1" t="s">
        <v>74</v>
      </c>
      <c r="H459" s="1" t="s">
        <v>5735</v>
      </c>
      <c r="I459" s="1" t="s">
        <v>90</v>
      </c>
      <c r="J459" s="1" t="s">
        <v>2584</v>
      </c>
      <c r="K459" s="1" t="s">
        <v>78</v>
      </c>
      <c r="L459" s="4">
        <v>35199</v>
      </c>
      <c r="M459" s="1" t="s">
        <v>5735</v>
      </c>
    </row>
    <row r="460" spans="1:13" ht="15.75" customHeight="1" x14ac:dyDescent="0.35">
      <c r="A460" s="1" t="s">
        <v>30</v>
      </c>
      <c r="B460" s="1" t="s">
        <v>5810</v>
      </c>
      <c r="C460" s="1" t="s">
        <v>5808</v>
      </c>
      <c r="D460" s="1" t="s">
        <v>5833</v>
      </c>
      <c r="E460" s="1" t="s">
        <v>599</v>
      </c>
      <c r="F460" s="1" t="s">
        <v>5792</v>
      </c>
      <c r="G460" s="1" t="s">
        <v>74</v>
      </c>
      <c r="H460" s="1" t="s">
        <v>200</v>
      </c>
      <c r="I460" s="1" t="s">
        <v>1722</v>
      </c>
      <c r="J460" s="1" t="s">
        <v>230</v>
      </c>
      <c r="K460" s="1" t="s">
        <v>78</v>
      </c>
      <c r="L460" s="4">
        <v>48499</v>
      </c>
      <c r="M460" s="1" t="s">
        <v>5735</v>
      </c>
    </row>
    <row r="461" spans="1:13" ht="15.75" customHeight="1" x14ac:dyDescent="0.35">
      <c r="A461" s="1" t="s">
        <v>234</v>
      </c>
      <c r="B461" s="1" t="s">
        <v>5810</v>
      </c>
      <c r="C461" s="1" t="s">
        <v>5800</v>
      </c>
      <c r="D461" s="1" t="s">
        <v>3816</v>
      </c>
      <c r="E461" s="1" t="s">
        <v>599</v>
      </c>
      <c r="F461" s="1" t="s">
        <v>5792</v>
      </c>
      <c r="G461" s="1" t="s">
        <v>74</v>
      </c>
      <c r="H461" s="1" t="s">
        <v>200</v>
      </c>
      <c r="I461" s="1" t="s">
        <v>1722</v>
      </c>
      <c r="J461" s="1" t="s">
        <v>1670</v>
      </c>
      <c r="K461" s="1" t="s">
        <v>78</v>
      </c>
      <c r="L461" s="4">
        <v>57999</v>
      </c>
      <c r="M461" s="1" t="s">
        <v>1082</v>
      </c>
    </row>
    <row r="462" spans="1:13" ht="15.75" customHeight="1" x14ac:dyDescent="0.35">
      <c r="A462" s="1" t="s">
        <v>234</v>
      </c>
      <c r="B462" s="1" t="s">
        <v>5810</v>
      </c>
      <c r="C462" s="1" t="s">
        <v>5800</v>
      </c>
      <c r="D462" s="1" t="s">
        <v>3231</v>
      </c>
      <c r="E462" s="1" t="s">
        <v>599</v>
      </c>
      <c r="F462" s="1" t="s">
        <v>5795</v>
      </c>
      <c r="G462" s="1" t="s">
        <v>74</v>
      </c>
      <c r="H462" s="1" t="s">
        <v>5796</v>
      </c>
      <c r="I462" s="1" t="s">
        <v>90</v>
      </c>
      <c r="J462" s="1" t="s">
        <v>1670</v>
      </c>
      <c r="K462" s="1" t="s">
        <v>78</v>
      </c>
      <c r="L462" s="4">
        <v>35999</v>
      </c>
      <c r="M462" s="1" t="s">
        <v>166</v>
      </c>
    </row>
    <row r="463" spans="1:13" ht="15.75" customHeight="1" x14ac:dyDescent="0.35">
      <c r="A463" s="1" t="s">
        <v>81</v>
      </c>
      <c r="B463" s="1" t="s">
        <v>5810</v>
      </c>
      <c r="C463" s="1" t="s">
        <v>5794</v>
      </c>
      <c r="D463" s="1" t="s">
        <v>3231</v>
      </c>
      <c r="E463" s="1" t="s">
        <v>3816</v>
      </c>
      <c r="F463" s="1" t="s">
        <v>5795</v>
      </c>
      <c r="G463" s="1" t="s">
        <v>74</v>
      </c>
      <c r="H463" s="1" t="s">
        <v>111</v>
      </c>
      <c r="I463" s="1" t="s">
        <v>101</v>
      </c>
      <c r="J463" s="1" t="s">
        <v>2614</v>
      </c>
      <c r="K463" s="1" t="s">
        <v>78</v>
      </c>
      <c r="L463" s="4">
        <v>25000</v>
      </c>
      <c r="M463" s="1" t="s">
        <v>2181</v>
      </c>
    </row>
    <row r="464" spans="1:13" ht="15.75" customHeight="1" x14ac:dyDescent="0.35">
      <c r="A464" s="1" t="s">
        <v>81</v>
      </c>
      <c r="B464" s="1" t="s">
        <v>5810</v>
      </c>
      <c r="C464" s="1" t="s">
        <v>5800</v>
      </c>
      <c r="D464" s="1" t="s">
        <v>2870</v>
      </c>
      <c r="E464" s="1" t="s">
        <v>599</v>
      </c>
      <c r="F464" s="1" t="s">
        <v>5795</v>
      </c>
      <c r="G464" s="1" t="s">
        <v>74</v>
      </c>
      <c r="H464" s="1" t="s">
        <v>5793</v>
      </c>
      <c r="I464" s="1" t="s">
        <v>1722</v>
      </c>
      <c r="J464" s="1" t="s">
        <v>2614</v>
      </c>
      <c r="K464" s="1" t="s">
        <v>78</v>
      </c>
      <c r="L464" s="4">
        <v>32999</v>
      </c>
      <c r="M464" s="1" t="s">
        <v>2181</v>
      </c>
    </row>
    <row r="465" spans="1:13" ht="15.75" customHeight="1" x14ac:dyDescent="0.35">
      <c r="A465" s="1" t="s">
        <v>112</v>
      </c>
      <c r="B465" s="1" t="s">
        <v>5779</v>
      </c>
      <c r="C465" s="1" t="s">
        <v>5794</v>
      </c>
      <c r="D465" s="1" t="s">
        <v>3231</v>
      </c>
      <c r="E465" s="1" t="s">
        <v>3816</v>
      </c>
      <c r="F465" s="1" t="s">
        <v>5792</v>
      </c>
      <c r="G465" s="1" t="s">
        <v>74</v>
      </c>
      <c r="H465" s="1" t="s">
        <v>5796</v>
      </c>
      <c r="I465" s="1" t="s">
        <v>101</v>
      </c>
      <c r="J465" s="1" t="s">
        <v>2630</v>
      </c>
      <c r="K465" s="1" t="s">
        <v>78</v>
      </c>
      <c r="L465" s="4">
        <v>39799</v>
      </c>
      <c r="M465" s="1" t="s">
        <v>1082</v>
      </c>
    </row>
    <row r="466" spans="1:13" ht="15.75" customHeight="1" x14ac:dyDescent="0.35">
      <c r="A466" s="1" t="s">
        <v>151</v>
      </c>
      <c r="B466" s="1" t="s">
        <v>5763</v>
      </c>
      <c r="C466" s="1" t="s">
        <v>5794</v>
      </c>
      <c r="D466" s="1" t="s">
        <v>3231</v>
      </c>
      <c r="E466" s="1" t="s">
        <v>3816</v>
      </c>
      <c r="F466" s="1" t="s">
        <v>5795</v>
      </c>
      <c r="G466" s="1" t="s">
        <v>74</v>
      </c>
      <c r="H466" s="1" t="s">
        <v>111</v>
      </c>
      <c r="I466" s="1" t="s">
        <v>101</v>
      </c>
      <c r="J466" s="1" t="s">
        <v>652</v>
      </c>
      <c r="K466" s="1" t="s">
        <v>78</v>
      </c>
      <c r="L466" s="4">
        <v>26899</v>
      </c>
      <c r="M466" s="1" t="s">
        <v>1082</v>
      </c>
    </row>
    <row r="467" spans="1:13" ht="15.75" customHeight="1" x14ac:dyDescent="0.35">
      <c r="A467" s="1" t="s">
        <v>5735</v>
      </c>
      <c r="B467" s="1" t="s">
        <v>5810</v>
      </c>
      <c r="C467" s="1" t="s">
        <v>5800</v>
      </c>
      <c r="D467" s="1" t="s">
        <v>2870</v>
      </c>
      <c r="E467" s="1" t="s">
        <v>599</v>
      </c>
      <c r="F467" s="1" t="s">
        <v>5792</v>
      </c>
      <c r="G467" s="1" t="s">
        <v>74</v>
      </c>
      <c r="H467" s="1" t="s">
        <v>5735</v>
      </c>
      <c r="I467" s="1" t="s">
        <v>90</v>
      </c>
      <c r="J467" s="1" t="s">
        <v>1670</v>
      </c>
      <c r="K467" s="1" t="s">
        <v>165</v>
      </c>
      <c r="L467" s="4">
        <v>70000</v>
      </c>
      <c r="M467" s="1" t="s">
        <v>1082</v>
      </c>
    </row>
    <row r="468" spans="1:13" ht="15.75" customHeight="1" x14ac:dyDescent="0.35">
      <c r="A468" s="1" t="s">
        <v>5735</v>
      </c>
      <c r="B468" s="1" t="s">
        <v>5756</v>
      </c>
      <c r="C468" s="1" t="s">
        <v>5788</v>
      </c>
      <c r="D468" s="1" t="s">
        <v>599</v>
      </c>
      <c r="E468" s="1" t="s">
        <v>5799</v>
      </c>
      <c r="F468" s="1" t="s">
        <v>5805</v>
      </c>
      <c r="G468" s="1" t="s">
        <v>1371</v>
      </c>
      <c r="H468" s="1" t="s">
        <v>200</v>
      </c>
      <c r="I468" s="1" t="s">
        <v>725</v>
      </c>
      <c r="J468" s="1" t="s">
        <v>337</v>
      </c>
      <c r="K468" s="1" t="s">
        <v>165</v>
      </c>
      <c r="L468" s="4">
        <v>114999</v>
      </c>
      <c r="M468" s="1" t="s">
        <v>166</v>
      </c>
    </row>
    <row r="469" spans="1:13" ht="15.75" customHeight="1" x14ac:dyDescent="0.35">
      <c r="A469" s="1" t="s">
        <v>5735</v>
      </c>
      <c r="B469" s="1" t="s">
        <v>5757</v>
      </c>
      <c r="C469" s="1" t="s">
        <v>5806</v>
      </c>
      <c r="D469" s="1" t="s">
        <v>599</v>
      </c>
      <c r="E469" s="1" t="s">
        <v>5799</v>
      </c>
      <c r="F469" s="1" t="s">
        <v>5805</v>
      </c>
      <c r="G469" s="1" t="s">
        <v>224</v>
      </c>
      <c r="H469" s="1" t="s">
        <v>5793</v>
      </c>
      <c r="I469" s="1" t="s">
        <v>725</v>
      </c>
      <c r="J469" s="1" t="s">
        <v>2657</v>
      </c>
      <c r="K469" s="1" t="s">
        <v>165</v>
      </c>
      <c r="L469" s="4">
        <v>125000</v>
      </c>
      <c r="M469" s="1" t="s">
        <v>5735</v>
      </c>
    </row>
    <row r="470" spans="1:13" ht="15.75" customHeight="1" x14ac:dyDescent="0.35">
      <c r="A470" s="1" t="s">
        <v>5735</v>
      </c>
      <c r="B470" s="1" t="s">
        <v>5758</v>
      </c>
      <c r="C470" s="1" t="s">
        <v>5808</v>
      </c>
      <c r="D470" s="1" t="s">
        <v>3231</v>
      </c>
      <c r="E470" s="1" t="s">
        <v>3816</v>
      </c>
      <c r="F470" s="1" t="s">
        <v>5795</v>
      </c>
      <c r="G470" s="1" t="s">
        <v>74</v>
      </c>
      <c r="H470" s="1" t="s">
        <v>5796</v>
      </c>
      <c r="I470" s="1" t="s">
        <v>101</v>
      </c>
      <c r="J470" s="1" t="s">
        <v>2878</v>
      </c>
      <c r="K470" s="1" t="s">
        <v>165</v>
      </c>
      <c r="L470" s="4">
        <v>18499</v>
      </c>
      <c r="M470" s="1" t="s">
        <v>5735</v>
      </c>
    </row>
    <row r="471" spans="1:13" ht="15.75" customHeight="1" x14ac:dyDescent="0.35">
      <c r="A471" s="1" t="s">
        <v>112</v>
      </c>
      <c r="B471" s="1" t="s">
        <v>5753</v>
      </c>
      <c r="C471" s="1" t="s">
        <v>5800</v>
      </c>
      <c r="D471" s="1" t="s">
        <v>3231</v>
      </c>
      <c r="E471" s="1" t="s">
        <v>599</v>
      </c>
      <c r="F471" s="1" t="s">
        <v>5795</v>
      </c>
      <c r="G471" s="1" t="s">
        <v>74</v>
      </c>
      <c r="H471" s="1" t="s">
        <v>5796</v>
      </c>
      <c r="I471" s="1" t="s">
        <v>101</v>
      </c>
      <c r="J471" s="1" t="s">
        <v>127</v>
      </c>
      <c r="K471" s="1" t="s">
        <v>78</v>
      </c>
      <c r="L471" s="4">
        <v>32000</v>
      </c>
      <c r="M471" s="1" t="s">
        <v>166</v>
      </c>
    </row>
    <row r="472" spans="1:13" ht="15.75" customHeight="1" x14ac:dyDescent="0.35">
      <c r="A472" s="1" t="s">
        <v>30</v>
      </c>
      <c r="B472" s="1" t="s">
        <v>5776</v>
      </c>
      <c r="C472" s="1" t="s">
        <v>5788</v>
      </c>
      <c r="D472" s="1" t="s">
        <v>3816</v>
      </c>
      <c r="E472" s="1" t="s">
        <v>5799</v>
      </c>
      <c r="F472" s="1" t="s">
        <v>5792</v>
      </c>
      <c r="G472" s="1" t="s">
        <v>5817</v>
      </c>
      <c r="H472" s="1" t="s">
        <v>1518</v>
      </c>
      <c r="I472" s="1" t="s">
        <v>90</v>
      </c>
      <c r="J472" s="1" t="s">
        <v>2064</v>
      </c>
      <c r="K472" s="1" t="s">
        <v>78</v>
      </c>
      <c r="L472" s="4">
        <v>79999</v>
      </c>
      <c r="M472" s="1" t="s">
        <v>166</v>
      </c>
    </row>
    <row r="473" spans="1:13" ht="15.75" customHeight="1" x14ac:dyDescent="0.35">
      <c r="A473" s="1" t="s">
        <v>81</v>
      </c>
      <c r="B473" s="1" t="s">
        <v>5810</v>
      </c>
      <c r="C473" s="1" t="s">
        <v>5800</v>
      </c>
      <c r="D473" s="1" t="s">
        <v>2870</v>
      </c>
      <c r="E473" s="1" t="s">
        <v>5799</v>
      </c>
      <c r="F473" s="1" t="s">
        <v>5792</v>
      </c>
      <c r="G473" s="1" t="s">
        <v>1371</v>
      </c>
      <c r="H473" s="1" t="s">
        <v>200</v>
      </c>
      <c r="I473" s="1" t="s">
        <v>90</v>
      </c>
      <c r="J473" s="1" t="s">
        <v>5824</v>
      </c>
      <c r="K473" s="1" t="s">
        <v>78</v>
      </c>
      <c r="L473" s="4">
        <v>69999</v>
      </c>
      <c r="M473" s="1" t="s">
        <v>166</v>
      </c>
    </row>
    <row r="474" spans="1:13" ht="15.75" customHeight="1" x14ac:dyDescent="0.35">
      <c r="A474" s="1" t="s">
        <v>81</v>
      </c>
      <c r="B474" s="1" t="s">
        <v>5810</v>
      </c>
      <c r="C474" s="1" t="s">
        <v>5800</v>
      </c>
      <c r="D474" s="1" t="s">
        <v>2870</v>
      </c>
      <c r="E474" s="1" t="s">
        <v>599</v>
      </c>
      <c r="F474" s="1" t="s">
        <v>5795</v>
      </c>
      <c r="G474" s="1" t="s">
        <v>74</v>
      </c>
      <c r="H474" s="1" t="s">
        <v>111</v>
      </c>
      <c r="I474" s="1" t="s">
        <v>90</v>
      </c>
      <c r="J474" s="1" t="s">
        <v>5824</v>
      </c>
      <c r="K474" s="1" t="s">
        <v>78</v>
      </c>
      <c r="L474" s="4">
        <v>44499</v>
      </c>
      <c r="M474" s="1" t="s">
        <v>166</v>
      </c>
    </row>
    <row r="475" spans="1:13" ht="15.75" customHeight="1" x14ac:dyDescent="0.35">
      <c r="A475" s="1" t="s">
        <v>81</v>
      </c>
      <c r="B475" s="1" t="s">
        <v>5810</v>
      </c>
      <c r="C475" s="1" t="s">
        <v>5800</v>
      </c>
      <c r="D475" s="1" t="s">
        <v>3231</v>
      </c>
      <c r="E475" s="1" t="s">
        <v>599</v>
      </c>
      <c r="F475" s="1" t="s">
        <v>5795</v>
      </c>
      <c r="G475" s="1" t="s">
        <v>74</v>
      </c>
      <c r="H475" s="1" t="s">
        <v>111</v>
      </c>
      <c r="I475" s="1" t="s">
        <v>90</v>
      </c>
      <c r="J475" s="1" t="s">
        <v>5824</v>
      </c>
      <c r="K475" s="1" t="s">
        <v>78</v>
      </c>
      <c r="L475" s="4">
        <v>37500</v>
      </c>
      <c r="M475" s="1" t="s">
        <v>166</v>
      </c>
    </row>
    <row r="476" spans="1:13" ht="15.75" customHeight="1" x14ac:dyDescent="0.35">
      <c r="A476" s="1" t="s">
        <v>81</v>
      </c>
      <c r="B476" s="1" t="s">
        <v>5810</v>
      </c>
      <c r="C476" s="1" t="s">
        <v>5800</v>
      </c>
      <c r="D476" s="1" t="s">
        <v>3231</v>
      </c>
      <c r="E476" s="1" t="s">
        <v>599</v>
      </c>
      <c r="F476" s="1" t="s">
        <v>5795</v>
      </c>
      <c r="G476" s="1" t="s">
        <v>74</v>
      </c>
      <c r="H476" s="1" t="s">
        <v>111</v>
      </c>
      <c r="I476" s="1" t="s">
        <v>90</v>
      </c>
      <c r="J476" s="1" t="s">
        <v>2696</v>
      </c>
      <c r="K476" s="1" t="s">
        <v>78</v>
      </c>
      <c r="L476" s="4">
        <v>29399</v>
      </c>
      <c r="M476" s="1" t="s">
        <v>1082</v>
      </c>
    </row>
    <row r="477" spans="1:13" ht="15.75" customHeight="1" x14ac:dyDescent="0.35">
      <c r="A477" s="1" t="s">
        <v>81</v>
      </c>
      <c r="B477" s="1" t="s">
        <v>5810</v>
      </c>
      <c r="C477" s="1" t="s">
        <v>5800</v>
      </c>
      <c r="D477" s="1" t="s">
        <v>3231</v>
      </c>
      <c r="E477" s="1" t="s">
        <v>599</v>
      </c>
      <c r="F477" s="1" t="s">
        <v>5795</v>
      </c>
      <c r="G477" s="1" t="s">
        <v>74</v>
      </c>
      <c r="H477" s="1" t="s">
        <v>111</v>
      </c>
      <c r="I477" s="1" t="s">
        <v>90</v>
      </c>
      <c r="J477" s="1" t="s">
        <v>2696</v>
      </c>
      <c r="K477" s="1" t="s">
        <v>78</v>
      </c>
      <c r="L477" s="4">
        <v>36499</v>
      </c>
      <c r="M477" s="1" t="s">
        <v>1082</v>
      </c>
    </row>
    <row r="478" spans="1:13" ht="15.75" customHeight="1" x14ac:dyDescent="0.35">
      <c r="A478" s="1" t="s">
        <v>81</v>
      </c>
      <c r="B478" s="1" t="s">
        <v>5810</v>
      </c>
      <c r="C478" s="1" t="s">
        <v>5794</v>
      </c>
      <c r="D478" s="1" t="s">
        <v>3231</v>
      </c>
      <c r="E478" s="1" t="s">
        <v>3816</v>
      </c>
      <c r="F478" s="1" t="s">
        <v>5795</v>
      </c>
      <c r="G478" s="1" t="s">
        <v>74</v>
      </c>
      <c r="H478" s="1" t="s">
        <v>5793</v>
      </c>
      <c r="I478" s="1" t="s">
        <v>1722</v>
      </c>
      <c r="J478" s="1" t="s">
        <v>5832</v>
      </c>
      <c r="K478" s="1" t="s">
        <v>78</v>
      </c>
      <c r="L478" s="4">
        <v>25199</v>
      </c>
      <c r="M478" s="1" t="s">
        <v>1082</v>
      </c>
    </row>
    <row r="479" spans="1:13" ht="15.75" customHeight="1" x14ac:dyDescent="0.35">
      <c r="A479" s="1" t="s">
        <v>30</v>
      </c>
      <c r="B479" s="1" t="s">
        <v>5810</v>
      </c>
      <c r="C479" s="1" t="s">
        <v>5800</v>
      </c>
      <c r="D479" s="1" t="s">
        <v>3816</v>
      </c>
      <c r="E479" s="1" t="s">
        <v>599</v>
      </c>
      <c r="F479" s="1" t="s">
        <v>5792</v>
      </c>
      <c r="G479" s="1" t="s">
        <v>1371</v>
      </c>
      <c r="H479" s="1" t="s">
        <v>5793</v>
      </c>
      <c r="I479" s="1" t="s">
        <v>90</v>
      </c>
      <c r="J479" s="1" t="s">
        <v>2709</v>
      </c>
      <c r="K479" s="1" t="s">
        <v>78</v>
      </c>
      <c r="L479" s="4">
        <v>49999</v>
      </c>
      <c r="M479" s="1" t="s">
        <v>166</v>
      </c>
    </row>
    <row r="480" spans="1:13" ht="15.75" customHeight="1" x14ac:dyDescent="0.35">
      <c r="A480" s="1" t="s">
        <v>81</v>
      </c>
      <c r="B480" s="1" t="s">
        <v>5810</v>
      </c>
      <c r="C480" s="1" t="s">
        <v>5794</v>
      </c>
      <c r="D480" s="1" t="s">
        <v>3231</v>
      </c>
      <c r="E480" s="1" t="s">
        <v>599</v>
      </c>
      <c r="F480" s="1" t="s">
        <v>5795</v>
      </c>
      <c r="G480" s="1" t="s">
        <v>74</v>
      </c>
      <c r="H480" s="1" t="s">
        <v>5793</v>
      </c>
      <c r="I480" s="1" t="s">
        <v>1722</v>
      </c>
      <c r="J480" s="1" t="s">
        <v>5832</v>
      </c>
      <c r="K480" s="1" t="s">
        <v>78</v>
      </c>
      <c r="L480" s="4">
        <v>22999</v>
      </c>
      <c r="M480" s="1" t="s">
        <v>1082</v>
      </c>
    </row>
    <row r="481" spans="1:13" ht="15.75" customHeight="1" x14ac:dyDescent="0.35">
      <c r="A481" s="1" t="s">
        <v>151</v>
      </c>
      <c r="B481" s="1" t="s">
        <v>5763</v>
      </c>
      <c r="C481" s="1" t="s">
        <v>5815</v>
      </c>
      <c r="D481" s="1" t="s">
        <v>3231</v>
      </c>
      <c r="E481" s="1" t="s">
        <v>3816</v>
      </c>
      <c r="F481" s="1" t="s">
        <v>5795</v>
      </c>
      <c r="G481" s="1" t="s">
        <v>74</v>
      </c>
      <c r="H481" s="1" t="s">
        <v>111</v>
      </c>
      <c r="I481" s="1" t="s">
        <v>90</v>
      </c>
      <c r="J481" s="1" t="s">
        <v>652</v>
      </c>
      <c r="K481" s="1" t="s">
        <v>78</v>
      </c>
      <c r="L481" s="4">
        <v>26500</v>
      </c>
      <c r="M481" s="1" t="s">
        <v>5735</v>
      </c>
    </row>
    <row r="482" spans="1:13" ht="15.75" customHeight="1" x14ac:dyDescent="0.35">
      <c r="A482" s="1" t="s">
        <v>112</v>
      </c>
      <c r="B482" s="1" t="s">
        <v>5779</v>
      </c>
      <c r="C482" s="1" t="s">
        <v>5800</v>
      </c>
      <c r="D482" s="1" t="s">
        <v>3231</v>
      </c>
      <c r="E482" s="1" t="s">
        <v>3816</v>
      </c>
      <c r="F482" s="1" t="s">
        <v>5795</v>
      </c>
      <c r="G482" s="1" t="s">
        <v>74</v>
      </c>
      <c r="H482" s="1" t="s">
        <v>5796</v>
      </c>
      <c r="I482" s="1" t="s">
        <v>101</v>
      </c>
      <c r="J482" s="1" t="s">
        <v>2721</v>
      </c>
      <c r="K482" s="1" t="s">
        <v>78</v>
      </c>
      <c r="L482" s="4">
        <v>25999</v>
      </c>
      <c r="M482" s="1" t="s">
        <v>1082</v>
      </c>
    </row>
    <row r="483" spans="1:13" ht="15.75" customHeight="1" x14ac:dyDescent="0.35">
      <c r="A483" s="1" t="s">
        <v>151</v>
      </c>
      <c r="B483" s="1" t="s">
        <v>5760</v>
      </c>
      <c r="C483" s="1" t="s">
        <v>5800</v>
      </c>
      <c r="D483" s="1" t="s">
        <v>3816</v>
      </c>
      <c r="E483" s="1" t="s">
        <v>599</v>
      </c>
      <c r="F483" s="1" t="s">
        <v>5792</v>
      </c>
      <c r="G483" s="1" t="s">
        <v>224</v>
      </c>
      <c r="H483" s="1" t="s">
        <v>5793</v>
      </c>
      <c r="I483" s="1" t="s">
        <v>90</v>
      </c>
      <c r="J483" s="1" t="s">
        <v>944</v>
      </c>
      <c r="K483" s="1" t="s">
        <v>78</v>
      </c>
      <c r="L483" s="4">
        <v>64999</v>
      </c>
      <c r="M483" s="1" t="s">
        <v>1082</v>
      </c>
    </row>
    <row r="484" spans="1:13" ht="15.75" customHeight="1" x14ac:dyDescent="0.35">
      <c r="A484" s="1" t="s">
        <v>151</v>
      </c>
      <c r="B484" s="1" t="s">
        <v>5763</v>
      </c>
      <c r="C484" s="1" t="s">
        <v>5808</v>
      </c>
      <c r="D484" s="1" t="s">
        <v>3231</v>
      </c>
      <c r="E484" s="1" t="s">
        <v>599</v>
      </c>
      <c r="F484" s="1" t="s">
        <v>5795</v>
      </c>
      <c r="G484" s="1" t="s">
        <v>74</v>
      </c>
      <c r="H484" s="1" t="s">
        <v>111</v>
      </c>
      <c r="I484" s="1" t="s">
        <v>90</v>
      </c>
      <c r="J484" s="1" t="s">
        <v>652</v>
      </c>
      <c r="K484" s="1" t="s">
        <v>78</v>
      </c>
      <c r="L484" s="4">
        <v>22999</v>
      </c>
      <c r="M484" s="1" t="s">
        <v>5735</v>
      </c>
    </row>
    <row r="485" spans="1:13" ht="15.75" customHeight="1" x14ac:dyDescent="0.35">
      <c r="A485" s="1" t="s">
        <v>30</v>
      </c>
      <c r="B485" s="1" t="s">
        <v>5777</v>
      </c>
      <c r="C485" s="1" t="s">
        <v>5800</v>
      </c>
      <c r="D485" s="1" t="s">
        <v>599</v>
      </c>
      <c r="E485" s="1" t="s">
        <v>5799</v>
      </c>
      <c r="F485" s="1" t="s">
        <v>5792</v>
      </c>
      <c r="G485" s="1" t="s">
        <v>74</v>
      </c>
      <c r="H485" s="1" t="s">
        <v>1518</v>
      </c>
      <c r="I485" s="1" t="s">
        <v>1722</v>
      </c>
      <c r="J485" s="1" t="s">
        <v>2517</v>
      </c>
      <c r="K485" s="1" t="s">
        <v>78</v>
      </c>
      <c r="L485" s="4">
        <v>53399</v>
      </c>
      <c r="M485" s="1" t="s">
        <v>1082</v>
      </c>
    </row>
    <row r="486" spans="1:13" ht="15.75" customHeight="1" x14ac:dyDescent="0.35">
      <c r="A486" s="1" t="s">
        <v>151</v>
      </c>
      <c r="B486" s="1" t="s">
        <v>5763</v>
      </c>
      <c r="C486" s="1" t="s">
        <v>5794</v>
      </c>
      <c r="D486" s="1" t="s">
        <v>3231</v>
      </c>
      <c r="E486" s="1" t="s">
        <v>5799</v>
      </c>
      <c r="F486" s="1" t="s">
        <v>5795</v>
      </c>
      <c r="G486" s="1" t="s">
        <v>74</v>
      </c>
      <c r="H486" s="1" t="s">
        <v>111</v>
      </c>
      <c r="I486" s="1" t="s">
        <v>101</v>
      </c>
      <c r="J486" s="1" t="s">
        <v>652</v>
      </c>
      <c r="K486" s="1" t="s">
        <v>78</v>
      </c>
      <c r="L486" s="4">
        <v>28777</v>
      </c>
      <c r="M486" s="1" t="s">
        <v>1082</v>
      </c>
    </row>
    <row r="487" spans="1:13" ht="15.75" customHeight="1" x14ac:dyDescent="0.35">
      <c r="A487" s="1" t="s">
        <v>151</v>
      </c>
      <c r="B487" s="1" t="s">
        <v>5760</v>
      </c>
      <c r="C487" s="1" t="s">
        <v>5808</v>
      </c>
      <c r="D487" s="1" t="s">
        <v>3816</v>
      </c>
      <c r="E487" s="1" t="s">
        <v>599</v>
      </c>
      <c r="F487" s="1" t="s">
        <v>5792</v>
      </c>
      <c r="G487" s="1" t="s">
        <v>74</v>
      </c>
      <c r="H487" s="1" t="s">
        <v>5793</v>
      </c>
      <c r="I487" s="1" t="s">
        <v>90</v>
      </c>
      <c r="J487" s="1" t="s">
        <v>63</v>
      </c>
      <c r="K487" s="1" t="s">
        <v>78</v>
      </c>
      <c r="L487" s="4">
        <v>55299</v>
      </c>
      <c r="M487" s="1" t="s">
        <v>5735</v>
      </c>
    </row>
    <row r="488" spans="1:13" ht="15.75" customHeight="1" x14ac:dyDescent="0.35">
      <c r="A488" s="1" t="s">
        <v>151</v>
      </c>
      <c r="B488" s="1" t="s">
        <v>5760</v>
      </c>
      <c r="C488" s="1" t="s">
        <v>5808</v>
      </c>
      <c r="D488" s="1" t="s">
        <v>3816</v>
      </c>
      <c r="E488" s="1" t="s">
        <v>599</v>
      </c>
      <c r="F488" s="1" t="s">
        <v>5792</v>
      </c>
      <c r="G488" s="1" t="s">
        <v>74</v>
      </c>
      <c r="H488" s="1" t="s">
        <v>5793</v>
      </c>
      <c r="I488" s="1" t="s">
        <v>101</v>
      </c>
      <c r="J488" s="1" t="s">
        <v>63</v>
      </c>
      <c r="K488" s="1" t="s">
        <v>78</v>
      </c>
      <c r="L488" s="4">
        <v>45999</v>
      </c>
      <c r="M488" s="1" t="s">
        <v>5735</v>
      </c>
    </row>
    <row r="489" spans="1:13" ht="15.75" customHeight="1" x14ac:dyDescent="0.35">
      <c r="A489" s="1" t="s">
        <v>151</v>
      </c>
      <c r="B489" s="1" t="s">
        <v>5760</v>
      </c>
      <c r="C489" s="1" t="s">
        <v>5806</v>
      </c>
      <c r="D489" s="1" t="s">
        <v>599</v>
      </c>
      <c r="E489" s="1" t="s">
        <v>5799</v>
      </c>
      <c r="F489" s="1" t="s">
        <v>5735</v>
      </c>
      <c r="G489" s="1" t="s">
        <v>224</v>
      </c>
      <c r="H489" s="1" t="s">
        <v>5793</v>
      </c>
      <c r="I489" s="1" t="s">
        <v>90</v>
      </c>
      <c r="J489" s="1" t="s">
        <v>944</v>
      </c>
      <c r="K489" s="1" t="s">
        <v>78</v>
      </c>
      <c r="L489" s="4">
        <v>111249</v>
      </c>
      <c r="M489" s="1" t="s">
        <v>5735</v>
      </c>
    </row>
    <row r="490" spans="1:13" ht="15.75" customHeight="1" x14ac:dyDescent="0.35">
      <c r="A490" s="1" t="s">
        <v>151</v>
      </c>
      <c r="B490" s="1" t="s">
        <v>5763</v>
      </c>
      <c r="C490" s="1" t="s">
        <v>5815</v>
      </c>
      <c r="D490" s="1" t="s">
        <v>3231</v>
      </c>
      <c r="E490" s="1" t="s">
        <v>3816</v>
      </c>
      <c r="F490" s="1" t="s">
        <v>5795</v>
      </c>
      <c r="G490" s="1" t="s">
        <v>74</v>
      </c>
      <c r="H490" s="1" t="s">
        <v>111</v>
      </c>
      <c r="I490" s="1" t="s">
        <v>90</v>
      </c>
      <c r="J490" s="1" t="s">
        <v>652</v>
      </c>
      <c r="K490" s="1" t="s">
        <v>78</v>
      </c>
      <c r="L490" s="4">
        <v>27999</v>
      </c>
      <c r="M490" s="1" t="s">
        <v>5735</v>
      </c>
    </row>
    <row r="491" spans="1:13" ht="15.75" customHeight="1" x14ac:dyDescent="0.35">
      <c r="A491" s="1" t="s">
        <v>151</v>
      </c>
      <c r="B491" s="1" t="s">
        <v>5763</v>
      </c>
      <c r="C491" s="1" t="s">
        <v>5808</v>
      </c>
      <c r="D491" s="1" t="s">
        <v>2870</v>
      </c>
      <c r="E491" s="1" t="s">
        <v>599</v>
      </c>
      <c r="F491" s="1" t="s">
        <v>5795</v>
      </c>
      <c r="G491" s="1" t="s">
        <v>74</v>
      </c>
      <c r="H491" s="1" t="s">
        <v>111</v>
      </c>
      <c r="I491" s="1" t="s">
        <v>90</v>
      </c>
      <c r="J491" s="1" t="s">
        <v>652</v>
      </c>
      <c r="K491" s="1" t="s">
        <v>78</v>
      </c>
      <c r="L491" s="4">
        <v>38999</v>
      </c>
      <c r="M491" s="1" t="s">
        <v>5735</v>
      </c>
    </row>
    <row r="492" spans="1:13" ht="15.75" customHeight="1" x14ac:dyDescent="0.35">
      <c r="A492" s="1" t="s">
        <v>151</v>
      </c>
      <c r="B492" s="1" t="s">
        <v>5763</v>
      </c>
      <c r="C492" s="1" t="s">
        <v>5800</v>
      </c>
      <c r="D492" s="1" t="s">
        <v>3231</v>
      </c>
      <c r="E492" s="1" t="s">
        <v>599</v>
      </c>
      <c r="F492" s="1" t="s">
        <v>5830</v>
      </c>
      <c r="G492" s="1" t="s">
        <v>74</v>
      </c>
      <c r="H492" s="1" t="s">
        <v>111</v>
      </c>
      <c r="I492" s="1" t="s">
        <v>101</v>
      </c>
      <c r="J492" s="1" t="s">
        <v>652</v>
      </c>
      <c r="K492" s="1" t="s">
        <v>78</v>
      </c>
      <c r="L492" s="4">
        <v>43777</v>
      </c>
      <c r="M492" s="1" t="s">
        <v>1082</v>
      </c>
    </row>
    <row r="493" spans="1:13" ht="15.75" customHeight="1" x14ac:dyDescent="0.35">
      <c r="A493" s="1" t="s">
        <v>151</v>
      </c>
      <c r="B493" s="1" t="s">
        <v>5763</v>
      </c>
      <c r="C493" s="1" t="s">
        <v>5808</v>
      </c>
      <c r="D493" s="1" t="s">
        <v>3231</v>
      </c>
      <c r="E493" s="1" t="s">
        <v>599</v>
      </c>
      <c r="F493" s="1" t="s">
        <v>5830</v>
      </c>
      <c r="G493" s="1" t="s">
        <v>74</v>
      </c>
      <c r="H493" s="1" t="s">
        <v>5793</v>
      </c>
      <c r="I493" s="1" t="s">
        <v>101</v>
      </c>
      <c r="J493" s="1" t="s">
        <v>652</v>
      </c>
      <c r="K493" s="1" t="s">
        <v>78</v>
      </c>
      <c r="L493" s="4">
        <v>23099</v>
      </c>
      <c r="M493" s="1" t="s">
        <v>5735</v>
      </c>
    </row>
    <row r="494" spans="1:13" ht="15.75" customHeight="1" x14ac:dyDescent="0.35">
      <c r="A494" s="1" t="s">
        <v>112</v>
      </c>
      <c r="B494" s="1" t="s">
        <v>5753</v>
      </c>
      <c r="C494" s="1" t="s">
        <v>5794</v>
      </c>
      <c r="D494" s="1" t="s">
        <v>3231</v>
      </c>
      <c r="E494" s="1" t="s">
        <v>3816</v>
      </c>
      <c r="F494" s="1" t="s">
        <v>5795</v>
      </c>
      <c r="G494" s="1" t="s">
        <v>74</v>
      </c>
      <c r="H494" s="1" t="s">
        <v>5796</v>
      </c>
      <c r="I494" s="1" t="s">
        <v>90</v>
      </c>
      <c r="J494" s="1" t="s">
        <v>127</v>
      </c>
      <c r="K494" s="1" t="s">
        <v>78</v>
      </c>
      <c r="L494" s="4">
        <v>28888</v>
      </c>
      <c r="M494" s="1" t="s">
        <v>166</v>
      </c>
    </row>
    <row r="495" spans="1:13" ht="15.75" customHeight="1" x14ac:dyDescent="0.35">
      <c r="A495" s="1" t="s">
        <v>81</v>
      </c>
      <c r="B495" s="1" t="s">
        <v>5810</v>
      </c>
      <c r="C495" s="1" t="s">
        <v>5800</v>
      </c>
      <c r="D495" s="1" t="s">
        <v>2870</v>
      </c>
      <c r="E495" s="1" t="s">
        <v>599</v>
      </c>
      <c r="F495" s="1" t="s">
        <v>5795</v>
      </c>
      <c r="G495" s="1" t="s">
        <v>74</v>
      </c>
      <c r="H495" s="1" t="s">
        <v>111</v>
      </c>
      <c r="I495" s="1" t="s">
        <v>90</v>
      </c>
      <c r="J495" s="1" t="s">
        <v>2696</v>
      </c>
      <c r="K495" s="1" t="s">
        <v>78</v>
      </c>
      <c r="L495" s="4">
        <v>44199</v>
      </c>
      <c r="M495" s="1" t="s">
        <v>1082</v>
      </c>
    </row>
    <row r="496" spans="1:13" ht="15.75" customHeight="1" x14ac:dyDescent="0.35">
      <c r="A496" s="1" t="s">
        <v>81</v>
      </c>
      <c r="B496" s="1" t="s">
        <v>5755</v>
      </c>
      <c r="C496" s="1" t="s">
        <v>5800</v>
      </c>
      <c r="D496" s="1" t="s">
        <v>3816</v>
      </c>
      <c r="E496" s="1" t="s">
        <v>599</v>
      </c>
      <c r="F496" s="1" t="s">
        <v>5795</v>
      </c>
      <c r="G496" s="1" t="s">
        <v>74</v>
      </c>
      <c r="H496" s="1" t="s">
        <v>1518</v>
      </c>
      <c r="I496" s="1" t="s">
        <v>1722</v>
      </c>
      <c r="J496" s="1" t="s">
        <v>1127</v>
      </c>
      <c r="K496" s="1" t="s">
        <v>78</v>
      </c>
      <c r="L496" s="4">
        <v>49849</v>
      </c>
      <c r="M496" s="1" t="s">
        <v>1082</v>
      </c>
    </row>
    <row r="497" spans="1:13" ht="15.75" customHeight="1" x14ac:dyDescent="0.35">
      <c r="A497" s="1" t="s">
        <v>2779</v>
      </c>
      <c r="B497" s="1" t="s">
        <v>5810</v>
      </c>
      <c r="C497" s="1" t="s">
        <v>5800</v>
      </c>
      <c r="D497" s="1" t="s">
        <v>599</v>
      </c>
      <c r="E497" s="1" t="s">
        <v>5799</v>
      </c>
      <c r="F497" s="1" t="s">
        <v>5792</v>
      </c>
      <c r="G497" s="1" t="s">
        <v>5827</v>
      </c>
      <c r="H497" s="1" t="s">
        <v>5819</v>
      </c>
      <c r="I497" s="1" t="s">
        <v>1722</v>
      </c>
      <c r="J497" s="1" t="s">
        <v>5834</v>
      </c>
      <c r="K497" s="1" t="s">
        <v>78</v>
      </c>
      <c r="L497" s="4">
        <v>49999</v>
      </c>
      <c r="M497" s="1" t="s">
        <v>2181</v>
      </c>
    </row>
    <row r="498" spans="1:13" ht="15.75" customHeight="1" x14ac:dyDescent="0.35">
      <c r="A498" s="1" t="s">
        <v>151</v>
      </c>
      <c r="B498" s="1" t="s">
        <v>5763</v>
      </c>
      <c r="C498" s="1" t="s">
        <v>5815</v>
      </c>
      <c r="D498" s="1" t="s">
        <v>3231</v>
      </c>
      <c r="E498" s="1" t="s">
        <v>599</v>
      </c>
      <c r="F498" s="1" t="s">
        <v>5830</v>
      </c>
      <c r="G498" s="1" t="s">
        <v>74</v>
      </c>
      <c r="H498" s="1" t="s">
        <v>111</v>
      </c>
      <c r="I498" s="1" t="s">
        <v>101</v>
      </c>
      <c r="J498" s="1" t="s">
        <v>652</v>
      </c>
      <c r="K498" s="1" t="s">
        <v>78</v>
      </c>
      <c r="L498" s="4">
        <v>18399</v>
      </c>
      <c r="M498" s="1" t="s">
        <v>5735</v>
      </c>
    </row>
    <row r="499" spans="1:13" ht="15.75" customHeight="1" x14ac:dyDescent="0.35">
      <c r="A499" s="1" t="s">
        <v>151</v>
      </c>
      <c r="B499" s="1" t="s">
        <v>5760</v>
      </c>
      <c r="C499" s="1" t="s">
        <v>5800</v>
      </c>
      <c r="D499" s="1" t="s">
        <v>3231</v>
      </c>
      <c r="E499" s="1" t="s">
        <v>599</v>
      </c>
      <c r="F499" s="1" t="s">
        <v>5795</v>
      </c>
      <c r="G499" s="1" t="s">
        <v>74</v>
      </c>
      <c r="H499" s="1" t="s">
        <v>5793</v>
      </c>
      <c r="I499" s="1" t="s">
        <v>101</v>
      </c>
      <c r="J499" s="1" t="s">
        <v>503</v>
      </c>
      <c r="K499" s="1" t="s">
        <v>78</v>
      </c>
      <c r="L499" s="4">
        <v>24249</v>
      </c>
      <c r="M499" s="1" t="s">
        <v>2181</v>
      </c>
    </row>
    <row r="500" spans="1:13" ht="15.75" customHeight="1" x14ac:dyDescent="0.35">
      <c r="A500" s="1" t="s">
        <v>112</v>
      </c>
      <c r="B500" s="1" t="s">
        <v>5779</v>
      </c>
      <c r="C500" s="1" t="s">
        <v>5794</v>
      </c>
      <c r="D500" s="1" t="s">
        <v>3231</v>
      </c>
      <c r="E500" s="1" t="s">
        <v>599</v>
      </c>
      <c r="F500" s="1" t="s">
        <v>5792</v>
      </c>
      <c r="G500" s="1" t="s">
        <v>74</v>
      </c>
      <c r="H500" s="1" t="s">
        <v>5796</v>
      </c>
      <c r="I500" s="1" t="s">
        <v>101</v>
      </c>
      <c r="J500" s="1" t="s">
        <v>2630</v>
      </c>
      <c r="K500" s="1" t="s">
        <v>78</v>
      </c>
      <c r="L500" s="4">
        <v>19115</v>
      </c>
      <c r="M500" s="1" t="s">
        <v>1082</v>
      </c>
    </row>
    <row r="501" spans="1:13" ht="15.75" customHeight="1" x14ac:dyDescent="0.35">
      <c r="A501" s="1" t="s">
        <v>112</v>
      </c>
      <c r="B501" s="1" t="s">
        <v>5779</v>
      </c>
      <c r="C501" s="1" t="s">
        <v>5794</v>
      </c>
      <c r="D501" s="1" t="s">
        <v>3231</v>
      </c>
      <c r="E501" s="1" t="s">
        <v>3816</v>
      </c>
      <c r="F501" s="1" t="s">
        <v>5830</v>
      </c>
      <c r="G501" s="1" t="s">
        <v>74</v>
      </c>
      <c r="H501" s="1" t="s">
        <v>5796</v>
      </c>
      <c r="I501" s="1" t="s">
        <v>101</v>
      </c>
      <c r="J501" s="1" t="s">
        <v>2630</v>
      </c>
      <c r="K501" s="1" t="s">
        <v>78</v>
      </c>
      <c r="L501" s="4">
        <v>20999</v>
      </c>
      <c r="M501" s="1" t="s">
        <v>1082</v>
      </c>
    </row>
    <row r="502" spans="1:13" ht="15.75" customHeight="1" x14ac:dyDescent="0.35">
      <c r="A502" s="1" t="s">
        <v>5735</v>
      </c>
      <c r="B502" s="1" t="s">
        <v>5756</v>
      </c>
      <c r="C502" s="1" t="s">
        <v>5808</v>
      </c>
      <c r="D502" s="1" t="s">
        <v>5735</v>
      </c>
      <c r="E502" s="1" t="s">
        <v>599</v>
      </c>
      <c r="F502" s="1" t="s">
        <v>5795</v>
      </c>
      <c r="G502" s="1" t="s">
        <v>74</v>
      </c>
      <c r="H502" s="1" t="s">
        <v>5796</v>
      </c>
      <c r="I502" s="1" t="s">
        <v>90</v>
      </c>
      <c r="J502" s="1" t="s">
        <v>2045</v>
      </c>
      <c r="K502" s="1" t="s">
        <v>165</v>
      </c>
      <c r="L502" s="4">
        <v>31870</v>
      </c>
      <c r="M502" s="1" t="s">
        <v>5735</v>
      </c>
    </row>
    <row r="503" spans="1:13" ht="15.75" customHeight="1" x14ac:dyDescent="0.35">
      <c r="A503" s="1" t="s">
        <v>5735</v>
      </c>
      <c r="B503" s="1" t="s">
        <v>5758</v>
      </c>
      <c r="C503" s="1" t="s">
        <v>5800</v>
      </c>
      <c r="D503" s="1" t="s">
        <v>3231</v>
      </c>
      <c r="E503" s="1" t="s">
        <v>599</v>
      </c>
      <c r="F503" s="1" t="s">
        <v>5792</v>
      </c>
      <c r="G503" s="1" t="s">
        <v>74</v>
      </c>
      <c r="H503" s="1" t="s">
        <v>5796</v>
      </c>
      <c r="I503" s="1" t="s">
        <v>1722</v>
      </c>
      <c r="J503" s="1" t="s">
        <v>503</v>
      </c>
      <c r="K503" s="1" t="s">
        <v>165</v>
      </c>
      <c r="L503" s="4">
        <v>31535</v>
      </c>
      <c r="M503" s="1" t="s">
        <v>1082</v>
      </c>
    </row>
    <row r="504" spans="1:13" ht="15.75" customHeight="1" x14ac:dyDescent="0.35">
      <c r="A504" s="1" t="s">
        <v>5735</v>
      </c>
      <c r="B504" s="1" t="s">
        <v>5810</v>
      </c>
      <c r="C504" s="1" t="s">
        <v>5800</v>
      </c>
      <c r="D504" s="1" t="s">
        <v>3231</v>
      </c>
      <c r="E504" s="1" t="s">
        <v>599</v>
      </c>
      <c r="F504" s="1" t="s">
        <v>5795</v>
      </c>
      <c r="G504" s="1" t="s">
        <v>74</v>
      </c>
      <c r="H504" s="1" t="s">
        <v>5796</v>
      </c>
      <c r="I504" s="1" t="s">
        <v>1722</v>
      </c>
      <c r="J504" s="1" t="s">
        <v>1670</v>
      </c>
      <c r="K504" s="1" t="s">
        <v>165</v>
      </c>
      <c r="L504" s="4">
        <v>27770</v>
      </c>
      <c r="M504" s="1" t="s">
        <v>1082</v>
      </c>
    </row>
    <row r="505" spans="1:13" ht="15.75" customHeight="1" x14ac:dyDescent="0.35">
      <c r="A505" s="1" t="s">
        <v>5735</v>
      </c>
      <c r="B505" s="1" t="s">
        <v>5756</v>
      </c>
      <c r="C505" s="1" t="s">
        <v>5806</v>
      </c>
      <c r="D505" s="1" t="s">
        <v>599</v>
      </c>
      <c r="E505" s="1" t="s">
        <v>5799</v>
      </c>
      <c r="F505" s="1" t="s">
        <v>5792</v>
      </c>
      <c r="G505" s="1" t="s">
        <v>74</v>
      </c>
      <c r="H505" s="1" t="s">
        <v>2323</v>
      </c>
      <c r="I505" s="1" t="s">
        <v>1722</v>
      </c>
      <c r="J505" s="1" t="s">
        <v>503</v>
      </c>
      <c r="K505" s="1" t="s">
        <v>165</v>
      </c>
      <c r="L505" s="4">
        <v>68570</v>
      </c>
      <c r="M505" s="1" t="s">
        <v>5735</v>
      </c>
    </row>
    <row r="506" spans="1:13" ht="15.75" customHeight="1" x14ac:dyDescent="0.35">
      <c r="A506" s="1" t="s">
        <v>5735</v>
      </c>
      <c r="B506" s="1" t="s">
        <v>5756</v>
      </c>
      <c r="C506" s="1" t="s">
        <v>5806</v>
      </c>
      <c r="D506" s="1" t="s">
        <v>599</v>
      </c>
      <c r="E506" s="1" t="s">
        <v>5799</v>
      </c>
      <c r="F506" s="1" t="s">
        <v>5792</v>
      </c>
      <c r="G506" s="1" t="s">
        <v>74</v>
      </c>
      <c r="H506" s="1" t="s">
        <v>2323</v>
      </c>
      <c r="I506" s="1" t="s">
        <v>1722</v>
      </c>
      <c r="J506" s="1" t="s">
        <v>503</v>
      </c>
      <c r="K506" s="1" t="s">
        <v>165</v>
      </c>
      <c r="L506" s="4">
        <v>71830</v>
      </c>
      <c r="M506" s="1" t="s">
        <v>5735</v>
      </c>
    </row>
    <row r="507" spans="1:13" ht="15.75" customHeight="1" x14ac:dyDescent="0.35">
      <c r="A507" s="1" t="s">
        <v>5735</v>
      </c>
      <c r="B507" s="1" t="s">
        <v>5757</v>
      </c>
      <c r="C507" s="1" t="s">
        <v>5806</v>
      </c>
      <c r="D507" s="1" t="s">
        <v>2870</v>
      </c>
      <c r="E507" s="1" t="s">
        <v>599</v>
      </c>
      <c r="F507" s="1" t="s">
        <v>5792</v>
      </c>
      <c r="G507" s="1" t="s">
        <v>74</v>
      </c>
      <c r="H507" s="1" t="s">
        <v>5735</v>
      </c>
      <c r="I507" s="1" t="s">
        <v>1722</v>
      </c>
      <c r="J507" s="1" t="s">
        <v>3338</v>
      </c>
      <c r="K507" s="1" t="s">
        <v>165</v>
      </c>
      <c r="L507" s="4">
        <v>58349</v>
      </c>
      <c r="M507" s="1" t="s">
        <v>5735</v>
      </c>
    </row>
    <row r="508" spans="1:13" ht="15.75" customHeight="1" x14ac:dyDescent="0.35">
      <c r="A508" s="1" t="s">
        <v>5735</v>
      </c>
      <c r="B508" s="1" t="s">
        <v>5757</v>
      </c>
      <c r="C508" s="1" t="s">
        <v>5788</v>
      </c>
      <c r="D508" s="1" t="s">
        <v>599</v>
      </c>
      <c r="E508" s="1" t="s">
        <v>5799</v>
      </c>
      <c r="F508" s="1" t="s">
        <v>5805</v>
      </c>
      <c r="G508" s="1" t="s">
        <v>5827</v>
      </c>
      <c r="H508" s="1" t="s">
        <v>111</v>
      </c>
      <c r="I508" s="1" t="s">
        <v>1722</v>
      </c>
      <c r="J508" s="1" t="s">
        <v>1196</v>
      </c>
      <c r="K508" s="1" t="s">
        <v>165</v>
      </c>
      <c r="L508" s="4">
        <v>93300</v>
      </c>
      <c r="M508" s="1" t="s">
        <v>1082</v>
      </c>
    </row>
    <row r="509" spans="1:13" ht="15.75" customHeight="1" x14ac:dyDescent="0.35">
      <c r="A509" s="1" t="s">
        <v>5735</v>
      </c>
      <c r="B509" s="1" t="s">
        <v>5767</v>
      </c>
      <c r="C509" s="1" t="s">
        <v>5788</v>
      </c>
      <c r="D509" s="1" t="s">
        <v>3816</v>
      </c>
      <c r="E509" s="1" t="s">
        <v>5799</v>
      </c>
      <c r="F509" s="1" t="s">
        <v>5792</v>
      </c>
      <c r="G509" s="1" t="s">
        <v>5827</v>
      </c>
      <c r="H509" s="1" t="s">
        <v>5735</v>
      </c>
      <c r="I509" s="1" t="s">
        <v>90</v>
      </c>
      <c r="J509" s="1" t="s">
        <v>766</v>
      </c>
      <c r="K509" s="1" t="s">
        <v>165</v>
      </c>
      <c r="L509" s="4">
        <v>84870</v>
      </c>
      <c r="M509" s="1" t="s">
        <v>1082</v>
      </c>
    </row>
    <row r="510" spans="1:13" ht="15.75" customHeight="1" x14ac:dyDescent="0.35">
      <c r="A510" s="1" t="s">
        <v>151</v>
      </c>
      <c r="B510" s="1" t="s">
        <v>5763</v>
      </c>
      <c r="C510" s="1" t="s">
        <v>5800</v>
      </c>
      <c r="D510" s="1" t="s">
        <v>3231</v>
      </c>
      <c r="E510" s="1" t="s">
        <v>599</v>
      </c>
      <c r="F510" s="1" t="s">
        <v>5830</v>
      </c>
      <c r="G510" s="1" t="s">
        <v>74</v>
      </c>
      <c r="H510" s="1" t="s">
        <v>111</v>
      </c>
      <c r="I510" s="1" t="s">
        <v>90</v>
      </c>
      <c r="J510" s="1" t="s">
        <v>652</v>
      </c>
      <c r="K510" s="1" t="s">
        <v>78</v>
      </c>
      <c r="L510" s="4">
        <v>28888</v>
      </c>
      <c r="M510" s="1" t="s">
        <v>1082</v>
      </c>
    </row>
    <row r="511" spans="1:13" ht="15.75" customHeight="1" x14ac:dyDescent="0.35">
      <c r="A511" s="1" t="s">
        <v>151</v>
      </c>
      <c r="B511" s="1" t="s">
        <v>5760</v>
      </c>
      <c r="C511" s="1" t="s">
        <v>5800</v>
      </c>
      <c r="D511" s="1" t="s">
        <v>2870</v>
      </c>
      <c r="E511" s="1" t="s">
        <v>599</v>
      </c>
      <c r="F511" s="1" t="s">
        <v>5795</v>
      </c>
      <c r="G511" s="1" t="s">
        <v>74</v>
      </c>
      <c r="H511" s="1" t="s">
        <v>5793</v>
      </c>
      <c r="I511" s="1" t="s">
        <v>101</v>
      </c>
      <c r="J511" s="1" t="s">
        <v>63</v>
      </c>
      <c r="K511" s="1" t="s">
        <v>78</v>
      </c>
      <c r="L511" s="4">
        <v>33999</v>
      </c>
      <c r="M511" s="1" t="s">
        <v>1082</v>
      </c>
    </row>
    <row r="512" spans="1:13" ht="15.75" customHeight="1" x14ac:dyDescent="0.35">
      <c r="A512" s="1" t="s">
        <v>151</v>
      </c>
      <c r="B512" s="1" t="s">
        <v>5760</v>
      </c>
      <c r="C512" s="1" t="s">
        <v>5800</v>
      </c>
      <c r="D512" s="1" t="s">
        <v>2870</v>
      </c>
      <c r="E512" s="1" t="s">
        <v>599</v>
      </c>
      <c r="F512" s="1" t="s">
        <v>5792</v>
      </c>
      <c r="G512" s="1" t="s">
        <v>224</v>
      </c>
      <c r="H512" s="1" t="s">
        <v>5793</v>
      </c>
      <c r="I512" s="1" t="s">
        <v>101</v>
      </c>
      <c r="J512" s="1" t="s">
        <v>503</v>
      </c>
      <c r="K512" s="1" t="s">
        <v>78</v>
      </c>
      <c r="L512" s="4">
        <v>37799</v>
      </c>
      <c r="M512" s="1" t="s">
        <v>1082</v>
      </c>
    </row>
    <row r="513" spans="1:13" ht="15.75" customHeight="1" x14ac:dyDescent="0.35">
      <c r="A513" s="1" t="s">
        <v>81</v>
      </c>
      <c r="B513" s="1" t="s">
        <v>5810</v>
      </c>
      <c r="C513" s="1" t="s">
        <v>5800</v>
      </c>
      <c r="D513" s="1" t="s">
        <v>2870</v>
      </c>
      <c r="E513" s="1" t="s">
        <v>599</v>
      </c>
      <c r="F513" s="1" t="s">
        <v>5795</v>
      </c>
      <c r="G513" s="1" t="s">
        <v>74</v>
      </c>
      <c r="H513" s="1" t="s">
        <v>111</v>
      </c>
      <c r="I513" s="1" t="s">
        <v>101</v>
      </c>
      <c r="J513" s="1" t="s">
        <v>5824</v>
      </c>
      <c r="K513" s="1" t="s">
        <v>78</v>
      </c>
      <c r="L513" s="4">
        <v>51899</v>
      </c>
      <c r="M513" s="1" t="s">
        <v>166</v>
      </c>
    </row>
    <row r="514" spans="1:13" ht="15.75" customHeight="1" x14ac:dyDescent="0.35">
      <c r="A514" s="1" t="s">
        <v>81</v>
      </c>
      <c r="B514" s="1" t="s">
        <v>5810</v>
      </c>
      <c r="C514" s="1" t="s">
        <v>5800</v>
      </c>
      <c r="D514" s="1" t="s">
        <v>3231</v>
      </c>
      <c r="E514" s="1" t="s">
        <v>599</v>
      </c>
      <c r="F514" s="1" t="s">
        <v>5795</v>
      </c>
      <c r="G514" s="1" t="s">
        <v>74</v>
      </c>
      <c r="H514" s="1" t="s">
        <v>111</v>
      </c>
      <c r="I514" s="1" t="s">
        <v>101</v>
      </c>
      <c r="J514" s="1" t="s">
        <v>5824</v>
      </c>
      <c r="K514" s="1" t="s">
        <v>78</v>
      </c>
      <c r="L514" s="4">
        <v>42999</v>
      </c>
      <c r="M514" s="1" t="s">
        <v>166</v>
      </c>
    </row>
    <row r="515" spans="1:13" ht="15.75" customHeight="1" x14ac:dyDescent="0.35">
      <c r="A515" s="1" t="s">
        <v>151</v>
      </c>
      <c r="B515" s="1" t="s">
        <v>5763</v>
      </c>
      <c r="C515" s="1" t="s">
        <v>5794</v>
      </c>
      <c r="D515" s="1" t="s">
        <v>3231</v>
      </c>
      <c r="E515" s="1" t="s">
        <v>3816</v>
      </c>
      <c r="F515" s="1" t="s">
        <v>5795</v>
      </c>
      <c r="G515" s="1" t="s">
        <v>74</v>
      </c>
      <c r="H515" s="1" t="s">
        <v>111</v>
      </c>
      <c r="I515" s="1" t="s">
        <v>101</v>
      </c>
      <c r="J515" s="1" t="s">
        <v>2878</v>
      </c>
      <c r="K515" s="1" t="s">
        <v>78</v>
      </c>
      <c r="L515" s="4">
        <v>22999</v>
      </c>
      <c r="M515" s="1" t="s">
        <v>2181</v>
      </c>
    </row>
    <row r="516" spans="1:13" ht="15.75" customHeight="1" x14ac:dyDescent="0.35">
      <c r="A516" s="1" t="s">
        <v>151</v>
      </c>
      <c r="B516" s="1" t="s">
        <v>5763</v>
      </c>
      <c r="C516" s="1" t="s">
        <v>5815</v>
      </c>
      <c r="D516" s="1" t="s">
        <v>2870</v>
      </c>
      <c r="E516" s="1" t="s">
        <v>599</v>
      </c>
      <c r="F516" s="1" t="s">
        <v>5795</v>
      </c>
      <c r="G516" s="1" t="s">
        <v>74</v>
      </c>
      <c r="H516" s="1" t="s">
        <v>5735</v>
      </c>
      <c r="I516" s="1" t="s">
        <v>101</v>
      </c>
      <c r="J516" s="1" t="s">
        <v>652</v>
      </c>
      <c r="K516" s="1" t="s">
        <v>78</v>
      </c>
      <c r="L516" s="4">
        <v>21649</v>
      </c>
      <c r="M516" s="1" t="s">
        <v>5735</v>
      </c>
    </row>
    <row r="517" spans="1:13" ht="15.75" customHeight="1" x14ac:dyDescent="0.35">
      <c r="A517" s="1" t="s">
        <v>5735</v>
      </c>
      <c r="B517" s="1" t="s">
        <v>5810</v>
      </c>
      <c r="C517" s="1" t="s">
        <v>5800</v>
      </c>
      <c r="D517" s="1" t="s">
        <v>3231</v>
      </c>
      <c r="E517" s="1" t="s">
        <v>599</v>
      </c>
      <c r="F517" s="1" t="s">
        <v>5795</v>
      </c>
      <c r="G517" s="1" t="s">
        <v>74</v>
      </c>
      <c r="H517" s="1" t="s">
        <v>5796</v>
      </c>
      <c r="I517" s="1" t="s">
        <v>1722</v>
      </c>
      <c r="J517" s="1" t="s">
        <v>1670</v>
      </c>
      <c r="K517" s="1" t="s">
        <v>165</v>
      </c>
      <c r="L517" s="4">
        <v>31500</v>
      </c>
      <c r="M517" s="1" t="s">
        <v>1082</v>
      </c>
    </row>
    <row r="518" spans="1:13" ht="15.75" customHeight="1" x14ac:dyDescent="0.35">
      <c r="A518" s="1" t="s">
        <v>151</v>
      </c>
      <c r="B518" s="1" t="s">
        <v>5760</v>
      </c>
      <c r="C518" s="1" t="s">
        <v>5800</v>
      </c>
      <c r="D518" s="1" t="s">
        <v>2870</v>
      </c>
      <c r="E518" s="1" t="s">
        <v>599</v>
      </c>
      <c r="F518" s="1" t="s">
        <v>5792</v>
      </c>
      <c r="G518" s="1" t="s">
        <v>74</v>
      </c>
      <c r="H518" s="1" t="s">
        <v>5793</v>
      </c>
      <c r="I518" s="1" t="s">
        <v>101</v>
      </c>
      <c r="J518" s="1" t="s">
        <v>63</v>
      </c>
      <c r="K518" s="1" t="s">
        <v>78</v>
      </c>
      <c r="L518" s="4">
        <v>34720</v>
      </c>
      <c r="M518" s="1" t="s">
        <v>1082</v>
      </c>
    </row>
    <row r="519" spans="1:13" ht="15.75" customHeight="1" x14ac:dyDescent="0.35">
      <c r="A519" s="1" t="s">
        <v>151</v>
      </c>
      <c r="B519" s="1" t="s">
        <v>5760</v>
      </c>
      <c r="C519" s="1" t="s">
        <v>5808</v>
      </c>
      <c r="D519" s="1" t="s">
        <v>3816</v>
      </c>
      <c r="E519" s="1" t="s">
        <v>599</v>
      </c>
      <c r="F519" s="1" t="s">
        <v>5792</v>
      </c>
      <c r="G519" s="1" t="s">
        <v>224</v>
      </c>
      <c r="H519" s="1" t="s">
        <v>5793</v>
      </c>
      <c r="I519" s="1" t="s">
        <v>90</v>
      </c>
      <c r="J519" s="1" t="s">
        <v>944</v>
      </c>
      <c r="K519" s="1" t="s">
        <v>78</v>
      </c>
      <c r="L519" s="4">
        <v>73249</v>
      </c>
      <c r="M519" s="1" t="s">
        <v>5735</v>
      </c>
    </row>
    <row r="520" spans="1:13" ht="15.75" customHeight="1" x14ac:dyDescent="0.35">
      <c r="A520" s="1" t="s">
        <v>151</v>
      </c>
      <c r="B520" s="1" t="s">
        <v>5760</v>
      </c>
      <c r="C520" s="1" t="s">
        <v>5800</v>
      </c>
      <c r="D520" s="1" t="s">
        <v>599</v>
      </c>
      <c r="E520" s="1" t="s">
        <v>5799</v>
      </c>
      <c r="F520" s="1" t="s">
        <v>5805</v>
      </c>
      <c r="G520" s="1" t="s">
        <v>224</v>
      </c>
      <c r="H520" s="1" t="s">
        <v>5793</v>
      </c>
      <c r="I520" s="1" t="s">
        <v>90</v>
      </c>
      <c r="J520" s="1" t="s">
        <v>944</v>
      </c>
      <c r="K520" s="1" t="s">
        <v>78</v>
      </c>
      <c r="L520" s="4">
        <v>69500</v>
      </c>
      <c r="M520" s="1" t="s">
        <v>1082</v>
      </c>
    </row>
    <row r="521" spans="1:13" ht="15.75" customHeight="1" x14ac:dyDescent="0.35">
      <c r="A521" s="1" t="s">
        <v>5735</v>
      </c>
      <c r="B521" s="1" t="s">
        <v>5758</v>
      </c>
      <c r="C521" s="1" t="s">
        <v>5800</v>
      </c>
      <c r="D521" s="1" t="s">
        <v>3231</v>
      </c>
      <c r="E521" s="1" t="s">
        <v>599</v>
      </c>
      <c r="F521" s="1" t="s">
        <v>5795</v>
      </c>
      <c r="G521" s="1" t="s">
        <v>74</v>
      </c>
      <c r="H521" s="1" t="s">
        <v>5796</v>
      </c>
      <c r="I521" s="1" t="s">
        <v>90</v>
      </c>
      <c r="J521" s="1" t="s">
        <v>2878</v>
      </c>
      <c r="K521" s="1" t="s">
        <v>165</v>
      </c>
      <c r="L521" s="4">
        <v>42300</v>
      </c>
      <c r="M521" s="1" t="s">
        <v>166</v>
      </c>
    </row>
    <row r="522" spans="1:13" ht="15.75" customHeight="1" x14ac:dyDescent="0.35">
      <c r="A522" s="1" t="s">
        <v>5735</v>
      </c>
      <c r="B522" s="1" t="s">
        <v>5758</v>
      </c>
      <c r="C522" s="1" t="s">
        <v>5800</v>
      </c>
      <c r="D522" s="1" t="s">
        <v>3231</v>
      </c>
      <c r="E522" s="1" t="s">
        <v>599</v>
      </c>
      <c r="F522" s="1" t="s">
        <v>5795</v>
      </c>
      <c r="G522" s="1" t="s">
        <v>74</v>
      </c>
      <c r="H522" s="1" t="s">
        <v>5796</v>
      </c>
      <c r="I522" s="1" t="s">
        <v>1722</v>
      </c>
      <c r="J522" s="1" t="s">
        <v>1196</v>
      </c>
      <c r="K522" s="1" t="s">
        <v>165</v>
      </c>
      <c r="L522" s="4">
        <v>33749</v>
      </c>
      <c r="M522" s="1" t="s">
        <v>1082</v>
      </c>
    </row>
    <row r="523" spans="1:13" ht="15.75" customHeight="1" x14ac:dyDescent="0.35">
      <c r="A523" s="1" t="s">
        <v>30</v>
      </c>
      <c r="B523" s="1" t="s">
        <v>5773</v>
      </c>
      <c r="C523" s="1" t="s">
        <v>5800</v>
      </c>
      <c r="D523" s="1" t="s">
        <v>2870</v>
      </c>
      <c r="E523" s="1" t="s">
        <v>599</v>
      </c>
      <c r="F523" s="1" t="s">
        <v>5792</v>
      </c>
      <c r="G523" s="1" t="s">
        <v>74</v>
      </c>
      <c r="H523" s="1" t="s">
        <v>5796</v>
      </c>
      <c r="I523" s="1" t="s">
        <v>90</v>
      </c>
      <c r="J523" s="1" t="s">
        <v>652</v>
      </c>
      <c r="K523" s="1" t="s">
        <v>78</v>
      </c>
      <c r="L523" s="4">
        <v>32699</v>
      </c>
      <c r="M523" s="1" t="s">
        <v>166</v>
      </c>
    </row>
    <row r="524" spans="1:13" ht="15.75" customHeight="1" x14ac:dyDescent="0.35">
      <c r="A524" s="1" t="s">
        <v>81</v>
      </c>
      <c r="B524" s="1" t="s">
        <v>5810</v>
      </c>
      <c r="C524" s="1" t="s">
        <v>5800</v>
      </c>
      <c r="D524" s="1" t="s">
        <v>2870</v>
      </c>
      <c r="E524" s="1" t="s">
        <v>599</v>
      </c>
      <c r="F524" s="1" t="s">
        <v>5795</v>
      </c>
      <c r="G524" s="1" t="s">
        <v>74</v>
      </c>
      <c r="H524" s="1" t="s">
        <v>5735</v>
      </c>
      <c r="I524" s="1" t="s">
        <v>101</v>
      </c>
      <c r="J524" s="1" t="s">
        <v>2696</v>
      </c>
      <c r="K524" s="1" t="s">
        <v>78</v>
      </c>
      <c r="L524" s="4">
        <v>32999</v>
      </c>
      <c r="M524" s="1" t="s">
        <v>2181</v>
      </c>
    </row>
    <row r="525" spans="1:13" ht="15.75" customHeight="1" x14ac:dyDescent="0.35">
      <c r="A525" s="1" t="s">
        <v>5735</v>
      </c>
      <c r="B525" s="1" t="s">
        <v>5810</v>
      </c>
      <c r="C525" s="1" t="s">
        <v>5806</v>
      </c>
      <c r="D525" s="1" t="s">
        <v>3231</v>
      </c>
      <c r="E525" s="1" t="s">
        <v>599</v>
      </c>
      <c r="F525" s="1" t="s">
        <v>5795</v>
      </c>
      <c r="G525" s="1" t="s">
        <v>1015</v>
      </c>
      <c r="H525" s="1" t="s">
        <v>111</v>
      </c>
      <c r="I525" s="1" t="s">
        <v>1722</v>
      </c>
      <c r="J525" s="1" t="s">
        <v>4249</v>
      </c>
      <c r="K525" s="1" t="s">
        <v>78</v>
      </c>
      <c r="L525" s="4">
        <v>52000</v>
      </c>
      <c r="M525" s="1" t="s">
        <v>5735</v>
      </c>
    </row>
    <row r="526" spans="1:13" ht="15.75" customHeight="1" x14ac:dyDescent="0.35">
      <c r="A526" s="1" t="s">
        <v>151</v>
      </c>
      <c r="B526" s="1" t="s">
        <v>5763</v>
      </c>
      <c r="C526" s="1" t="s">
        <v>5794</v>
      </c>
      <c r="D526" s="1" t="s">
        <v>3231</v>
      </c>
      <c r="E526" s="1" t="s">
        <v>3816</v>
      </c>
      <c r="F526" s="1" t="s">
        <v>5830</v>
      </c>
      <c r="G526" s="1" t="s">
        <v>74</v>
      </c>
      <c r="H526" s="1" t="s">
        <v>111</v>
      </c>
      <c r="I526" s="1" t="s">
        <v>90</v>
      </c>
      <c r="J526" s="1" t="s">
        <v>652</v>
      </c>
      <c r="K526" s="1" t="s">
        <v>78</v>
      </c>
      <c r="L526" s="4">
        <v>19549</v>
      </c>
      <c r="M526" s="1" t="s">
        <v>1082</v>
      </c>
    </row>
    <row r="527" spans="1:13" ht="15.75" customHeight="1" x14ac:dyDescent="0.35">
      <c r="A527" s="1" t="s">
        <v>30</v>
      </c>
      <c r="B527" s="1" t="s">
        <v>5774</v>
      </c>
      <c r="C527" s="1" t="s">
        <v>5788</v>
      </c>
      <c r="D527" s="1" t="s">
        <v>599</v>
      </c>
      <c r="E527" s="1" t="s">
        <v>5799</v>
      </c>
      <c r="F527" s="1" t="s">
        <v>5792</v>
      </c>
      <c r="G527" s="1" t="s">
        <v>1371</v>
      </c>
      <c r="H527" s="1" t="s">
        <v>200</v>
      </c>
      <c r="I527" s="1" t="s">
        <v>1722</v>
      </c>
      <c r="J527" s="1" t="s">
        <v>398</v>
      </c>
      <c r="K527" s="1" t="s">
        <v>78</v>
      </c>
      <c r="L527" s="4">
        <v>69455</v>
      </c>
      <c r="M527" s="1" t="s">
        <v>1082</v>
      </c>
    </row>
    <row r="528" spans="1:13" ht="15.75" customHeight="1" x14ac:dyDescent="0.35">
      <c r="A528" s="1" t="s">
        <v>151</v>
      </c>
      <c r="B528" s="1" t="s">
        <v>5760</v>
      </c>
      <c r="C528" s="1" t="s">
        <v>5800</v>
      </c>
      <c r="D528" s="1" t="s">
        <v>3231</v>
      </c>
      <c r="E528" s="1" t="s">
        <v>599</v>
      </c>
      <c r="F528" s="1" t="s">
        <v>5792</v>
      </c>
      <c r="G528" s="1" t="s">
        <v>74</v>
      </c>
      <c r="H528" s="1" t="s">
        <v>5793</v>
      </c>
      <c r="I528" s="1" t="s">
        <v>101</v>
      </c>
      <c r="J528" s="1" t="s">
        <v>63</v>
      </c>
      <c r="K528" s="1" t="s">
        <v>78</v>
      </c>
      <c r="L528" s="4">
        <v>27699</v>
      </c>
      <c r="M528" s="1" t="s">
        <v>1082</v>
      </c>
    </row>
    <row r="529" spans="1:13" ht="15.75" customHeight="1" x14ac:dyDescent="0.35">
      <c r="A529" s="1" t="s">
        <v>30</v>
      </c>
      <c r="B529" s="1" t="s">
        <v>5774</v>
      </c>
      <c r="C529" s="1" t="s">
        <v>5788</v>
      </c>
      <c r="D529" s="1" t="s">
        <v>599</v>
      </c>
      <c r="E529" s="1" t="s">
        <v>5799</v>
      </c>
      <c r="F529" s="1" t="s">
        <v>5805</v>
      </c>
      <c r="G529" s="1" t="s">
        <v>74</v>
      </c>
      <c r="H529" s="1" t="s">
        <v>2323</v>
      </c>
      <c r="I529" s="1" t="s">
        <v>1722</v>
      </c>
      <c r="J529" s="1" t="s">
        <v>2064</v>
      </c>
      <c r="K529" s="1" t="s">
        <v>78</v>
      </c>
      <c r="L529" s="4">
        <v>75549</v>
      </c>
      <c r="M529" s="1" t="s">
        <v>1082</v>
      </c>
    </row>
    <row r="530" spans="1:13" ht="15.75" customHeight="1" x14ac:dyDescent="0.35">
      <c r="A530" s="1" t="s">
        <v>5735</v>
      </c>
      <c r="B530" s="1" t="s">
        <v>5758</v>
      </c>
      <c r="C530" s="1" t="s">
        <v>5800</v>
      </c>
      <c r="D530" s="1" t="s">
        <v>3231</v>
      </c>
      <c r="E530" s="1" t="s">
        <v>599</v>
      </c>
      <c r="F530" s="1" t="s">
        <v>5795</v>
      </c>
      <c r="G530" s="1" t="s">
        <v>74</v>
      </c>
      <c r="H530" s="1" t="s">
        <v>5796</v>
      </c>
      <c r="I530" s="1" t="s">
        <v>1722</v>
      </c>
      <c r="J530" s="1" t="s">
        <v>503</v>
      </c>
      <c r="K530" s="1" t="s">
        <v>78</v>
      </c>
      <c r="L530" s="4">
        <v>41199</v>
      </c>
      <c r="M530" s="1" t="s">
        <v>1082</v>
      </c>
    </row>
    <row r="531" spans="1:13" ht="15.75" customHeight="1" x14ac:dyDescent="0.35">
      <c r="A531" s="1" t="s">
        <v>5735</v>
      </c>
      <c r="B531" s="1" t="s">
        <v>5810</v>
      </c>
      <c r="C531" s="1" t="s">
        <v>5808</v>
      </c>
      <c r="D531" s="1" t="s">
        <v>3231</v>
      </c>
      <c r="E531" s="1" t="s">
        <v>599</v>
      </c>
      <c r="F531" s="1" t="s">
        <v>5795</v>
      </c>
      <c r="G531" s="1" t="s">
        <v>74</v>
      </c>
      <c r="H531" s="1" t="s">
        <v>5735</v>
      </c>
      <c r="I531" s="1" t="s">
        <v>1722</v>
      </c>
      <c r="J531" s="1" t="s">
        <v>63</v>
      </c>
      <c r="K531" s="1" t="s">
        <v>165</v>
      </c>
      <c r="L531" s="4">
        <v>28900</v>
      </c>
      <c r="M531" s="1" t="s">
        <v>5735</v>
      </c>
    </row>
    <row r="532" spans="1:13" ht="15.75" customHeight="1" x14ac:dyDescent="0.35">
      <c r="A532" s="1" t="s">
        <v>5735</v>
      </c>
      <c r="B532" s="1" t="s">
        <v>5810</v>
      </c>
      <c r="C532" s="1" t="s">
        <v>5808</v>
      </c>
      <c r="D532" s="1" t="s">
        <v>3231</v>
      </c>
      <c r="E532" s="1" t="s">
        <v>599</v>
      </c>
      <c r="F532" s="1" t="s">
        <v>5795</v>
      </c>
      <c r="G532" s="1" t="s">
        <v>74</v>
      </c>
      <c r="H532" s="1" t="s">
        <v>5735</v>
      </c>
      <c r="I532" s="1" t="s">
        <v>1722</v>
      </c>
      <c r="J532" s="1" t="s">
        <v>63</v>
      </c>
      <c r="K532" s="1" t="s">
        <v>165</v>
      </c>
      <c r="L532" s="4">
        <v>28900</v>
      </c>
      <c r="M532" s="1" t="s">
        <v>5735</v>
      </c>
    </row>
    <row r="533" spans="1:13" ht="15.75" customHeight="1" x14ac:dyDescent="0.35">
      <c r="A533" s="1" t="s">
        <v>5735</v>
      </c>
      <c r="B533" s="1" t="s">
        <v>5810</v>
      </c>
      <c r="C533" s="1" t="s">
        <v>5800</v>
      </c>
      <c r="D533" s="1" t="s">
        <v>2870</v>
      </c>
      <c r="E533" s="1" t="s">
        <v>599</v>
      </c>
      <c r="F533" s="1" t="s">
        <v>5795</v>
      </c>
      <c r="G533" s="1" t="s">
        <v>74</v>
      </c>
      <c r="H533" s="1" t="s">
        <v>5796</v>
      </c>
      <c r="I533" s="1" t="s">
        <v>90</v>
      </c>
      <c r="J533" s="1" t="s">
        <v>1670</v>
      </c>
      <c r="K533" s="1" t="s">
        <v>165</v>
      </c>
      <c r="L533" s="4">
        <v>35050</v>
      </c>
      <c r="M533" s="1" t="s">
        <v>1082</v>
      </c>
    </row>
    <row r="534" spans="1:13" ht="15.75" customHeight="1" x14ac:dyDescent="0.35">
      <c r="A534" s="1" t="s">
        <v>5735</v>
      </c>
      <c r="B534" s="1" t="s">
        <v>5810</v>
      </c>
      <c r="C534" s="1" t="s">
        <v>5806</v>
      </c>
      <c r="D534" s="1" t="s">
        <v>3231</v>
      </c>
      <c r="E534" s="1" t="s">
        <v>5799</v>
      </c>
      <c r="F534" s="1" t="s">
        <v>5792</v>
      </c>
      <c r="G534" s="1" t="s">
        <v>1015</v>
      </c>
      <c r="H534" s="1" t="s">
        <v>5735</v>
      </c>
      <c r="I534" s="1" t="s">
        <v>2991</v>
      </c>
      <c r="J534" s="1" t="s">
        <v>4249</v>
      </c>
      <c r="K534" s="1" t="s">
        <v>165</v>
      </c>
      <c r="L534" s="4">
        <v>40999</v>
      </c>
      <c r="M534" s="1" t="s">
        <v>5735</v>
      </c>
    </row>
    <row r="535" spans="1:13" ht="15.75" customHeight="1" x14ac:dyDescent="0.35">
      <c r="A535" s="1" t="s">
        <v>5735</v>
      </c>
      <c r="B535" s="1" t="s">
        <v>5810</v>
      </c>
      <c r="C535" s="1" t="s">
        <v>5806</v>
      </c>
      <c r="D535" s="1" t="s">
        <v>2870</v>
      </c>
      <c r="E535" s="1" t="s">
        <v>599</v>
      </c>
      <c r="F535" s="1" t="s">
        <v>5792</v>
      </c>
      <c r="G535" s="1" t="s">
        <v>5817</v>
      </c>
      <c r="H535" s="1" t="s">
        <v>5796</v>
      </c>
      <c r="I535" s="1" t="s">
        <v>2991</v>
      </c>
      <c r="J535" s="1" t="s">
        <v>5735</v>
      </c>
      <c r="K535" s="1" t="s">
        <v>165</v>
      </c>
      <c r="L535" s="4">
        <v>61999</v>
      </c>
      <c r="M535" s="1" t="s">
        <v>5735</v>
      </c>
    </row>
    <row r="536" spans="1:13" ht="15.75" customHeight="1" x14ac:dyDescent="0.35">
      <c r="A536" s="1" t="s">
        <v>5735</v>
      </c>
      <c r="B536" s="1" t="s">
        <v>5810</v>
      </c>
      <c r="C536" s="1" t="s">
        <v>5788</v>
      </c>
      <c r="D536" s="1" t="s">
        <v>2870</v>
      </c>
      <c r="E536" s="1" t="s">
        <v>599</v>
      </c>
      <c r="F536" s="1" t="s">
        <v>5792</v>
      </c>
      <c r="G536" s="1" t="s">
        <v>224</v>
      </c>
      <c r="H536" s="1" t="s">
        <v>5793</v>
      </c>
      <c r="I536" s="1" t="s">
        <v>1722</v>
      </c>
      <c r="J536" s="1" t="s">
        <v>230</v>
      </c>
      <c r="K536" s="1" t="s">
        <v>165</v>
      </c>
      <c r="L536" s="4">
        <v>51949</v>
      </c>
      <c r="M536" s="1" t="s">
        <v>1082</v>
      </c>
    </row>
    <row r="537" spans="1:13" ht="15.75" customHeight="1" x14ac:dyDescent="0.35">
      <c r="A537" s="1" t="s">
        <v>5735</v>
      </c>
      <c r="B537" s="1" t="s">
        <v>5810</v>
      </c>
      <c r="C537" s="1" t="s">
        <v>5806</v>
      </c>
      <c r="D537" s="1" t="s">
        <v>3816</v>
      </c>
      <c r="E537" s="1" t="s">
        <v>599</v>
      </c>
      <c r="F537" s="1" t="s">
        <v>5792</v>
      </c>
      <c r="G537" s="1" t="s">
        <v>5817</v>
      </c>
      <c r="H537" s="1" t="s">
        <v>5793</v>
      </c>
      <c r="I537" s="1" t="s">
        <v>2991</v>
      </c>
      <c r="J537" s="1" t="s">
        <v>230</v>
      </c>
      <c r="K537" s="1" t="s">
        <v>78</v>
      </c>
      <c r="L537" s="4">
        <v>64200</v>
      </c>
      <c r="M537" s="1" t="s">
        <v>5735</v>
      </c>
    </row>
    <row r="538" spans="1:13" ht="15.75" customHeight="1" x14ac:dyDescent="0.35">
      <c r="A538" s="1" t="s">
        <v>2779</v>
      </c>
      <c r="B538" s="1" t="s">
        <v>5810</v>
      </c>
      <c r="C538" s="1" t="s">
        <v>5788</v>
      </c>
      <c r="D538" s="1" t="s">
        <v>599</v>
      </c>
      <c r="E538" s="1" t="s">
        <v>5799</v>
      </c>
      <c r="F538" s="1" t="s">
        <v>5792</v>
      </c>
      <c r="G538" s="1" t="s">
        <v>5827</v>
      </c>
      <c r="H538" s="1" t="s">
        <v>5819</v>
      </c>
      <c r="I538" s="1" t="s">
        <v>1722</v>
      </c>
      <c r="J538" s="1" t="s">
        <v>3019</v>
      </c>
      <c r="K538" s="1" t="s">
        <v>78</v>
      </c>
      <c r="L538" s="4">
        <v>64422</v>
      </c>
      <c r="M538" s="1" t="s">
        <v>1082</v>
      </c>
    </row>
    <row r="539" spans="1:13" ht="15.75" customHeight="1" x14ac:dyDescent="0.35">
      <c r="A539" s="1" t="s">
        <v>151</v>
      </c>
      <c r="B539" s="1" t="s">
        <v>5810</v>
      </c>
      <c r="C539" s="1" t="s">
        <v>5800</v>
      </c>
      <c r="D539" s="1" t="s">
        <v>3231</v>
      </c>
      <c r="E539" s="1" t="s">
        <v>599</v>
      </c>
      <c r="F539" s="1" t="s">
        <v>5795</v>
      </c>
      <c r="G539" s="1" t="s">
        <v>74</v>
      </c>
      <c r="H539" s="1" t="s">
        <v>5793</v>
      </c>
      <c r="I539" s="1" t="s">
        <v>101</v>
      </c>
      <c r="J539" s="1" t="s">
        <v>63</v>
      </c>
      <c r="K539" s="1" t="s">
        <v>78</v>
      </c>
      <c r="L539" s="4">
        <v>30199</v>
      </c>
      <c r="M539" s="1" t="s">
        <v>1082</v>
      </c>
    </row>
    <row r="540" spans="1:13" ht="15.75" customHeight="1" x14ac:dyDescent="0.35">
      <c r="A540" s="1" t="s">
        <v>151</v>
      </c>
      <c r="B540" s="1" t="s">
        <v>5763</v>
      </c>
      <c r="C540" s="1" t="s">
        <v>5808</v>
      </c>
      <c r="D540" s="1" t="s">
        <v>3231</v>
      </c>
      <c r="E540" s="1" t="s">
        <v>599</v>
      </c>
      <c r="F540" s="1" t="s">
        <v>5830</v>
      </c>
      <c r="G540" s="1" t="s">
        <v>74</v>
      </c>
      <c r="H540" s="1" t="s">
        <v>111</v>
      </c>
      <c r="I540" s="1" t="s">
        <v>101</v>
      </c>
      <c r="J540" s="1" t="s">
        <v>2878</v>
      </c>
      <c r="K540" s="1" t="s">
        <v>78</v>
      </c>
      <c r="L540" s="4">
        <v>19149</v>
      </c>
      <c r="M540" s="1" t="s">
        <v>5735</v>
      </c>
    </row>
    <row r="541" spans="1:13" ht="15.75" customHeight="1" x14ac:dyDescent="0.35">
      <c r="A541" s="1" t="s">
        <v>30</v>
      </c>
      <c r="B541" s="1" t="s">
        <v>5810</v>
      </c>
      <c r="C541" s="1" t="s">
        <v>5800</v>
      </c>
      <c r="D541" s="1" t="s">
        <v>3816</v>
      </c>
      <c r="E541" s="1" t="s">
        <v>599</v>
      </c>
      <c r="F541" s="1" t="s">
        <v>5792</v>
      </c>
      <c r="G541" s="1" t="s">
        <v>74</v>
      </c>
      <c r="H541" s="1" t="s">
        <v>200</v>
      </c>
      <c r="I541" s="1" t="s">
        <v>1722</v>
      </c>
      <c r="J541" s="1" t="s">
        <v>398</v>
      </c>
      <c r="K541" s="1" t="s">
        <v>78</v>
      </c>
      <c r="L541" s="4">
        <v>45249</v>
      </c>
      <c r="M541" s="1" t="s">
        <v>1082</v>
      </c>
    </row>
    <row r="542" spans="1:13" ht="15.75" customHeight="1" x14ac:dyDescent="0.35">
      <c r="A542" s="1" t="s">
        <v>30</v>
      </c>
      <c r="B542" s="1" t="s">
        <v>5777</v>
      </c>
      <c r="C542" s="1" t="s">
        <v>5800</v>
      </c>
      <c r="D542" s="1" t="s">
        <v>3816</v>
      </c>
      <c r="E542" s="1" t="s">
        <v>599</v>
      </c>
      <c r="F542" s="1" t="s">
        <v>5792</v>
      </c>
      <c r="G542" s="1" t="s">
        <v>5817</v>
      </c>
      <c r="H542" s="1" t="s">
        <v>5735</v>
      </c>
      <c r="I542" s="1" t="s">
        <v>1722</v>
      </c>
      <c r="J542" s="1" t="s">
        <v>2045</v>
      </c>
      <c r="K542" s="1" t="s">
        <v>78</v>
      </c>
      <c r="L542" s="4">
        <v>65999</v>
      </c>
      <c r="M542" s="1" t="s">
        <v>1082</v>
      </c>
    </row>
    <row r="543" spans="1:13" ht="15.75" customHeight="1" x14ac:dyDescent="0.35">
      <c r="A543" s="1" t="s">
        <v>30</v>
      </c>
      <c r="B543" s="1" t="s">
        <v>5776</v>
      </c>
      <c r="C543" s="1" t="s">
        <v>5788</v>
      </c>
      <c r="D543" s="1" t="s">
        <v>3816</v>
      </c>
      <c r="E543" s="1" t="s">
        <v>5799</v>
      </c>
      <c r="F543" s="1" t="s">
        <v>5792</v>
      </c>
      <c r="G543" s="1" t="s">
        <v>74</v>
      </c>
      <c r="H543" s="1" t="s">
        <v>1518</v>
      </c>
      <c r="I543" s="1" t="s">
        <v>90</v>
      </c>
      <c r="J543" s="1" t="s">
        <v>398</v>
      </c>
      <c r="K543" s="1" t="s">
        <v>78</v>
      </c>
      <c r="L543" s="4">
        <v>98000</v>
      </c>
      <c r="M543" s="1" t="s">
        <v>166</v>
      </c>
    </row>
    <row r="544" spans="1:13" ht="15.75" customHeight="1" x14ac:dyDescent="0.35">
      <c r="A544" s="1" t="s">
        <v>30</v>
      </c>
      <c r="B544" s="1" t="s">
        <v>5777</v>
      </c>
      <c r="C544" s="1" t="s">
        <v>5788</v>
      </c>
      <c r="D544" s="1" t="s">
        <v>3816</v>
      </c>
      <c r="E544" s="1" t="s">
        <v>5799</v>
      </c>
      <c r="F544" s="1" t="s">
        <v>5792</v>
      </c>
      <c r="G544" s="1" t="s">
        <v>74</v>
      </c>
      <c r="H544" s="1" t="s">
        <v>1518</v>
      </c>
      <c r="I544" s="1" t="s">
        <v>1722</v>
      </c>
      <c r="J544" s="1" t="s">
        <v>2045</v>
      </c>
      <c r="K544" s="1" t="s">
        <v>78</v>
      </c>
      <c r="L544" s="4">
        <v>64899</v>
      </c>
      <c r="M544" s="1" t="s">
        <v>1082</v>
      </c>
    </row>
    <row r="545" spans="1:13" ht="15.75" customHeight="1" x14ac:dyDescent="0.35">
      <c r="A545" s="1" t="s">
        <v>30</v>
      </c>
      <c r="B545" s="1" t="s">
        <v>5777</v>
      </c>
      <c r="C545" s="1" t="s">
        <v>5800</v>
      </c>
      <c r="D545" s="1" t="s">
        <v>3816</v>
      </c>
      <c r="E545" s="1" t="s">
        <v>3816</v>
      </c>
      <c r="F545" s="1" t="s">
        <v>5792</v>
      </c>
      <c r="G545" s="1" t="s">
        <v>74</v>
      </c>
      <c r="H545" s="1" t="s">
        <v>2323</v>
      </c>
      <c r="I545" s="1" t="s">
        <v>1722</v>
      </c>
      <c r="J545" s="1" t="s">
        <v>2045</v>
      </c>
      <c r="K545" s="1" t="s">
        <v>78</v>
      </c>
      <c r="L545" s="4">
        <v>54499</v>
      </c>
      <c r="M545" s="1" t="s">
        <v>1082</v>
      </c>
    </row>
    <row r="546" spans="1:13" ht="15.75" customHeight="1" x14ac:dyDescent="0.35">
      <c r="A546" s="1" t="s">
        <v>30</v>
      </c>
      <c r="B546" s="1" t="s">
        <v>5810</v>
      </c>
      <c r="C546" s="1" t="s">
        <v>5800</v>
      </c>
      <c r="D546" s="1" t="s">
        <v>3816</v>
      </c>
      <c r="E546" s="1" t="s">
        <v>3816</v>
      </c>
      <c r="F546" s="1" t="s">
        <v>5792</v>
      </c>
      <c r="G546" s="1" t="s">
        <v>74</v>
      </c>
      <c r="H546" s="1" t="s">
        <v>5796</v>
      </c>
      <c r="I546" s="1" t="s">
        <v>1722</v>
      </c>
      <c r="J546" s="1" t="s">
        <v>398</v>
      </c>
      <c r="K546" s="1" t="s">
        <v>78</v>
      </c>
      <c r="L546" s="4">
        <v>48365</v>
      </c>
      <c r="M546" s="1" t="s">
        <v>1082</v>
      </c>
    </row>
    <row r="547" spans="1:13" ht="15.75" customHeight="1" x14ac:dyDescent="0.35">
      <c r="A547" s="1" t="s">
        <v>30</v>
      </c>
      <c r="B547" s="1" t="s">
        <v>5774</v>
      </c>
      <c r="C547" s="1" t="s">
        <v>5788</v>
      </c>
      <c r="D547" s="1" t="s">
        <v>599</v>
      </c>
      <c r="E547" s="1" t="s">
        <v>5804</v>
      </c>
      <c r="F547" s="1" t="s">
        <v>5805</v>
      </c>
      <c r="G547" s="1" t="s">
        <v>74</v>
      </c>
      <c r="H547" s="1" t="s">
        <v>2323</v>
      </c>
      <c r="I547" s="1" t="s">
        <v>1722</v>
      </c>
      <c r="J547" s="1" t="s">
        <v>2064</v>
      </c>
      <c r="K547" s="1" t="s">
        <v>78</v>
      </c>
      <c r="L547" s="4">
        <v>82699</v>
      </c>
      <c r="M547" s="1" t="s">
        <v>1082</v>
      </c>
    </row>
    <row r="548" spans="1:13" ht="15.75" customHeight="1" x14ac:dyDescent="0.35">
      <c r="A548" s="1" t="s">
        <v>112</v>
      </c>
      <c r="B548" s="1" t="s">
        <v>5753</v>
      </c>
      <c r="C548" s="1" t="s">
        <v>5794</v>
      </c>
      <c r="D548" s="1" t="s">
        <v>3231</v>
      </c>
      <c r="E548" s="1" t="s">
        <v>3816</v>
      </c>
      <c r="F548" s="1" t="s">
        <v>5830</v>
      </c>
      <c r="G548" s="1" t="s">
        <v>74</v>
      </c>
      <c r="H548" s="1" t="s">
        <v>5735</v>
      </c>
      <c r="I548" s="1" t="s">
        <v>90</v>
      </c>
      <c r="J548" s="1" t="s">
        <v>2011</v>
      </c>
      <c r="K548" s="1" t="s">
        <v>78</v>
      </c>
      <c r="L548" s="4">
        <v>21000</v>
      </c>
      <c r="M548" s="1" t="s">
        <v>1082</v>
      </c>
    </row>
    <row r="549" spans="1:13" ht="15.75" customHeight="1" x14ac:dyDescent="0.35">
      <c r="A549" s="1" t="s">
        <v>5735</v>
      </c>
      <c r="B549" s="1" t="s">
        <v>5810</v>
      </c>
      <c r="C549" s="1" t="s">
        <v>5808</v>
      </c>
      <c r="D549" s="1" t="s">
        <v>3231</v>
      </c>
      <c r="E549" s="1" t="s">
        <v>599</v>
      </c>
      <c r="F549" s="1" t="s">
        <v>5795</v>
      </c>
      <c r="G549" s="1" t="s">
        <v>74</v>
      </c>
      <c r="H549" s="1" t="s">
        <v>5735</v>
      </c>
      <c r="I549" s="1" t="s">
        <v>90</v>
      </c>
      <c r="J549" s="1" t="s">
        <v>1609</v>
      </c>
      <c r="K549" s="1" t="s">
        <v>165</v>
      </c>
      <c r="L549" s="4">
        <v>48999</v>
      </c>
      <c r="M549" s="1" t="s">
        <v>5735</v>
      </c>
    </row>
    <row r="550" spans="1:13" ht="15.75" customHeight="1" x14ac:dyDescent="0.35">
      <c r="A550" s="1" t="s">
        <v>5735</v>
      </c>
      <c r="B550" s="1" t="s">
        <v>5810</v>
      </c>
      <c r="C550" s="1" t="s">
        <v>5806</v>
      </c>
      <c r="D550" s="1" t="s">
        <v>3231</v>
      </c>
      <c r="E550" s="1" t="s">
        <v>599</v>
      </c>
      <c r="F550" s="1" t="s">
        <v>5792</v>
      </c>
      <c r="G550" s="1" t="s">
        <v>38</v>
      </c>
      <c r="H550" s="1" t="s">
        <v>111</v>
      </c>
      <c r="I550" s="1" t="s">
        <v>101</v>
      </c>
      <c r="J550" s="1" t="s">
        <v>4249</v>
      </c>
      <c r="K550" s="1" t="s">
        <v>165</v>
      </c>
      <c r="L550" s="4">
        <v>45200</v>
      </c>
      <c r="M550" s="1" t="s">
        <v>5735</v>
      </c>
    </row>
    <row r="551" spans="1:13" ht="15.75" customHeight="1" x14ac:dyDescent="0.35">
      <c r="A551" s="1" t="s">
        <v>151</v>
      </c>
      <c r="B551" s="1" t="s">
        <v>5763</v>
      </c>
      <c r="C551" s="1" t="s">
        <v>5808</v>
      </c>
      <c r="D551" s="1" t="s">
        <v>3231</v>
      </c>
      <c r="E551" s="1" t="s">
        <v>3816</v>
      </c>
      <c r="F551" s="1" t="s">
        <v>5795</v>
      </c>
      <c r="G551" s="1" t="s">
        <v>74</v>
      </c>
      <c r="H551" s="1" t="s">
        <v>111</v>
      </c>
      <c r="I551" s="1" t="s">
        <v>101</v>
      </c>
      <c r="J551" s="1" t="s">
        <v>652</v>
      </c>
      <c r="K551" s="1" t="s">
        <v>78</v>
      </c>
      <c r="L551" s="4">
        <v>27999</v>
      </c>
      <c r="M551" s="1" t="s">
        <v>5735</v>
      </c>
    </row>
    <row r="552" spans="1:13" ht="15.75" customHeight="1" x14ac:dyDescent="0.35">
      <c r="A552" s="1" t="s">
        <v>5735</v>
      </c>
      <c r="B552" s="1" t="s">
        <v>5810</v>
      </c>
      <c r="C552" s="1" t="s">
        <v>5800</v>
      </c>
      <c r="D552" s="1" t="s">
        <v>2870</v>
      </c>
      <c r="E552" s="1" t="s">
        <v>3816</v>
      </c>
      <c r="F552" s="1" t="s">
        <v>5795</v>
      </c>
      <c r="G552" s="1" t="s">
        <v>74</v>
      </c>
      <c r="H552" s="1" t="s">
        <v>5796</v>
      </c>
      <c r="I552" s="1" t="s">
        <v>101</v>
      </c>
      <c r="J552" s="1" t="s">
        <v>503</v>
      </c>
      <c r="K552" s="1" t="s">
        <v>165</v>
      </c>
      <c r="L552" s="4">
        <v>35050</v>
      </c>
      <c r="M552" s="1" t="s">
        <v>1082</v>
      </c>
    </row>
    <row r="553" spans="1:13" ht="15.75" customHeight="1" x14ac:dyDescent="0.35">
      <c r="A553" s="1" t="s">
        <v>5735</v>
      </c>
      <c r="B553" s="1" t="s">
        <v>5810</v>
      </c>
      <c r="C553" s="1" t="s">
        <v>5806</v>
      </c>
      <c r="D553" s="1" t="s">
        <v>3816</v>
      </c>
      <c r="E553" s="1" t="s">
        <v>5799</v>
      </c>
      <c r="F553" s="1" t="s">
        <v>5792</v>
      </c>
      <c r="G553" s="1" t="s">
        <v>1371</v>
      </c>
      <c r="H553" s="1" t="s">
        <v>5793</v>
      </c>
      <c r="I553" s="1" t="s">
        <v>1722</v>
      </c>
      <c r="J553" s="1" t="s">
        <v>537</v>
      </c>
      <c r="K553" s="1" t="s">
        <v>165</v>
      </c>
      <c r="L553" s="4">
        <v>52000</v>
      </c>
      <c r="M553" s="1" t="s">
        <v>5735</v>
      </c>
    </row>
    <row r="554" spans="1:13" ht="15.75" customHeight="1" x14ac:dyDescent="0.35">
      <c r="A554" s="1" t="s">
        <v>5735</v>
      </c>
      <c r="B554" s="1" t="s">
        <v>5810</v>
      </c>
      <c r="C554" s="1" t="s">
        <v>5806</v>
      </c>
      <c r="D554" s="1" t="s">
        <v>599</v>
      </c>
      <c r="E554" s="1" t="s">
        <v>599</v>
      </c>
      <c r="F554" s="1" t="s">
        <v>5792</v>
      </c>
      <c r="G554" s="1" t="s">
        <v>74</v>
      </c>
      <c r="H554" s="1" t="s">
        <v>2323</v>
      </c>
      <c r="I554" s="1" t="s">
        <v>1722</v>
      </c>
      <c r="J554" s="1" t="s">
        <v>503</v>
      </c>
      <c r="K554" s="1" t="s">
        <v>165</v>
      </c>
      <c r="L554" s="4">
        <v>48649</v>
      </c>
      <c r="M554" s="1" t="s">
        <v>5735</v>
      </c>
    </row>
    <row r="555" spans="1:13" ht="15.75" customHeight="1" x14ac:dyDescent="0.35">
      <c r="A555" s="1" t="s">
        <v>5735</v>
      </c>
      <c r="B555" s="1" t="s">
        <v>5810</v>
      </c>
      <c r="C555" s="1" t="s">
        <v>5800</v>
      </c>
      <c r="D555" s="1" t="s">
        <v>2870</v>
      </c>
      <c r="E555" s="1" t="s">
        <v>599</v>
      </c>
      <c r="F555" s="1" t="s">
        <v>5792</v>
      </c>
      <c r="G555" s="1" t="s">
        <v>74</v>
      </c>
      <c r="H555" s="1" t="s">
        <v>5796</v>
      </c>
      <c r="I555" s="1" t="s">
        <v>101</v>
      </c>
      <c r="J555" s="1" t="s">
        <v>1670</v>
      </c>
      <c r="K555" s="1" t="s">
        <v>165</v>
      </c>
      <c r="L555" s="4">
        <v>36999</v>
      </c>
      <c r="M555" s="1" t="s">
        <v>1082</v>
      </c>
    </row>
    <row r="556" spans="1:13" ht="15.75" customHeight="1" x14ac:dyDescent="0.35">
      <c r="A556" s="1" t="s">
        <v>5735</v>
      </c>
      <c r="B556" s="1" t="s">
        <v>5810</v>
      </c>
      <c r="C556" s="1" t="s">
        <v>5800</v>
      </c>
      <c r="D556" s="1" t="s">
        <v>3231</v>
      </c>
      <c r="E556" s="1" t="s">
        <v>599</v>
      </c>
      <c r="F556" s="1" t="s">
        <v>5795</v>
      </c>
      <c r="G556" s="1" t="s">
        <v>74</v>
      </c>
      <c r="H556" s="1" t="s">
        <v>5819</v>
      </c>
      <c r="I556" s="1" t="s">
        <v>90</v>
      </c>
      <c r="J556" s="1" t="s">
        <v>503</v>
      </c>
      <c r="K556" s="1" t="s">
        <v>165</v>
      </c>
      <c r="L556" s="4">
        <v>32450</v>
      </c>
      <c r="M556" s="1" t="s">
        <v>1082</v>
      </c>
    </row>
    <row r="557" spans="1:13" ht="15.75" customHeight="1" x14ac:dyDescent="0.35">
      <c r="A557" s="1" t="s">
        <v>5735</v>
      </c>
      <c r="B557" s="1" t="s">
        <v>5757</v>
      </c>
      <c r="C557" s="1" t="s">
        <v>5788</v>
      </c>
      <c r="D557" s="1" t="s">
        <v>599</v>
      </c>
      <c r="E557" s="1" t="s">
        <v>5799</v>
      </c>
      <c r="F557" s="1" t="s">
        <v>5805</v>
      </c>
      <c r="G557" s="1" t="s">
        <v>1371</v>
      </c>
      <c r="H557" s="1" t="s">
        <v>5793</v>
      </c>
      <c r="I557" s="1" t="s">
        <v>1722</v>
      </c>
      <c r="J557" s="1" t="s">
        <v>1196</v>
      </c>
      <c r="K557" s="1" t="s">
        <v>165</v>
      </c>
      <c r="L557" s="4">
        <v>95800</v>
      </c>
      <c r="M557" s="1" t="s">
        <v>1082</v>
      </c>
    </row>
    <row r="558" spans="1:13" ht="15.75" customHeight="1" x14ac:dyDescent="0.35">
      <c r="A558" s="1" t="s">
        <v>30</v>
      </c>
      <c r="B558" s="1" t="s">
        <v>5771</v>
      </c>
      <c r="C558" s="1" t="s">
        <v>5800</v>
      </c>
      <c r="D558" s="1" t="s">
        <v>2870</v>
      </c>
      <c r="E558" s="1" t="s">
        <v>599</v>
      </c>
      <c r="F558" s="1" t="s">
        <v>5792</v>
      </c>
      <c r="G558" s="1" t="s">
        <v>74</v>
      </c>
      <c r="H558" s="1" t="s">
        <v>5796</v>
      </c>
      <c r="I558" s="1" t="s">
        <v>90</v>
      </c>
      <c r="J558" s="1" t="s">
        <v>652</v>
      </c>
      <c r="K558" s="1" t="s">
        <v>78</v>
      </c>
      <c r="L558" s="4">
        <v>31949</v>
      </c>
      <c r="M558" s="1" t="s">
        <v>1082</v>
      </c>
    </row>
    <row r="559" spans="1:13" ht="15.75" customHeight="1" x14ac:dyDescent="0.35">
      <c r="A559" s="1" t="s">
        <v>30</v>
      </c>
      <c r="B559" s="1" t="s">
        <v>5771</v>
      </c>
      <c r="C559" s="1" t="s">
        <v>5800</v>
      </c>
      <c r="D559" s="1" t="s">
        <v>2870</v>
      </c>
      <c r="E559" s="1" t="s">
        <v>3816</v>
      </c>
      <c r="F559" s="1" t="s">
        <v>5795</v>
      </c>
      <c r="G559" s="1" t="s">
        <v>74</v>
      </c>
      <c r="H559" s="1" t="s">
        <v>5735</v>
      </c>
      <c r="I559" s="1" t="s">
        <v>101</v>
      </c>
      <c r="J559" s="1" t="s">
        <v>652</v>
      </c>
      <c r="K559" s="1" t="s">
        <v>78</v>
      </c>
      <c r="L559" s="4">
        <v>27999</v>
      </c>
      <c r="M559" s="1" t="s">
        <v>1082</v>
      </c>
    </row>
    <row r="560" spans="1:13" ht="15.75" customHeight="1" x14ac:dyDescent="0.35">
      <c r="A560" s="1" t="s">
        <v>5735</v>
      </c>
      <c r="B560" s="1" t="s">
        <v>5756</v>
      </c>
      <c r="C560" s="1" t="s">
        <v>5806</v>
      </c>
      <c r="D560" s="1" t="s">
        <v>3816</v>
      </c>
      <c r="E560" s="1" t="s">
        <v>5799</v>
      </c>
      <c r="F560" s="1" t="s">
        <v>5792</v>
      </c>
      <c r="G560" s="1" t="s">
        <v>1371</v>
      </c>
      <c r="H560" s="1" t="s">
        <v>5793</v>
      </c>
      <c r="I560" s="1" t="s">
        <v>90</v>
      </c>
      <c r="J560" s="1" t="s">
        <v>503</v>
      </c>
      <c r="K560" s="1" t="s">
        <v>165</v>
      </c>
      <c r="L560" s="4">
        <v>72280</v>
      </c>
      <c r="M560" s="1" t="s">
        <v>5735</v>
      </c>
    </row>
    <row r="561" spans="1:13" ht="15.75" customHeight="1" x14ac:dyDescent="0.35">
      <c r="A561" s="1" t="s">
        <v>5735</v>
      </c>
      <c r="B561" s="1" t="s">
        <v>5810</v>
      </c>
      <c r="C561" s="1" t="s">
        <v>5794</v>
      </c>
      <c r="D561" s="1" t="s">
        <v>3231</v>
      </c>
      <c r="E561" s="1" t="s">
        <v>3816</v>
      </c>
      <c r="F561" s="1" t="s">
        <v>5795</v>
      </c>
      <c r="G561" s="1" t="s">
        <v>74</v>
      </c>
      <c r="H561" s="1" t="s">
        <v>5796</v>
      </c>
      <c r="I561" s="1" t="s">
        <v>90</v>
      </c>
      <c r="J561" s="1" t="s">
        <v>5735</v>
      </c>
      <c r="K561" s="1" t="s">
        <v>78</v>
      </c>
      <c r="L561" s="4">
        <v>24100</v>
      </c>
      <c r="M561" s="1" t="s">
        <v>1082</v>
      </c>
    </row>
    <row r="562" spans="1:13" ht="15.75" customHeight="1" x14ac:dyDescent="0.35">
      <c r="A562" s="1" t="s">
        <v>5735</v>
      </c>
      <c r="B562" s="1" t="s">
        <v>5810</v>
      </c>
      <c r="C562" s="1" t="s">
        <v>5800</v>
      </c>
      <c r="D562" s="1" t="s">
        <v>2870</v>
      </c>
      <c r="E562" s="1" t="s">
        <v>599</v>
      </c>
      <c r="F562" s="1" t="s">
        <v>5792</v>
      </c>
      <c r="G562" s="1" t="s">
        <v>74</v>
      </c>
      <c r="H562" s="1" t="s">
        <v>5796</v>
      </c>
      <c r="I562" s="1" t="s">
        <v>1722</v>
      </c>
      <c r="J562" s="1" t="s">
        <v>503</v>
      </c>
      <c r="K562" s="1" t="s">
        <v>78</v>
      </c>
      <c r="L562" s="4">
        <v>36550</v>
      </c>
      <c r="M562" s="1" t="s">
        <v>1082</v>
      </c>
    </row>
    <row r="563" spans="1:13" ht="15.75" customHeight="1" x14ac:dyDescent="0.35">
      <c r="A563" s="1" t="s">
        <v>5735</v>
      </c>
      <c r="B563" s="1" t="s">
        <v>5810</v>
      </c>
      <c r="C563" s="1" t="s">
        <v>5788</v>
      </c>
      <c r="D563" s="1" t="s">
        <v>3816</v>
      </c>
      <c r="E563" s="1" t="s">
        <v>5799</v>
      </c>
      <c r="F563" s="1" t="s">
        <v>5792</v>
      </c>
      <c r="G563" s="1" t="s">
        <v>74</v>
      </c>
      <c r="H563" s="1" t="s">
        <v>5793</v>
      </c>
      <c r="I563" s="1" t="s">
        <v>1722</v>
      </c>
      <c r="J563" s="1" t="s">
        <v>1670</v>
      </c>
      <c r="K563" s="1" t="s">
        <v>165</v>
      </c>
      <c r="L563" s="4">
        <v>99000</v>
      </c>
      <c r="M563" s="1" t="s">
        <v>1082</v>
      </c>
    </row>
    <row r="564" spans="1:13" ht="15.75" customHeight="1" x14ac:dyDescent="0.35">
      <c r="A564" s="1" t="s">
        <v>30</v>
      </c>
      <c r="B564" s="1" t="s">
        <v>5774</v>
      </c>
      <c r="C564" s="1" t="s">
        <v>5788</v>
      </c>
      <c r="D564" s="1" t="s">
        <v>599</v>
      </c>
      <c r="E564" s="1" t="s">
        <v>5799</v>
      </c>
      <c r="F564" s="1" t="s">
        <v>5805</v>
      </c>
      <c r="G564" s="1" t="s">
        <v>5827</v>
      </c>
      <c r="H564" s="1" t="s">
        <v>5735</v>
      </c>
      <c r="I564" s="1" t="s">
        <v>1722</v>
      </c>
      <c r="J564" s="1" t="s">
        <v>398</v>
      </c>
      <c r="K564" s="1" t="s">
        <v>78</v>
      </c>
      <c r="L564" s="4">
        <v>105000</v>
      </c>
      <c r="M564" s="1" t="s">
        <v>1082</v>
      </c>
    </row>
    <row r="565" spans="1:13" ht="15.75" customHeight="1" x14ac:dyDescent="0.35">
      <c r="A565" s="1" t="s">
        <v>5735</v>
      </c>
      <c r="B565" s="1" t="s">
        <v>5810</v>
      </c>
      <c r="C565" s="1" t="s">
        <v>5806</v>
      </c>
      <c r="D565" s="1" t="s">
        <v>3816</v>
      </c>
      <c r="E565" s="1" t="s">
        <v>599</v>
      </c>
      <c r="F565" s="1" t="s">
        <v>5792</v>
      </c>
      <c r="G565" s="1" t="s">
        <v>1371</v>
      </c>
      <c r="H565" s="1" t="s">
        <v>5793</v>
      </c>
      <c r="I565" s="1" t="s">
        <v>1722</v>
      </c>
      <c r="J565" s="1" t="s">
        <v>1670</v>
      </c>
      <c r="K565" s="1" t="s">
        <v>165</v>
      </c>
      <c r="L565" s="4">
        <v>100000</v>
      </c>
      <c r="M565" s="1" t="s">
        <v>5735</v>
      </c>
    </row>
    <row r="566" spans="1:13" ht="15.75" customHeight="1" x14ac:dyDescent="0.35">
      <c r="A566" s="1" t="s">
        <v>5735</v>
      </c>
      <c r="B566" s="1" t="s">
        <v>5810</v>
      </c>
      <c r="C566" s="1" t="s">
        <v>5800</v>
      </c>
      <c r="D566" s="1" t="s">
        <v>2870</v>
      </c>
      <c r="E566" s="1" t="s">
        <v>3816</v>
      </c>
      <c r="F566" s="1" t="s">
        <v>5795</v>
      </c>
      <c r="G566" s="1" t="s">
        <v>74</v>
      </c>
      <c r="H566" s="1" t="s">
        <v>5796</v>
      </c>
      <c r="I566" s="1" t="s">
        <v>1722</v>
      </c>
      <c r="J566" s="1" t="s">
        <v>1670</v>
      </c>
      <c r="K566" s="1" t="s">
        <v>165</v>
      </c>
      <c r="L566" s="4">
        <v>48000</v>
      </c>
      <c r="M566" s="1" t="s">
        <v>1082</v>
      </c>
    </row>
    <row r="567" spans="1:13" ht="15.75" customHeight="1" x14ac:dyDescent="0.35">
      <c r="A567" s="1" t="s">
        <v>5735</v>
      </c>
      <c r="B567" s="1" t="s">
        <v>5810</v>
      </c>
      <c r="C567" s="1" t="s">
        <v>5794</v>
      </c>
      <c r="D567" s="1" t="s">
        <v>3231</v>
      </c>
      <c r="E567" s="1" t="s">
        <v>3816</v>
      </c>
      <c r="F567" s="1" t="s">
        <v>5795</v>
      </c>
      <c r="G567" s="1" t="s">
        <v>74</v>
      </c>
      <c r="H567" s="1" t="s">
        <v>5796</v>
      </c>
      <c r="I567" s="1" t="s">
        <v>1722</v>
      </c>
      <c r="J567" s="1" t="s">
        <v>503</v>
      </c>
      <c r="K567" s="1" t="s">
        <v>165</v>
      </c>
      <c r="L567" s="4">
        <v>38000</v>
      </c>
      <c r="M567" s="1" t="s">
        <v>1082</v>
      </c>
    </row>
    <row r="568" spans="1:13" ht="15.75" customHeight="1" x14ac:dyDescent="0.35">
      <c r="A568" s="1" t="s">
        <v>5735</v>
      </c>
      <c r="B568" s="1" t="s">
        <v>5810</v>
      </c>
      <c r="C568" s="1" t="s">
        <v>5800</v>
      </c>
      <c r="D568" s="1" t="s">
        <v>3231</v>
      </c>
      <c r="E568" s="1" t="s">
        <v>3816</v>
      </c>
      <c r="F568" s="1" t="s">
        <v>5795</v>
      </c>
      <c r="G568" s="1" t="s">
        <v>74</v>
      </c>
      <c r="H568" s="1" t="s">
        <v>5796</v>
      </c>
      <c r="I568" s="1" t="s">
        <v>1722</v>
      </c>
      <c r="J568" s="1" t="s">
        <v>1670</v>
      </c>
      <c r="K568" s="1" t="s">
        <v>165</v>
      </c>
      <c r="L568" s="4">
        <v>42000</v>
      </c>
      <c r="M568" s="1" t="s">
        <v>1082</v>
      </c>
    </row>
    <row r="569" spans="1:13" ht="15.75" customHeight="1" x14ac:dyDescent="0.35">
      <c r="A569" s="1" t="s">
        <v>5735</v>
      </c>
      <c r="B569" s="1" t="s">
        <v>5810</v>
      </c>
      <c r="C569" s="1" t="s">
        <v>5808</v>
      </c>
      <c r="D569" s="1" t="s">
        <v>3231</v>
      </c>
      <c r="E569" s="1" t="s">
        <v>599</v>
      </c>
      <c r="F569" s="1" t="s">
        <v>5795</v>
      </c>
      <c r="G569" s="1" t="s">
        <v>74</v>
      </c>
      <c r="H569" s="1" t="s">
        <v>5796</v>
      </c>
      <c r="I569" s="1" t="s">
        <v>1722</v>
      </c>
      <c r="J569" s="1" t="s">
        <v>503</v>
      </c>
      <c r="K569" s="1" t="s">
        <v>165</v>
      </c>
      <c r="L569" s="4">
        <v>40000</v>
      </c>
      <c r="M569" s="1" t="s">
        <v>5735</v>
      </c>
    </row>
    <row r="570" spans="1:13" ht="15.75" customHeight="1" x14ac:dyDescent="0.35">
      <c r="A570" s="1" t="s">
        <v>81</v>
      </c>
      <c r="B570" s="1" t="s">
        <v>5810</v>
      </c>
      <c r="C570" s="1" t="s">
        <v>5808</v>
      </c>
      <c r="D570" s="1" t="s">
        <v>3231</v>
      </c>
      <c r="E570" s="1" t="s">
        <v>3816</v>
      </c>
      <c r="F570" s="1" t="s">
        <v>5795</v>
      </c>
      <c r="G570" s="1" t="s">
        <v>74</v>
      </c>
      <c r="H570" s="1" t="s">
        <v>111</v>
      </c>
      <c r="I570" s="1" t="s">
        <v>90</v>
      </c>
      <c r="J570" s="1" t="s">
        <v>262</v>
      </c>
      <c r="K570" s="1" t="s">
        <v>78</v>
      </c>
      <c r="L570" s="4">
        <v>40500</v>
      </c>
      <c r="M570" s="1" t="s">
        <v>5735</v>
      </c>
    </row>
    <row r="571" spans="1:13" ht="15.75" customHeight="1" x14ac:dyDescent="0.35">
      <c r="A571" s="1" t="s">
        <v>151</v>
      </c>
      <c r="B571" s="1" t="s">
        <v>5763</v>
      </c>
      <c r="C571" s="1" t="s">
        <v>5800</v>
      </c>
      <c r="D571" s="1" t="s">
        <v>3231</v>
      </c>
      <c r="E571" s="1" t="s">
        <v>599</v>
      </c>
      <c r="F571" s="1" t="s">
        <v>5795</v>
      </c>
      <c r="G571" s="1" t="s">
        <v>74</v>
      </c>
      <c r="H571" s="1" t="s">
        <v>111</v>
      </c>
      <c r="I571" s="1" t="s">
        <v>1722</v>
      </c>
      <c r="J571" s="1" t="s">
        <v>2878</v>
      </c>
      <c r="K571" s="1" t="s">
        <v>78</v>
      </c>
      <c r="L571" s="4">
        <v>40000</v>
      </c>
      <c r="M571" s="1" t="s">
        <v>2181</v>
      </c>
    </row>
    <row r="572" spans="1:13" ht="15.75" customHeight="1" x14ac:dyDescent="0.35">
      <c r="A572" s="1" t="s">
        <v>81</v>
      </c>
      <c r="B572" s="1" t="s">
        <v>5810</v>
      </c>
      <c r="C572" s="1" t="s">
        <v>5800</v>
      </c>
      <c r="D572" s="1" t="s">
        <v>2870</v>
      </c>
      <c r="E572" s="1" t="s">
        <v>599</v>
      </c>
      <c r="F572" s="1" t="s">
        <v>5735</v>
      </c>
      <c r="G572" s="1" t="s">
        <v>74</v>
      </c>
      <c r="H572" s="1" t="s">
        <v>111</v>
      </c>
      <c r="I572" s="1" t="s">
        <v>101</v>
      </c>
      <c r="J572" s="1" t="s">
        <v>2696</v>
      </c>
      <c r="K572" s="1" t="s">
        <v>78</v>
      </c>
      <c r="L572" s="4">
        <v>48000</v>
      </c>
      <c r="M572" s="1" t="s">
        <v>1082</v>
      </c>
    </row>
    <row r="573" spans="1:13" ht="15.75" customHeight="1" x14ac:dyDescent="0.35">
      <c r="A573" s="1" t="s">
        <v>151</v>
      </c>
      <c r="B573" s="1" t="s">
        <v>5763</v>
      </c>
      <c r="C573" s="1" t="s">
        <v>5794</v>
      </c>
      <c r="D573" s="1" t="s">
        <v>3231</v>
      </c>
      <c r="E573" s="1" t="s">
        <v>5799</v>
      </c>
      <c r="F573" s="1" t="s">
        <v>5795</v>
      </c>
      <c r="G573" s="1" t="s">
        <v>74</v>
      </c>
      <c r="H573" s="1" t="s">
        <v>111</v>
      </c>
      <c r="I573" s="1" t="s">
        <v>101</v>
      </c>
      <c r="J573" s="1" t="s">
        <v>652</v>
      </c>
      <c r="K573" s="1" t="s">
        <v>78</v>
      </c>
      <c r="L573" s="4">
        <v>33000</v>
      </c>
      <c r="M573" s="1" t="s">
        <v>1082</v>
      </c>
    </row>
    <row r="574" spans="1:13" ht="15.75" customHeight="1" x14ac:dyDescent="0.35">
      <c r="A574" s="1" t="s">
        <v>81</v>
      </c>
      <c r="B574" s="1" t="s">
        <v>5810</v>
      </c>
      <c r="C574" s="1" t="s">
        <v>5800</v>
      </c>
      <c r="D574" s="1" t="s">
        <v>3231</v>
      </c>
      <c r="E574" s="1" t="s">
        <v>599</v>
      </c>
      <c r="F574" s="1" t="s">
        <v>5795</v>
      </c>
      <c r="G574" s="1" t="s">
        <v>74</v>
      </c>
      <c r="H574" s="1" t="s">
        <v>111</v>
      </c>
      <c r="I574" s="1" t="s">
        <v>101</v>
      </c>
      <c r="J574" s="1" t="s">
        <v>2696</v>
      </c>
      <c r="K574" s="1" t="s">
        <v>78</v>
      </c>
      <c r="L574" s="4">
        <v>45149</v>
      </c>
      <c r="M574" s="1" t="s">
        <v>1082</v>
      </c>
    </row>
    <row r="575" spans="1:13" ht="15.75" customHeight="1" x14ac:dyDescent="0.35">
      <c r="A575" s="1" t="s">
        <v>112</v>
      </c>
      <c r="B575" s="1" t="s">
        <v>5810</v>
      </c>
      <c r="C575" s="1" t="s">
        <v>5808</v>
      </c>
      <c r="D575" s="1" t="s">
        <v>3231</v>
      </c>
      <c r="E575" s="1" t="s">
        <v>3816</v>
      </c>
      <c r="F575" s="1" t="s">
        <v>5792</v>
      </c>
      <c r="G575" s="1" t="s">
        <v>74</v>
      </c>
      <c r="H575" s="1" t="s">
        <v>5819</v>
      </c>
      <c r="I575" s="1" t="s">
        <v>101</v>
      </c>
      <c r="J575" s="1" t="s">
        <v>976</v>
      </c>
      <c r="K575" s="1" t="s">
        <v>78</v>
      </c>
      <c r="L575" s="4">
        <v>39000</v>
      </c>
      <c r="M575" s="1" t="s">
        <v>5735</v>
      </c>
    </row>
    <row r="576" spans="1:13" ht="15.75" customHeight="1" x14ac:dyDescent="0.35">
      <c r="A576" s="1" t="s">
        <v>30</v>
      </c>
      <c r="B576" s="1" t="s">
        <v>5810</v>
      </c>
      <c r="C576" s="1" t="s">
        <v>5800</v>
      </c>
      <c r="D576" s="1" t="s">
        <v>2870</v>
      </c>
      <c r="E576" s="1" t="s">
        <v>5799</v>
      </c>
      <c r="F576" s="1" t="s">
        <v>5792</v>
      </c>
      <c r="G576" s="1" t="s">
        <v>5827</v>
      </c>
      <c r="H576" s="1" t="s">
        <v>5796</v>
      </c>
      <c r="I576" s="1" t="s">
        <v>90</v>
      </c>
      <c r="J576" s="1" t="s">
        <v>376</v>
      </c>
      <c r="K576" s="1" t="s">
        <v>78</v>
      </c>
      <c r="L576" s="4">
        <v>60000</v>
      </c>
      <c r="M576" s="1" t="s">
        <v>2181</v>
      </c>
    </row>
    <row r="577" spans="1:13" ht="15.75" customHeight="1" x14ac:dyDescent="0.35">
      <c r="A577" s="1" t="s">
        <v>151</v>
      </c>
      <c r="B577" s="1" t="s">
        <v>5763</v>
      </c>
      <c r="C577" s="1" t="s">
        <v>5800</v>
      </c>
      <c r="D577" s="1" t="s">
        <v>3231</v>
      </c>
      <c r="E577" s="1" t="s">
        <v>599</v>
      </c>
      <c r="F577" s="1" t="s">
        <v>5830</v>
      </c>
      <c r="G577" s="1" t="s">
        <v>74</v>
      </c>
      <c r="H577" s="1" t="s">
        <v>111</v>
      </c>
      <c r="I577" s="1" t="s">
        <v>101</v>
      </c>
      <c r="J577" s="1" t="s">
        <v>2878</v>
      </c>
      <c r="K577" s="1" t="s">
        <v>78</v>
      </c>
      <c r="L577" s="4">
        <v>28888</v>
      </c>
      <c r="M577" s="1" t="s">
        <v>2181</v>
      </c>
    </row>
    <row r="578" spans="1:13" ht="15.75" customHeight="1" x14ac:dyDescent="0.35">
      <c r="A578" s="1" t="s">
        <v>81</v>
      </c>
      <c r="B578" s="1" t="s">
        <v>5781</v>
      </c>
      <c r="C578" s="1" t="s">
        <v>5797</v>
      </c>
      <c r="D578" s="1" t="s">
        <v>5735</v>
      </c>
      <c r="E578" s="1" t="s">
        <v>599</v>
      </c>
      <c r="F578" s="1" t="s">
        <v>5795</v>
      </c>
      <c r="G578" s="1" t="s">
        <v>1015</v>
      </c>
      <c r="H578" s="1" t="s">
        <v>5819</v>
      </c>
      <c r="I578" s="1" t="s">
        <v>90</v>
      </c>
      <c r="J578" s="1" t="s">
        <v>3276</v>
      </c>
      <c r="K578" s="1" t="s">
        <v>78</v>
      </c>
      <c r="L578" s="4">
        <v>40999</v>
      </c>
      <c r="M578" s="1" t="s">
        <v>5735</v>
      </c>
    </row>
    <row r="579" spans="1:13" ht="15.75" customHeight="1" x14ac:dyDescent="0.35">
      <c r="A579" s="1" t="s">
        <v>151</v>
      </c>
      <c r="B579" s="1" t="s">
        <v>5763</v>
      </c>
      <c r="C579" s="1" t="s">
        <v>5800</v>
      </c>
      <c r="D579" s="1" t="s">
        <v>5735</v>
      </c>
      <c r="E579" s="1" t="s">
        <v>3816</v>
      </c>
      <c r="F579" s="1" t="s">
        <v>5795</v>
      </c>
      <c r="G579" s="1" t="s">
        <v>1015</v>
      </c>
      <c r="H579" s="1" t="s">
        <v>5819</v>
      </c>
      <c r="I579" s="1" t="s">
        <v>90</v>
      </c>
      <c r="J579" s="1" t="s">
        <v>3288</v>
      </c>
      <c r="K579" s="1" t="s">
        <v>165</v>
      </c>
      <c r="L579" s="4">
        <v>30999</v>
      </c>
      <c r="M579" s="1" t="s">
        <v>79</v>
      </c>
    </row>
    <row r="580" spans="1:13" ht="15.75" customHeight="1" x14ac:dyDescent="0.35">
      <c r="A580" s="1" t="s">
        <v>151</v>
      </c>
      <c r="B580" s="1" t="s">
        <v>5763</v>
      </c>
      <c r="C580" s="1" t="s">
        <v>5794</v>
      </c>
      <c r="D580" s="1" t="s">
        <v>5735</v>
      </c>
      <c r="E580" s="1" t="s">
        <v>3816</v>
      </c>
      <c r="F580" s="1" t="s">
        <v>5795</v>
      </c>
      <c r="G580" s="1" t="s">
        <v>1015</v>
      </c>
      <c r="H580" s="1" t="s">
        <v>5819</v>
      </c>
      <c r="I580" s="1" t="s">
        <v>101</v>
      </c>
      <c r="J580" s="1" t="s">
        <v>3288</v>
      </c>
      <c r="K580" s="1" t="s">
        <v>78</v>
      </c>
      <c r="L580" s="4">
        <v>26199</v>
      </c>
      <c r="M580" s="1" t="s">
        <v>79</v>
      </c>
    </row>
    <row r="581" spans="1:13" ht="15.75" customHeight="1" x14ac:dyDescent="0.35">
      <c r="A581" s="1" t="s">
        <v>151</v>
      </c>
      <c r="B581" s="1" t="s">
        <v>5810</v>
      </c>
      <c r="C581" s="1" t="s">
        <v>5815</v>
      </c>
      <c r="D581" s="1" t="s">
        <v>5735</v>
      </c>
      <c r="E581" s="1" t="s">
        <v>3816</v>
      </c>
      <c r="F581" s="1" t="s">
        <v>5795</v>
      </c>
      <c r="G581" s="1" t="s">
        <v>1015</v>
      </c>
      <c r="H581" s="1" t="s">
        <v>5819</v>
      </c>
      <c r="I581" s="1" t="s">
        <v>90</v>
      </c>
      <c r="J581" s="1" t="s">
        <v>3302</v>
      </c>
      <c r="K581" s="1" t="s">
        <v>78</v>
      </c>
      <c r="L581" s="4">
        <v>38888</v>
      </c>
      <c r="M581" s="1" t="s">
        <v>5735</v>
      </c>
    </row>
    <row r="582" spans="1:13" ht="15.75" customHeight="1" x14ac:dyDescent="0.35">
      <c r="A582" s="1" t="s">
        <v>151</v>
      </c>
      <c r="B582" s="1" t="s">
        <v>5763</v>
      </c>
      <c r="C582" s="1" t="s">
        <v>5800</v>
      </c>
      <c r="D582" s="1" t="s">
        <v>5735</v>
      </c>
      <c r="E582" s="1" t="s">
        <v>599</v>
      </c>
      <c r="F582" s="1" t="s">
        <v>5795</v>
      </c>
      <c r="G582" s="1" t="s">
        <v>1015</v>
      </c>
      <c r="H582" s="1" t="s">
        <v>5819</v>
      </c>
      <c r="I582" s="1" t="s">
        <v>90</v>
      </c>
      <c r="J582" s="1" t="s">
        <v>2584</v>
      </c>
      <c r="K582" s="1" t="s">
        <v>165</v>
      </c>
      <c r="L582" s="4">
        <v>37777</v>
      </c>
      <c r="M582" s="1" t="s">
        <v>79</v>
      </c>
    </row>
    <row r="583" spans="1:13" ht="15.75" customHeight="1" x14ac:dyDescent="0.35">
      <c r="A583" s="1" t="s">
        <v>151</v>
      </c>
      <c r="B583" s="1" t="s">
        <v>5763</v>
      </c>
      <c r="C583" s="1" t="s">
        <v>5800</v>
      </c>
      <c r="D583" s="1" t="s">
        <v>5735</v>
      </c>
      <c r="E583" s="1" t="s">
        <v>3816</v>
      </c>
      <c r="F583" s="1" t="s">
        <v>5795</v>
      </c>
      <c r="G583" s="1" t="s">
        <v>1015</v>
      </c>
      <c r="H583" s="1" t="s">
        <v>5819</v>
      </c>
      <c r="I583" s="1" t="s">
        <v>101</v>
      </c>
      <c r="J583" s="1" t="s">
        <v>3288</v>
      </c>
      <c r="K583" s="1" t="s">
        <v>78</v>
      </c>
      <c r="L583" s="4">
        <v>29999</v>
      </c>
      <c r="M583" s="1" t="s">
        <v>79</v>
      </c>
    </row>
    <row r="584" spans="1:13" ht="15.75" customHeight="1" x14ac:dyDescent="0.35">
      <c r="A584" s="1" t="s">
        <v>30</v>
      </c>
      <c r="B584" s="1" t="s">
        <v>5810</v>
      </c>
      <c r="C584" s="1" t="s">
        <v>5794</v>
      </c>
      <c r="D584" s="1" t="s">
        <v>5735</v>
      </c>
      <c r="E584" s="1" t="s">
        <v>3816</v>
      </c>
      <c r="F584" s="1" t="s">
        <v>5795</v>
      </c>
      <c r="G584" s="1" t="s">
        <v>74</v>
      </c>
      <c r="H584" s="1" t="s">
        <v>5735</v>
      </c>
      <c r="I584" s="1" t="s">
        <v>101</v>
      </c>
      <c r="J584" s="1" t="s">
        <v>3321</v>
      </c>
      <c r="K584" s="1" t="s">
        <v>78</v>
      </c>
      <c r="L584" s="4">
        <v>19999</v>
      </c>
      <c r="M584" s="1" t="s">
        <v>79</v>
      </c>
    </row>
    <row r="585" spans="1:13" ht="15.75" customHeight="1" x14ac:dyDescent="0.35">
      <c r="A585" s="1" t="s">
        <v>151</v>
      </c>
      <c r="B585" s="1" t="s">
        <v>5763</v>
      </c>
      <c r="C585" s="1" t="s">
        <v>5808</v>
      </c>
      <c r="D585" s="1" t="s">
        <v>5735</v>
      </c>
      <c r="E585" s="1" t="s">
        <v>3816</v>
      </c>
      <c r="F585" s="1" t="s">
        <v>5795</v>
      </c>
      <c r="G585" s="1" t="s">
        <v>74</v>
      </c>
      <c r="H585" s="1" t="s">
        <v>5735</v>
      </c>
      <c r="I585" s="1" t="s">
        <v>101</v>
      </c>
      <c r="J585" s="1" t="s">
        <v>3302</v>
      </c>
      <c r="K585" s="1" t="s">
        <v>78</v>
      </c>
      <c r="L585" s="4">
        <v>17999</v>
      </c>
      <c r="M585" s="1" t="s">
        <v>5735</v>
      </c>
    </row>
    <row r="586" spans="1:13" ht="15.75" customHeight="1" x14ac:dyDescent="0.35">
      <c r="A586" s="1" t="s">
        <v>151</v>
      </c>
      <c r="B586" s="1" t="s">
        <v>5763</v>
      </c>
      <c r="C586" s="1" t="s">
        <v>5794</v>
      </c>
      <c r="D586" s="1" t="s">
        <v>5735</v>
      </c>
      <c r="E586" s="1" t="s">
        <v>599</v>
      </c>
      <c r="F586" s="1" t="s">
        <v>5795</v>
      </c>
      <c r="G586" s="1" t="s">
        <v>1015</v>
      </c>
      <c r="H586" s="1" t="s">
        <v>5819</v>
      </c>
      <c r="I586" s="1" t="s">
        <v>90</v>
      </c>
      <c r="J586" s="1" t="s">
        <v>3338</v>
      </c>
      <c r="K586" s="1" t="s">
        <v>78</v>
      </c>
      <c r="L586" s="4">
        <v>31999</v>
      </c>
      <c r="M586" s="1" t="s">
        <v>79</v>
      </c>
    </row>
    <row r="587" spans="1:13" ht="15.75" customHeight="1" x14ac:dyDescent="0.35">
      <c r="A587" s="1" t="s">
        <v>151</v>
      </c>
      <c r="B587" s="1" t="s">
        <v>5763</v>
      </c>
      <c r="C587" s="1" t="s">
        <v>5794</v>
      </c>
      <c r="D587" s="1" t="s">
        <v>5735</v>
      </c>
      <c r="E587" s="1" t="s">
        <v>3816</v>
      </c>
      <c r="F587" s="1" t="s">
        <v>5795</v>
      </c>
      <c r="G587" s="1" t="s">
        <v>74</v>
      </c>
      <c r="H587" s="1" t="s">
        <v>5735</v>
      </c>
      <c r="I587" s="1" t="s">
        <v>101</v>
      </c>
      <c r="J587" s="1" t="s">
        <v>3346</v>
      </c>
      <c r="K587" s="1" t="s">
        <v>165</v>
      </c>
      <c r="L587" s="4">
        <v>18888</v>
      </c>
      <c r="M587" s="1" t="s">
        <v>166</v>
      </c>
    </row>
    <row r="588" spans="1:13" ht="15.75" customHeight="1" x14ac:dyDescent="0.35">
      <c r="A588" s="1" t="s">
        <v>112</v>
      </c>
      <c r="B588" s="1" t="s">
        <v>5810</v>
      </c>
      <c r="C588" s="1" t="s">
        <v>5835</v>
      </c>
      <c r="D588" s="1" t="s">
        <v>5735</v>
      </c>
      <c r="E588" s="1" t="s">
        <v>3231</v>
      </c>
      <c r="F588" s="1" t="s">
        <v>5830</v>
      </c>
      <c r="G588" s="1" t="s">
        <v>74</v>
      </c>
      <c r="H588" s="1" t="s">
        <v>5735</v>
      </c>
      <c r="I588" s="1" t="s">
        <v>101</v>
      </c>
      <c r="J588" s="1" t="s">
        <v>3288</v>
      </c>
      <c r="K588" s="1" t="s">
        <v>78</v>
      </c>
      <c r="L588" s="4">
        <v>15999</v>
      </c>
      <c r="M588" s="1" t="s">
        <v>79</v>
      </c>
    </row>
    <row r="589" spans="1:13" ht="15.75" customHeight="1" x14ac:dyDescent="0.35">
      <c r="A589" s="1" t="s">
        <v>151</v>
      </c>
      <c r="B589" s="1" t="s">
        <v>5763</v>
      </c>
      <c r="C589" s="1" t="s">
        <v>5800</v>
      </c>
      <c r="D589" s="1" t="s">
        <v>5735</v>
      </c>
      <c r="E589" s="1" t="s">
        <v>3816</v>
      </c>
      <c r="F589" s="1" t="s">
        <v>5795</v>
      </c>
      <c r="G589" s="1" t="s">
        <v>1015</v>
      </c>
      <c r="H589" s="1" t="s">
        <v>5819</v>
      </c>
      <c r="I589" s="1" t="s">
        <v>101</v>
      </c>
      <c r="J589" s="1" t="s">
        <v>3288</v>
      </c>
      <c r="K589" s="1" t="s">
        <v>165</v>
      </c>
      <c r="L589" s="4">
        <v>28888</v>
      </c>
      <c r="M589" s="1" t="s">
        <v>79</v>
      </c>
    </row>
    <row r="590" spans="1:13" ht="15.75" customHeight="1" x14ac:dyDescent="0.35">
      <c r="A590" s="1" t="s">
        <v>66</v>
      </c>
      <c r="B590" s="1" t="s">
        <v>5768</v>
      </c>
      <c r="C590" s="1" t="s">
        <v>5808</v>
      </c>
      <c r="D590" s="1" t="s">
        <v>5735</v>
      </c>
      <c r="E590" s="1" t="s">
        <v>3816</v>
      </c>
      <c r="F590" s="1" t="s">
        <v>5795</v>
      </c>
      <c r="G590" s="1" t="s">
        <v>74</v>
      </c>
      <c r="H590" s="1" t="s">
        <v>5819</v>
      </c>
      <c r="I590" s="1" t="s">
        <v>101</v>
      </c>
      <c r="J590" s="1" t="s">
        <v>3367</v>
      </c>
      <c r="K590" s="1" t="s">
        <v>165</v>
      </c>
      <c r="L590" s="4">
        <v>16777</v>
      </c>
      <c r="M590" s="1" t="s">
        <v>5735</v>
      </c>
    </row>
    <row r="591" spans="1:13" ht="15.75" customHeight="1" x14ac:dyDescent="0.35">
      <c r="A591" s="1" t="s">
        <v>151</v>
      </c>
      <c r="B591" s="1" t="s">
        <v>5763</v>
      </c>
      <c r="C591" s="1" t="s">
        <v>5794</v>
      </c>
      <c r="D591" s="1" t="s">
        <v>5735</v>
      </c>
      <c r="E591" s="1" t="s">
        <v>599</v>
      </c>
      <c r="F591" s="1" t="s">
        <v>5795</v>
      </c>
      <c r="G591" s="1" t="s">
        <v>1015</v>
      </c>
      <c r="H591" s="1" t="s">
        <v>5819</v>
      </c>
      <c r="I591" s="1" t="s">
        <v>90</v>
      </c>
      <c r="J591" s="1" t="s">
        <v>3288</v>
      </c>
      <c r="K591" s="1" t="s">
        <v>165</v>
      </c>
      <c r="L591" s="4">
        <v>25999</v>
      </c>
      <c r="M591" s="1" t="s">
        <v>79</v>
      </c>
    </row>
    <row r="592" spans="1:13" ht="15.75" customHeight="1" x14ac:dyDescent="0.35">
      <c r="A592" s="1" t="s">
        <v>112</v>
      </c>
      <c r="B592" s="1" t="s">
        <v>5810</v>
      </c>
      <c r="C592" s="1" t="s">
        <v>5812</v>
      </c>
      <c r="D592" s="1" t="s">
        <v>5735</v>
      </c>
      <c r="E592" s="1" t="s">
        <v>3816</v>
      </c>
      <c r="F592" s="1" t="s">
        <v>5795</v>
      </c>
      <c r="G592" s="1" t="s">
        <v>5817</v>
      </c>
      <c r="H592" s="1" t="s">
        <v>5735</v>
      </c>
      <c r="I592" s="1" t="s">
        <v>90</v>
      </c>
      <c r="J592" s="1" t="s">
        <v>3383</v>
      </c>
      <c r="K592" s="1" t="s">
        <v>78</v>
      </c>
      <c r="L592" s="4">
        <v>32999</v>
      </c>
      <c r="M592" s="1" t="s">
        <v>5735</v>
      </c>
    </row>
    <row r="593" spans="1:13" ht="15.75" customHeight="1" x14ac:dyDescent="0.35">
      <c r="A593" s="1" t="s">
        <v>112</v>
      </c>
      <c r="B593" s="1" t="s">
        <v>5810</v>
      </c>
      <c r="C593" s="1" t="s">
        <v>5797</v>
      </c>
      <c r="D593" s="1" t="s">
        <v>5735</v>
      </c>
      <c r="E593" s="1" t="s">
        <v>599</v>
      </c>
      <c r="F593" s="1" t="s">
        <v>5795</v>
      </c>
      <c r="G593" s="1" t="s">
        <v>5817</v>
      </c>
      <c r="H593" s="1" t="s">
        <v>5735</v>
      </c>
      <c r="I593" s="1" t="s">
        <v>90</v>
      </c>
      <c r="J593" s="1" t="s">
        <v>3383</v>
      </c>
      <c r="K593" s="1" t="s">
        <v>78</v>
      </c>
      <c r="L593" s="4">
        <v>42999</v>
      </c>
      <c r="M593" s="1" t="s">
        <v>5735</v>
      </c>
    </row>
    <row r="594" spans="1:13" ht="15.75" customHeight="1" x14ac:dyDescent="0.35">
      <c r="A594" s="1" t="s">
        <v>234</v>
      </c>
      <c r="B594" s="1" t="s">
        <v>5766</v>
      </c>
      <c r="C594" s="1" t="s">
        <v>5836</v>
      </c>
      <c r="D594" s="1" t="s">
        <v>5735</v>
      </c>
      <c r="E594" s="1" t="s">
        <v>599</v>
      </c>
      <c r="F594" s="1" t="s">
        <v>5792</v>
      </c>
      <c r="G594" s="1" t="s">
        <v>1015</v>
      </c>
      <c r="H594" s="1" t="s">
        <v>5819</v>
      </c>
      <c r="I594" s="1" t="s">
        <v>90</v>
      </c>
      <c r="J594" s="1" t="s">
        <v>3401</v>
      </c>
      <c r="K594" s="1" t="s">
        <v>78</v>
      </c>
      <c r="L594" s="4">
        <v>36999</v>
      </c>
      <c r="M594" s="1" t="s">
        <v>5735</v>
      </c>
    </row>
    <row r="595" spans="1:13" ht="15.75" customHeight="1" x14ac:dyDescent="0.35">
      <c r="A595" s="1" t="s">
        <v>234</v>
      </c>
      <c r="B595" s="1" t="s">
        <v>5766</v>
      </c>
      <c r="C595" s="1" t="s">
        <v>5837</v>
      </c>
      <c r="D595" s="1" t="s">
        <v>5735</v>
      </c>
      <c r="E595" s="1" t="s">
        <v>599</v>
      </c>
      <c r="F595" s="1" t="s">
        <v>5795</v>
      </c>
      <c r="G595" s="1" t="s">
        <v>5831</v>
      </c>
      <c r="H595" s="1" t="s">
        <v>111</v>
      </c>
      <c r="I595" s="1" t="s">
        <v>90</v>
      </c>
      <c r="J595" s="1" t="s">
        <v>3411</v>
      </c>
      <c r="K595" s="1" t="s">
        <v>78</v>
      </c>
      <c r="L595" s="4">
        <v>50999</v>
      </c>
      <c r="M595" s="1" t="s">
        <v>5735</v>
      </c>
    </row>
    <row r="596" spans="1:13" ht="15.75" customHeight="1" x14ac:dyDescent="0.35">
      <c r="A596" s="1" t="s">
        <v>234</v>
      </c>
      <c r="B596" s="1" t="s">
        <v>5766</v>
      </c>
      <c r="C596" s="1" t="s">
        <v>5806</v>
      </c>
      <c r="D596" s="1" t="s">
        <v>5735</v>
      </c>
      <c r="E596" s="1" t="s">
        <v>599</v>
      </c>
      <c r="F596" s="1" t="s">
        <v>5795</v>
      </c>
      <c r="G596" s="1" t="s">
        <v>1015</v>
      </c>
      <c r="H596" s="1" t="s">
        <v>5819</v>
      </c>
      <c r="I596" s="1" t="s">
        <v>90</v>
      </c>
      <c r="J596" s="1" t="s">
        <v>4249</v>
      </c>
      <c r="K596" s="1" t="s">
        <v>78</v>
      </c>
      <c r="L596" s="4">
        <v>53777</v>
      </c>
      <c r="M596" s="1" t="s">
        <v>5735</v>
      </c>
    </row>
    <row r="597" spans="1:13" ht="15.75" customHeight="1" x14ac:dyDescent="0.35">
      <c r="A597" s="1" t="s">
        <v>151</v>
      </c>
      <c r="B597" s="1" t="s">
        <v>5810</v>
      </c>
      <c r="C597" s="1" t="s">
        <v>5794</v>
      </c>
      <c r="D597" s="1" t="s">
        <v>5735</v>
      </c>
      <c r="E597" s="1" t="s">
        <v>3816</v>
      </c>
      <c r="F597" s="1" t="s">
        <v>5795</v>
      </c>
      <c r="G597" s="1" t="s">
        <v>74</v>
      </c>
      <c r="H597" s="1" t="s">
        <v>5735</v>
      </c>
      <c r="I597" s="1" t="s">
        <v>101</v>
      </c>
      <c r="J597" s="1" t="s">
        <v>1609</v>
      </c>
      <c r="K597" s="1" t="s">
        <v>78</v>
      </c>
      <c r="L597" s="4">
        <v>23999</v>
      </c>
      <c r="M597" s="1" t="s">
        <v>79</v>
      </c>
    </row>
    <row r="598" spans="1:13" ht="15.75" customHeight="1" x14ac:dyDescent="0.35">
      <c r="A598" s="1" t="s">
        <v>151</v>
      </c>
      <c r="B598" s="1" t="s">
        <v>5763</v>
      </c>
      <c r="C598" s="1" t="s">
        <v>5800</v>
      </c>
      <c r="D598" s="1" t="s">
        <v>5735</v>
      </c>
      <c r="E598" s="1" t="s">
        <v>599</v>
      </c>
      <c r="F598" s="1" t="s">
        <v>5795</v>
      </c>
      <c r="G598" s="1" t="s">
        <v>74</v>
      </c>
      <c r="H598" s="1" t="s">
        <v>5735</v>
      </c>
      <c r="I598" s="1" t="s">
        <v>101</v>
      </c>
      <c r="J598" s="1" t="s">
        <v>3383</v>
      </c>
      <c r="K598" s="1" t="s">
        <v>165</v>
      </c>
      <c r="L598" s="4">
        <v>29999</v>
      </c>
      <c r="M598" s="1" t="s">
        <v>79</v>
      </c>
    </row>
    <row r="599" spans="1:13" ht="15.75" customHeight="1" x14ac:dyDescent="0.35">
      <c r="A599" s="1" t="s">
        <v>234</v>
      </c>
      <c r="B599" s="1" t="s">
        <v>5767</v>
      </c>
      <c r="C599" s="1" t="s">
        <v>5816</v>
      </c>
      <c r="D599" s="1" t="s">
        <v>5735</v>
      </c>
      <c r="E599" s="1" t="s">
        <v>5799</v>
      </c>
      <c r="F599" s="1" t="s">
        <v>5792</v>
      </c>
      <c r="G599" s="1" t="s">
        <v>5820</v>
      </c>
      <c r="H599" s="1" t="s">
        <v>111</v>
      </c>
      <c r="I599" s="1" t="s">
        <v>90</v>
      </c>
      <c r="J599" s="1" t="s">
        <v>1609</v>
      </c>
      <c r="K599" s="1" t="s">
        <v>78</v>
      </c>
      <c r="L599" s="4">
        <v>89999</v>
      </c>
      <c r="M599" s="1" t="s">
        <v>5735</v>
      </c>
    </row>
    <row r="600" spans="1:13" ht="15.75" customHeight="1" x14ac:dyDescent="0.35">
      <c r="A600" s="1" t="s">
        <v>234</v>
      </c>
      <c r="B600" s="1" t="s">
        <v>5810</v>
      </c>
      <c r="C600" s="1" t="s">
        <v>5802</v>
      </c>
      <c r="D600" s="1" t="s">
        <v>3816</v>
      </c>
      <c r="E600" s="1" t="s">
        <v>5804</v>
      </c>
      <c r="F600" s="1" t="s">
        <v>5805</v>
      </c>
      <c r="G600" s="1" t="s">
        <v>38</v>
      </c>
      <c r="H600" s="1" t="s">
        <v>5819</v>
      </c>
      <c r="I600" s="1" t="s">
        <v>90</v>
      </c>
      <c r="J600" s="1" t="s">
        <v>976</v>
      </c>
      <c r="K600" s="1" t="s">
        <v>78</v>
      </c>
      <c r="L600" s="4">
        <v>136666</v>
      </c>
      <c r="M600" s="1" t="s">
        <v>5735</v>
      </c>
    </row>
    <row r="601" spans="1:13" ht="15.75" customHeight="1" x14ac:dyDescent="0.35">
      <c r="A601" s="1" t="s">
        <v>81</v>
      </c>
      <c r="B601" s="1" t="s">
        <v>5782</v>
      </c>
      <c r="C601" s="1" t="s">
        <v>5794</v>
      </c>
      <c r="D601" s="1" t="s">
        <v>5735</v>
      </c>
      <c r="E601" s="1" t="s">
        <v>3816</v>
      </c>
      <c r="F601" s="1" t="s">
        <v>5795</v>
      </c>
      <c r="G601" s="1" t="s">
        <v>74</v>
      </c>
      <c r="H601" s="1" t="s">
        <v>111</v>
      </c>
      <c r="I601" s="1" t="s">
        <v>101</v>
      </c>
      <c r="J601" s="1" t="s">
        <v>3458</v>
      </c>
      <c r="K601" s="1" t="s">
        <v>78</v>
      </c>
      <c r="L601" s="4">
        <v>21499</v>
      </c>
      <c r="M601" s="1" t="s">
        <v>79</v>
      </c>
    </row>
    <row r="602" spans="1:13" ht="15.75" customHeight="1" x14ac:dyDescent="0.35">
      <c r="A602" s="1" t="s">
        <v>81</v>
      </c>
      <c r="B602" s="1" t="s">
        <v>5781</v>
      </c>
      <c r="C602" s="1" t="s">
        <v>5797</v>
      </c>
      <c r="D602" s="1" t="s">
        <v>5735</v>
      </c>
      <c r="E602" s="1" t="s">
        <v>599</v>
      </c>
      <c r="F602" s="1" t="s">
        <v>5792</v>
      </c>
      <c r="G602" s="1" t="s">
        <v>1015</v>
      </c>
      <c r="H602" s="1" t="s">
        <v>5819</v>
      </c>
      <c r="I602" s="1" t="s">
        <v>90</v>
      </c>
      <c r="J602" s="1" t="s">
        <v>3276</v>
      </c>
      <c r="K602" s="1" t="s">
        <v>78</v>
      </c>
      <c r="L602" s="4">
        <v>44444</v>
      </c>
      <c r="M602" s="1" t="s">
        <v>5735</v>
      </c>
    </row>
    <row r="603" spans="1:13" ht="15.75" customHeight="1" x14ac:dyDescent="0.35">
      <c r="A603" s="1" t="s">
        <v>234</v>
      </c>
      <c r="B603" s="1" t="s">
        <v>5767</v>
      </c>
      <c r="C603" s="1" t="s">
        <v>5802</v>
      </c>
      <c r="D603" s="1" t="s">
        <v>5735</v>
      </c>
      <c r="E603" s="1" t="s">
        <v>5799</v>
      </c>
      <c r="F603" s="1" t="s">
        <v>5805</v>
      </c>
      <c r="G603" s="1" t="s">
        <v>5820</v>
      </c>
      <c r="H603" s="1" t="s">
        <v>111</v>
      </c>
      <c r="I603" s="1" t="s">
        <v>90</v>
      </c>
      <c r="J603" s="1" t="s">
        <v>2584</v>
      </c>
      <c r="K603" s="1" t="s">
        <v>78</v>
      </c>
      <c r="L603" s="4">
        <v>95999</v>
      </c>
      <c r="M603" s="1" t="s">
        <v>5735</v>
      </c>
    </row>
    <row r="604" spans="1:13" ht="15.75" customHeight="1" x14ac:dyDescent="0.35">
      <c r="A604" s="1" t="s">
        <v>234</v>
      </c>
      <c r="B604" s="1" t="s">
        <v>5810</v>
      </c>
      <c r="C604" s="1" t="s">
        <v>5801</v>
      </c>
      <c r="D604" s="1" t="s">
        <v>5735</v>
      </c>
      <c r="E604" s="1" t="s">
        <v>5799</v>
      </c>
      <c r="F604" s="1" t="s">
        <v>5805</v>
      </c>
      <c r="G604" s="1" t="s">
        <v>5820</v>
      </c>
      <c r="H604" s="1" t="s">
        <v>111</v>
      </c>
      <c r="I604" s="1" t="s">
        <v>90</v>
      </c>
      <c r="J604" s="1" t="s">
        <v>1609</v>
      </c>
      <c r="K604" s="1" t="s">
        <v>78</v>
      </c>
      <c r="L604" s="4">
        <v>109000</v>
      </c>
      <c r="M604" s="1" t="s">
        <v>5735</v>
      </c>
    </row>
    <row r="605" spans="1:13" ht="15.75" customHeight="1" x14ac:dyDescent="0.35">
      <c r="A605" s="1" t="s">
        <v>81</v>
      </c>
      <c r="B605" s="1" t="s">
        <v>5782</v>
      </c>
      <c r="C605" s="1" t="s">
        <v>5800</v>
      </c>
      <c r="D605" s="1" t="s">
        <v>5735</v>
      </c>
      <c r="E605" s="1" t="s">
        <v>3816</v>
      </c>
      <c r="F605" s="1" t="s">
        <v>5795</v>
      </c>
      <c r="G605" s="1" t="s">
        <v>74</v>
      </c>
      <c r="H605" s="1" t="s">
        <v>111</v>
      </c>
      <c r="I605" s="1" t="s">
        <v>101</v>
      </c>
      <c r="J605" s="1" t="s">
        <v>3458</v>
      </c>
      <c r="K605" s="1" t="s">
        <v>78</v>
      </c>
      <c r="L605" s="4">
        <v>25499</v>
      </c>
      <c r="M605" s="1" t="s">
        <v>79</v>
      </c>
    </row>
    <row r="606" spans="1:13" ht="15.75" customHeight="1" x14ac:dyDescent="0.35">
      <c r="A606" s="1" t="s">
        <v>81</v>
      </c>
      <c r="B606" s="1" t="s">
        <v>5781</v>
      </c>
      <c r="C606" s="1" t="s">
        <v>5812</v>
      </c>
      <c r="D606" s="1" t="s">
        <v>5735</v>
      </c>
      <c r="E606" s="1" t="s">
        <v>3816</v>
      </c>
      <c r="F606" s="1" t="s">
        <v>5795</v>
      </c>
      <c r="G606" s="1" t="s">
        <v>1015</v>
      </c>
      <c r="H606" s="1" t="s">
        <v>5819</v>
      </c>
      <c r="I606" s="1" t="s">
        <v>90</v>
      </c>
      <c r="J606" s="1" t="s">
        <v>3276</v>
      </c>
      <c r="K606" s="1" t="s">
        <v>78</v>
      </c>
      <c r="L606" s="4">
        <v>33999</v>
      </c>
      <c r="M606" s="1" t="s">
        <v>5735</v>
      </c>
    </row>
    <row r="607" spans="1:13" ht="15.75" customHeight="1" x14ac:dyDescent="0.35">
      <c r="A607" s="1" t="s">
        <v>112</v>
      </c>
      <c r="B607" s="1" t="s">
        <v>5810</v>
      </c>
      <c r="C607" s="1" t="s">
        <v>5794</v>
      </c>
      <c r="D607" s="1" t="s">
        <v>4923</v>
      </c>
      <c r="E607" s="1" t="s">
        <v>3816</v>
      </c>
      <c r="F607" s="1" t="s">
        <v>5795</v>
      </c>
      <c r="G607" s="1" t="s">
        <v>74</v>
      </c>
      <c r="H607" s="1" t="s">
        <v>5735</v>
      </c>
      <c r="I607" s="1" t="s">
        <v>101</v>
      </c>
      <c r="J607" s="1" t="s">
        <v>3288</v>
      </c>
      <c r="K607" s="1" t="s">
        <v>78</v>
      </c>
      <c r="L607" s="4">
        <v>24499</v>
      </c>
      <c r="M607" s="1" t="s">
        <v>79</v>
      </c>
    </row>
    <row r="608" spans="1:13" ht="15.75" customHeight="1" x14ac:dyDescent="0.35">
      <c r="A608" s="1" t="s">
        <v>81</v>
      </c>
      <c r="B608" s="1" t="s">
        <v>5782</v>
      </c>
      <c r="C608" s="1" t="s">
        <v>5815</v>
      </c>
      <c r="D608" s="1" t="s">
        <v>5735</v>
      </c>
      <c r="E608" s="1" t="s">
        <v>3816</v>
      </c>
      <c r="F608" s="1" t="s">
        <v>5830</v>
      </c>
      <c r="G608" s="1" t="s">
        <v>74</v>
      </c>
      <c r="H608" s="1" t="s">
        <v>5735</v>
      </c>
      <c r="I608" s="1" t="s">
        <v>101</v>
      </c>
      <c r="J608" s="1" t="s">
        <v>3321</v>
      </c>
      <c r="K608" s="1" t="s">
        <v>78</v>
      </c>
      <c r="L608" s="4">
        <v>17777</v>
      </c>
      <c r="M608" s="1" t="s">
        <v>5735</v>
      </c>
    </row>
    <row r="609" spans="1:13" ht="15.75" customHeight="1" x14ac:dyDescent="0.35">
      <c r="A609" s="1" t="s">
        <v>151</v>
      </c>
      <c r="B609" s="1" t="s">
        <v>5763</v>
      </c>
      <c r="C609" s="1" t="s">
        <v>5794</v>
      </c>
      <c r="D609" s="1" t="s">
        <v>5735</v>
      </c>
      <c r="E609" s="1" t="s">
        <v>3816</v>
      </c>
      <c r="F609" s="1" t="s">
        <v>5795</v>
      </c>
      <c r="G609" s="1" t="s">
        <v>74</v>
      </c>
      <c r="H609" s="1" t="s">
        <v>5735</v>
      </c>
      <c r="I609" s="1" t="s">
        <v>101</v>
      </c>
      <c r="J609" s="1" t="s">
        <v>3383</v>
      </c>
      <c r="K609" s="1" t="s">
        <v>78</v>
      </c>
      <c r="L609" s="4">
        <v>20999</v>
      </c>
      <c r="M609" s="1" t="s">
        <v>79</v>
      </c>
    </row>
    <row r="610" spans="1:13" ht="15.75" customHeight="1" x14ac:dyDescent="0.35">
      <c r="A610" s="1" t="s">
        <v>151</v>
      </c>
      <c r="B610" s="1" t="s">
        <v>5763</v>
      </c>
      <c r="C610" s="1" t="s">
        <v>5794</v>
      </c>
      <c r="D610" s="1" t="s">
        <v>5735</v>
      </c>
      <c r="E610" s="1" t="s">
        <v>3816</v>
      </c>
      <c r="F610" s="1" t="s">
        <v>5795</v>
      </c>
      <c r="G610" s="1" t="s">
        <v>74</v>
      </c>
      <c r="H610" s="1" t="s">
        <v>5735</v>
      </c>
      <c r="I610" s="1" t="s">
        <v>101</v>
      </c>
      <c r="J610" s="1" t="s">
        <v>3383</v>
      </c>
      <c r="K610" s="1" t="s">
        <v>165</v>
      </c>
      <c r="L610" s="4">
        <v>25499</v>
      </c>
      <c r="M610" s="1" t="s">
        <v>79</v>
      </c>
    </row>
    <row r="611" spans="1:13" ht="15.75" customHeight="1" x14ac:dyDescent="0.35">
      <c r="A611" s="1" t="s">
        <v>112</v>
      </c>
      <c r="B611" s="1" t="s">
        <v>5778</v>
      </c>
      <c r="C611" s="1" t="s">
        <v>5812</v>
      </c>
      <c r="D611" s="1" t="s">
        <v>5735</v>
      </c>
      <c r="E611" s="1" t="s">
        <v>3816</v>
      </c>
      <c r="F611" s="1" t="s">
        <v>5795</v>
      </c>
      <c r="G611" s="1" t="s">
        <v>1015</v>
      </c>
      <c r="H611" s="1" t="s">
        <v>5735</v>
      </c>
      <c r="I611" s="1" t="s">
        <v>90</v>
      </c>
      <c r="J611" s="1" t="s">
        <v>5735</v>
      </c>
      <c r="K611" s="1" t="s">
        <v>78</v>
      </c>
      <c r="L611" s="4">
        <v>32999</v>
      </c>
      <c r="M611" s="1" t="s">
        <v>5735</v>
      </c>
    </row>
    <row r="612" spans="1:13" ht="15.75" customHeight="1" x14ac:dyDescent="0.35">
      <c r="A612" s="1" t="s">
        <v>81</v>
      </c>
      <c r="B612" s="1" t="s">
        <v>5782</v>
      </c>
      <c r="C612" s="1" t="s">
        <v>5794</v>
      </c>
      <c r="D612" s="1" t="s">
        <v>5735</v>
      </c>
      <c r="E612" s="1" t="s">
        <v>3231</v>
      </c>
      <c r="F612" s="1" t="s">
        <v>5830</v>
      </c>
      <c r="G612" s="1" t="s">
        <v>74</v>
      </c>
      <c r="H612" s="1" t="s">
        <v>111</v>
      </c>
      <c r="I612" s="1" t="s">
        <v>101</v>
      </c>
      <c r="J612" s="1" t="s">
        <v>3458</v>
      </c>
      <c r="K612" s="1" t="s">
        <v>78</v>
      </c>
      <c r="L612" s="4">
        <v>19499</v>
      </c>
      <c r="M612" s="1" t="s">
        <v>166</v>
      </c>
    </row>
    <row r="613" spans="1:13" ht="15.75" customHeight="1" x14ac:dyDescent="0.35">
      <c r="A613" s="1" t="s">
        <v>30</v>
      </c>
      <c r="B613" s="1" t="s">
        <v>5810</v>
      </c>
      <c r="C613" s="1" t="s">
        <v>5800</v>
      </c>
      <c r="D613" s="1" t="s">
        <v>5735</v>
      </c>
      <c r="E613" s="1" t="s">
        <v>3816</v>
      </c>
      <c r="F613" s="1" t="s">
        <v>5795</v>
      </c>
      <c r="G613" s="1" t="s">
        <v>74</v>
      </c>
      <c r="H613" s="1" t="s">
        <v>5735</v>
      </c>
      <c r="I613" s="1" t="s">
        <v>101</v>
      </c>
      <c r="J613" s="1" t="s">
        <v>230</v>
      </c>
      <c r="K613" s="1" t="s">
        <v>78</v>
      </c>
      <c r="L613" s="4">
        <v>30499</v>
      </c>
      <c r="M613" s="1" t="s">
        <v>79</v>
      </c>
    </row>
    <row r="614" spans="1:13" ht="15.75" customHeight="1" x14ac:dyDescent="0.35">
      <c r="A614" s="1" t="s">
        <v>112</v>
      </c>
      <c r="B614" s="1" t="s">
        <v>5778</v>
      </c>
      <c r="C614" s="1" t="s">
        <v>5797</v>
      </c>
      <c r="D614" s="1" t="s">
        <v>5735</v>
      </c>
      <c r="E614" s="1" t="s">
        <v>599</v>
      </c>
      <c r="F614" s="1" t="s">
        <v>5795</v>
      </c>
      <c r="G614" s="1" t="s">
        <v>74</v>
      </c>
      <c r="H614" s="1" t="s">
        <v>5735</v>
      </c>
      <c r="I614" s="1" t="s">
        <v>90</v>
      </c>
      <c r="J614" s="1" t="s">
        <v>3532</v>
      </c>
      <c r="K614" s="1" t="s">
        <v>78</v>
      </c>
      <c r="L614" s="4">
        <v>42888</v>
      </c>
      <c r="M614" s="1" t="s">
        <v>5735</v>
      </c>
    </row>
    <row r="615" spans="1:13" ht="15.75" customHeight="1" x14ac:dyDescent="0.35">
      <c r="A615" s="1" t="s">
        <v>81</v>
      </c>
      <c r="B615" s="1" t="s">
        <v>5782</v>
      </c>
      <c r="C615" s="1" t="s">
        <v>5835</v>
      </c>
      <c r="D615" s="1" t="s">
        <v>5735</v>
      </c>
      <c r="E615" s="1" t="s">
        <v>3816</v>
      </c>
      <c r="F615" s="1" t="s">
        <v>5795</v>
      </c>
      <c r="G615" s="1" t="s">
        <v>74</v>
      </c>
      <c r="H615" s="1" t="s">
        <v>111</v>
      </c>
      <c r="I615" s="1" t="s">
        <v>101</v>
      </c>
      <c r="J615" s="1" t="s">
        <v>3458</v>
      </c>
      <c r="K615" s="1" t="s">
        <v>78</v>
      </c>
      <c r="L615" s="4">
        <v>15999</v>
      </c>
      <c r="M615" s="1" t="s">
        <v>166</v>
      </c>
    </row>
    <row r="616" spans="1:13" ht="15.75" customHeight="1" x14ac:dyDescent="0.35">
      <c r="A616" s="1" t="s">
        <v>112</v>
      </c>
      <c r="B616" s="1" t="s">
        <v>5778</v>
      </c>
      <c r="C616" s="1" t="s">
        <v>5794</v>
      </c>
      <c r="D616" s="1" t="s">
        <v>5735</v>
      </c>
      <c r="E616" s="1" t="s">
        <v>3816</v>
      </c>
      <c r="F616" s="1" t="s">
        <v>5795</v>
      </c>
      <c r="G616" s="1" t="s">
        <v>74</v>
      </c>
      <c r="H616" s="1" t="s">
        <v>5735</v>
      </c>
      <c r="I616" s="1" t="s">
        <v>90</v>
      </c>
      <c r="J616" s="1" t="s">
        <v>3547</v>
      </c>
      <c r="K616" s="1" t="s">
        <v>78</v>
      </c>
      <c r="L616" s="4">
        <v>29999</v>
      </c>
      <c r="M616" s="1" t="s">
        <v>79</v>
      </c>
    </row>
    <row r="617" spans="1:13" ht="15.75" customHeight="1" x14ac:dyDescent="0.35">
      <c r="A617" s="1" t="s">
        <v>81</v>
      </c>
      <c r="B617" s="1" t="s">
        <v>5782</v>
      </c>
      <c r="C617" s="1" t="s">
        <v>5794</v>
      </c>
      <c r="D617" s="1" t="s">
        <v>5735</v>
      </c>
      <c r="E617" s="1" t="s">
        <v>3816</v>
      </c>
      <c r="F617" s="1" t="s">
        <v>5830</v>
      </c>
      <c r="G617" s="1" t="s">
        <v>74</v>
      </c>
      <c r="H617" s="1" t="s">
        <v>111</v>
      </c>
      <c r="I617" s="1" t="s">
        <v>101</v>
      </c>
      <c r="J617" s="1" t="s">
        <v>3458</v>
      </c>
      <c r="K617" s="1" t="s">
        <v>78</v>
      </c>
      <c r="L617" s="4">
        <v>19999</v>
      </c>
      <c r="M617" s="1" t="s">
        <v>166</v>
      </c>
    </row>
    <row r="618" spans="1:13" ht="15.75" customHeight="1" x14ac:dyDescent="0.35">
      <c r="A618" s="1" t="s">
        <v>30</v>
      </c>
      <c r="B618" s="1" t="s">
        <v>5810</v>
      </c>
      <c r="C618" s="1" t="s">
        <v>5816</v>
      </c>
      <c r="D618" s="1" t="s">
        <v>5735</v>
      </c>
      <c r="E618" s="1" t="s">
        <v>599</v>
      </c>
      <c r="F618" s="1" t="s">
        <v>5795</v>
      </c>
      <c r="G618" s="1" t="s">
        <v>5820</v>
      </c>
      <c r="H618" s="1" t="s">
        <v>5735</v>
      </c>
      <c r="I618" s="1" t="s">
        <v>90</v>
      </c>
      <c r="J618" s="1" t="s">
        <v>3556</v>
      </c>
      <c r="K618" s="1" t="s">
        <v>165</v>
      </c>
      <c r="L618" s="4">
        <v>44999</v>
      </c>
      <c r="M618" s="1" t="s">
        <v>5735</v>
      </c>
    </row>
    <row r="619" spans="1:13" ht="15.75" customHeight="1" x14ac:dyDescent="0.35">
      <c r="A619" s="1" t="s">
        <v>234</v>
      </c>
      <c r="B619" s="1" t="s">
        <v>5766</v>
      </c>
      <c r="C619" s="1" t="s">
        <v>5794</v>
      </c>
      <c r="D619" s="1" t="s">
        <v>5735</v>
      </c>
      <c r="E619" s="1" t="s">
        <v>3816</v>
      </c>
      <c r="F619" s="1" t="s">
        <v>5795</v>
      </c>
      <c r="G619" s="1" t="s">
        <v>74</v>
      </c>
      <c r="H619" s="1" t="s">
        <v>5735</v>
      </c>
      <c r="I619" s="1" t="s">
        <v>90</v>
      </c>
      <c r="J619" s="1" t="s">
        <v>3321</v>
      </c>
      <c r="K619" s="1" t="s">
        <v>165</v>
      </c>
      <c r="L619" s="4">
        <v>24499</v>
      </c>
      <c r="M619" s="1" t="s">
        <v>166</v>
      </c>
    </row>
    <row r="620" spans="1:13" ht="15.75" customHeight="1" x14ac:dyDescent="0.35">
      <c r="A620" s="1" t="s">
        <v>234</v>
      </c>
      <c r="B620" s="1" t="s">
        <v>5810</v>
      </c>
      <c r="C620" s="1" t="s">
        <v>5808</v>
      </c>
      <c r="D620" s="1" t="s">
        <v>5735</v>
      </c>
      <c r="E620" s="1" t="s">
        <v>599</v>
      </c>
      <c r="F620" s="1" t="s">
        <v>5795</v>
      </c>
      <c r="G620" s="1" t="s">
        <v>38</v>
      </c>
      <c r="H620" s="1" t="s">
        <v>5735</v>
      </c>
      <c r="I620" s="1" t="s">
        <v>90</v>
      </c>
      <c r="J620" s="1" t="s">
        <v>4249</v>
      </c>
      <c r="K620" s="1" t="s">
        <v>165</v>
      </c>
      <c r="L620" s="4">
        <v>50999</v>
      </c>
      <c r="M620" s="1" t="s">
        <v>5735</v>
      </c>
    </row>
    <row r="621" spans="1:13" ht="15.75" customHeight="1" x14ac:dyDescent="0.35">
      <c r="A621" s="1" t="s">
        <v>151</v>
      </c>
      <c r="B621" s="1" t="s">
        <v>5763</v>
      </c>
      <c r="C621" s="1" t="s">
        <v>5835</v>
      </c>
      <c r="D621" s="1" t="s">
        <v>5735</v>
      </c>
      <c r="E621" s="1" t="s">
        <v>3816</v>
      </c>
      <c r="F621" s="1" t="s">
        <v>5795</v>
      </c>
      <c r="G621" s="1" t="s">
        <v>74</v>
      </c>
      <c r="H621" s="1" t="s">
        <v>5735</v>
      </c>
      <c r="I621" s="1" t="s">
        <v>101</v>
      </c>
      <c r="J621" s="1" t="s">
        <v>3383</v>
      </c>
      <c r="K621" s="1" t="s">
        <v>78</v>
      </c>
      <c r="L621" s="4">
        <v>16999</v>
      </c>
      <c r="M621" s="1" t="s">
        <v>79</v>
      </c>
    </row>
    <row r="622" spans="1:13" ht="15.75" customHeight="1" x14ac:dyDescent="0.35">
      <c r="A622" s="1" t="s">
        <v>151</v>
      </c>
      <c r="B622" s="1" t="s">
        <v>5763</v>
      </c>
      <c r="C622" s="1" t="s">
        <v>5835</v>
      </c>
      <c r="D622" s="1" t="s">
        <v>5735</v>
      </c>
      <c r="E622" s="1" t="s">
        <v>3816</v>
      </c>
      <c r="F622" s="1" t="s">
        <v>5830</v>
      </c>
      <c r="G622" s="1" t="s">
        <v>1015</v>
      </c>
      <c r="H622" s="1" t="s">
        <v>5819</v>
      </c>
      <c r="I622" s="1" t="s">
        <v>90</v>
      </c>
      <c r="J622" s="1" t="s">
        <v>3584</v>
      </c>
      <c r="K622" s="1" t="s">
        <v>78</v>
      </c>
      <c r="L622" s="4">
        <v>19999</v>
      </c>
      <c r="M622" s="1" t="s">
        <v>79</v>
      </c>
    </row>
    <row r="623" spans="1:13" ht="15.75" customHeight="1" x14ac:dyDescent="0.35">
      <c r="A623" s="1" t="s">
        <v>112</v>
      </c>
      <c r="B623" s="1" t="s">
        <v>5810</v>
      </c>
      <c r="C623" s="1" t="s">
        <v>5794</v>
      </c>
      <c r="D623" s="1" t="s">
        <v>5735</v>
      </c>
      <c r="E623" s="1" t="s">
        <v>3816</v>
      </c>
      <c r="F623" s="1" t="s">
        <v>5795</v>
      </c>
      <c r="G623" s="1" t="s">
        <v>74</v>
      </c>
      <c r="H623" s="1" t="s">
        <v>5735</v>
      </c>
      <c r="I623" s="1" t="s">
        <v>101</v>
      </c>
      <c r="J623" s="1" t="s">
        <v>3288</v>
      </c>
      <c r="K623" s="1" t="s">
        <v>78</v>
      </c>
      <c r="L623" s="4">
        <v>21888</v>
      </c>
      <c r="M623" s="1" t="s">
        <v>79</v>
      </c>
    </row>
    <row r="624" spans="1:13" ht="15.75" customHeight="1" x14ac:dyDescent="0.35">
      <c r="A624" s="1" t="s">
        <v>81</v>
      </c>
      <c r="B624" s="1" t="s">
        <v>5781</v>
      </c>
      <c r="C624" s="1" t="s">
        <v>5812</v>
      </c>
      <c r="D624" s="1" t="s">
        <v>5735</v>
      </c>
      <c r="E624" s="1" t="s">
        <v>599</v>
      </c>
      <c r="F624" s="1" t="s">
        <v>5795</v>
      </c>
      <c r="G624" s="1" t="s">
        <v>1015</v>
      </c>
      <c r="H624" s="1" t="s">
        <v>5819</v>
      </c>
      <c r="I624" s="1" t="s">
        <v>90</v>
      </c>
      <c r="J624" s="1" t="s">
        <v>3276</v>
      </c>
      <c r="K624" s="1" t="s">
        <v>78</v>
      </c>
      <c r="L624" s="4">
        <v>34999</v>
      </c>
      <c r="M624" s="1" t="s">
        <v>5735</v>
      </c>
    </row>
    <row r="625" spans="1:13" ht="15.75" customHeight="1" x14ac:dyDescent="0.35">
      <c r="A625" s="1" t="s">
        <v>112</v>
      </c>
      <c r="B625" s="1" t="s">
        <v>5778</v>
      </c>
      <c r="C625" s="1" t="s">
        <v>5816</v>
      </c>
      <c r="D625" s="1" t="s">
        <v>5735</v>
      </c>
      <c r="E625" s="1" t="s">
        <v>599</v>
      </c>
      <c r="F625" s="1" t="s">
        <v>5795</v>
      </c>
      <c r="G625" s="1" t="s">
        <v>74</v>
      </c>
      <c r="H625" s="1" t="s">
        <v>5735</v>
      </c>
      <c r="I625" s="1" t="s">
        <v>90</v>
      </c>
      <c r="J625" s="1" t="s">
        <v>3601</v>
      </c>
      <c r="K625" s="1" t="s">
        <v>78</v>
      </c>
      <c r="L625" s="4">
        <v>43999</v>
      </c>
      <c r="M625" s="1" t="s">
        <v>5735</v>
      </c>
    </row>
    <row r="626" spans="1:13" ht="15.75" customHeight="1" x14ac:dyDescent="0.35">
      <c r="A626" s="1" t="s">
        <v>151</v>
      </c>
      <c r="B626" s="1" t="s">
        <v>5763</v>
      </c>
      <c r="C626" s="1" t="s">
        <v>5812</v>
      </c>
      <c r="D626" s="1" t="s">
        <v>5735</v>
      </c>
      <c r="E626" s="1" t="s">
        <v>3816</v>
      </c>
      <c r="F626" s="1" t="s">
        <v>5795</v>
      </c>
      <c r="G626" s="1" t="s">
        <v>1015</v>
      </c>
      <c r="H626" s="1" t="s">
        <v>5819</v>
      </c>
      <c r="I626" s="1" t="s">
        <v>90</v>
      </c>
      <c r="J626" s="1" t="s">
        <v>3338</v>
      </c>
      <c r="K626" s="1" t="s">
        <v>78</v>
      </c>
      <c r="L626" s="4">
        <v>29999</v>
      </c>
      <c r="M626" s="1" t="s">
        <v>5735</v>
      </c>
    </row>
    <row r="627" spans="1:13" ht="15.75" customHeight="1" x14ac:dyDescent="0.35">
      <c r="A627" s="1" t="s">
        <v>30</v>
      </c>
      <c r="B627" s="1" t="s">
        <v>5810</v>
      </c>
      <c r="C627" s="1" t="s">
        <v>5256</v>
      </c>
      <c r="D627" s="1" t="s">
        <v>5735</v>
      </c>
      <c r="E627" s="1" t="s">
        <v>599</v>
      </c>
      <c r="F627" s="1" t="s">
        <v>5795</v>
      </c>
      <c r="G627" s="1" t="s">
        <v>74</v>
      </c>
      <c r="H627" s="1" t="s">
        <v>5819</v>
      </c>
      <c r="I627" s="1" t="s">
        <v>90</v>
      </c>
      <c r="J627" s="1" t="s">
        <v>230</v>
      </c>
      <c r="K627" s="1" t="s">
        <v>78</v>
      </c>
      <c r="L627" s="4">
        <v>36850</v>
      </c>
      <c r="M627" s="1" t="s">
        <v>5735</v>
      </c>
    </row>
    <row r="628" spans="1:13" ht="15.75" customHeight="1" x14ac:dyDescent="0.35">
      <c r="A628" s="1" t="s">
        <v>30</v>
      </c>
      <c r="B628" s="1" t="s">
        <v>5810</v>
      </c>
      <c r="C628" s="1" t="s">
        <v>5816</v>
      </c>
      <c r="D628" s="1" t="s">
        <v>5735</v>
      </c>
      <c r="E628" s="1" t="s">
        <v>599</v>
      </c>
      <c r="F628" s="1" t="s">
        <v>5795</v>
      </c>
      <c r="G628" s="1" t="s">
        <v>74</v>
      </c>
      <c r="H628" s="1" t="s">
        <v>5819</v>
      </c>
      <c r="I628" s="1" t="s">
        <v>90</v>
      </c>
      <c r="J628" s="1" t="s">
        <v>230</v>
      </c>
      <c r="K628" s="1" t="s">
        <v>78</v>
      </c>
      <c r="L628" s="4">
        <v>41850</v>
      </c>
      <c r="M628" s="1" t="s">
        <v>5735</v>
      </c>
    </row>
    <row r="629" spans="1:13" ht="15.75" customHeight="1" x14ac:dyDescent="0.35">
      <c r="A629" s="1" t="s">
        <v>30</v>
      </c>
      <c r="B629" s="1" t="s">
        <v>5810</v>
      </c>
      <c r="C629" s="1" t="s">
        <v>5801</v>
      </c>
      <c r="D629" s="1" t="s">
        <v>5735</v>
      </c>
      <c r="E629" s="1" t="s">
        <v>599</v>
      </c>
      <c r="F629" s="1" t="s">
        <v>5792</v>
      </c>
      <c r="G629" s="1" t="s">
        <v>74</v>
      </c>
      <c r="H629" s="1" t="s">
        <v>5819</v>
      </c>
      <c r="I629" s="1" t="s">
        <v>90</v>
      </c>
      <c r="J629" s="1" t="s">
        <v>230</v>
      </c>
      <c r="K629" s="1" t="s">
        <v>78</v>
      </c>
      <c r="L629" s="4">
        <v>48950</v>
      </c>
      <c r="M629" s="1" t="s">
        <v>5735</v>
      </c>
    </row>
    <row r="630" spans="1:13" ht="15.75" customHeight="1" x14ac:dyDescent="0.35">
      <c r="A630" s="1" t="s">
        <v>234</v>
      </c>
      <c r="B630" s="1" t="s">
        <v>5766</v>
      </c>
      <c r="C630" s="1" t="s">
        <v>5803</v>
      </c>
      <c r="D630" s="1" t="s">
        <v>5735</v>
      </c>
      <c r="E630" s="1" t="s">
        <v>5789</v>
      </c>
      <c r="F630" s="1" t="s">
        <v>5792</v>
      </c>
      <c r="G630" s="1" t="s">
        <v>5820</v>
      </c>
      <c r="H630" s="1" t="s">
        <v>111</v>
      </c>
      <c r="I630" s="1" t="s">
        <v>90</v>
      </c>
      <c r="J630" s="1" t="s">
        <v>2584</v>
      </c>
      <c r="K630" s="1" t="s">
        <v>78</v>
      </c>
      <c r="L630" s="4">
        <v>61999</v>
      </c>
      <c r="M630" s="1" t="s">
        <v>5735</v>
      </c>
    </row>
    <row r="631" spans="1:13" ht="15.75" customHeight="1" x14ac:dyDescent="0.35">
      <c r="A631" s="1" t="s">
        <v>234</v>
      </c>
      <c r="B631" s="1" t="s">
        <v>5767</v>
      </c>
      <c r="C631" s="1" t="s">
        <v>5802</v>
      </c>
      <c r="D631" s="1" t="s">
        <v>5735</v>
      </c>
      <c r="E631" s="1" t="s">
        <v>5799</v>
      </c>
      <c r="F631" s="1" t="s">
        <v>5805</v>
      </c>
      <c r="G631" s="1" t="s">
        <v>5820</v>
      </c>
      <c r="H631" s="1" t="s">
        <v>111</v>
      </c>
      <c r="I631" s="1" t="s">
        <v>90</v>
      </c>
      <c r="J631" s="1" t="s">
        <v>2584</v>
      </c>
      <c r="K631" s="1" t="s">
        <v>78</v>
      </c>
      <c r="L631" s="4">
        <v>97777</v>
      </c>
      <c r="M631" s="1" t="s">
        <v>5735</v>
      </c>
    </row>
    <row r="632" spans="1:13" ht="15.75" customHeight="1" x14ac:dyDescent="0.35">
      <c r="A632" s="1" t="s">
        <v>234</v>
      </c>
      <c r="B632" s="1" t="s">
        <v>5766</v>
      </c>
      <c r="C632" s="1" t="s">
        <v>5810</v>
      </c>
      <c r="D632" s="1" t="s">
        <v>5735</v>
      </c>
      <c r="E632" s="1" t="s">
        <v>3816</v>
      </c>
      <c r="F632" s="1" t="s">
        <v>5830</v>
      </c>
      <c r="G632" s="1" t="s">
        <v>74</v>
      </c>
      <c r="H632" s="1" t="s">
        <v>5819</v>
      </c>
      <c r="I632" s="1" t="s">
        <v>90</v>
      </c>
      <c r="J632" s="1" t="s">
        <v>3346</v>
      </c>
      <c r="K632" s="1" t="s">
        <v>165</v>
      </c>
      <c r="L632" s="4">
        <v>13499</v>
      </c>
      <c r="M632" s="1" t="s">
        <v>5735</v>
      </c>
    </row>
    <row r="633" spans="1:13" ht="15.75" customHeight="1" x14ac:dyDescent="0.35">
      <c r="A633" s="1" t="s">
        <v>234</v>
      </c>
      <c r="B633" s="1" t="s">
        <v>5766</v>
      </c>
      <c r="C633" s="1" t="s">
        <v>5788</v>
      </c>
      <c r="D633" s="1" t="s">
        <v>5735</v>
      </c>
      <c r="E633" s="1" t="s">
        <v>599</v>
      </c>
      <c r="F633" s="1" t="s">
        <v>5795</v>
      </c>
      <c r="G633" s="1" t="s">
        <v>1015</v>
      </c>
      <c r="H633" s="1" t="s">
        <v>5819</v>
      </c>
      <c r="I633" s="1" t="s">
        <v>90</v>
      </c>
      <c r="J633" s="1" t="s">
        <v>2584</v>
      </c>
      <c r="K633" s="1" t="s">
        <v>165</v>
      </c>
      <c r="L633" s="4">
        <v>42777</v>
      </c>
      <c r="M633" s="1" t="s">
        <v>79</v>
      </c>
    </row>
    <row r="634" spans="1:13" ht="15.75" customHeight="1" x14ac:dyDescent="0.35">
      <c r="A634" s="1" t="s">
        <v>151</v>
      </c>
      <c r="B634" s="1" t="s">
        <v>5763</v>
      </c>
      <c r="C634" s="1" t="s">
        <v>5794</v>
      </c>
      <c r="D634" s="1" t="s">
        <v>5735</v>
      </c>
      <c r="E634" s="1" t="s">
        <v>599</v>
      </c>
      <c r="F634" s="1" t="s">
        <v>5795</v>
      </c>
      <c r="G634" s="1" t="s">
        <v>74</v>
      </c>
      <c r="H634" s="1" t="s">
        <v>5735</v>
      </c>
      <c r="I634" s="1" t="s">
        <v>101</v>
      </c>
      <c r="J634" s="1" t="s">
        <v>3383</v>
      </c>
      <c r="K634" s="1" t="s">
        <v>78</v>
      </c>
      <c r="L634" s="4">
        <v>24444</v>
      </c>
      <c r="M634" s="1" t="s">
        <v>79</v>
      </c>
    </row>
    <row r="635" spans="1:13" ht="15.75" customHeight="1" x14ac:dyDescent="0.35">
      <c r="A635" s="1" t="s">
        <v>112</v>
      </c>
      <c r="B635" s="1" t="s">
        <v>5810</v>
      </c>
      <c r="C635" s="1" t="s">
        <v>5800</v>
      </c>
      <c r="D635" s="1" t="s">
        <v>5735</v>
      </c>
      <c r="E635" s="1" t="s">
        <v>3816</v>
      </c>
      <c r="F635" s="1" t="s">
        <v>5795</v>
      </c>
      <c r="G635" s="1" t="s">
        <v>74</v>
      </c>
      <c r="H635" s="1" t="s">
        <v>5735</v>
      </c>
      <c r="I635" s="1" t="s">
        <v>101</v>
      </c>
      <c r="J635" s="1" t="s">
        <v>3288</v>
      </c>
      <c r="K635" s="1" t="s">
        <v>78</v>
      </c>
      <c r="L635" s="4">
        <v>27777</v>
      </c>
      <c r="M635" s="1" t="s">
        <v>79</v>
      </c>
    </row>
    <row r="636" spans="1:13" ht="15.75" customHeight="1" x14ac:dyDescent="0.35">
      <c r="A636" s="1" t="s">
        <v>234</v>
      </c>
      <c r="B636" s="1" t="s">
        <v>5766</v>
      </c>
      <c r="C636" s="1" t="s">
        <v>5810</v>
      </c>
      <c r="D636" s="1" t="s">
        <v>5735</v>
      </c>
      <c r="E636" s="1" t="s">
        <v>3231</v>
      </c>
      <c r="F636" s="1" t="s">
        <v>5838</v>
      </c>
      <c r="G636" s="1" t="s">
        <v>3829</v>
      </c>
      <c r="H636" s="1" t="s">
        <v>5819</v>
      </c>
      <c r="I636" s="1" t="s">
        <v>90</v>
      </c>
      <c r="J636" s="1" t="s">
        <v>4249</v>
      </c>
      <c r="K636" s="1" t="s">
        <v>78</v>
      </c>
      <c r="L636" s="4">
        <v>8888</v>
      </c>
      <c r="M636" s="1" t="s">
        <v>5735</v>
      </c>
    </row>
    <row r="637" spans="1:13" ht="15.75" customHeight="1" x14ac:dyDescent="0.35">
      <c r="A637" s="1" t="s">
        <v>151</v>
      </c>
      <c r="B637" s="1" t="s">
        <v>5763</v>
      </c>
      <c r="C637" s="1" t="s">
        <v>5800</v>
      </c>
      <c r="D637" s="1" t="s">
        <v>5735</v>
      </c>
      <c r="E637" s="1" t="s">
        <v>3816</v>
      </c>
      <c r="F637" s="1" t="s">
        <v>5795</v>
      </c>
      <c r="G637" s="1" t="s">
        <v>74</v>
      </c>
      <c r="H637" s="1" t="s">
        <v>5735</v>
      </c>
      <c r="I637" s="1" t="s">
        <v>90</v>
      </c>
      <c r="J637" s="1" t="s">
        <v>3346</v>
      </c>
      <c r="K637" s="1" t="s">
        <v>165</v>
      </c>
      <c r="L637" s="4">
        <v>26666</v>
      </c>
      <c r="M637" s="1" t="s">
        <v>166</v>
      </c>
    </row>
    <row r="638" spans="1:13" ht="15.75" customHeight="1" x14ac:dyDescent="0.35">
      <c r="A638" s="1" t="s">
        <v>151</v>
      </c>
      <c r="B638" s="1" t="s">
        <v>5763</v>
      </c>
      <c r="C638" s="1" t="s">
        <v>5800</v>
      </c>
      <c r="D638" s="1" t="s">
        <v>5735</v>
      </c>
      <c r="E638" s="1" t="s">
        <v>3816</v>
      </c>
      <c r="F638" s="1" t="s">
        <v>5795</v>
      </c>
      <c r="G638" s="1" t="s">
        <v>74</v>
      </c>
      <c r="H638" s="1" t="s">
        <v>5735</v>
      </c>
      <c r="I638" s="1" t="s">
        <v>90</v>
      </c>
      <c r="J638" s="1" t="s">
        <v>3346</v>
      </c>
      <c r="K638" s="1" t="s">
        <v>165</v>
      </c>
      <c r="L638" s="4">
        <v>24999</v>
      </c>
      <c r="M638" s="1" t="s">
        <v>166</v>
      </c>
    </row>
    <row r="639" spans="1:13" ht="15.75" customHeight="1" x14ac:dyDescent="0.35">
      <c r="A639" s="1" t="s">
        <v>151</v>
      </c>
      <c r="B639" s="1" t="s">
        <v>5763</v>
      </c>
      <c r="C639" s="1" t="s">
        <v>5800</v>
      </c>
      <c r="D639" s="1" t="s">
        <v>4923</v>
      </c>
      <c r="E639" s="1" t="s">
        <v>3816</v>
      </c>
      <c r="F639" s="1" t="s">
        <v>5795</v>
      </c>
      <c r="G639" s="1" t="s">
        <v>74</v>
      </c>
      <c r="H639" s="1" t="s">
        <v>5735</v>
      </c>
      <c r="I639" s="1" t="s">
        <v>101</v>
      </c>
      <c r="J639" s="1" t="s">
        <v>3458</v>
      </c>
      <c r="K639" s="1" t="s">
        <v>78</v>
      </c>
      <c r="L639" s="4">
        <v>28999</v>
      </c>
      <c r="M639" s="1" t="s">
        <v>1082</v>
      </c>
    </row>
    <row r="640" spans="1:13" ht="15.75" customHeight="1" x14ac:dyDescent="0.35">
      <c r="A640" s="1" t="s">
        <v>112</v>
      </c>
      <c r="B640" s="1" t="s">
        <v>5778</v>
      </c>
      <c r="C640" s="1" t="s">
        <v>5788</v>
      </c>
      <c r="D640" s="1" t="s">
        <v>3816</v>
      </c>
      <c r="E640" s="1" t="s">
        <v>599</v>
      </c>
      <c r="F640" s="1" t="s">
        <v>5792</v>
      </c>
      <c r="G640" s="1" t="s">
        <v>224</v>
      </c>
      <c r="H640" s="1" t="s">
        <v>111</v>
      </c>
      <c r="I640" s="1" t="s">
        <v>90</v>
      </c>
      <c r="J640" s="1" t="s">
        <v>5839</v>
      </c>
      <c r="K640" s="1" t="s">
        <v>78</v>
      </c>
      <c r="L640" s="4">
        <v>89999</v>
      </c>
      <c r="M640" s="1" t="s">
        <v>79</v>
      </c>
    </row>
    <row r="641" spans="1:13" ht="15.75" customHeight="1" x14ac:dyDescent="0.35">
      <c r="A641" s="1" t="s">
        <v>234</v>
      </c>
      <c r="B641" s="1" t="s">
        <v>5767</v>
      </c>
      <c r="C641" s="1" t="s">
        <v>5836</v>
      </c>
      <c r="D641" s="1" t="s">
        <v>5735</v>
      </c>
      <c r="E641" s="1" t="s">
        <v>599</v>
      </c>
      <c r="F641" s="1" t="s">
        <v>5792</v>
      </c>
      <c r="G641" s="1" t="s">
        <v>1015</v>
      </c>
      <c r="H641" s="1" t="s">
        <v>5819</v>
      </c>
      <c r="I641" s="1" t="s">
        <v>90</v>
      </c>
      <c r="J641" s="1" t="s">
        <v>3689</v>
      </c>
      <c r="K641" s="1" t="s">
        <v>78</v>
      </c>
      <c r="L641" s="4">
        <v>53999</v>
      </c>
      <c r="M641" s="1" t="s">
        <v>5735</v>
      </c>
    </row>
    <row r="642" spans="1:13" ht="15.75" customHeight="1" x14ac:dyDescent="0.35">
      <c r="A642" s="1" t="s">
        <v>234</v>
      </c>
      <c r="B642" s="1" t="s">
        <v>5766</v>
      </c>
      <c r="C642" s="1" t="s">
        <v>5794</v>
      </c>
      <c r="D642" s="1" t="s">
        <v>5735</v>
      </c>
      <c r="E642" s="1" t="s">
        <v>3816</v>
      </c>
      <c r="F642" s="1" t="s">
        <v>5795</v>
      </c>
      <c r="G642" s="1" t="s">
        <v>74</v>
      </c>
      <c r="H642" s="1" t="s">
        <v>5819</v>
      </c>
      <c r="I642" s="1" t="s">
        <v>90</v>
      </c>
      <c r="J642" s="1" t="s">
        <v>3321</v>
      </c>
      <c r="K642" s="1" t="s">
        <v>78</v>
      </c>
      <c r="L642" s="4">
        <v>23199</v>
      </c>
      <c r="M642" s="1" t="s">
        <v>79</v>
      </c>
    </row>
    <row r="643" spans="1:13" ht="15.75" customHeight="1" x14ac:dyDescent="0.35">
      <c r="A643" s="1" t="s">
        <v>234</v>
      </c>
      <c r="B643" s="1" t="s">
        <v>5766</v>
      </c>
      <c r="C643" s="1" t="s">
        <v>5794</v>
      </c>
      <c r="D643" s="1" t="s">
        <v>5735</v>
      </c>
      <c r="E643" s="1" t="s">
        <v>599</v>
      </c>
      <c r="F643" s="1" t="s">
        <v>5795</v>
      </c>
      <c r="G643" s="1" t="s">
        <v>74</v>
      </c>
      <c r="H643" s="1" t="s">
        <v>5819</v>
      </c>
      <c r="I643" s="1" t="s">
        <v>90</v>
      </c>
      <c r="J643" s="1" t="s">
        <v>3321</v>
      </c>
      <c r="K643" s="1" t="s">
        <v>78</v>
      </c>
      <c r="L643" s="4">
        <v>24199</v>
      </c>
      <c r="M643" s="1" t="s">
        <v>79</v>
      </c>
    </row>
    <row r="644" spans="1:13" ht="15.75" customHeight="1" x14ac:dyDescent="0.35">
      <c r="A644" s="1" t="s">
        <v>151</v>
      </c>
      <c r="B644" s="1" t="s">
        <v>5763</v>
      </c>
      <c r="C644" s="1" t="s">
        <v>5810</v>
      </c>
      <c r="D644" s="1" t="s">
        <v>5735</v>
      </c>
      <c r="E644" s="1" t="s">
        <v>3816</v>
      </c>
      <c r="F644" s="1" t="s">
        <v>5830</v>
      </c>
      <c r="G644" s="1" t="s">
        <v>3829</v>
      </c>
      <c r="H644" s="1" t="s">
        <v>5735</v>
      </c>
      <c r="I644" s="1" t="s">
        <v>101</v>
      </c>
      <c r="J644" s="1" t="s">
        <v>3704</v>
      </c>
      <c r="K644" s="1" t="s">
        <v>78</v>
      </c>
      <c r="L644" s="4">
        <v>11199</v>
      </c>
      <c r="M644" s="1" t="s">
        <v>5735</v>
      </c>
    </row>
    <row r="645" spans="1:13" ht="15.75" customHeight="1" x14ac:dyDescent="0.35">
      <c r="A645" s="1" t="s">
        <v>151</v>
      </c>
      <c r="B645" s="1" t="s">
        <v>5763</v>
      </c>
      <c r="C645" s="1" t="s">
        <v>5256</v>
      </c>
      <c r="D645" s="1" t="s">
        <v>5735</v>
      </c>
      <c r="E645" s="1" t="s">
        <v>599</v>
      </c>
      <c r="F645" s="1" t="s">
        <v>5795</v>
      </c>
      <c r="G645" s="1" t="s">
        <v>1015</v>
      </c>
      <c r="H645" s="1" t="s">
        <v>5819</v>
      </c>
      <c r="I645" s="1" t="s">
        <v>90</v>
      </c>
      <c r="J645" s="1" t="s">
        <v>3713</v>
      </c>
      <c r="K645" s="1" t="s">
        <v>78</v>
      </c>
      <c r="L645" s="4">
        <v>41999</v>
      </c>
      <c r="M645" s="1" t="s">
        <v>5735</v>
      </c>
    </row>
    <row r="646" spans="1:13" ht="15.75" customHeight="1" x14ac:dyDescent="0.35">
      <c r="A646" s="1" t="s">
        <v>151</v>
      </c>
      <c r="B646" s="1" t="s">
        <v>5763</v>
      </c>
      <c r="C646" s="1" t="s">
        <v>5816</v>
      </c>
      <c r="D646" s="1" t="s">
        <v>5735</v>
      </c>
      <c r="E646" s="1" t="s">
        <v>599</v>
      </c>
      <c r="F646" s="1" t="s">
        <v>5795</v>
      </c>
      <c r="G646" s="1" t="s">
        <v>1015</v>
      </c>
      <c r="H646" s="1" t="s">
        <v>5819</v>
      </c>
      <c r="I646" s="1" t="s">
        <v>90</v>
      </c>
      <c r="J646" s="1" t="s">
        <v>3713</v>
      </c>
      <c r="K646" s="1" t="s">
        <v>78</v>
      </c>
      <c r="L646" s="4">
        <v>44888</v>
      </c>
      <c r="M646" s="1" t="s">
        <v>5735</v>
      </c>
    </row>
    <row r="647" spans="1:13" ht="15.75" customHeight="1" x14ac:dyDescent="0.35">
      <c r="A647" s="1" t="s">
        <v>234</v>
      </c>
      <c r="B647" s="1" t="s">
        <v>5766</v>
      </c>
      <c r="C647" s="1" t="s">
        <v>5800</v>
      </c>
      <c r="D647" s="1" t="s">
        <v>5735</v>
      </c>
      <c r="E647" s="1" t="s">
        <v>599</v>
      </c>
      <c r="F647" s="1" t="s">
        <v>5795</v>
      </c>
      <c r="G647" s="1" t="s">
        <v>74</v>
      </c>
      <c r="H647" s="1" t="s">
        <v>5819</v>
      </c>
      <c r="I647" s="1" t="s">
        <v>90</v>
      </c>
      <c r="J647" s="1" t="s">
        <v>3321</v>
      </c>
      <c r="K647" s="1" t="s">
        <v>78</v>
      </c>
      <c r="L647" s="4">
        <v>30999</v>
      </c>
      <c r="M647" s="1" t="s">
        <v>79</v>
      </c>
    </row>
    <row r="648" spans="1:13" ht="15.75" customHeight="1" x14ac:dyDescent="0.35">
      <c r="A648" s="1" t="s">
        <v>81</v>
      </c>
      <c r="B648" s="1" t="s">
        <v>5782</v>
      </c>
      <c r="C648" s="1" t="s">
        <v>5835</v>
      </c>
      <c r="D648" s="1" t="s">
        <v>5735</v>
      </c>
      <c r="E648" s="1" t="s">
        <v>3816</v>
      </c>
      <c r="F648" s="1" t="s">
        <v>5795</v>
      </c>
      <c r="G648" s="1" t="s">
        <v>74</v>
      </c>
      <c r="H648" s="1" t="s">
        <v>111</v>
      </c>
      <c r="I648" s="1" t="s">
        <v>101</v>
      </c>
      <c r="J648" s="1" t="s">
        <v>3458</v>
      </c>
      <c r="K648" s="1" t="s">
        <v>78</v>
      </c>
      <c r="L648" s="4">
        <v>18599</v>
      </c>
      <c r="M648" s="1" t="s">
        <v>79</v>
      </c>
    </row>
    <row r="649" spans="1:13" ht="15.75" customHeight="1" x14ac:dyDescent="0.35">
      <c r="A649" s="1" t="s">
        <v>234</v>
      </c>
      <c r="B649" s="1" t="s">
        <v>5767</v>
      </c>
      <c r="C649" s="1" t="s">
        <v>5816</v>
      </c>
      <c r="D649" s="1" t="s">
        <v>5735</v>
      </c>
      <c r="E649" s="1" t="s">
        <v>599</v>
      </c>
      <c r="F649" s="1" t="s">
        <v>5792</v>
      </c>
      <c r="G649" s="1" t="s">
        <v>5817</v>
      </c>
      <c r="H649" s="1" t="s">
        <v>5735</v>
      </c>
      <c r="I649" s="1" t="s">
        <v>90</v>
      </c>
      <c r="J649" s="1" t="s">
        <v>3726</v>
      </c>
      <c r="K649" s="1" t="s">
        <v>78</v>
      </c>
      <c r="L649" s="4">
        <v>58888</v>
      </c>
      <c r="M649" s="1" t="s">
        <v>5735</v>
      </c>
    </row>
    <row r="650" spans="1:13" ht="15.75" customHeight="1" x14ac:dyDescent="0.35">
      <c r="A650" s="1" t="s">
        <v>3729</v>
      </c>
      <c r="B650" s="1" t="s">
        <v>5784</v>
      </c>
      <c r="C650" s="1" t="s">
        <v>3731</v>
      </c>
      <c r="D650" s="1" t="s">
        <v>5735</v>
      </c>
      <c r="E650" s="1" t="s">
        <v>5799</v>
      </c>
      <c r="F650" s="1" t="s">
        <v>5792</v>
      </c>
      <c r="G650" s="1" t="s">
        <v>5817</v>
      </c>
      <c r="H650" s="1" t="s">
        <v>5735</v>
      </c>
      <c r="I650" s="1" t="s">
        <v>90</v>
      </c>
      <c r="J650" s="1" t="s">
        <v>5840</v>
      </c>
      <c r="K650" s="1" t="s">
        <v>78</v>
      </c>
      <c r="L650" s="4">
        <v>154999</v>
      </c>
      <c r="M650" s="1" t="s">
        <v>5735</v>
      </c>
    </row>
    <row r="651" spans="1:13" ht="15.75" customHeight="1" x14ac:dyDescent="0.35">
      <c r="A651" s="1" t="s">
        <v>81</v>
      </c>
      <c r="B651" s="1" t="s">
        <v>5781</v>
      </c>
      <c r="C651" s="1" t="s">
        <v>5835</v>
      </c>
      <c r="D651" s="1" t="s">
        <v>5735</v>
      </c>
      <c r="E651" s="1" t="s">
        <v>3816</v>
      </c>
      <c r="F651" s="1" t="s">
        <v>5795</v>
      </c>
      <c r="G651" s="1" t="s">
        <v>74</v>
      </c>
      <c r="H651" s="1" t="s">
        <v>111</v>
      </c>
      <c r="I651" s="1" t="s">
        <v>101</v>
      </c>
      <c r="J651" s="1" t="s">
        <v>1609</v>
      </c>
      <c r="K651" s="1" t="s">
        <v>78</v>
      </c>
      <c r="L651" s="4">
        <v>15999</v>
      </c>
      <c r="M651" s="1" t="s">
        <v>166</v>
      </c>
    </row>
    <row r="652" spans="1:13" ht="15.75" customHeight="1" x14ac:dyDescent="0.35">
      <c r="A652" s="1" t="s">
        <v>81</v>
      </c>
      <c r="B652" s="1" t="s">
        <v>5781</v>
      </c>
      <c r="C652" s="1" t="s">
        <v>5800</v>
      </c>
      <c r="D652" s="1" t="s">
        <v>5735</v>
      </c>
      <c r="E652" s="1" t="s">
        <v>599</v>
      </c>
      <c r="F652" s="1" t="s">
        <v>5795</v>
      </c>
      <c r="G652" s="1" t="s">
        <v>74</v>
      </c>
      <c r="H652" s="1" t="s">
        <v>111</v>
      </c>
      <c r="I652" s="1" t="s">
        <v>101</v>
      </c>
      <c r="J652" s="1" t="s">
        <v>1609</v>
      </c>
      <c r="K652" s="1" t="s">
        <v>78</v>
      </c>
      <c r="L652" s="4">
        <v>28999</v>
      </c>
      <c r="M652" s="1" t="s">
        <v>166</v>
      </c>
    </row>
    <row r="653" spans="1:13" ht="15.75" customHeight="1" x14ac:dyDescent="0.35">
      <c r="A653" s="1" t="s">
        <v>151</v>
      </c>
      <c r="B653" s="1" t="s">
        <v>5763</v>
      </c>
      <c r="C653" s="1" t="s">
        <v>5835</v>
      </c>
      <c r="D653" s="1" t="s">
        <v>5735</v>
      </c>
      <c r="E653" s="1" t="s">
        <v>3816</v>
      </c>
      <c r="F653" s="1" t="s">
        <v>5830</v>
      </c>
      <c r="G653" s="1" t="s">
        <v>74</v>
      </c>
      <c r="H653" s="1" t="s">
        <v>5735</v>
      </c>
      <c r="I653" s="1" t="s">
        <v>101</v>
      </c>
      <c r="J653" s="1" t="s">
        <v>3383</v>
      </c>
      <c r="K653" s="1" t="s">
        <v>165</v>
      </c>
      <c r="L653" s="4">
        <v>15999</v>
      </c>
      <c r="M653" s="1" t="s">
        <v>79</v>
      </c>
    </row>
    <row r="654" spans="1:13" ht="15.75" customHeight="1" x14ac:dyDescent="0.35">
      <c r="A654" s="1" t="s">
        <v>81</v>
      </c>
      <c r="B654" s="1" t="s">
        <v>5781</v>
      </c>
      <c r="C654" s="1" t="s">
        <v>5800</v>
      </c>
      <c r="D654" s="1" t="s">
        <v>5735</v>
      </c>
      <c r="E654" s="1" t="s">
        <v>599</v>
      </c>
      <c r="F654" s="1" t="s">
        <v>5795</v>
      </c>
      <c r="G654" s="1" t="s">
        <v>74</v>
      </c>
      <c r="H654" s="1" t="s">
        <v>5735</v>
      </c>
      <c r="I654" s="1" t="s">
        <v>101</v>
      </c>
      <c r="J654" s="1" t="s">
        <v>3752</v>
      </c>
      <c r="K654" s="1" t="s">
        <v>78</v>
      </c>
      <c r="L654" s="4">
        <v>24999</v>
      </c>
      <c r="M654" s="1" t="s">
        <v>1082</v>
      </c>
    </row>
    <row r="655" spans="1:13" ht="15.75" customHeight="1" x14ac:dyDescent="0.35">
      <c r="A655" s="1" t="s">
        <v>112</v>
      </c>
      <c r="B655" s="1" t="s">
        <v>5810</v>
      </c>
      <c r="C655" s="1" t="s">
        <v>5794</v>
      </c>
      <c r="D655" s="1" t="s">
        <v>5735</v>
      </c>
      <c r="E655" s="1" t="s">
        <v>3816</v>
      </c>
      <c r="F655" s="1" t="s">
        <v>5795</v>
      </c>
      <c r="G655" s="1" t="s">
        <v>74</v>
      </c>
      <c r="H655" s="1" t="s">
        <v>5735</v>
      </c>
      <c r="I655" s="1" t="s">
        <v>101</v>
      </c>
      <c r="J655" s="1" t="s">
        <v>3288</v>
      </c>
      <c r="K655" s="1" t="s">
        <v>78</v>
      </c>
      <c r="L655" s="4">
        <v>24444</v>
      </c>
      <c r="M655" s="1" t="s">
        <v>79</v>
      </c>
    </row>
    <row r="656" spans="1:13" ht="15.75" customHeight="1" x14ac:dyDescent="0.35">
      <c r="A656" s="1" t="s">
        <v>30</v>
      </c>
      <c r="B656" s="1" t="s">
        <v>5810</v>
      </c>
      <c r="C656" s="1" t="s">
        <v>5794</v>
      </c>
      <c r="D656" s="1" t="s">
        <v>5735</v>
      </c>
      <c r="E656" s="1" t="s">
        <v>3816</v>
      </c>
      <c r="F656" s="1" t="s">
        <v>5795</v>
      </c>
      <c r="G656" s="1" t="s">
        <v>74</v>
      </c>
      <c r="H656" s="1" t="s">
        <v>5819</v>
      </c>
      <c r="I656" s="1" t="s">
        <v>101</v>
      </c>
      <c r="J656" s="1" t="s">
        <v>3321</v>
      </c>
      <c r="K656" s="1" t="s">
        <v>78</v>
      </c>
      <c r="L656" s="4">
        <v>20999</v>
      </c>
      <c r="M656" s="1" t="s">
        <v>79</v>
      </c>
    </row>
    <row r="657" spans="1:13" ht="15.75" customHeight="1" x14ac:dyDescent="0.35">
      <c r="A657" s="1" t="s">
        <v>234</v>
      </c>
      <c r="B657" s="1" t="s">
        <v>5766</v>
      </c>
      <c r="C657" s="1" t="s">
        <v>5794</v>
      </c>
      <c r="D657" s="1" t="s">
        <v>5735</v>
      </c>
      <c r="E657" s="1" t="s">
        <v>3816</v>
      </c>
      <c r="F657" s="1" t="s">
        <v>5795</v>
      </c>
      <c r="G657" s="1" t="s">
        <v>74</v>
      </c>
      <c r="H657" s="1" t="s">
        <v>5819</v>
      </c>
      <c r="I657" s="1" t="s">
        <v>101</v>
      </c>
      <c r="J657" s="1" t="s">
        <v>3321</v>
      </c>
      <c r="K657" s="1" t="s">
        <v>78</v>
      </c>
      <c r="L657" s="4">
        <v>20949</v>
      </c>
      <c r="M657" s="1" t="s">
        <v>79</v>
      </c>
    </row>
    <row r="658" spans="1:13" ht="15.75" customHeight="1" x14ac:dyDescent="0.35">
      <c r="A658" s="1" t="s">
        <v>234</v>
      </c>
      <c r="B658" s="1" t="s">
        <v>5766</v>
      </c>
      <c r="C658" s="1" t="s">
        <v>5808</v>
      </c>
      <c r="D658" s="1" t="s">
        <v>5735</v>
      </c>
      <c r="E658" s="1" t="s">
        <v>3816</v>
      </c>
      <c r="F658" s="1" t="s">
        <v>5795</v>
      </c>
      <c r="G658" s="1" t="s">
        <v>1015</v>
      </c>
      <c r="H658" s="1" t="s">
        <v>5819</v>
      </c>
      <c r="I658" s="1" t="s">
        <v>90</v>
      </c>
      <c r="J658" s="1" t="s">
        <v>2584</v>
      </c>
      <c r="K658" s="1" t="s">
        <v>78</v>
      </c>
      <c r="L658" s="4">
        <v>33999</v>
      </c>
      <c r="M658" s="1" t="s">
        <v>5735</v>
      </c>
    </row>
    <row r="659" spans="1:13" ht="15.75" customHeight="1" x14ac:dyDescent="0.35">
      <c r="A659" s="1" t="s">
        <v>234</v>
      </c>
      <c r="B659" s="1" t="s">
        <v>5766</v>
      </c>
      <c r="C659" s="1" t="s">
        <v>5815</v>
      </c>
      <c r="D659" s="1" t="s">
        <v>5735</v>
      </c>
      <c r="E659" s="1" t="s">
        <v>5841</v>
      </c>
      <c r="F659" s="1" t="s">
        <v>5795</v>
      </c>
      <c r="G659" s="1" t="s">
        <v>1015</v>
      </c>
      <c r="H659" s="1" t="s">
        <v>5819</v>
      </c>
      <c r="I659" s="1" t="s">
        <v>90</v>
      </c>
      <c r="J659" s="1" t="s">
        <v>2584</v>
      </c>
      <c r="K659" s="1" t="s">
        <v>78</v>
      </c>
      <c r="L659" s="4">
        <v>28222</v>
      </c>
      <c r="M659" s="1" t="s">
        <v>5735</v>
      </c>
    </row>
    <row r="660" spans="1:13" ht="15.75" customHeight="1" x14ac:dyDescent="0.35">
      <c r="A660" s="1" t="s">
        <v>234</v>
      </c>
      <c r="B660" s="1" t="s">
        <v>5766</v>
      </c>
      <c r="C660" s="1" t="s">
        <v>5800</v>
      </c>
      <c r="D660" s="1" t="s">
        <v>5735</v>
      </c>
      <c r="E660" s="1" t="s">
        <v>599</v>
      </c>
      <c r="F660" s="1" t="s">
        <v>5795</v>
      </c>
      <c r="G660" s="1" t="s">
        <v>74</v>
      </c>
      <c r="H660" s="1" t="s">
        <v>5819</v>
      </c>
      <c r="I660" s="1" t="s">
        <v>101</v>
      </c>
      <c r="J660" s="1" t="s">
        <v>3321</v>
      </c>
      <c r="K660" s="1" t="s">
        <v>78</v>
      </c>
      <c r="L660" s="4">
        <v>27999</v>
      </c>
      <c r="M660" s="1" t="s">
        <v>79</v>
      </c>
    </row>
    <row r="661" spans="1:13" ht="15.75" customHeight="1" x14ac:dyDescent="0.35">
      <c r="A661" s="1" t="s">
        <v>234</v>
      </c>
      <c r="B661" s="1" t="s">
        <v>5766</v>
      </c>
      <c r="C661" s="1" t="s">
        <v>5835</v>
      </c>
      <c r="D661" s="1" t="s">
        <v>5735</v>
      </c>
      <c r="E661" s="1" t="s">
        <v>3231</v>
      </c>
      <c r="F661" s="1" t="s">
        <v>5735</v>
      </c>
      <c r="G661" s="1" t="s">
        <v>74</v>
      </c>
      <c r="H661" s="1" t="s">
        <v>5735</v>
      </c>
      <c r="I661" s="1" t="s">
        <v>90</v>
      </c>
      <c r="J661" s="1" t="s">
        <v>3346</v>
      </c>
      <c r="K661" s="1" t="s">
        <v>78</v>
      </c>
      <c r="L661" s="4">
        <v>12999</v>
      </c>
      <c r="M661" s="1" t="s">
        <v>5735</v>
      </c>
    </row>
    <row r="662" spans="1:13" ht="15.75" customHeight="1" x14ac:dyDescent="0.35">
      <c r="A662" s="1" t="s">
        <v>234</v>
      </c>
      <c r="B662" s="1" t="s">
        <v>5766</v>
      </c>
      <c r="C662" s="1" t="s">
        <v>5810</v>
      </c>
      <c r="D662" s="1" t="s">
        <v>5735</v>
      </c>
      <c r="E662" s="1" t="s">
        <v>3231</v>
      </c>
      <c r="F662" s="1" t="s">
        <v>5830</v>
      </c>
      <c r="G662" s="1" t="s">
        <v>74</v>
      </c>
      <c r="H662" s="1" t="s">
        <v>5735</v>
      </c>
      <c r="I662" s="1" t="s">
        <v>101</v>
      </c>
      <c r="J662" s="1" t="s">
        <v>5735</v>
      </c>
      <c r="K662" s="1" t="s">
        <v>78</v>
      </c>
      <c r="L662" s="4">
        <v>12499</v>
      </c>
      <c r="M662" s="1" t="s">
        <v>5735</v>
      </c>
    </row>
    <row r="663" spans="1:13" ht="15.75" customHeight="1" x14ac:dyDescent="0.35">
      <c r="A663" s="1" t="s">
        <v>112</v>
      </c>
      <c r="B663" s="1" t="s">
        <v>5778</v>
      </c>
      <c r="C663" s="1" t="s">
        <v>5815</v>
      </c>
      <c r="D663" s="1" t="s">
        <v>5735</v>
      </c>
      <c r="E663" s="1" t="s">
        <v>3816</v>
      </c>
      <c r="F663" s="1" t="s">
        <v>5795</v>
      </c>
      <c r="G663" s="1" t="s">
        <v>5817</v>
      </c>
      <c r="H663" s="1" t="s">
        <v>5735</v>
      </c>
      <c r="I663" s="1" t="s">
        <v>90</v>
      </c>
      <c r="J663" s="1" t="s">
        <v>3811</v>
      </c>
      <c r="K663" s="1" t="s">
        <v>78</v>
      </c>
      <c r="L663" s="4">
        <v>33499</v>
      </c>
      <c r="M663" s="1" t="s">
        <v>5735</v>
      </c>
    </row>
    <row r="664" spans="1:13" ht="15.75" customHeight="1" x14ac:dyDescent="0.35">
      <c r="A664" s="1" t="s">
        <v>112</v>
      </c>
      <c r="B664" s="1" t="s">
        <v>5810</v>
      </c>
      <c r="C664" s="1" t="s">
        <v>5794</v>
      </c>
      <c r="D664" s="1" t="s">
        <v>5735</v>
      </c>
      <c r="E664" s="1" t="s">
        <v>3816</v>
      </c>
      <c r="F664" s="1" t="s">
        <v>5795</v>
      </c>
      <c r="G664" s="1" t="s">
        <v>74</v>
      </c>
      <c r="H664" s="1" t="s">
        <v>5735</v>
      </c>
      <c r="I664" s="1" t="s">
        <v>101</v>
      </c>
      <c r="J664" s="1" t="s">
        <v>3288</v>
      </c>
      <c r="K664" s="1" t="s">
        <v>78</v>
      </c>
      <c r="L664" s="4">
        <v>24499</v>
      </c>
      <c r="M664" s="1" t="s">
        <v>79</v>
      </c>
    </row>
    <row r="665" spans="1:13" ht="15.75" customHeight="1" x14ac:dyDescent="0.35">
      <c r="A665" s="1" t="s">
        <v>66</v>
      </c>
      <c r="B665" s="1" t="s">
        <v>5768</v>
      </c>
      <c r="C665" s="1" t="s">
        <v>5794</v>
      </c>
      <c r="D665" s="1" t="s">
        <v>5735</v>
      </c>
      <c r="E665" s="1" t="s">
        <v>3816</v>
      </c>
      <c r="F665" s="1" t="s">
        <v>5795</v>
      </c>
      <c r="G665" s="1" t="s">
        <v>74</v>
      </c>
      <c r="H665" s="1" t="s">
        <v>5735</v>
      </c>
      <c r="I665" s="1" t="s">
        <v>101</v>
      </c>
      <c r="J665" s="1" t="s">
        <v>5735</v>
      </c>
      <c r="K665" s="1" t="s">
        <v>78</v>
      </c>
      <c r="L665" s="4">
        <v>19499</v>
      </c>
      <c r="M665" s="1" t="s">
        <v>166</v>
      </c>
    </row>
    <row r="666" spans="1:13" ht="15.75" customHeight="1" x14ac:dyDescent="0.35">
      <c r="A666" s="1" t="s">
        <v>66</v>
      </c>
      <c r="B666" s="1" t="s">
        <v>5768</v>
      </c>
      <c r="C666" s="1" t="s">
        <v>5835</v>
      </c>
      <c r="D666" s="1" t="s">
        <v>5735</v>
      </c>
      <c r="E666" s="1" t="s">
        <v>3816</v>
      </c>
      <c r="F666" s="1" t="s">
        <v>5795</v>
      </c>
      <c r="G666" s="1" t="s">
        <v>74</v>
      </c>
      <c r="H666" s="1" t="s">
        <v>5735</v>
      </c>
      <c r="I666" s="1" t="s">
        <v>101</v>
      </c>
      <c r="J666" s="1" t="s">
        <v>5735</v>
      </c>
      <c r="K666" s="1" t="s">
        <v>78</v>
      </c>
      <c r="L666" s="4">
        <v>14999</v>
      </c>
      <c r="M666" s="1" t="s">
        <v>166</v>
      </c>
    </row>
    <row r="667" spans="1:13" ht="15.75" customHeight="1" x14ac:dyDescent="0.35">
      <c r="A667" s="1" t="s">
        <v>151</v>
      </c>
      <c r="B667" s="1" t="s">
        <v>5763</v>
      </c>
      <c r="C667" s="1" t="s">
        <v>5835</v>
      </c>
      <c r="D667" s="1" t="s">
        <v>5735</v>
      </c>
      <c r="E667" s="1" t="s">
        <v>3816</v>
      </c>
      <c r="F667" s="1" t="s">
        <v>5830</v>
      </c>
      <c r="G667" s="1" t="s">
        <v>3829</v>
      </c>
      <c r="H667" s="1" t="s">
        <v>5735</v>
      </c>
      <c r="I667" s="1" t="s">
        <v>101</v>
      </c>
      <c r="J667" s="1" t="s">
        <v>3346</v>
      </c>
      <c r="K667" s="1" t="s">
        <v>78</v>
      </c>
      <c r="L667" s="4">
        <v>15899</v>
      </c>
      <c r="M667" s="1" t="s">
        <v>166</v>
      </c>
    </row>
    <row r="668" spans="1:13" ht="15.75" customHeight="1" x14ac:dyDescent="0.35">
      <c r="A668" s="1" t="s">
        <v>151</v>
      </c>
      <c r="B668" s="1" t="s">
        <v>5810</v>
      </c>
      <c r="C668" s="1" t="s">
        <v>5816</v>
      </c>
      <c r="D668" s="1" t="s">
        <v>5735</v>
      </c>
      <c r="E668" s="1" t="s">
        <v>599</v>
      </c>
      <c r="F668" s="1" t="s">
        <v>5792</v>
      </c>
      <c r="G668" s="1" t="s">
        <v>1015</v>
      </c>
      <c r="H668" s="1" t="s">
        <v>5819</v>
      </c>
      <c r="I668" s="1" t="s">
        <v>90</v>
      </c>
      <c r="J668" s="1" t="s">
        <v>529</v>
      </c>
      <c r="K668" s="1" t="s">
        <v>78</v>
      </c>
      <c r="L668" s="4">
        <v>51999</v>
      </c>
      <c r="M668" s="1" t="s">
        <v>5735</v>
      </c>
    </row>
    <row r="669" spans="1:13" ht="15.75" customHeight="1" x14ac:dyDescent="0.35">
      <c r="A669" s="1" t="s">
        <v>112</v>
      </c>
      <c r="B669" s="1" t="s">
        <v>5810</v>
      </c>
      <c r="C669" s="1" t="s">
        <v>5810</v>
      </c>
      <c r="D669" s="1" t="s">
        <v>5735</v>
      </c>
      <c r="E669" s="1" t="s">
        <v>3231</v>
      </c>
      <c r="F669" s="1" t="s">
        <v>5792</v>
      </c>
      <c r="G669" s="1" t="s">
        <v>3829</v>
      </c>
      <c r="H669" s="1" t="s">
        <v>5735</v>
      </c>
      <c r="I669" s="1" t="s">
        <v>101</v>
      </c>
      <c r="J669" s="1" t="s">
        <v>3850</v>
      </c>
      <c r="K669" s="1" t="s">
        <v>78</v>
      </c>
      <c r="L669" s="4">
        <v>15999</v>
      </c>
      <c r="M669" s="1" t="s">
        <v>5735</v>
      </c>
    </row>
    <row r="670" spans="1:13" ht="15.75" customHeight="1" x14ac:dyDescent="0.35">
      <c r="A670" s="1" t="s">
        <v>151</v>
      </c>
      <c r="B670" s="1" t="s">
        <v>5763</v>
      </c>
      <c r="C670" s="1" t="s">
        <v>5808</v>
      </c>
      <c r="D670" s="1" t="s">
        <v>5735</v>
      </c>
      <c r="E670" s="1" t="s">
        <v>3816</v>
      </c>
      <c r="F670" s="1" t="s">
        <v>5795</v>
      </c>
      <c r="G670" s="1" t="s">
        <v>74</v>
      </c>
      <c r="H670" s="1" t="s">
        <v>5735</v>
      </c>
      <c r="I670" s="1" t="s">
        <v>90</v>
      </c>
      <c r="J670" s="1" t="s">
        <v>3383</v>
      </c>
      <c r="K670" s="1" t="s">
        <v>78</v>
      </c>
      <c r="L670" s="4">
        <v>20999</v>
      </c>
      <c r="M670" s="1" t="s">
        <v>5735</v>
      </c>
    </row>
    <row r="671" spans="1:13" ht="15.75" customHeight="1" x14ac:dyDescent="0.35">
      <c r="A671" s="1" t="s">
        <v>151</v>
      </c>
      <c r="B671" s="1" t="s">
        <v>5763</v>
      </c>
      <c r="C671" s="1" t="s">
        <v>5800</v>
      </c>
      <c r="D671" s="1" t="s">
        <v>4923</v>
      </c>
      <c r="E671" s="1" t="s">
        <v>599</v>
      </c>
      <c r="F671" s="1" t="s">
        <v>5795</v>
      </c>
      <c r="G671" s="1" t="s">
        <v>74</v>
      </c>
      <c r="H671" s="1" t="s">
        <v>5735</v>
      </c>
      <c r="I671" s="1" t="s">
        <v>101</v>
      </c>
      <c r="J671" s="1" t="s">
        <v>976</v>
      </c>
      <c r="K671" s="1" t="s">
        <v>78</v>
      </c>
      <c r="L671" s="4">
        <v>31999</v>
      </c>
      <c r="M671" s="1" t="s">
        <v>166</v>
      </c>
    </row>
    <row r="672" spans="1:13" ht="15.75" customHeight="1" x14ac:dyDescent="0.35">
      <c r="A672" s="1" t="s">
        <v>112</v>
      </c>
      <c r="B672" s="1" t="s">
        <v>5810</v>
      </c>
      <c r="C672" s="1" t="s">
        <v>5800</v>
      </c>
      <c r="D672" s="1" t="s">
        <v>4923</v>
      </c>
      <c r="E672" s="1" t="s">
        <v>3816</v>
      </c>
      <c r="F672" s="1" t="s">
        <v>5795</v>
      </c>
      <c r="G672" s="1" t="s">
        <v>74</v>
      </c>
      <c r="H672" s="1" t="s">
        <v>5735</v>
      </c>
      <c r="I672" s="1" t="s">
        <v>101</v>
      </c>
      <c r="J672" s="1" t="s">
        <v>3288</v>
      </c>
      <c r="K672" s="1" t="s">
        <v>78</v>
      </c>
      <c r="L672" s="4">
        <v>31999</v>
      </c>
      <c r="M672" s="1" t="s">
        <v>79</v>
      </c>
    </row>
    <row r="673" spans="1:13" ht="15.75" customHeight="1" x14ac:dyDescent="0.35">
      <c r="A673" s="1" t="s">
        <v>66</v>
      </c>
      <c r="B673" s="1" t="s">
        <v>5768</v>
      </c>
      <c r="C673" s="1" t="s">
        <v>5794</v>
      </c>
      <c r="D673" s="1" t="s">
        <v>3231</v>
      </c>
      <c r="E673" s="1" t="s">
        <v>3816</v>
      </c>
      <c r="F673" s="1" t="s">
        <v>5795</v>
      </c>
      <c r="G673" s="1" t="s">
        <v>74</v>
      </c>
      <c r="H673" s="1" t="s">
        <v>5796</v>
      </c>
      <c r="I673" s="1" t="s">
        <v>101</v>
      </c>
      <c r="J673" s="1" t="s">
        <v>2045</v>
      </c>
      <c r="K673" s="1" t="s">
        <v>78</v>
      </c>
      <c r="L673" s="4">
        <v>28999</v>
      </c>
      <c r="M673" s="1" t="s">
        <v>166</v>
      </c>
    </row>
    <row r="674" spans="1:13" ht="15.75" customHeight="1" x14ac:dyDescent="0.35">
      <c r="A674" s="1" t="s">
        <v>151</v>
      </c>
      <c r="B674" s="1" t="s">
        <v>5763</v>
      </c>
      <c r="C674" s="1" t="s">
        <v>5800</v>
      </c>
      <c r="D674" s="1" t="s">
        <v>5735</v>
      </c>
      <c r="E674" s="1" t="s">
        <v>599</v>
      </c>
      <c r="F674" s="1" t="s">
        <v>5795</v>
      </c>
      <c r="G674" s="1" t="s">
        <v>74</v>
      </c>
      <c r="H674" s="1" t="s">
        <v>5735</v>
      </c>
      <c r="I674" s="1" t="s">
        <v>90</v>
      </c>
      <c r="J674" s="1" t="s">
        <v>3383</v>
      </c>
      <c r="K674" s="1" t="s">
        <v>165</v>
      </c>
      <c r="L674" s="4">
        <v>29888</v>
      </c>
      <c r="M674" s="1" t="s">
        <v>79</v>
      </c>
    </row>
    <row r="675" spans="1:13" ht="15.75" customHeight="1" x14ac:dyDescent="0.35">
      <c r="A675" s="1" t="s">
        <v>151</v>
      </c>
      <c r="B675" s="1" t="s">
        <v>5763</v>
      </c>
      <c r="C675" s="1" t="s">
        <v>5794</v>
      </c>
      <c r="D675" s="1" t="s">
        <v>5735</v>
      </c>
      <c r="E675" s="1" t="s">
        <v>3816</v>
      </c>
      <c r="F675" s="1" t="s">
        <v>5795</v>
      </c>
      <c r="G675" s="1" t="s">
        <v>74</v>
      </c>
      <c r="H675" s="1" t="s">
        <v>5735</v>
      </c>
      <c r="I675" s="1" t="s">
        <v>90</v>
      </c>
      <c r="J675" s="1" t="s">
        <v>3383</v>
      </c>
      <c r="K675" s="1" t="s">
        <v>165</v>
      </c>
      <c r="L675" s="4">
        <v>22444</v>
      </c>
      <c r="M675" s="1" t="s">
        <v>79</v>
      </c>
    </row>
    <row r="676" spans="1:13" ht="15.75" customHeight="1" x14ac:dyDescent="0.35">
      <c r="A676" s="1" t="s">
        <v>30</v>
      </c>
      <c r="B676" s="1" t="s">
        <v>5810</v>
      </c>
      <c r="C676" s="1" t="s">
        <v>5794</v>
      </c>
      <c r="D676" s="1" t="s">
        <v>5735</v>
      </c>
      <c r="E676" s="1" t="s">
        <v>3816</v>
      </c>
      <c r="F676" s="1" t="s">
        <v>5795</v>
      </c>
      <c r="G676" s="1" t="s">
        <v>74</v>
      </c>
      <c r="H676" s="1" t="s">
        <v>5735</v>
      </c>
      <c r="I676" s="1" t="s">
        <v>101</v>
      </c>
      <c r="J676" s="1" t="s">
        <v>3892</v>
      </c>
      <c r="K676" s="1" t="s">
        <v>78</v>
      </c>
      <c r="L676" s="4">
        <v>20749</v>
      </c>
      <c r="M676" s="1" t="s">
        <v>166</v>
      </c>
    </row>
    <row r="677" spans="1:13" ht="15.75" customHeight="1" x14ac:dyDescent="0.35">
      <c r="A677" s="1" t="s">
        <v>30</v>
      </c>
      <c r="B677" s="1" t="s">
        <v>5810</v>
      </c>
      <c r="C677" s="1" t="s">
        <v>5800</v>
      </c>
      <c r="D677" s="1" t="s">
        <v>5735</v>
      </c>
      <c r="E677" s="1" t="s">
        <v>3816</v>
      </c>
      <c r="F677" s="1" t="s">
        <v>5795</v>
      </c>
      <c r="G677" s="1" t="s">
        <v>74</v>
      </c>
      <c r="H677" s="1" t="s">
        <v>5735</v>
      </c>
      <c r="I677" s="1" t="s">
        <v>101</v>
      </c>
      <c r="J677" s="1" t="s">
        <v>3892</v>
      </c>
      <c r="K677" s="1" t="s">
        <v>78</v>
      </c>
      <c r="L677" s="4">
        <v>26299</v>
      </c>
      <c r="M677" s="1" t="s">
        <v>166</v>
      </c>
    </row>
    <row r="678" spans="1:13" ht="15.75" customHeight="1" x14ac:dyDescent="0.35">
      <c r="A678" s="1" t="s">
        <v>81</v>
      </c>
      <c r="B678" s="1" t="s">
        <v>5782</v>
      </c>
      <c r="C678" s="1" t="s">
        <v>5794</v>
      </c>
      <c r="D678" s="1" t="s">
        <v>5735</v>
      </c>
      <c r="E678" s="1" t="s">
        <v>3816</v>
      </c>
      <c r="F678" s="1" t="s">
        <v>5792</v>
      </c>
      <c r="G678" s="1" t="s">
        <v>3829</v>
      </c>
      <c r="H678" s="1" t="s">
        <v>5735</v>
      </c>
      <c r="I678" s="1" t="s">
        <v>101</v>
      </c>
      <c r="J678" s="1" t="s">
        <v>5735</v>
      </c>
      <c r="K678" s="1" t="s">
        <v>78</v>
      </c>
      <c r="L678" s="4">
        <v>17499</v>
      </c>
      <c r="M678" s="1" t="s">
        <v>2181</v>
      </c>
    </row>
    <row r="679" spans="1:13" ht="15.75" customHeight="1" x14ac:dyDescent="0.35">
      <c r="A679" s="1" t="s">
        <v>151</v>
      </c>
      <c r="B679" s="1" t="s">
        <v>5763</v>
      </c>
      <c r="C679" s="1" t="s">
        <v>5794</v>
      </c>
      <c r="D679" s="1" t="s">
        <v>4923</v>
      </c>
      <c r="E679" s="1" t="s">
        <v>599</v>
      </c>
      <c r="F679" s="1" t="s">
        <v>5795</v>
      </c>
      <c r="G679" s="1" t="s">
        <v>74</v>
      </c>
      <c r="H679" s="1" t="s">
        <v>5735</v>
      </c>
      <c r="I679" s="1" t="s">
        <v>101</v>
      </c>
      <c r="J679" s="1" t="s">
        <v>976</v>
      </c>
      <c r="K679" s="1" t="s">
        <v>78</v>
      </c>
      <c r="L679" s="4">
        <v>25999</v>
      </c>
      <c r="M679" s="1" t="s">
        <v>166</v>
      </c>
    </row>
    <row r="680" spans="1:13" ht="15.75" customHeight="1" x14ac:dyDescent="0.35">
      <c r="A680" s="1" t="s">
        <v>112</v>
      </c>
      <c r="B680" s="1" t="s">
        <v>5810</v>
      </c>
      <c r="C680" s="1" t="s">
        <v>5800</v>
      </c>
      <c r="D680" s="1" t="s">
        <v>4923</v>
      </c>
      <c r="E680" s="1" t="s">
        <v>3816</v>
      </c>
      <c r="F680" s="1" t="s">
        <v>5795</v>
      </c>
      <c r="G680" s="1" t="s">
        <v>74</v>
      </c>
      <c r="H680" s="1" t="s">
        <v>5735</v>
      </c>
      <c r="I680" s="1" t="s">
        <v>101</v>
      </c>
      <c r="J680" s="1" t="s">
        <v>3288</v>
      </c>
      <c r="K680" s="1" t="s">
        <v>78</v>
      </c>
      <c r="L680" s="4">
        <v>32499</v>
      </c>
      <c r="M680" s="1" t="s">
        <v>79</v>
      </c>
    </row>
    <row r="681" spans="1:13" ht="15.75" customHeight="1" x14ac:dyDescent="0.35">
      <c r="A681" s="1" t="s">
        <v>30</v>
      </c>
      <c r="B681" s="1" t="s">
        <v>5810</v>
      </c>
      <c r="C681" s="1" t="s">
        <v>5835</v>
      </c>
      <c r="D681" s="1" t="s">
        <v>5735</v>
      </c>
      <c r="E681" s="1" t="s">
        <v>3816</v>
      </c>
      <c r="F681" s="1" t="s">
        <v>5830</v>
      </c>
      <c r="G681" s="1" t="s">
        <v>74</v>
      </c>
      <c r="H681" s="1" t="s">
        <v>5735</v>
      </c>
      <c r="I681" s="1" t="s">
        <v>101</v>
      </c>
      <c r="J681" s="1" t="s">
        <v>3892</v>
      </c>
      <c r="K681" s="1" t="s">
        <v>78</v>
      </c>
      <c r="L681" s="4">
        <v>15499</v>
      </c>
      <c r="M681" s="1" t="s">
        <v>166</v>
      </c>
    </row>
    <row r="682" spans="1:13" ht="15.75" customHeight="1" x14ac:dyDescent="0.35">
      <c r="A682" s="1" t="s">
        <v>234</v>
      </c>
      <c r="B682" s="1" t="s">
        <v>5766</v>
      </c>
      <c r="C682" s="1" t="s">
        <v>5815</v>
      </c>
      <c r="D682" s="1" t="s">
        <v>5735</v>
      </c>
      <c r="E682" s="1" t="s">
        <v>3816</v>
      </c>
      <c r="F682" s="1" t="s">
        <v>5795</v>
      </c>
      <c r="G682" s="1" t="s">
        <v>74</v>
      </c>
      <c r="H682" s="1" t="s">
        <v>5819</v>
      </c>
      <c r="I682" s="1" t="s">
        <v>90</v>
      </c>
      <c r="J682" s="1" t="s">
        <v>3346</v>
      </c>
      <c r="K682" s="1" t="s">
        <v>78</v>
      </c>
      <c r="L682" s="4">
        <v>17999</v>
      </c>
      <c r="M682" s="1" t="s">
        <v>5735</v>
      </c>
    </row>
    <row r="683" spans="1:13" ht="15.75" customHeight="1" x14ac:dyDescent="0.35">
      <c r="A683" s="1" t="s">
        <v>234</v>
      </c>
      <c r="B683" s="1" t="s">
        <v>5810</v>
      </c>
      <c r="C683" s="1" t="s">
        <v>5794</v>
      </c>
      <c r="D683" s="1" t="s">
        <v>5735</v>
      </c>
      <c r="E683" s="1" t="s">
        <v>3816</v>
      </c>
      <c r="F683" s="1" t="s">
        <v>5795</v>
      </c>
      <c r="G683" s="1" t="s">
        <v>74</v>
      </c>
      <c r="H683" s="1" t="s">
        <v>5819</v>
      </c>
      <c r="I683" s="1" t="s">
        <v>90</v>
      </c>
      <c r="J683" s="1" t="s">
        <v>3321</v>
      </c>
      <c r="K683" s="1" t="s">
        <v>78</v>
      </c>
      <c r="L683" s="4">
        <v>20999</v>
      </c>
      <c r="M683" s="1" t="s">
        <v>79</v>
      </c>
    </row>
    <row r="684" spans="1:13" ht="15.75" customHeight="1" x14ac:dyDescent="0.35">
      <c r="A684" s="1" t="s">
        <v>234</v>
      </c>
      <c r="B684" s="1" t="s">
        <v>5810</v>
      </c>
      <c r="C684" s="1" t="s">
        <v>5808</v>
      </c>
      <c r="D684" s="1" t="s">
        <v>5735</v>
      </c>
      <c r="E684" s="1" t="s">
        <v>3816</v>
      </c>
      <c r="F684" s="1" t="s">
        <v>5795</v>
      </c>
      <c r="G684" s="1" t="s">
        <v>74</v>
      </c>
      <c r="H684" s="1" t="s">
        <v>5819</v>
      </c>
      <c r="I684" s="1" t="s">
        <v>90</v>
      </c>
      <c r="J684" s="1" t="s">
        <v>3321</v>
      </c>
      <c r="K684" s="1" t="s">
        <v>78</v>
      </c>
      <c r="L684" s="4">
        <v>22222</v>
      </c>
      <c r="M684" s="1" t="s">
        <v>5735</v>
      </c>
    </row>
    <row r="685" spans="1:13" ht="15.75" customHeight="1" x14ac:dyDescent="0.35">
      <c r="A685" s="1" t="s">
        <v>234</v>
      </c>
      <c r="B685" s="1" t="s">
        <v>5766</v>
      </c>
      <c r="C685" s="1" t="s">
        <v>5800</v>
      </c>
      <c r="D685" s="1" t="s">
        <v>5735</v>
      </c>
      <c r="E685" s="1" t="s">
        <v>3816</v>
      </c>
      <c r="F685" s="1" t="s">
        <v>5795</v>
      </c>
      <c r="G685" s="1" t="s">
        <v>74</v>
      </c>
      <c r="H685" s="1" t="s">
        <v>5819</v>
      </c>
      <c r="I685" s="1" t="s">
        <v>90</v>
      </c>
      <c r="J685" s="1" t="s">
        <v>3321</v>
      </c>
      <c r="K685" s="1" t="s">
        <v>78</v>
      </c>
      <c r="L685" s="4">
        <v>24888</v>
      </c>
      <c r="M685" s="1" t="s">
        <v>79</v>
      </c>
    </row>
    <row r="686" spans="1:13" ht="15.75" customHeight="1" x14ac:dyDescent="0.35">
      <c r="A686" s="1" t="s">
        <v>234</v>
      </c>
      <c r="B686" s="1" t="s">
        <v>5767</v>
      </c>
      <c r="C686" s="1" t="s">
        <v>5788</v>
      </c>
      <c r="D686" s="1" t="s">
        <v>5735</v>
      </c>
      <c r="E686" s="1" t="s">
        <v>599</v>
      </c>
      <c r="F686" s="1" t="s">
        <v>5795</v>
      </c>
      <c r="G686" s="1" t="s">
        <v>5820</v>
      </c>
      <c r="H686" s="1" t="s">
        <v>111</v>
      </c>
      <c r="I686" s="1" t="s">
        <v>90</v>
      </c>
      <c r="J686" s="1" t="s">
        <v>3928</v>
      </c>
      <c r="K686" s="1" t="s">
        <v>165</v>
      </c>
      <c r="L686" s="4">
        <v>48222</v>
      </c>
      <c r="M686" s="1" t="s">
        <v>79</v>
      </c>
    </row>
    <row r="687" spans="1:13" ht="15.75" customHeight="1" x14ac:dyDescent="0.35">
      <c r="A687" s="1" t="s">
        <v>234</v>
      </c>
      <c r="B687" s="1" t="s">
        <v>5810</v>
      </c>
      <c r="C687" s="1" t="s">
        <v>5801</v>
      </c>
      <c r="D687" s="1" t="s">
        <v>5735</v>
      </c>
      <c r="E687" s="1" t="s">
        <v>599</v>
      </c>
      <c r="F687" s="1" t="s">
        <v>5792</v>
      </c>
      <c r="G687" s="1" t="s">
        <v>5820</v>
      </c>
      <c r="H687" s="1" t="s">
        <v>111</v>
      </c>
      <c r="I687" s="1" t="s">
        <v>90</v>
      </c>
      <c r="J687" s="1" t="s">
        <v>5842</v>
      </c>
      <c r="K687" s="1" t="s">
        <v>78</v>
      </c>
      <c r="L687" s="4">
        <v>70999</v>
      </c>
      <c r="M687" s="1" t="s">
        <v>5735</v>
      </c>
    </row>
    <row r="688" spans="1:13" ht="15.75" customHeight="1" x14ac:dyDescent="0.35">
      <c r="A688" s="1" t="s">
        <v>112</v>
      </c>
      <c r="B688" s="1" t="s">
        <v>5810</v>
      </c>
      <c r="C688" s="1" t="s">
        <v>5835</v>
      </c>
      <c r="D688" s="1" t="s">
        <v>5735</v>
      </c>
      <c r="E688" s="1" t="s">
        <v>3231</v>
      </c>
      <c r="F688" s="1" t="s">
        <v>5830</v>
      </c>
      <c r="G688" s="1" t="s">
        <v>74</v>
      </c>
      <c r="H688" s="1" t="s">
        <v>5735</v>
      </c>
      <c r="I688" s="1" t="s">
        <v>101</v>
      </c>
      <c r="J688" s="1" t="s">
        <v>3288</v>
      </c>
      <c r="K688" s="1" t="s">
        <v>78</v>
      </c>
      <c r="L688" s="4">
        <v>16499</v>
      </c>
      <c r="M688" s="1" t="s">
        <v>79</v>
      </c>
    </row>
    <row r="689" spans="1:13" ht="15.75" customHeight="1" x14ac:dyDescent="0.35">
      <c r="A689" s="1" t="s">
        <v>81</v>
      </c>
      <c r="B689" s="1" t="s">
        <v>5782</v>
      </c>
      <c r="C689" s="1" t="s">
        <v>5800</v>
      </c>
      <c r="D689" s="1" t="s">
        <v>4923</v>
      </c>
      <c r="E689" s="1" t="s">
        <v>3816</v>
      </c>
      <c r="F689" s="1" t="s">
        <v>5795</v>
      </c>
      <c r="G689" s="1" t="s">
        <v>74</v>
      </c>
      <c r="H689" s="1" t="s">
        <v>111</v>
      </c>
      <c r="I689" s="1" t="s">
        <v>101</v>
      </c>
      <c r="J689" s="1" t="s">
        <v>3458</v>
      </c>
      <c r="K689" s="1" t="s">
        <v>78</v>
      </c>
      <c r="L689" s="4">
        <v>32333</v>
      </c>
      <c r="M689" s="1" t="s">
        <v>166</v>
      </c>
    </row>
    <row r="690" spans="1:13" ht="15.75" customHeight="1" x14ac:dyDescent="0.35">
      <c r="A690" s="1" t="s">
        <v>151</v>
      </c>
      <c r="B690" s="1" t="s">
        <v>5763</v>
      </c>
      <c r="C690" s="1" t="s">
        <v>5794</v>
      </c>
      <c r="D690" s="1" t="s">
        <v>5735</v>
      </c>
      <c r="E690" s="1" t="s">
        <v>3816</v>
      </c>
      <c r="F690" s="1" t="s">
        <v>5795</v>
      </c>
      <c r="G690" s="1" t="s">
        <v>1015</v>
      </c>
      <c r="H690" s="1" t="s">
        <v>5735</v>
      </c>
      <c r="I690" s="1" t="s">
        <v>90</v>
      </c>
      <c r="J690" s="1" t="s">
        <v>3584</v>
      </c>
      <c r="K690" s="1" t="s">
        <v>78</v>
      </c>
      <c r="L690" s="4">
        <v>28888</v>
      </c>
      <c r="M690" s="1" t="s">
        <v>166</v>
      </c>
    </row>
    <row r="691" spans="1:13" ht="15.75" customHeight="1" x14ac:dyDescent="0.35">
      <c r="A691" s="1" t="s">
        <v>151</v>
      </c>
      <c r="B691" s="1" t="s">
        <v>5763</v>
      </c>
      <c r="C691" s="1" t="s">
        <v>5800</v>
      </c>
      <c r="D691" s="1" t="s">
        <v>5735</v>
      </c>
      <c r="E691" s="1" t="s">
        <v>3816</v>
      </c>
      <c r="F691" s="1" t="s">
        <v>5795</v>
      </c>
      <c r="G691" s="1" t="s">
        <v>1015</v>
      </c>
      <c r="H691" s="1" t="s">
        <v>5735</v>
      </c>
      <c r="I691" s="1" t="s">
        <v>90</v>
      </c>
      <c r="J691" s="1" t="s">
        <v>2045</v>
      </c>
      <c r="K691" s="1" t="s">
        <v>78</v>
      </c>
      <c r="L691" s="4">
        <v>38999</v>
      </c>
      <c r="M691" s="1" t="s">
        <v>166</v>
      </c>
    </row>
    <row r="692" spans="1:13" ht="15.75" customHeight="1" x14ac:dyDescent="0.35">
      <c r="A692" s="1" t="s">
        <v>151</v>
      </c>
      <c r="B692" s="1" t="s">
        <v>5810</v>
      </c>
      <c r="C692" s="1" t="s">
        <v>5794</v>
      </c>
      <c r="D692" s="1" t="s">
        <v>5735</v>
      </c>
      <c r="E692" s="1" t="s">
        <v>3816</v>
      </c>
      <c r="F692" s="1" t="s">
        <v>5795</v>
      </c>
      <c r="G692" s="1" t="s">
        <v>1015</v>
      </c>
      <c r="H692" s="1" t="s">
        <v>5735</v>
      </c>
      <c r="I692" s="1" t="s">
        <v>90</v>
      </c>
      <c r="J692" s="1" t="s">
        <v>3956</v>
      </c>
      <c r="K692" s="1" t="s">
        <v>78</v>
      </c>
      <c r="L692" s="4">
        <v>41999</v>
      </c>
      <c r="M692" s="1" t="s">
        <v>79</v>
      </c>
    </row>
    <row r="693" spans="1:13" ht="15.75" customHeight="1" x14ac:dyDescent="0.35">
      <c r="A693" s="1" t="s">
        <v>151</v>
      </c>
      <c r="B693" s="1" t="s">
        <v>5763</v>
      </c>
      <c r="C693" s="1" t="s">
        <v>5794</v>
      </c>
      <c r="D693" s="1" t="s">
        <v>5735</v>
      </c>
      <c r="E693" s="1" t="s">
        <v>3816</v>
      </c>
      <c r="F693" s="1" t="s">
        <v>5830</v>
      </c>
      <c r="G693" s="1" t="s">
        <v>74</v>
      </c>
      <c r="H693" s="1" t="s">
        <v>5735</v>
      </c>
      <c r="I693" s="1" t="s">
        <v>90</v>
      </c>
      <c r="J693" s="1" t="s">
        <v>2584</v>
      </c>
      <c r="K693" s="1" t="s">
        <v>78</v>
      </c>
      <c r="L693" s="4">
        <v>29499</v>
      </c>
      <c r="M693" s="1" t="s">
        <v>1082</v>
      </c>
    </row>
    <row r="694" spans="1:13" ht="15.75" customHeight="1" x14ac:dyDescent="0.35">
      <c r="A694" s="1" t="s">
        <v>112</v>
      </c>
      <c r="B694" s="1" t="s">
        <v>5779</v>
      </c>
      <c r="C694" s="1" t="s">
        <v>5794</v>
      </c>
      <c r="D694" s="1" t="s">
        <v>4923</v>
      </c>
      <c r="E694" s="1" t="s">
        <v>3816</v>
      </c>
      <c r="F694" s="1" t="s">
        <v>5795</v>
      </c>
      <c r="G694" s="1" t="s">
        <v>74</v>
      </c>
      <c r="H694" s="1" t="s">
        <v>5735</v>
      </c>
      <c r="I694" s="1" t="s">
        <v>90</v>
      </c>
      <c r="J694" s="1" t="s">
        <v>5735</v>
      </c>
      <c r="K694" s="1" t="s">
        <v>78</v>
      </c>
      <c r="L694" s="4">
        <v>36999</v>
      </c>
      <c r="M694" s="1" t="s">
        <v>166</v>
      </c>
    </row>
    <row r="695" spans="1:13" ht="15.75" customHeight="1" x14ac:dyDescent="0.35">
      <c r="A695" s="1" t="s">
        <v>81</v>
      </c>
      <c r="B695" s="1" t="s">
        <v>5782</v>
      </c>
      <c r="C695" s="1" t="s">
        <v>5800</v>
      </c>
      <c r="D695" s="1" t="s">
        <v>5735</v>
      </c>
      <c r="E695" s="1" t="s">
        <v>3816</v>
      </c>
      <c r="F695" s="1" t="s">
        <v>5795</v>
      </c>
      <c r="G695" s="1" t="s">
        <v>74</v>
      </c>
      <c r="H695" s="1" t="s">
        <v>111</v>
      </c>
      <c r="I695" s="1" t="s">
        <v>101</v>
      </c>
      <c r="J695" s="1" t="s">
        <v>3458</v>
      </c>
      <c r="K695" s="1" t="s">
        <v>78</v>
      </c>
      <c r="L695" s="4">
        <v>26666</v>
      </c>
      <c r="M695" s="1" t="s">
        <v>166</v>
      </c>
    </row>
    <row r="696" spans="1:13" ht="15.75" customHeight="1" x14ac:dyDescent="0.35">
      <c r="A696" s="1" t="s">
        <v>151</v>
      </c>
      <c r="B696" s="1" t="s">
        <v>5810</v>
      </c>
      <c r="C696" s="1" t="s">
        <v>5835</v>
      </c>
      <c r="D696" s="1" t="s">
        <v>5735</v>
      </c>
      <c r="E696" s="1" t="s">
        <v>3816</v>
      </c>
      <c r="F696" s="1" t="s">
        <v>5795</v>
      </c>
      <c r="G696" s="1" t="s">
        <v>74</v>
      </c>
      <c r="H696" s="1" t="s">
        <v>5735</v>
      </c>
      <c r="I696" s="1" t="s">
        <v>101</v>
      </c>
      <c r="J696" s="1" t="s">
        <v>3321</v>
      </c>
      <c r="K696" s="1" t="s">
        <v>78</v>
      </c>
      <c r="L696" s="4">
        <v>15999</v>
      </c>
      <c r="M696" s="1" t="s">
        <v>166</v>
      </c>
    </row>
    <row r="697" spans="1:13" ht="15.75" customHeight="1" x14ac:dyDescent="0.35">
      <c r="A697" s="1" t="s">
        <v>112</v>
      </c>
      <c r="B697" s="1" t="s">
        <v>5810</v>
      </c>
      <c r="C697" s="1" t="s">
        <v>5815</v>
      </c>
      <c r="D697" s="1" t="s">
        <v>5735</v>
      </c>
      <c r="E697" s="1" t="s">
        <v>3816</v>
      </c>
      <c r="F697" s="1" t="s">
        <v>5795</v>
      </c>
      <c r="G697" s="1" t="s">
        <v>74</v>
      </c>
      <c r="H697" s="1" t="s">
        <v>5735</v>
      </c>
      <c r="I697" s="1" t="s">
        <v>90</v>
      </c>
      <c r="J697" s="1" t="s">
        <v>5735</v>
      </c>
      <c r="K697" s="1" t="s">
        <v>78</v>
      </c>
      <c r="L697" s="4">
        <v>21499</v>
      </c>
      <c r="M697" s="1" t="s">
        <v>5735</v>
      </c>
    </row>
    <row r="698" spans="1:13" ht="15.75" customHeight="1" x14ac:dyDescent="0.35">
      <c r="A698" s="1" t="s">
        <v>151</v>
      </c>
      <c r="B698" s="1" t="s">
        <v>5763</v>
      </c>
      <c r="C698" s="1" t="s">
        <v>5808</v>
      </c>
      <c r="D698" s="1" t="s">
        <v>5735</v>
      </c>
      <c r="E698" s="1" t="s">
        <v>3816</v>
      </c>
      <c r="F698" s="1" t="s">
        <v>5795</v>
      </c>
      <c r="G698" s="1" t="s">
        <v>74</v>
      </c>
      <c r="H698" s="1" t="s">
        <v>5735</v>
      </c>
      <c r="I698" s="1" t="s">
        <v>101</v>
      </c>
      <c r="J698" s="1" t="s">
        <v>976</v>
      </c>
      <c r="K698" s="1" t="s">
        <v>78</v>
      </c>
      <c r="L698" s="4">
        <v>18999</v>
      </c>
      <c r="M698" s="1" t="s">
        <v>5735</v>
      </c>
    </row>
    <row r="699" spans="1:13" ht="15.75" customHeight="1" x14ac:dyDescent="0.35">
      <c r="A699" s="1" t="s">
        <v>81</v>
      </c>
      <c r="B699" s="1" t="s">
        <v>5782</v>
      </c>
      <c r="C699" s="1" t="s">
        <v>5794</v>
      </c>
      <c r="D699" s="1" t="s">
        <v>5735</v>
      </c>
      <c r="E699" s="1" t="s">
        <v>3816</v>
      </c>
      <c r="F699" s="1" t="s">
        <v>5795</v>
      </c>
      <c r="G699" s="1" t="s">
        <v>74</v>
      </c>
      <c r="H699" s="1" t="s">
        <v>111</v>
      </c>
      <c r="I699" s="1" t="s">
        <v>101</v>
      </c>
      <c r="J699" s="1" t="s">
        <v>3458</v>
      </c>
      <c r="K699" s="1" t="s">
        <v>78</v>
      </c>
      <c r="L699" s="4">
        <v>20899</v>
      </c>
      <c r="M699" s="1" t="s">
        <v>166</v>
      </c>
    </row>
    <row r="700" spans="1:13" ht="15.75" customHeight="1" x14ac:dyDescent="0.35">
      <c r="A700" s="1" t="s">
        <v>234</v>
      </c>
      <c r="B700" s="1" t="s">
        <v>5766</v>
      </c>
      <c r="C700" s="1" t="s">
        <v>5815</v>
      </c>
      <c r="D700" s="1" t="s">
        <v>5735</v>
      </c>
      <c r="E700" s="1" t="s">
        <v>3816</v>
      </c>
      <c r="F700" s="1" t="s">
        <v>5795</v>
      </c>
      <c r="G700" s="1" t="s">
        <v>5820</v>
      </c>
      <c r="H700" s="1" t="s">
        <v>5843</v>
      </c>
      <c r="I700" s="1" t="s">
        <v>90</v>
      </c>
      <c r="J700" s="1" t="s">
        <v>2584</v>
      </c>
      <c r="K700" s="1" t="s">
        <v>165</v>
      </c>
      <c r="L700" s="4">
        <v>28900</v>
      </c>
      <c r="M700" s="1" t="s">
        <v>5735</v>
      </c>
    </row>
    <row r="701" spans="1:13" ht="15.75" customHeight="1" x14ac:dyDescent="0.35">
      <c r="A701" s="1" t="s">
        <v>234</v>
      </c>
      <c r="B701" s="1" t="s">
        <v>5810</v>
      </c>
      <c r="C701" s="1" t="s">
        <v>5794</v>
      </c>
      <c r="D701" s="1" t="s">
        <v>5735</v>
      </c>
      <c r="E701" s="1" t="s">
        <v>3816</v>
      </c>
      <c r="F701" s="1" t="s">
        <v>5795</v>
      </c>
      <c r="G701" s="1" t="s">
        <v>5820</v>
      </c>
      <c r="H701" s="1" t="s">
        <v>5843</v>
      </c>
      <c r="I701" s="1" t="s">
        <v>90</v>
      </c>
      <c r="J701" s="1" t="s">
        <v>2584</v>
      </c>
      <c r="K701" s="1" t="s">
        <v>165</v>
      </c>
      <c r="L701" s="4">
        <v>39200</v>
      </c>
      <c r="M701" s="1" t="s">
        <v>79</v>
      </c>
    </row>
    <row r="702" spans="1:13" ht="15.75" customHeight="1" x14ac:dyDescent="0.35">
      <c r="A702" s="1" t="s">
        <v>151</v>
      </c>
      <c r="B702" s="1" t="s">
        <v>5763</v>
      </c>
      <c r="C702" s="1" t="s">
        <v>5835</v>
      </c>
      <c r="D702" s="1" t="s">
        <v>5735</v>
      </c>
      <c r="E702" s="1" t="s">
        <v>3231</v>
      </c>
      <c r="F702" s="1" t="s">
        <v>5830</v>
      </c>
      <c r="G702" s="1" t="s">
        <v>3829</v>
      </c>
      <c r="H702" s="1" t="s">
        <v>5735</v>
      </c>
      <c r="I702" s="1" t="s">
        <v>90</v>
      </c>
      <c r="J702" s="1" t="s">
        <v>3346</v>
      </c>
      <c r="K702" s="1" t="s">
        <v>165</v>
      </c>
      <c r="L702" s="4">
        <v>15999</v>
      </c>
      <c r="M702" s="1" t="s">
        <v>166</v>
      </c>
    </row>
    <row r="703" spans="1:13" ht="15.75" customHeight="1" x14ac:dyDescent="0.35">
      <c r="A703" s="1" t="s">
        <v>234</v>
      </c>
      <c r="B703" s="1" t="s">
        <v>5766</v>
      </c>
      <c r="C703" s="1" t="s">
        <v>5794</v>
      </c>
      <c r="D703" s="1" t="s">
        <v>5735</v>
      </c>
      <c r="E703" s="1" t="s">
        <v>3816</v>
      </c>
      <c r="F703" s="1" t="s">
        <v>5795</v>
      </c>
      <c r="G703" s="1" t="s">
        <v>74</v>
      </c>
      <c r="H703" s="1" t="s">
        <v>5819</v>
      </c>
      <c r="I703" s="1" t="s">
        <v>90</v>
      </c>
      <c r="J703" s="1" t="s">
        <v>3321</v>
      </c>
      <c r="K703" s="1" t="s">
        <v>165</v>
      </c>
      <c r="L703" s="4">
        <v>24300</v>
      </c>
      <c r="M703" s="1" t="s">
        <v>166</v>
      </c>
    </row>
    <row r="704" spans="1:13" ht="15.75" customHeight="1" x14ac:dyDescent="0.35">
      <c r="A704" s="1" t="s">
        <v>30</v>
      </c>
      <c r="B704" s="1" t="s">
        <v>5810</v>
      </c>
      <c r="C704" s="1" t="s">
        <v>5256</v>
      </c>
      <c r="D704" s="1" t="s">
        <v>5735</v>
      </c>
      <c r="E704" s="1" t="s">
        <v>599</v>
      </c>
      <c r="F704" s="1" t="s">
        <v>5795</v>
      </c>
      <c r="G704" s="1" t="s">
        <v>1015</v>
      </c>
      <c r="H704" s="1" t="s">
        <v>5796</v>
      </c>
      <c r="I704" s="1" t="s">
        <v>90</v>
      </c>
      <c r="J704" s="1" t="s">
        <v>3321</v>
      </c>
      <c r="K704" s="1" t="s">
        <v>165</v>
      </c>
      <c r="L704" s="4">
        <v>40749</v>
      </c>
      <c r="M704" s="1" t="s">
        <v>5735</v>
      </c>
    </row>
    <row r="705" spans="1:13" ht="15.75" customHeight="1" x14ac:dyDescent="0.35">
      <c r="A705" s="1" t="s">
        <v>234</v>
      </c>
      <c r="B705" s="1" t="s">
        <v>5810</v>
      </c>
      <c r="C705" s="1" t="s">
        <v>5801</v>
      </c>
      <c r="D705" s="1" t="s">
        <v>5735</v>
      </c>
      <c r="E705" s="1" t="s">
        <v>5799</v>
      </c>
      <c r="F705" s="1" t="s">
        <v>5805</v>
      </c>
      <c r="G705" s="1" t="s">
        <v>5820</v>
      </c>
      <c r="H705" s="1" t="s">
        <v>5735</v>
      </c>
      <c r="I705" s="1" t="s">
        <v>90</v>
      </c>
      <c r="J705" s="1" t="s">
        <v>1609</v>
      </c>
      <c r="K705" s="1" t="s">
        <v>165</v>
      </c>
      <c r="L705" s="4">
        <v>103777</v>
      </c>
      <c r="M705" s="1" t="s">
        <v>5735</v>
      </c>
    </row>
    <row r="706" spans="1:13" ht="15.75" customHeight="1" x14ac:dyDescent="0.35">
      <c r="A706" s="1" t="s">
        <v>151</v>
      </c>
      <c r="B706" s="1" t="s">
        <v>5810</v>
      </c>
      <c r="C706" s="1" t="s">
        <v>5808</v>
      </c>
      <c r="D706" s="1" t="s">
        <v>5735</v>
      </c>
      <c r="E706" s="1" t="s">
        <v>599</v>
      </c>
      <c r="F706" s="1" t="s">
        <v>5795</v>
      </c>
      <c r="G706" s="1" t="s">
        <v>74</v>
      </c>
      <c r="H706" s="1" t="s">
        <v>5735</v>
      </c>
      <c r="I706" s="1" t="s">
        <v>90</v>
      </c>
      <c r="J706" s="1" t="s">
        <v>2584</v>
      </c>
      <c r="K706" s="1" t="s">
        <v>78</v>
      </c>
      <c r="L706" s="4">
        <v>36349</v>
      </c>
      <c r="M706" s="1" t="s">
        <v>5735</v>
      </c>
    </row>
    <row r="707" spans="1:13" ht="15.75" customHeight="1" x14ac:dyDescent="0.35">
      <c r="A707" s="1" t="s">
        <v>151</v>
      </c>
      <c r="B707" s="1" t="s">
        <v>5763</v>
      </c>
      <c r="C707" s="1" t="s">
        <v>5800</v>
      </c>
      <c r="D707" s="1" t="s">
        <v>5735</v>
      </c>
      <c r="E707" s="1" t="s">
        <v>599</v>
      </c>
      <c r="F707" s="1" t="s">
        <v>5795</v>
      </c>
      <c r="G707" s="1" t="s">
        <v>224</v>
      </c>
      <c r="H707" s="1" t="s">
        <v>5735</v>
      </c>
      <c r="I707" s="1" t="s">
        <v>90</v>
      </c>
      <c r="J707" s="1" t="s">
        <v>2045</v>
      </c>
      <c r="K707" s="1" t="s">
        <v>78</v>
      </c>
      <c r="L707" s="4">
        <v>42699</v>
      </c>
      <c r="M707" s="1" t="s">
        <v>166</v>
      </c>
    </row>
    <row r="708" spans="1:13" ht="15.75" customHeight="1" x14ac:dyDescent="0.35">
      <c r="A708" s="1" t="s">
        <v>112</v>
      </c>
      <c r="B708" s="1" t="s">
        <v>5778</v>
      </c>
      <c r="C708" s="1" t="s">
        <v>5800</v>
      </c>
      <c r="D708" s="1" t="s">
        <v>5735</v>
      </c>
      <c r="E708" s="1" t="s">
        <v>599</v>
      </c>
      <c r="F708" s="1" t="s">
        <v>5795</v>
      </c>
      <c r="G708" s="1" t="s">
        <v>74</v>
      </c>
      <c r="H708" s="1" t="s">
        <v>5735</v>
      </c>
      <c r="I708" s="1" t="s">
        <v>90</v>
      </c>
      <c r="J708" s="1" t="s">
        <v>4054</v>
      </c>
      <c r="K708" s="1" t="s">
        <v>78</v>
      </c>
      <c r="L708" s="4">
        <v>46949</v>
      </c>
      <c r="M708" s="1" t="s">
        <v>79</v>
      </c>
    </row>
    <row r="709" spans="1:13" ht="15.75" customHeight="1" x14ac:dyDescent="0.35">
      <c r="A709" s="1" t="s">
        <v>81</v>
      </c>
      <c r="B709" s="1" t="s">
        <v>5781</v>
      </c>
      <c r="C709" s="1" t="s">
        <v>5835</v>
      </c>
      <c r="D709" s="1" t="s">
        <v>5735</v>
      </c>
      <c r="E709" s="1" t="s">
        <v>3816</v>
      </c>
      <c r="F709" s="1" t="s">
        <v>5830</v>
      </c>
      <c r="G709" s="1" t="s">
        <v>74</v>
      </c>
      <c r="H709" s="1" t="s">
        <v>111</v>
      </c>
      <c r="I709" s="1" t="s">
        <v>90</v>
      </c>
      <c r="J709" s="1" t="s">
        <v>1609</v>
      </c>
      <c r="K709" s="1" t="s">
        <v>78</v>
      </c>
      <c r="L709" s="4">
        <v>14999</v>
      </c>
      <c r="M709" s="1" t="s">
        <v>166</v>
      </c>
    </row>
    <row r="710" spans="1:13" ht="15.75" customHeight="1" x14ac:dyDescent="0.35">
      <c r="A710" s="1" t="s">
        <v>81</v>
      </c>
      <c r="B710" s="1" t="s">
        <v>5781</v>
      </c>
      <c r="C710" s="1" t="s">
        <v>5800</v>
      </c>
      <c r="D710" s="1" t="s">
        <v>5735</v>
      </c>
      <c r="E710" s="1" t="s">
        <v>3816</v>
      </c>
      <c r="F710" s="1" t="s">
        <v>5795</v>
      </c>
      <c r="G710" s="1" t="s">
        <v>74</v>
      </c>
      <c r="H710" s="1" t="s">
        <v>111</v>
      </c>
      <c r="I710" s="1" t="s">
        <v>101</v>
      </c>
      <c r="J710" s="1" t="s">
        <v>1609</v>
      </c>
      <c r="K710" s="1" t="s">
        <v>78</v>
      </c>
      <c r="L710" s="4">
        <v>28499</v>
      </c>
      <c r="M710" s="1" t="s">
        <v>166</v>
      </c>
    </row>
    <row r="711" spans="1:13" ht="15.75" customHeight="1" x14ac:dyDescent="0.35">
      <c r="A711" s="1" t="s">
        <v>112</v>
      </c>
      <c r="B711" s="1" t="s">
        <v>5810</v>
      </c>
      <c r="C711" s="1" t="s">
        <v>5794</v>
      </c>
      <c r="D711" s="1" t="s">
        <v>5735</v>
      </c>
      <c r="E711" s="1" t="s">
        <v>3816</v>
      </c>
      <c r="F711" s="1" t="s">
        <v>5792</v>
      </c>
      <c r="G711" s="1" t="s">
        <v>3829</v>
      </c>
      <c r="H711" s="1" t="s">
        <v>5735</v>
      </c>
      <c r="I711" s="1" t="s">
        <v>1722</v>
      </c>
      <c r="J711" s="1" t="s">
        <v>3850</v>
      </c>
      <c r="K711" s="1" t="s">
        <v>78</v>
      </c>
      <c r="L711" s="4">
        <v>17999</v>
      </c>
      <c r="M711" s="1" t="s">
        <v>2181</v>
      </c>
    </row>
    <row r="712" spans="1:13" ht="15.75" customHeight="1" x14ac:dyDescent="0.35">
      <c r="A712" s="1" t="s">
        <v>81</v>
      </c>
      <c r="B712" s="1" t="s">
        <v>5781</v>
      </c>
      <c r="C712" s="1" t="s">
        <v>5794</v>
      </c>
      <c r="D712" s="1" t="s">
        <v>5735</v>
      </c>
      <c r="E712" s="1" t="s">
        <v>3816</v>
      </c>
      <c r="F712" s="1" t="s">
        <v>5830</v>
      </c>
      <c r="G712" s="1" t="s">
        <v>74</v>
      </c>
      <c r="H712" s="1" t="s">
        <v>111</v>
      </c>
      <c r="I712" s="1" t="s">
        <v>90</v>
      </c>
      <c r="J712" s="1" t="s">
        <v>1609</v>
      </c>
      <c r="K712" s="1" t="s">
        <v>78</v>
      </c>
      <c r="L712" s="4">
        <v>20999</v>
      </c>
      <c r="M712" s="1" t="s">
        <v>166</v>
      </c>
    </row>
    <row r="713" spans="1:13" ht="15.75" customHeight="1" x14ac:dyDescent="0.35">
      <c r="A713" s="1" t="s">
        <v>66</v>
      </c>
      <c r="B713" s="1" t="s">
        <v>5810</v>
      </c>
      <c r="C713" s="1" t="s">
        <v>5794</v>
      </c>
      <c r="D713" s="1" t="s">
        <v>4923</v>
      </c>
      <c r="E713" s="1" t="s">
        <v>3816</v>
      </c>
      <c r="F713" s="1" t="s">
        <v>5795</v>
      </c>
      <c r="G713" s="1" t="s">
        <v>74</v>
      </c>
      <c r="H713" s="1" t="s">
        <v>5735</v>
      </c>
      <c r="I713" s="1" t="s">
        <v>101</v>
      </c>
      <c r="J713" s="1" t="s">
        <v>359</v>
      </c>
      <c r="K713" s="1" t="s">
        <v>78</v>
      </c>
      <c r="L713" s="4">
        <v>27499</v>
      </c>
      <c r="M713" s="1" t="s">
        <v>1082</v>
      </c>
    </row>
    <row r="714" spans="1:13" ht="15.75" customHeight="1" x14ac:dyDescent="0.35">
      <c r="A714" s="1" t="s">
        <v>234</v>
      </c>
      <c r="B714" s="1" t="s">
        <v>5767</v>
      </c>
      <c r="C714" s="1" t="s">
        <v>5800</v>
      </c>
      <c r="D714" s="1" t="s">
        <v>5735</v>
      </c>
      <c r="E714" s="1" t="s">
        <v>599</v>
      </c>
      <c r="F714" s="1" t="s">
        <v>5795</v>
      </c>
      <c r="G714" s="1" t="s">
        <v>5820</v>
      </c>
      <c r="H714" s="1" t="s">
        <v>5819</v>
      </c>
      <c r="I714" s="1" t="s">
        <v>90</v>
      </c>
      <c r="J714" s="1" t="s">
        <v>5844</v>
      </c>
      <c r="K714" s="1" t="s">
        <v>165</v>
      </c>
      <c r="L714" s="4">
        <v>53499</v>
      </c>
      <c r="M714" s="1" t="s">
        <v>79</v>
      </c>
    </row>
    <row r="715" spans="1:13" ht="15.75" customHeight="1" x14ac:dyDescent="0.35">
      <c r="A715" s="1" t="s">
        <v>81</v>
      </c>
      <c r="B715" s="1" t="s">
        <v>5782</v>
      </c>
      <c r="C715" s="1" t="s">
        <v>5835</v>
      </c>
      <c r="D715" s="1" t="s">
        <v>5735</v>
      </c>
      <c r="E715" s="1" t="s">
        <v>3231</v>
      </c>
      <c r="F715" s="1" t="s">
        <v>5830</v>
      </c>
      <c r="G715" s="1" t="s">
        <v>3829</v>
      </c>
      <c r="H715" s="1" t="s">
        <v>5735</v>
      </c>
      <c r="I715" s="1" t="s">
        <v>101</v>
      </c>
      <c r="J715" s="1" t="s">
        <v>4092</v>
      </c>
      <c r="K715" s="1" t="s">
        <v>78</v>
      </c>
      <c r="L715" s="4">
        <v>18149</v>
      </c>
      <c r="M715" s="1" t="s">
        <v>1082</v>
      </c>
    </row>
    <row r="716" spans="1:13" ht="15.75" customHeight="1" x14ac:dyDescent="0.35">
      <c r="A716" s="1" t="s">
        <v>81</v>
      </c>
      <c r="B716" s="1" t="s">
        <v>5782</v>
      </c>
      <c r="C716" s="1" t="s">
        <v>5800</v>
      </c>
      <c r="D716" s="1" t="s">
        <v>5735</v>
      </c>
      <c r="E716" s="1" t="s">
        <v>599</v>
      </c>
      <c r="F716" s="1" t="s">
        <v>5795</v>
      </c>
      <c r="G716" s="1" t="s">
        <v>74</v>
      </c>
      <c r="H716" s="1" t="s">
        <v>111</v>
      </c>
      <c r="I716" s="1" t="s">
        <v>101</v>
      </c>
      <c r="J716" s="1" t="s">
        <v>3458</v>
      </c>
      <c r="K716" s="1" t="s">
        <v>78</v>
      </c>
      <c r="L716" s="4">
        <v>30999</v>
      </c>
      <c r="M716" s="1" t="s">
        <v>166</v>
      </c>
    </row>
    <row r="717" spans="1:13" ht="15.75" customHeight="1" x14ac:dyDescent="0.35">
      <c r="A717" s="1" t="s">
        <v>151</v>
      </c>
      <c r="B717" s="1" t="s">
        <v>5763</v>
      </c>
      <c r="C717" s="1" t="s">
        <v>5794</v>
      </c>
      <c r="D717" s="1" t="s">
        <v>5735</v>
      </c>
      <c r="E717" s="1" t="s">
        <v>3816</v>
      </c>
      <c r="F717" s="1" t="s">
        <v>5795</v>
      </c>
      <c r="G717" s="1" t="s">
        <v>74</v>
      </c>
      <c r="H717" s="1" t="s">
        <v>5735</v>
      </c>
      <c r="I717" s="1" t="s">
        <v>101</v>
      </c>
      <c r="J717" s="1" t="s">
        <v>3383</v>
      </c>
      <c r="K717" s="1" t="s">
        <v>78</v>
      </c>
      <c r="L717" s="4">
        <v>29000</v>
      </c>
      <c r="M717" s="1" t="s">
        <v>166</v>
      </c>
    </row>
    <row r="718" spans="1:13" ht="15.75" customHeight="1" x14ac:dyDescent="0.35">
      <c r="A718" s="1" t="s">
        <v>151</v>
      </c>
      <c r="B718" s="1" t="s">
        <v>5810</v>
      </c>
      <c r="C718" s="1" t="s">
        <v>5835</v>
      </c>
      <c r="D718" s="1" t="s">
        <v>5735</v>
      </c>
      <c r="E718" s="1" t="s">
        <v>3231</v>
      </c>
      <c r="F718" s="1" t="s">
        <v>5792</v>
      </c>
      <c r="G718" s="1" t="s">
        <v>74</v>
      </c>
      <c r="H718" s="1" t="s">
        <v>5735</v>
      </c>
      <c r="I718" s="1" t="s">
        <v>101</v>
      </c>
      <c r="J718" s="1" t="s">
        <v>976</v>
      </c>
      <c r="K718" s="1" t="s">
        <v>78</v>
      </c>
      <c r="L718" s="4">
        <v>15000</v>
      </c>
      <c r="M718" s="1" t="s">
        <v>2181</v>
      </c>
    </row>
    <row r="719" spans="1:13" ht="15.75" customHeight="1" x14ac:dyDescent="0.35">
      <c r="A719" s="1" t="s">
        <v>151</v>
      </c>
      <c r="B719" s="1" t="s">
        <v>5763</v>
      </c>
      <c r="C719" s="1" t="s">
        <v>5808</v>
      </c>
      <c r="D719" s="1" t="s">
        <v>5735</v>
      </c>
      <c r="E719" s="1" t="s">
        <v>3816</v>
      </c>
      <c r="F719" s="1" t="s">
        <v>5792</v>
      </c>
      <c r="G719" s="1" t="s">
        <v>74</v>
      </c>
      <c r="H719" s="1" t="s">
        <v>5735</v>
      </c>
      <c r="I719" s="1" t="s">
        <v>101</v>
      </c>
      <c r="J719" s="1" t="s">
        <v>1609</v>
      </c>
      <c r="K719" s="1" t="s">
        <v>78</v>
      </c>
      <c r="L719" s="4">
        <v>25499</v>
      </c>
      <c r="M719" s="1" t="s">
        <v>5735</v>
      </c>
    </row>
    <row r="720" spans="1:13" ht="15.75" customHeight="1" x14ac:dyDescent="0.35">
      <c r="A720" s="1" t="s">
        <v>151</v>
      </c>
      <c r="B720" s="1" t="s">
        <v>5763</v>
      </c>
      <c r="C720" s="1" t="s">
        <v>5794</v>
      </c>
      <c r="D720" s="1" t="s">
        <v>5735</v>
      </c>
      <c r="E720" s="1" t="s">
        <v>3816</v>
      </c>
      <c r="F720" s="1" t="s">
        <v>5795</v>
      </c>
      <c r="G720" s="1" t="s">
        <v>74</v>
      </c>
      <c r="H720" s="1" t="s">
        <v>5735</v>
      </c>
      <c r="I720" s="1" t="s">
        <v>90</v>
      </c>
      <c r="J720" s="1" t="s">
        <v>3383</v>
      </c>
      <c r="K720" s="1" t="s">
        <v>78</v>
      </c>
      <c r="L720" s="4">
        <v>23799</v>
      </c>
      <c r="M720" s="1" t="s">
        <v>166</v>
      </c>
    </row>
    <row r="721" spans="1:13" ht="15.75" customHeight="1" x14ac:dyDescent="0.35">
      <c r="A721" s="1" t="s">
        <v>81</v>
      </c>
      <c r="B721" s="1" t="s">
        <v>5781</v>
      </c>
      <c r="C721" s="1" t="s">
        <v>5794</v>
      </c>
      <c r="D721" s="1" t="s">
        <v>5735</v>
      </c>
      <c r="E721" s="1" t="s">
        <v>3816</v>
      </c>
      <c r="F721" s="1" t="s">
        <v>5795</v>
      </c>
      <c r="G721" s="1" t="s">
        <v>74</v>
      </c>
      <c r="H721" s="1" t="s">
        <v>111</v>
      </c>
      <c r="I721" s="1" t="s">
        <v>90</v>
      </c>
      <c r="J721" s="1" t="s">
        <v>1609</v>
      </c>
      <c r="K721" s="1" t="s">
        <v>78</v>
      </c>
      <c r="L721" s="4">
        <v>23499</v>
      </c>
      <c r="M721" s="1" t="s">
        <v>1082</v>
      </c>
    </row>
    <row r="722" spans="1:13" ht="15.75" customHeight="1" x14ac:dyDescent="0.35">
      <c r="A722" s="1" t="s">
        <v>151</v>
      </c>
      <c r="B722" s="1" t="s">
        <v>5763</v>
      </c>
      <c r="C722" s="1" t="s">
        <v>5794</v>
      </c>
      <c r="D722" s="1" t="s">
        <v>5735</v>
      </c>
      <c r="E722" s="1" t="s">
        <v>3816</v>
      </c>
      <c r="F722" s="1" t="s">
        <v>5795</v>
      </c>
      <c r="G722" s="1" t="s">
        <v>74</v>
      </c>
      <c r="H722" s="1" t="s">
        <v>5735</v>
      </c>
      <c r="I722" s="1" t="s">
        <v>90</v>
      </c>
      <c r="J722" s="1" t="s">
        <v>3346</v>
      </c>
      <c r="K722" s="1" t="s">
        <v>78</v>
      </c>
      <c r="L722" s="4">
        <v>22499</v>
      </c>
      <c r="M722" s="1" t="s">
        <v>166</v>
      </c>
    </row>
    <row r="723" spans="1:13" ht="15.75" customHeight="1" x14ac:dyDescent="0.35">
      <c r="A723" s="1" t="s">
        <v>234</v>
      </c>
      <c r="B723" s="1" t="s">
        <v>5810</v>
      </c>
      <c r="C723" s="1" t="s">
        <v>5800</v>
      </c>
      <c r="D723" s="1" t="s">
        <v>5735</v>
      </c>
      <c r="E723" s="1" t="s">
        <v>599</v>
      </c>
      <c r="F723" s="1" t="s">
        <v>5792</v>
      </c>
      <c r="G723" s="1" t="s">
        <v>74</v>
      </c>
      <c r="H723" s="1" t="s">
        <v>5735</v>
      </c>
      <c r="I723" s="1" t="s">
        <v>2991</v>
      </c>
      <c r="J723" s="1" t="s">
        <v>5735</v>
      </c>
      <c r="K723" s="1" t="s">
        <v>165</v>
      </c>
      <c r="L723" s="4">
        <v>37499</v>
      </c>
      <c r="M723" s="1" t="s">
        <v>1082</v>
      </c>
    </row>
    <row r="724" spans="1:13" ht="15.75" customHeight="1" x14ac:dyDescent="0.35">
      <c r="A724" s="1" t="s">
        <v>112</v>
      </c>
      <c r="B724" s="1" t="s">
        <v>5810</v>
      </c>
      <c r="C724" s="1" t="s">
        <v>5800</v>
      </c>
      <c r="D724" s="1" t="s">
        <v>5735</v>
      </c>
      <c r="E724" s="1" t="s">
        <v>599</v>
      </c>
      <c r="F724" s="1" t="s">
        <v>5795</v>
      </c>
      <c r="G724" s="1" t="s">
        <v>5845</v>
      </c>
      <c r="H724" s="1" t="s">
        <v>5735</v>
      </c>
      <c r="I724" s="1" t="s">
        <v>90</v>
      </c>
      <c r="J724" s="1" t="s">
        <v>4135</v>
      </c>
      <c r="K724" s="1" t="s">
        <v>78</v>
      </c>
      <c r="L724" s="4">
        <v>58750</v>
      </c>
      <c r="M724" s="1" t="s">
        <v>79</v>
      </c>
    </row>
    <row r="725" spans="1:13" ht="15.75" customHeight="1" x14ac:dyDescent="0.35">
      <c r="A725" s="1" t="s">
        <v>112</v>
      </c>
      <c r="B725" s="1" t="s">
        <v>5778</v>
      </c>
      <c r="C725" s="1" t="s">
        <v>5794</v>
      </c>
      <c r="D725" s="1" t="s">
        <v>5735</v>
      </c>
      <c r="E725" s="1" t="s">
        <v>3816</v>
      </c>
      <c r="F725" s="1" t="s">
        <v>5795</v>
      </c>
      <c r="G725" s="1" t="s">
        <v>74</v>
      </c>
      <c r="H725" s="1" t="s">
        <v>5735</v>
      </c>
      <c r="I725" s="1" t="s">
        <v>90</v>
      </c>
      <c r="J725" s="1" t="s">
        <v>3532</v>
      </c>
      <c r="K725" s="1" t="s">
        <v>78</v>
      </c>
      <c r="L725" s="4">
        <v>36000</v>
      </c>
      <c r="M725" s="1" t="s">
        <v>79</v>
      </c>
    </row>
    <row r="726" spans="1:13" ht="15.75" customHeight="1" x14ac:dyDescent="0.35">
      <c r="A726" s="1" t="s">
        <v>112</v>
      </c>
      <c r="B726" s="1" t="s">
        <v>5779</v>
      </c>
      <c r="C726" s="1" t="s">
        <v>5794</v>
      </c>
      <c r="D726" s="1" t="s">
        <v>5735</v>
      </c>
      <c r="E726" s="1" t="s">
        <v>3816</v>
      </c>
      <c r="F726" s="1" t="s">
        <v>5795</v>
      </c>
      <c r="G726" s="1" t="s">
        <v>74</v>
      </c>
      <c r="H726" s="1" t="s">
        <v>5735</v>
      </c>
      <c r="I726" s="1" t="s">
        <v>90</v>
      </c>
      <c r="J726" s="1" t="s">
        <v>3532</v>
      </c>
      <c r="K726" s="1" t="s">
        <v>78</v>
      </c>
      <c r="L726" s="4">
        <v>39499</v>
      </c>
      <c r="M726" s="1" t="s">
        <v>166</v>
      </c>
    </row>
    <row r="727" spans="1:13" ht="15.75" customHeight="1" x14ac:dyDescent="0.35">
      <c r="A727" s="1" t="s">
        <v>234</v>
      </c>
      <c r="B727" s="1" t="s">
        <v>5810</v>
      </c>
      <c r="C727" s="1" t="s">
        <v>5800</v>
      </c>
      <c r="D727" s="1" t="s">
        <v>5735</v>
      </c>
      <c r="E727" s="1" t="s">
        <v>599</v>
      </c>
      <c r="F727" s="1" t="s">
        <v>5792</v>
      </c>
      <c r="G727" s="1" t="s">
        <v>74</v>
      </c>
      <c r="H727" s="1" t="s">
        <v>5735</v>
      </c>
      <c r="I727" s="1" t="s">
        <v>1722</v>
      </c>
      <c r="J727" s="1" t="s">
        <v>5735</v>
      </c>
      <c r="K727" s="1" t="s">
        <v>165</v>
      </c>
      <c r="L727" s="4">
        <v>41999</v>
      </c>
      <c r="M727" s="1" t="s">
        <v>2181</v>
      </c>
    </row>
    <row r="728" spans="1:13" ht="15.75" customHeight="1" x14ac:dyDescent="0.35">
      <c r="A728" s="1" t="s">
        <v>81</v>
      </c>
      <c r="B728" s="1" t="s">
        <v>5781</v>
      </c>
      <c r="C728" s="1" t="s">
        <v>5794</v>
      </c>
      <c r="D728" s="1" t="s">
        <v>5735</v>
      </c>
      <c r="E728" s="1" t="s">
        <v>3816</v>
      </c>
      <c r="F728" s="1" t="s">
        <v>5830</v>
      </c>
      <c r="G728" s="1" t="s">
        <v>74</v>
      </c>
      <c r="H728" s="1" t="s">
        <v>111</v>
      </c>
      <c r="I728" s="1" t="s">
        <v>90</v>
      </c>
      <c r="J728" s="1" t="s">
        <v>1609</v>
      </c>
      <c r="K728" s="1" t="s">
        <v>78</v>
      </c>
      <c r="L728" s="4">
        <v>28999</v>
      </c>
      <c r="M728" s="1" t="s">
        <v>1082</v>
      </c>
    </row>
    <row r="729" spans="1:13" ht="15.75" customHeight="1" x14ac:dyDescent="0.35">
      <c r="A729" s="1" t="s">
        <v>112</v>
      </c>
      <c r="B729" s="1" t="s">
        <v>5779</v>
      </c>
      <c r="C729" s="1" t="s">
        <v>5800</v>
      </c>
      <c r="D729" s="1" t="s">
        <v>5735</v>
      </c>
      <c r="E729" s="1" t="s">
        <v>599</v>
      </c>
      <c r="F729" s="1" t="s">
        <v>5792</v>
      </c>
      <c r="G729" s="1" t="s">
        <v>74</v>
      </c>
      <c r="H729" s="1" t="s">
        <v>5735</v>
      </c>
      <c r="I729" s="1" t="s">
        <v>90</v>
      </c>
      <c r="J729" s="1" t="s">
        <v>3276</v>
      </c>
      <c r="K729" s="1" t="s">
        <v>78</v>
      </c>
      <c r="L729" s="4">
        <v>33499</v>
      </c>
      <c r="M729" s="1" t="s">
        <v>1082</v>
      </c>
    </row>
    <row r="730" spans="1:13" ht="15.75" customHeight="1" x14ac:dyDescent="0.35">
      <c r="A730" s="1" t="s">
        <v>81</v>
      </c>
      <c r="B730" s="1" t="s">
        <v>5782</v>
      </c>
      <c r="C730" s="1" t="s">
        <v>5800</v>
      </c>
      <c r="D730" s="1" t="s">
        <v>4923</v>
      </c>
      <c r="E730" s="1" t="s">
        <v>3816</v>
      </c>
      <c r="F730" s="1" t="s">
        <v>5795</v>
      </c>
      <c r="G730" s="1" t="s">
        <v>74</v>
      </c>
      <c r="H730" s="1" t="s">
        <v>111</v>
      </c>
      <c r="I730" s="1" t="s">
        <v>101</v>
      </c>
      <c r="J730" s="1" t="s">
        <v>3458</v>
      </c>
      <c r="K730" s="1" t="s">
        <v>78</v>
      </c>
      <c r="L730" s="4">
        <v>35299</v>
      </c>
      <c r="M730" s="1" t="s">
        <v>166</v>
      </c>
    </row>
    <row r="731" spans="1:13" ht="15.75" customHeight="1" x14ac:dyDescent="0.35">
      <c r="A731" s="1" t="s">
        <v>234</v>
      </c>
      <c r="B731" s="1" t="s">
        <v>5766</v>
      </c>
      <c r="C731" s="1" t="s">
        <v>5800</v>
      </c>
      <c r="D731" s="1" t="s">
        <v>5735</v>
      </c>
      <c r="E731" s="1" t="s">
        <v>3816</v>
      </c>
      <c r="F731" s="1" t="s">
        <v>5795</v>
      </c>
      <c r="G731" s="1" t="s">
        <v>74</v>
      </c>
      <c r="H731" s="1" t="s">
        <v>5735</v>
      </c>
      <c r="I731" s="1" t="s">
        <v>90</v>
      </c>
      <c r="J731" s="1" t="s">
        <v>3321</v>
      </c>
      <c r="K731" s="1" t="s">
        <v>165</v>
      </c>
      <c r="L731" s="4">
        <v>27999</v>
      </c>
      <c r="M731" s="1" t="s">
        <v>166</v>
      </c>
    </row>
    <row r="732" spans="1:13" ht="15.75" customHeight="1" x14ac:dyDescent="0.35">
      <c r="A732" s="1" t="s">
        <v>112</v>
      </c>
      <c r="B732" s="1" t="s">
        <v>5779</v>
      </c>
      <c r="C732" s="1" t="s">
        <v>5794</v>
      </c>
      <c r="D732" s="1" t="s">
        <v>4923</v>
      </c>
      <c r="E732" s="1" t="s">
        <v>3816</v>
      </c>
      <c r="F732" s="1" t="s">
        <v>5795</v>
      </c>
      <c r="G732" s="1" t="s">
        <v>74</v>
      </c>
      <c r="H732" s="1" t="s">
        <v>5735</v>
      </c>
      <c r="I732" s="1" t="s">
        <v>90</v>
      </c>
      <c r="J732" s="1" t="s">
        <v>4182</v>
      </c>
      <c r="K732" s="1" t="s">
        <v>78</v>
      </c>
      <c r="L732" s="4">
        <v>22449</v>
      </c>
      <c r="M732" s="1" t="s">
        <v>1082</v>
      </c>
    </row>
    <row r="733" spans="1:13" ht="15.75" customHeight="1" x14ac:dyDescent="0.35">
      <c r="A733" s="1" t="s">
        <v>112</v>
      </c>
      <c r="B733" s="1" t="s">
        <v>5779</v>
      </c>
      <c r="C733" s="1" t="s">
        <v>5794</v>
      </c>
      <c r="D733" s="1" t="s">
        <v>4923</v>
      </c>
      <c r="E733" s="1" t="s">
        <v>3816</v>
      </c>
      <c r="F733" s="1" t="s">
        <v>5795</v>
      </c>
      <c r="G733" s="1" t="s">
        <v>3829</v>
      </c>
      <c r="H733" s="1" t="s">
        <v>5735</v>
      </c>
      <c r="I733" s="1" t="s">
        <v>101</v>
      </c>
      <c r="J733" s="1" t="s">
        <v>3276</v>
      </c>
      <c r="K733" s="1" t="s">
        <v>78</v>
      </c>
      <c r="L733" s="4">
        <v>25999</v>
      </c>
      <c r="M733" s="1" t="s">
        <v>1082</v>
      </c>
    </row>
    <row r="734" spans="1:13" ht="15.75" customHeight="1" x14ac:dyDescent="0.35">
      <c r="A734" s="1" t="s">
        <v>112</v>
      </c>
      <c r="B734" s="1" t="s">
        <v>5810</v>
      </c>
      <c r="C734" s="1" t="s">
        <v>5794</v>
      </c>
      <c r="D734" s="1" t="s">
        <v>5735</v>
      </c>
      <c r="E734" s="1" t="s">
        <v>3816</v>
      </c>
      <c r="F734" s="1" t="s">
        <v>5830</v>
      </c>
      <c r="G734" s="1" t="s">
        <v>74</v>
      </c>
      <c r="H734" s="1" t="s">
        <v>5735</v>
      </c>
      <c r="I734" s="1" t="s">
        <v>101</v>
      </c>
      <c r="J734" s="1" t="s">
        <v>3850</v>
      </c>
      <c r="K734" s="1" t="s">
        <v>78</v>
      </c>
      <c r="L734" s="4">
        <v>17500</v>
      </c>
      <c r="M734" s="1" t="s">
        <v>1082</v>
      </c>
    </row>
    <row r="735" spans="1:13" ht="15.75" customHeight="1" x14ac:dyDescent="0.35">
      <c r="A735" s="1" t="s">
        <v>234</v>
      </c>
      <c r="B735" s="1" t="s">
        <v>5766</v>
      </c>
      <c r="C735" s="1" t="s">
        <v>5815</v>
      </c>
      <c r="D735" s="1" t="s">
        <v>5735</v>
      </c>
      <c r="E735" s="1" t="s">
        <v>3816</v>
      </c>
      <c r="F735" s="1" t="s">
        <v>5795</v>
      </c>
      <c r="G735" s="1" t="s">
        <v>1015</v>
      </c>
      <c r="H735" s="1" t="s">
        <v>5735</v>
      </c>
      <c r="I735" s="1" t="s">
        <v>90</v>
      </c>
      <c r="J735" s="1" t="s">
        <v>2584</v>
      </c>
      <c r="K735" s="1" t="s">
        <v>165</v>
      </c>
      <c r="L735" s="4">
        <v>42000</v>
      </c>
      <c r="M735" s="1" t="s">
        <v>5735</v>
      </c>
    </row>
    <row r="736" spans="1:13" ht="15.75" customHeight="1" x14ac:dyDescent="0.35">
      <c r="A736" s="1" t="s">
        <v>234</v>
      </c>
      <c r="B736" s="1" t="s">
        <v>5767</v>
      </c>
      <c r="C736" s="1" t="s">
        <v>5808</v>
      </c>
      <c r="D736" s="1" t="s">
        <v>5735</v>
      </c>
      <c r="E736" s="1" t="s">
        <v>599</v>
      </c>
      <c r="F736" s="1" t="s">
        <v>5792</v>
      </c>
      <c r="G736" s="1" t="s">
        <v>5820</v>
      </c>
      <c r="H736" s="1" t="s">
        <v>5843</v>
      </c>
      <c r="I736" s="1" t="s">
        <v>90</v>
      </c>
      <c r="J736" s="1" t="s">
        <v>3892</v>
      </c>
      <c r="K736" s="1" t="s">
        <v>165</v>
      </c>
      <c r="L736" s="4">
        <v>57000</v>
      </c>
      <c r="M736" s="1" t="s">
        <v>5735</v>
      </c>
    </row>
    <row r="737" spans="1:13" ht="15.75" customHeight="1" x14ac:dyDescent="0.35">
      <c r="A737" s="1" t="s">
        <v>234</v>
      </c>
      <c r="B737" s="1" t="s">
        <v>5767</v>
      </c>
      <c r="C737" s="1" t="s">
        <v>5800</v>
      </c>
      <c r="D737" s="1" t="s">
        <v>4923</v>
      </c>
      <c r="E737" s="1" t="s">
        <v>599</v>
      </c>
      <c r="F737" s="1" t="s">
        <v>5792</v>
      </c>
      <c r="G737" s="1" t="s">
        <v>5820</v>
      </c>
      <c r="H737" s="1" t="s">
        <v>5843</v>
      </c>
      <c r="I737" s="1" t="s">
        <v>90</v>
      </c>
      <c r="J737" s="1" t="s">
        <v>3892</v>
      </c>
      <c r="K737" s="1" t="s">
        <v>165</v>
      </c>
      <c r="L737" s="4">
        <v>42799</v>
      </c>
      <c r="M737" s="1" t="s">
        <v>1082</v>
      </c>
    </row>
    <row r="738" spans="1:13" ht="15.75" customHeight="1" x14ac:dyDescent="0.35">
      <c r="A738" s="1" t="s">
        <v>234</v>
      </c>
      <c r="B738" s="1" t="s">
        <v>5766</v>
      </c>
      <c r="C738" s="1" t="s">
        <v>5794</v>
      </c>
      <c r="D738" s="1" t="s">
        <v>5735</v>
      </c>
      <c r="E738" s="1" t="s">
        <v>3816</v>
      </c>
      <c r="F738" s="1" t="s">
        <v>5795</v>
      </c>
      <c r="G738" s="1" t="s">
        <v>1015</v>
      </c>
      <c r="H738" s="1" t="s">
        <v>5819</v>
      </c>
      <c r="I738" s="1" t="s">
        <v>90</v>
      </c>
      <c r="J738" s="1" t="s">
        <v>2584</v>
      </c>
      <c r="K738" s="1" t="s">
        <v>165</v>
      </c>
      <c r="L738" s="4">
        <v>34199</v>
      </c>
      <c r="M738" s="1" t="s">
        <v>5735</v>
      </c>
    </row>
    <row r="739" spans="1:13" ht="15.75" customHeight="1" x14ac:dyDescent="0.35">
      <c r="A739" s="1" t="s">
        <v>234</v>
      </c>
      <c r="B739" s="1" t="s">
        <v>5766</v>
      </c>
      <c r="C739" s="1" t="s">
        <v>5800</v>
      </c>
      <c r="D739" s="1" t="s">
        <v>5735</v>
      </c>
      <c r="E739" s="1" t="s">
        <v>3816</v>
      </c>
      <c r="F739" s="1" t="s">
        <v>5795</v>
      </c>
      <c r="G739" s="1" t="s">
        <v>1015</v>
      </c>
      <c r="H739" s="1" t="s">
        <v>5819</v>
      </c>
      <c r="I739" s="1" t="s">
        <v>90</v>
      </c>
      <c r="J739" s="1" t="s">
        <v>2584</v>
      </c>
      <c r="K739" s="1" t="s">
        <v>165</v>
      </c>
      <c r="L739" s="4">
        <v>42999</v>
      </c>
      <c r="M739" s="1" t="s">
        <v>166</v>
      </c>
    </row>
    <row r="740" spans="1:13" ht="15.75" customHeight="1" x14ac:dyDescent="0.35">
      <c r="A740" s="1" t="s">
        <v>234</v>
      </c>
      <c r="B740" s="1" t="s">
        <v>5766</v>
      </c>
      <c r="C740" s="1" t="s">
        <v>5794</v>
      </c>
      <c r="D740" s="1" t="s">
        <v>5735</v>
      </c>
      <c r="E740" s="1" t="s">
        <v>599</v>
      </c>
      <c r="F740" s="1" t="s">
        <v>5795</v>
      </c>
      <c r="G740" s="1" t="s">
        <v>74</v>
      </c>
      <c r="H740" s="1" t="s">
        <v>5819</v>
      </c>
      <c r="I740" s="1" t="s">
        <v>90</v>
      </c>
      <c r="J740" s="1" t="s">
        <v>359</v>
      </c>
      <c r="K740" s="1" t="s">
        <v>165</v>
      </c>
      <c r="L740" s="4">
        <v>33999</v>
      </c>
      <c r="M740" s="1" t="s">
        <v>166</v>
      </c>
    </row>
    <row r="741" spans="1:13" ht="15.75" customHeight="1" x14ac:dyDescent="0.35">
      <c r="A741" s="1" t="s">
        <v>234</v>
      </c>
      <c r="B741" s="1" t="s">
        <v>5767</v>
      </c>
      <c r="C741" s="1" t="s">
        <v>5800</v>
      </c>
      <c r="D741" s="1" t="s">
        <v>4923</v>
      </c>
      <c r="E741" s="1" t="s">
        <v>599</v>
      </c>
      <c r="F741" s="1" t="s">
        <v>5792</v>
      </c>
      <c r="G741" s="1" t="s">
        <v>74</v>
      </c>
      <c r="H741" s="1" t="s">
        <v>5735</v>
      </c>
      <c r="I741" s="1" t="s">
        <v>90</v>
      </c>
      <c r="J741" s="1" t="s">
        <v>1609</v>
      </c>
      <c r="K741" s="1" t="s">
        <v>165</v>
      </c>
      <c r="L741" s="4">
        <v>58149</v>
      </c>
      <c r="M741" s="1" t="s">
        <v>1082</v>
      </c>
    </row>
    <row r="742" spans="1:13" ht="15.75" customHeight="1" x14ac:dyDescent="0.35">
      <c r="A742" s="1" t="s">
        <v>151</v>
      </c>
      <c r="B742" s="1" t="s">
        <v>5763</v>
      </c>
      <c r="C742" s="1" t="s">
        <v>5808</v>
      </c>
      <c r="D742" s="1" t="s">
        <v>5735</v>
      </c>
      <c r="E742" s="1" t="s">
        <v>3816</v>
      </c>
      <c r="F742" s="1" t="s">
        <v>5795</v>
      </c>
      <c r="G742" s="1" t="s">
        <v>74</v>
      </c>
      <c r="H742" s="1" t="s">
        <v>5735</v>
      </c>
      <c r="I742" s="1" t="s">
        <v>90</v>
      </c>
      <c r="J742" s="1" t="s">
        <v>2584</v>
      </c>
      <c r="K742" s="1" t="s">
        <v>78</v>
      </c>
      <c r="L742" s="4">
        <v>26749</v>
      </c>
      <c r="M742" s="1" t="s">
        <v>5735</v>
      </c>
    </row>
    <row r="743" spans="1:13" ht="15.75" customHeight="1" x14ac:dyDescent="0.35">
      <c r="A743" s="1" t="s">
        <v>151</v>
      </c>
      <c r="B743" s="1" t="s">
        <v>5763</v>
      </c>
      <c r="C743" s="1" t="s">
        <v>5800</v>
      </c>
      <c r="D743" s="1" t="s">
        <v>5735</v>
      </c>
      <c r="E743" s="1" t="s">
        <v>3816</v>
      </c>
      <c r="F743" s="1" t="s">
        <v>5795</v>
      </c>
      <c r="G743" s="1" t="s">
        <v>74</v>
      </c>
      <c r="H743" s="1" t="s">
        <v>5735</v>
      </c>
      <c r="I743" s="1" t="s">
        <v>90</v>
      </c>
      <c r="J743" s="1" t="s">
        <v>3346</v>
      </c>
      <c r="K743" s="1" t="s">
        <v>165</v>
      </c>
      <c r="L743" s="4">
        <v>24999</v>
      </c>
      <c r="M743" s="1" t="s">
        <v>166</v>
      </c>
    </row>
    <row r="744" spans="1:13" ht="15.75" customHeight="1" x14ac:dyDescent="0.35">
      <c r="A744" s="1" t="s">
        <v>30</v>
      </c>
      <c r="B744" s="1" t="s">
        <v>5810</v>
      </c>
      <c r="C744" s="1" t="s">
        <v>5815</v>
      </c>
      <c r="D744" s="1" t="s">
        <v>5735</v>
      </c>
      <c r="E744" s="1" t="s">
        <v>3816</v>
      </c>
      <c r="F744" s="1" t="s">
        <v>5830</v>
      </c>
      <c r="G744" s="1" t="s">
        <v>74</v>
      </c>
      <c r="H744" s="1" t="s">
        <v>5819</v>
      </c>
      <c r="I744" s="1" t="s">
        <v>101</v>
      </c>
      <c r="J744" s="1" t="s">
        <v>4249</v>
      </c>
      <c r="K744" s="1" t="s">
        <v>78</v>
      </c>
      <c r="L744" s="4">
        <v>19999</v>
      </c>
      <c r="M744" s="1" t="s">
        <v>5735</v>
      </c>
    </row>
    <row r="745" spans="1:13" ht="15.75" customHeight="1" x14ac:dyDescent="0.35">
      <c r="A745" s="1" t="s">
        <v>81</v>
      </c>
      <c r="B745" s="1" t="s">
        <v>5781</v>
      </c>
      <c r="C745" s="1" t="s">
        <v>5794</v>
      </c>
      <c r="D745" s="1" t="s">
        <v>4923</v>
      </c>
      <c r="E745" s="1" t="s">
        <v>3816</v>
      </c>
      <c r="F745" s="1" t="s">
        <v>5830</v>
      </c>
      <c r="G745" s="1" t="s">
        <v>74</v>
      </c>
      <c r="H745" s="1" t="s">
        <v>5735</v>
      </c>
      <c r="I745" s="1" t="s">
        <v>101</v>
      </c>
      <c r="J745" s="1" t="s">
        <v>4258</v>
      </c>
      <c r="K745" s="1" t="s">
        <v>78</v>
      </c>
      <c r="L745" s="4">
        <v>19499</v>
      </c>
      <c r="M745" s="1" t="s">
        <v>1082</v>
      </c>
    </row>
    <row r="746" spans="1:13" ht="15.75" customHeight="1" x14ac:dyDescent="0.35">
      <c r="A746" s="1" t="s">
        <v>234</v>
      </c>
      <c r="B746" s="1" t="s">
        <v>5810</v>
      </c>
      <c r="C746" s="1" t="s">
        <v>5800</v>
      </c>
      <c r="D746" s="1" t="s">
        <v>4923</v>
      </c>
      <c r="E746" s="1" t="s">
        <v>3816</v>
      </c>
      <c r="F746" s="1" t="s">
        <v>5795</v>
      </c>
      <c r="G746" s="1" t="s">
        <v>74</v>
      </c>
      <c r="H746" s="1" t="s">
        <v>5735</v>
      </c>
      <c r="I746" s="1" t="s">
        <v>90</v>
      </c>
      <c r="J746" s="1" t="s">
        <v>359</v>
      </c>
      <c r="K746" s="1" t="s">
        <v>165</v>
      </c>
      <c r="L746" s="4">
        <v>23099</v>
      </c>
      <c r="M746" s="1" t="s">
        <v>1082</v>
      </c>
    </row>
    <row r="747" spans="1:13" ht="15.75" customHeight="1" x14ac:dyDescent="0.35">
      <c r="A747" s="1" t="s">
        <v>234</v>
      </c>
      <c r="B747" s="1" t="s">
        <v>5766</v>
      </c>
      <c r="C747" s="1" t="s">
        <v>5815</v>
      </c>
      <c r="D747" s="1" t="s">
        <v>5735</v>
      </c>
      <c r="E747" s="1" t="s">
        <v>3816</v>
      </c>
      <c r="F747" s="1" t="s">
        <v>5795</v>
      </c>
      <c r="G747" s="1" t="s">
        <v>74</v>
      </c>
      <c r="H747" s="1" t="s">
        <v>5735</v>
      </c>
      <c r="I747" s="1" t="s">
        <v>90</v>
      </c>
      <c r="J747" s="1" t="s">
        <v>3346</v>
      </c>
      <c r="K747" s="1" t="s">
        <v>165</v>
      </c>
      <c r="L747" s="4">
        <v>37999</v>
      </c>
      <c r="M747" s="1" t="s">
        <v>5735</v>
      </c>
    </row>
    <row r="748" spans="1:13" ht="15.75" customHeight="1" x14ac:dyDescent="0.35">
      <c r="A748" s="1" t="s">
        <v>234</v>
      </c>
      <c r="B748" s="1" t="s">
        <v>5766</v>
      </c>
      <c r="C748" s="1" t="s">
        <v>5835</v>
      </c>
      <c r="D748" s="1" t="s">
        <v>5735</v>
      </c>
      <c r="E748" s="1" t="s">
        <v>3231</v>
      </c>
      <c r="F748" s="1" t="s">
        <v>5830</v>
      </c>
      <c r="G748" s="1" t="s">
        <v>74</v>
      </c>
      <c r="H748" s="1" t="s">
        <v>5735</v>
      </c>
      <c r="I748" s="1" t="s">
        <v>90</v>
      </c>
      <c r="J748" s="1" t="s">
        <v>3321</v>
      </c>
      <c r="K748" s="1" t="s">
        <v>165</v>
      </c>
      <c r="L748" s="4">
        <v>13999</v>
      </c>
      <c r="M748" s="1" t="s">
        <v>166</v>
      </c>
    </row>
    <row r="749" spans="1:13" ht="15.75" customHeight="1" x14ac:dyDescent="0.35">
      <c r="A749" s="1" t="s">
        <v>234</v>
      </c>
      <c r="B749" s="1" t="s">
        <v>5766</v>
      </c>
      <c r="C749" s="1" t="s">
        <v>5794</v>
      </c>
      <c r="D749" s="1" t="s">
        <v>4923</v>
      </c>
      <c r="E749" s="1" t="s">
        <v>3816</v>
      </c>
      <c r="F749" s="1" t="s">
        <v>5795</v>
      </c>
      <c r="G749" s="1" t="s">
        <v>74</v>
      </c>
      <c r="H749" s="1" t="s">
        <v>5735</v>
      </c>
      <c r="I749" s="1" t="s">
        <v>90</v>
      </c>
      <c r="J749" s="1" t="s">
        <v>359</v>
      </c>
      <c r="K749" s="1" t="s">
        <v>165</v>
      </c>
      <c r="L749" s="4">
        <v>18999</v>
      </c>
      <c r="M749" s="1" t="s">
        <v>1082</v>
      </c>
    </row>
    <row r="750" spans="1:13" ht="15.75" customHeight="1" x14ac:dyDescent="0.35">
      <c r="A750" s="1" t="s">
        <v>234</v>
      </c>
      <c r="B750" s="1" t="s">
        <v>5766</v>
      </c>
      <c r="C750" s="1" t="s">
        <v>5800</v>
      </c>
      <c r="D750" s="1" t="s">
        <v>4923</v>
      </c>
      <c r="E750" s="1" t="s">
        <v>3816</v>
      </c>
      <c r="F750" s="1" t="s">
        <v>5795</v>
      </c>
      <c r="G750" s="1" t="s">
        <v>74</v>
      </c>
      <c r="H750" s="1" t="s">
        <v>5735</v>
      </c>
      <c r="I750" s="1" t="s">
        <v>90</v>
      </c>
      <c r="J750" s="1" t="s">
        <v>359</v>
      </c>
      <c r="K750" s="1" t="s">
        <v>165</v>
      </c>
      <c r="L750" s="4">
        <v>39900</v>
      </c>
      <c r="M750" s="1" t="s">
        <v>1082</v>
      </c>
    </row>
    <row r="751" spans="1:13" ht="15.75" customHeight="1" x14ac:dyDescent="0.35">
      <c r="A751" s="1" t="s">
        <v>234</v>
      </c>
      <c r="B751" s="1" t="s">
        <v>5766</v>
      </c>
      <c r="C751" s="1" t="s">
        <v>5794</v>
      </c>
      <c r="D751" s="1" t="s">
        <v>5735</v>
      </c>
      <c r="E751" s="1" t="s">
        <v>3816</v>
      </c>
      <c r="F751" s="1" t="s">
        <v>5795</v>
      </c>
      <c r="G751" s="1" t="s">
        <v>1015</v>
      </c>
      <c r="H751" s="1" t="s">
        <v>5735</v>
      </c>
      <c r="I751" s="1" t="s">
        <v>90</v>
      </c>
      <c r="J751" s="1" t="s">
        <v>3401</v>
      </c>
      <c r="K751" s="1" t="s">
        <v>165</v>
      </c>
      <c r="L751" s="4">
        <v>22999</v>
      </c>
      <c r="M751" s="1" t="s">
        <v>166</v>
      </c>
    </row>
    <row r="752" spans="1:13" ht="15.75" customHeight="1" x14ac:dyDescent="0.35">
      <c r="A752" s="1" t="s">
        <v>234</v>
      </c>
      <c r="B752" s="1" t="s">
        <v>5766</v>
      </c>
      <c r="C752" s="1" t="s">
        <v>5794</v>
      </c>
      <c r="D752" s="1" t="s">
        <v>5735</v>
      </c>
      <c r="E752" s="1" t="s">
        <v>3816</v>
      </c>
      <c r="F752" s="1" t="s">
        <v>5795</v>
      </c>
      <c r="G752" s="1" t="s">
        <v>1015</v>
      </c>
      <c r="H752" s="1" t="s">
        <v>5735</v>
      </c>
      <c r="I752" s="1" t="s">
        <v>90</v>
      </c>
      <c r="J752" s="1" t="s">
        <v>3401</v>
      </c>
      <c r="K752" s="1" t="s">
        <v>165</v>
      </c>
      <c r="L752" s="4">
        <v>27820</v>
      </c>
      <c r="M752" s="1" t="s">
        <v>79</v>
      </c>
    </row>
    <row r="753" spans="1:13" ht="15.75" customHeight="1" x14ac:dyDescent="0.35">
      <c r="A753" s="1" t="s">
        <v>234</v>
      </c>
      <c r="B753" s="1" t="s">
        <v>5766</v>
      </c>
      <c r="C753" s="1" t="s">
        <v>5800</v>
      </c>
      <c r="D753" s="1" t="s">
        <v>5735</v>
      </c>
      <c r="E753" s="1" t="s">
        <v>3816</v>
      </c>
      <c r="F753" s="1" t="s">
        <v>5795</v>
      </c>
      <c r="G753" s="1" t="s">
        <v>1015</v>
      </c>
      <c r="H753" s="1" t="s">
        <v>5735</v>
      </c>
      <c r="I753" s="1" t="s">
        <v>90</v>
      </c>
      <c r="J753" s="1" t="s">
        <v>3401</v>
      </c>
      <c r="K753" s="1" t="s">
        <v>165</v>
      </c>
      <c r="L753" s="4">
        <v>29999</v>
      </c>
      <c r="M753" s="1" t="s">
        <v>79</v>
      </c>
    </row>
    <row r="754" spans="1:13" ht="15.75" customHeight="1" x14ac:dyDescent="0.35">
      <c r="A754" s="1" t="s">
        <v>234</v>
      </c>
      <c r="B754" s="1" t="s">
        <v>5810</v>
      </c>
      <c r="C754" s="1" t="s">
        <v>5835</v>
      </c>
      <c r="D754" s="1" t="s">
        <v>5735</v>
      </c>
      <c r="E754" s="1" t="s">
        <v>3231</v>
      </c>
      <c r="F754" s="1" t="s">
        <v>5830</v>
      </c>
      <c r="G754" s="1" t="s">
        <v>74</v>
      </c>
      <c r="H754" s="1" t="s">
        <v>5735</v>
      </c>
      <c r="I754" s="1" t="s">
        <v>90</v>
      </c>
      <c r="J754" s="1" t="s">
        <v>359</v>
      </c>
      <c r="K754" s="1" t="s">
        <v>165</v>
      </c>
      <c r="L754" s="4">
        <v>23000</v>
      </c>
      <c r="M754" s="1" t="s">
        <v>1082</v>
      </c>
    </row>
    <row r="755" spans="1:13" ht="15.75" customHeight="1" x14ac:dyDescent="0.35">
      <c r="A755" s="1" t="s">
        <v>234</v>
      </c>
      <c r="B755" s="1" t="s">
        <v>5766</v>
      </c>
      <c r="C755" s="1" t="s">
        <v>5800</v>
      </c>
      <c r="D755" s="1" t="s">
        <v>5735</v>
      </c>
      <c r="E755" s="1" t="s">
        <v>3816</v>
      </c>
      <c r="F755" s="1" t="s">
        <v>5795</v>
      </c>
      <c r="G755" s="1" t="s">
        <v>1015</v>
      </c>
      <c r="H755" s="1" t="s">
        <v>5735</v>
      </c>
      <c r="I755" s="1" t="s">
        <v>90</v>
      </c>
      <c r="J755" s="1" t="s">
        <v>3401</v>
      </c>
      <c r="K755" s="1" t="s">
        <v>165</v>
      </c>
      <c r="L755" s="4">
        <v>25999</v>
      </c>
      <c r="M755" s="1" t="s">
        <v>166</v>
      </c>
    </row>
    <row r="756" spans="1:13" ht="15.75" customHeight="1" x14ac:dyDescent="0.35">
      <c r="A756" s="1" t="s">
        <v>112</v>
      </c>
      <c r="B756" s="1" t="s">
        <v>5779</v>
      </c>
      <c r="C756" s="1" t="s">
        <v>5794</v>
      </c>
      <c r="D756" s="1" t="s">
        <v>5735</v>
      </c>
      <c r="E756" s="1" t="s">
        <v>3816</v>
      </c>
      <c r="F756" s="1" t="s">
        <v>5795</v>
      </c>
      <c r="G756" s="1" t="s">
        <v>74</v>
      </c>
      <c r="H756" s="1" t="s">
        <v>5735</v>
      </c>
      <c r="I756" s="1" t="s">
        <v>90</v>
      </c>
      <c r="J756" s="1" t="s">
        <v>3532</v>
      </c>
      <c r="K756" s="1" t="s">
        <v>78</v>
      </c>
      <c r="L756" s="4">
        <v>30799</v>
      </c>
      <c r="M756" s="1" t="s">
        <v>166</v>
      </c>
    </row>
    <row r="757" spans="1:13" ht="15.75" customHeight="1" x14ac:dyDescent="0.35">
      <c r="A757" s="1" t="s">
        <v>151</v>
      </c>
      <c r="B757" s="1" t="s">
        <v>5763</v>
      </c>
      <c r="C757" s="1" t="s">
        <v>5794</v>
      </c>
      <c r="D757" s="1" t="s">
        <v>4923</v>
      </c>
      <c r="E757" s="1" t="s">
        <v>3816</v>
      </c>
      <c r="F757" s="1" t="s">
        <v>5795</v>
      </c>
      <c r="G757" s="1" t="s">
        <v>74</v>
      </c>
      <c r="H757" s="1" t="s">
        <v>5735</v>
      </c>
      <c r="I757" s="1" t="s">
        <v>101</v>
      </c>
      <c r="J757" s="1" t="s">
        <v>1609</v>
      </c>
      <c r="K757" s="1" t="s">
        <v>78</v>
      </c>
      <c r="L757" s="4">
        <v>21949</v>
      </c>
      <c r="M757" s="1" t="s">
        <v>1082</v>
      </c>
    </row>
    <row r="758" spans="1:13" ht="15.75" customHeight="1" x14ac:dyDescent="0.35">
      <c r="A758" s="1" t="s">
        <v>5735</v>
      </c>
      <c r="B758" s="1" t="s">
        <v>5782</v>
      </c>
      <c r="C758" s="1" t="s">
        <v>5794</v>
      </c>
      <c r="D758" s="1" t="s">
        <v>4923</v>
      </c>
      <c r="E758" s="1" t="s">
        <v>3816</v>
      </c>
      <c r="F758" s="1" t="s">
        <v>5795</v>
      </c>
      <c r="G758" s="1" t="s">
        <v>74</v>
      </c>
      <c r="H758" s="1" t="s">
        <v>111</v>
      </c>
      <c r="I758" s="1" t="s">
        <v>101</v>
      </c>
      <c r="J758" s="1" t="s">
        <v>3458</v>
      </c>
      <c r="K758" s="1" t="s">
        <v>78</v>
      </c>
      <c r="L758" s="4">
        <v>24999</v>
      </c>
      <c r="M758" s="1" t="s">
        <v>166</v>
      </c>
    </row>
    <row r="759" spans="1:13" ht="15.75" customHeight="1" x14ac:dyDescent="0.35">
      <c r="A759" s="1" t="s">
        <v>151</v>
      </c>
      <c r="B759" s="1" t="s">
        <v>5810</v>
      </c>
      <c r="C759" s="1" t="s">
        <v>5815</v>
      </c>
      <c r="D759" s="1" t="s">
        <v>5735</v>
      </c>
      <c r="E759" s="1" t="s">
        <v>3816</v>
      </c>
      <c r="F759" s="1" t="s">
        <v>5792</v>
      </c>
      <c r="G759" s="1" t="s">
        <v>74</v>
      </c>
      <c r="H759" s="1" t="s">
        <v>5735</v>
      </c>
      <c r="I759" s="1" t="s">
        <v>101</v>
      </c>
      <c r="J759" s="1" t="s">
        <v>3321</v>
      </c>
      <c r="K759" s="1" t="s">
        <v>78</v>
      </c>
      <c r="L759" s="4">
        <v>21199</v>
      </c>
      <c r="M759" s="1" t="s">
        <v>5735</v>
      </c>
    </row>
    <row r="760" spans="1:13" ht="15.75" customHeight="1" x14ac:dyDescent="0.35">
      <c r="A760" s="1" t="s">
        <v>5735</v>
      </c>
      <c r="B760" s="1" t="s">
        <v>5810</v>
      </c>
      <c r="C760" s="1" t="s">
        <v>5808</v>
      </c>
      <c r="D760" s="1" t="s">
        <v>5735</v>
      </c>
      <c r="E760" s="1" t="s">
        <v>3816</v>
      </c>
      <c r="F760" s="1" t="s">
        <v>5795</v>
      </c>
      <c r="G760" s="1" t="s">
        <v>74</v>
      </c>
      <c r="H760" s="1" t="s">
        <v>5735</v>
      </c>
      <c r="I760" s="1" t="s">
        <v>101</v>
      </c>
      <c r="J760" s="1" t="s">
        <v>4092</v>
      </c>
      <c r="K760" s="1" t="s">
        <v>78</v>
      </c>
      <c r="L760" s="4">
        <v>20999</v>
      </c>
      <c r="M760" s="1" t="s">
        <v>5735</v>
      </c>
    </row>
    <row r="761" spans="1:13" ht="15.75" customHeight="1" x14ac:dyDescent="0.35">
      <c r="A761" s="1" t="s">
        <v>81</v>
      </c>
      <c r="B761" s="1" t="s">
        <v>5782</v>
      </c>
      <c r="C761" s="1" t="s">
        <v>5794</v>
      </c>
      <c r="D761" s="1" t="s">
        <v>5735</v>
      </c>
      <c r="E761" s="1" t="s">
        <v>3231</v>
      </c>
      <c r="F761" s="1" t="s">
        <v>5830</v>
      </c>
      <c r="G761" s="1" t="s">
        <v>3829</v>
      </c>
      <c r="H761" s="1" t="s">
        <v>5735</v>
      </c>
      <c r="I761" s="1" t="s">
        <v>101</v>
      </c>
      <c r="J761" s="1" t="s">
        <v>4092</v>
      </c>
      <c r="K761" s="1" t="s">
        <v>78</v>
      </c>
      <c r="L761" s="4">
        <v>16999</v>
      </c>
      <c r="M761" s="1" t="s">
        <v>1082</v>
      </c>
    </row>
    <row r="762" spans="1:13" ht="15.75" customHeight="1" x14ac:dyDescent="0.35">
      <c r="A762" s="1" t="s">
        <v>30</v>
      </c>
      <c r="B762" s="1" t="s">
        <v>5810</v>
      </c>
      <c r="C762" s="1" t="s">
        <v>5835</v>
      </c>
      <c r="D762" s="1" t="s">
        <v>5735</v>
      </c>
      <c r="E762" s="1" t="s">
        <v>3231</v>
      </c>
      <c r="F762" s="1" t="s">
        <v>5830</v>
      </c>
      <c r="G762" s="1" t="s">
        <v>74</v>
      </c>
      <c r="H762" s="1" t="s">
        <v>5735</v>
      </c>
      <c r="I762" s="1" t="s">
        <v>101</v>
      </c>
      <c r="J762" s="1" t="s">
        <v>4249</v>
      </c>
      <c r="K762" s="1" t="s">
        <v>78</v>
      </c>
      <c r="L762" s="4">
        <v>12499</v>
      </c>
      <c r="M762" s="1" t="s">
        <v>1082</v>
      </c>
    </row>
    <row r="763" spans="1:13" ht="15.75" customHeight="1" x14ac:dyDescent="0.35">
      <c r="A763" s="1" t="s">
        <v>66</v>
      </c>
      <c r="B763" s="1" t="s">
        <v>5768</v>
      </c>
      <c r="C763" s="1" t="s">
        <v>5794</v>
      </c>
      <c r="D763" s="1" t="s">
        <v>4923</v>
      </c>
      <c r="E763" s="1" t="s">
        <v>3816</v>
      </c>
      <c r="F763" s="1" t="s">
        <v>5792</v>
      </c>
      <c r="G763" s="1" t="s">
        <v>74</v>
      </c>
      <c r="H763" s="1" t="s">
        <v>5735</v>
      </c>
      <c r="I763" s="1" t="s">
        <v>101</v>
      </c>
      <c r="J763" s="1" t="s">
        <v>5846</v>
      </c>
      <c r="K763" s="1" t="s">
        <v>78</v>
      </c>
      <c r="L763" s="4">
        <v>16999</v>
      </c>
      <c r="M763" s="1" t="s">
        <v>1082</v>
      </c>
    </row>
    <row r="764" spans="1:13" ht="15.75" customHeight="1" x14ac:dyDescent="0.35">
      <c r="A764" s="1" t="s">
        <v>234</v>
      </c>
      <c r="B764" s="1" t="s">
        <v>5766</v>
      </c>
      <c r="C764" s="1" t="s">
        <v>5800</v>
      </c>
      <c r="D764" s="1" t="s">
        <v>4923</v>
      </c>
      <c r="E764" s="1" t="s">
        <v>599</v>
      </c>
      <c r="F764" s="1" t="s">
        <v>5795</v>
      </c>
      <c r="G764" s="1" t="s">
        <v>74</v>
      </c>
      <c r="H764" s="1" t="s">
        <v>5735</v>
      </c>
      <c r="I764" s="1" t="s">
        <v>90</v>
      </c>
      <c r="J764" s="1" t="s">
        <v>3892</v>
      </c>
      <c r="K764" s="1" t="s">
        <v>165</v>
      </c>
      <c r="L764" s="4">
        <v>27849</v>
      </c>
      <c r="M764" s="1" t="s">
        <v>1082</v>
      </c>
    </row>
    <row r="765" spans="1:13" ht="15.75" customHeight="1" x14ac:dyDescent="0.35">
      <c r="A765" s="1" t="s">
        <v>234</v>
      </c>
      <c r="B765" s="1" t="s">
        <v>5767</v>
      </c>
      <c r="C765" s="1" t="s">
        <v>5800</v>
      </c>
      <c r="D765" s="1" t="s">
        <v>5735</v>
      </c>
      <c r="E765" s="1" t="s">
        <v>599</v>
      </c>
      <c r="F765" s="1" t="s">
        <v>5792</v>
      </c>
      <c r="G765" s="1" t="s">
        <v>74</v>
      </c>
      <c r="H765" s="1" t="s">
        <v>5735</v>
      </c>
      <c r="I765" s="1" t="s">
        <v>90</v>
      </c>
      <c r="J765" s="1" t="s">
        <v>4361</v>
      </c>
      <c r="K765" s="1" t="s">
        <v>165</v>
      </c>
      <c r="L765" s="4">
        <v>47150</v>
      </c>
      <c r="M765" s="1" t="s">
        <v>1082</v>
      </c>
    </row>
    <row r="766" spans="1:13" ht="15.75" customHeight="1" x14ac:dyDescent="0.35">
      <c r="A766" s="1" t="s">
        <v>234</v>
      </c>
      <c r="B766" s="1" t="s">
        <v>5767</v>
      </c>
      <c r="C766" s="1" t="s">
        <v>5794</v>
      </c>
      <c r="D766" s="1" t="s">
        <v>5735</v>
      </c>
      <c r="E766" s="1" t="s">
        <v>3816</v>
      </c>
      <c r="F766" s="1" t="s">
        <v>5795</v>
      </c>
      <c r="G766" s="1" t="s">
        <v>74</v>
      </c>
      <c r="H766" s="1" t="s">
        <v>5735</v>
      </c>
      <c r="I766" s="1" t="s">
        <v>90</v>
      </c>
      <c r="J766" s="1" t="s">
        <v>4361</v>
      </c>
      <c r="K766" s="1" t="s">
        <v>165</v>
      </c>
      <c r="L766" s="4">
        <v>29000</v>
      </c>
      <c r="M766" s="1" t="s">
        <v>1082</v>
      </c>
    </row>
    <row r="767" spans="1:13" ht="15.75" customHeight="1" x14ac:dyDescent="0.35">
      <c r="A767" s="1" t="s">
        <v>3729</v>
      </c>
      <c r="B767" s="1" t="s">
        <v>5784</v>
      </c>
      <c r="C767" s="1" t="s">
        <v>5800</v>
      </c>
      <c r="D767" s="1" t="s">
        <v>5735</v>
      </c>
      <c r="E767" s="1" t="s">
        <v>599</v>
      </c>
      <c r="F767" s="1" t="s">
        <v>5795</v>
      </c>
      <c r="G767" s="1" t="s">
        <v>5847</v>
      </c>
      <c r="H767" s="1" t="s">
        <v>111</v>
      </c>
      <c r="I767" s="1" t="s">
        <v>90</v>
      </c>
      <c r="J767" s="1" t="s">
        <v>5848</v>
      </c>
      <c r="K767" s="1" t="s">
        <v>78</v>
      </c>
      <c r="L767" s="4">
        <v>104999</v>
      </c>
      <c r="M767" s="1" t="s">
        <v>166</v>
      </c>
    </row>
    <row r="768" spans="1:13" ht="15.75" customHeight="1" x14ac:dyDescent="0.35">
      <c r="A768" s="1" t="s">
        <v>4381</v>
      </c>
      <c r="B768" s="1" t="s">
        <v>5785</v>
      </c>
      <c r="C768" s="1" t="s">
        <v>5794</v>
      </c>
      <c r="D768" s="1" t="s">
        <v>5735</v>
      </c>
      <c r="E768" s="1" t="s">
        <v>599</v>
      </c>
      <c r="F768" s="1" t="s">
        <v>5795</v>
      </c>
      <c r="G768" s="1" t="s">
        <v>74</v>
      </c>
      <c r="H768" s="1" t="s">
        <v>5735</v>
      </c>
      <c r="I768" s="1" t="s">
        <v>2991</v>
      </c>
      <c r="J768" s="1" t="s">
        <v>4389</v>
      </c>
      <c r="K768" s="1" t="s">
        <v>165</v>
      </c>
      <c r="L768" s="4">
        <v>29600</v>
      </c>
      <c r="M768" s="1" t="s">
        <v>1082</v>
      </c>
    </row>
    <row r="769" spans="1:13" ht="15.75" customHeight="1" x14ac:dyDescent="0.35">
      <c r="A769" s="1" t="s">
        <v>81</v>
      </c>
      <c r="B769" s="1" t="s">
        <v>5782</v>
      </c>
      <c r="C769" s="1" t="s">
        <v>5800</v>
      </c>
      <c r="D769" s="1" t="s">
        <v>4923</v>
      </c>
      <c r="E769" s="1" t="s">
        <v>3816</v>
      </c>
      <c r="F769" s="1" t="s">
        <v>5795</v>
      </c>
      <c r="G769" s="1" t="s">
        <v>74</v>
      </c>
      <c r="H769" s="1" t="s">
        <v>111</v>
      </c>
      <c r="I769" s="1" t="s">
        <v>101</v>
      </c>
      <c r="J769" s="1" t="s">
        <v>3458</v>
      </c>
      <c r="K769" s="1" t="s">
        <v>78</v>
      </c>
      <c r="L769" s="4">
        <v>34049</v>
      </c>
      <c r="M769" s="1" t="s">
        <v>166</v>
      </c>
    </row>
    <row r="770" spans="1:13" ht="15.75" customHeight="1" x14ac:dyDescent="0.35">
      <c r="A770" s="1" t="s">
        <v>234</v>
      </c>
      <c r="B770" s="1" t="s">
        <v>5766</v>
      </c>
      <c r="C770" s="1" t="s">
        <v>5800</v>
      </c>
      <c r="D770" s="1" t="s">
        <v>5735</v>
      </c>
      <c r="E770" s="1" t="s">
        <v>3816</v>
      </c>
      <c r="F770" s="1" t="s">
        <v>5795</v>
      </c>
      <c r="G770" s="1" t="s">
        <v>74</v>
      </c>
      <c r="H770" s="1" t="s">
        <v>5819</v>
      </c>
      <c r="I770" s="1" t="s">
        <v>90</v>
      </c>
      <c r="J770" s="1" t="s">
        <v>3321</v>
      </c>
      <c r="K770" s="1" t="s">
        <v>165</v>
      </c>
      <c r="L770" s="4">
        <v>29999</v>
      </c>
      <c r="M770" s="1" t="s">
        <v>166</v>
      </c>
    </row>
    <row r="771" spans="1:13" ht="15.75" customHeight="1" x14ac:dyDescent="0.35">
      <c r="A771" s="1" t="s">
        <v>234</v>
      </c>
      <c r="B771" s="1" t="s">
        <v>5767</v>
      </c>
      <c r="C771" s="1" t="s">
        <v>5800</v>
      </c>
      <c r="D771" s="1" t="s">
        <v>5735</v>
      </c>
      <c r="E771" s="1" t="s">
        <v>599</v>
      </c>
      <c r="F771" s="1" t="s">
        <v>5792</v>
      </c>
      <c r="G771" s="1" t="s">
        <v>74</v>
      </c>
      <c r="H771" s="1" t="s">
        <v>5819</v>
      </c>
      <c r="I771" s="1" t="s">
        <v>90</v>
      </c>
      <c r="J771" s="1" t="s">
        <v>5849</v>
      </c>
      <c r="K771" s="1" t="s">
        <v>165</v>
      </c>
      <c r="L771" s="4">
        <v>29999</v>
      </c>
      <c r="M771" s="1" t="s">
        <v>1082</v>
      </c>
    </row>
    <row r="772" spans="1:13" ht="15.75" customHeight="1" x14ac:dyDescent="0.35">
      <c r="A772" s="1" t="s">
        <v>234</v>
      </c>
      <c r="B772" s="1" t="s">
        <v>5767</v>
      </c>
      <c r="C772" s="1" t="s">
        <v>5794</v>
      </c>
      <c r="D772" s="1" t="s">
        <v>5735</v>
      </c>
      <c r="E772" s="1" t="s">
        <v>3816</v>
      </c>
      <c r="F772" s="1" t="s">
        <v>5795</v>
      </c>
      <c r="G772" s="1" t="s">
        <v>5820</v>
      </c>
      <c r="H772" s="1" t="s">
        <v>5843</v>
      </c>
      <c r="I772" s="1" t="s">
        <v>90</v>
      </c>
      <c r="J772" s="1" t="s">
        <v>5850</v>
      </c>
      <c r="K772" s="1" t="s">
        <v>165</v>
      </c>
      <c r="L772" s="4">
        <v>42000</v>
      </c>
      <c r="M772" s="1" t="s">
        <v>166</v>
      </c>
    </row>
    <row r="773" spans="1:13" ht="15.75" customHeight="1" x14ac:dyDescent="0.35">
      <c r="A773" s="1" t="s">
        <v>234</v>
      </c>
      <c r="B773" s="1" t="s">
        <v>5767</v>
      </c>
      <c r="C773" s="1" t="s">
        <v>5800</v>
      </c>
      <c r="D773" s="1" t="s">
        <v>5735</v>
      </c>
      <c r="E773" s="1" t="s">
        <v>599</v>
      </c>
      <c r="F773" s="1" t="s">
        <v>5792</v>
      </c>
      <c r="G773" s="1" t="s">
        <v>5820</v>
      </c>
      <c r="H773" s="1" t="s">
        <v>5843</v>
      </c>
      <c r="I773" s="1" t="s">
        <v>90</v>
      </c>
      <c r="J773" s="1" t="s">
        <v>5850</v>
      </c>
      <c r="K773" s="1" t="s">
        <v>165</v>
      </c>
      <c r="L773" s="4">
        <v>47249</v>
      </c>
      <c r="M773" s="1" t="s">
        <v>166</v>
      </c>
    </row>
    <row r="774" spans="1:13" ht="15.75" customHeight="1" x14ac:dyDescent="0.35">
      <c r="A774" s="1" t="s">
        <v>234</v>
      </c>
      <c r="B774" s="1" t="s">
        <v>5767</v>
      </c>
      <c r="C774" s="1" t="s">
        <v>5800</v>
      </c>
      <c r="D774" s="1" t="s">
        <v>5735</v>
      </c>
      <c r="E774" s="1" t="s">
        <v>599</v>
      </c>
      <c r="F774" s="1" t="s">
        <v>5792</v>
      </c>
      <c r="G774" s="1" t="s">
        <v>5820</v>
      </c>
      <c r="H774" s="1" t="s">
        <v>5843</v>
      </c>
      <c r="I774" s="1" t="s">
        <v>90</v>
      </c>
      <c r="J774" s="1" t="s">
        <v>3892</v>
      </c>
      <c r="K774" s="1" t="s">
        <v>165</v>
      </c>
      <c r="L774" s="4">
        <v>53830</v>
      </c>
      <c r="M774" s="1" t="s">
        <v>166</v>
      </c>
    </row>
    <row r="775" spans="1:13" ht="15.75" customHeight="1" x14ac:dyDescent="0.35">
      <c r="A775" s="1" t="s">
        <v>234</v>
      </c>
      <c r="B775" s="1" t="s">
        <v>5766</v>
      </c>
      <c r="C775" s="1" t="s">
        <v>5794</v>
      </c>
      <c r="D775" s="1" t="s">
        <v>5735</v>
      </c>
      <c r="E775" s="1" t="s">
        <v>3816</v>
      </c>
      <c r="F775" s="1" t="s">
        <v>5795</v>
      </c>
      <c r="G775" s="1" t="s">
        <v>74</v>
      </c>
      <c r="H775" s="1" t="s">
        <v>5819</v>
      </c>
      <c r="I775" s="1" t="s">
        <v>90</v>
      </c>
      <c r="J775" s="1" t="s">
        <v>3321</v>
      </c>
      <c r="K775" s="1" t="s">
        <v>165</v>
      </c>
      <c r="L775" s="4">
        <v>22049</v>
      </c>
      <c r="M775" s="1" t="s">
        <v>166</v>
      </c>
    </row>
    <row r="776" spans="1:13" ht="15.75" customHeight="1" x14ac:dyDescent="0.35">
      <c r="A776" s="1" t="s">
        <v>66</v>
      </c>
      <c r="B776" s="1" t="s">
        <v>5768</v>
      </c>
      <c r="C776" s="1" t="s">
        <v>5800</v>
      </c>
      <c r="D776" s="1" t="s">
        <v>4923</v>
      </c>
      <c r="E776" s="1" t="s">
        <v>5807</v>
      </c>
      <c r="F776" s="1" t="s">
        <v>5792</v>
      </c>
      <c r="G776" s="1" t="s">
        <v>74</v>
      </c>
      <c r="H776" s="1" t="s">
        <v>5735</v>
      </c>
      <c r="I776" s="1" t="s">
        <v>101</v>
      </c>
      <c r="J776" s="1" t="s">
        <v>3321</v>
      </c>
      <c r="K776" s="1" t="s">
        <v>165</v>
      </c>
      <c r="L776" s="4">
        <v>23499</v>
      </c>
      <c r="M776" s="1" t="s">
        <v>1082</v>
      </c>
    </row>
    <row r="777" spans="1:13" ht="15.75" customHeight="1" x14ac:dyDescent="0.35">
      <c r="A777" s="1" t="s">
        <v>66</v>
      </c>
      <c r="B777" s="1" t="s">
        <v>5768</v>
      </c>
      <c r="C777" s="1" t="s">
        <v>5794</v>
      </c>
      <c r="D777" s="1" t="s">
        <v>4923</v>
      </c>
      <c r="E777" s="1" t="s">
        <v>3816</v>
      </c>
      <c r="F777" s="1" t="s">
        <v>5792</v>
      </c>
      <c r="G777" s="1" t="s">
        <v>74</v>
      </c>
      <c r="H777" s="1" t="s">
        <v>5735</v>
      </c>
      <c r="I777" s="1" t="s">
        <v>101</v>
      </c>
      <c r="J777" s="1" t="s">
        <v>3321</v>
      </c>
      <c r="K777" s="1" t="s">
        <v>165</v>
      </c>
      <c r="L777" s="4">
        <v>17199</v>
      </c>
      <c r="M777" s="1" t="s">
        <v>1082</v>
      </c>
    </row>
    <row r="778" spans="1:13" ht="15.75" customHeight="1" x14ac:dyDescent="0.35">
      <c r="A778" s="1" t="s">
        <v>66</v>
      </c>
      <c r="B778" s="1" t="s">
        <v>5768</v>
      </c>
      <c r="C778" s="1" t="s">
        <v>5808</v>
      </c>
      <c r="D778" s="1" t="s">
        <v>4923</v>
      </c>
      <c r="E778" s="1" t="s">
        <v>3816</v>
      </c>
      <c r="F778" s="1" t="s">
        <v>5795</v>
      </c>
      <c r="G778" s="1" t="s">
        <v>74</v>
      </c>
      <c r="H778" s="1" t="s">
        <v>5735</v>
      </c>
      <c r="I778" s="1" t="s">
        <v>101</v>
      </c>
      <c r="J778" s="1" t="s">
        <v>4054</v>
      </c>
      <c r="K778" s="1" t="s">
        <v>165</v>
      </c>
      <c r="L778" s="4">
        <v>19999</v>
      </c>
      <c r="M778" s="1" t="s">
        <v>5735</v>
      </c>
    </row>
    <row r="779" spans="1:13" ht="15.75" customHeight="1" x14ac:dyDescent="0.35">
      <c r="A779" s="1" t="s">
        <v>66</v>
      </c>
      <c r="B779" s="1" t="s">
        <v>5768</v>
      </c>
      <c r="C779" s="1" t="s">
        <v>5815</v>
      </c>
      <c r="D779" s="1" t="s">
        <v>4923</v>
      </c>
      <c r="E779" s="1" t="s">
        <v>3816</v>
      </c>
      <c r="F779" s="1" t="s">
        <v>5795</v>
      </c>
      <c r="G779" s="1" t="s">
        <v>74</v>
      </c>
      <c r="H779" s="1" t="s">
        <v>5735</v>
      </c>
      <c r="I779" s="1" t="s">
        <v>101</v>
      </c>
      <c r="J779" s="1" t="s">
        <v>4054</v>
      </c>
      <c r="K779" s="1" t="s">
        <v>165</v>
      </c>
      <c r="L779" s="4">
        <v>17499</v>
      </c>
      <c r="M779" s="1" t="s">
        <v>5735</v>
      </c>
    </row>
    <row r="780" spans="1:13" ht="15.75" customHeight="1" x14ac:dyDescent="0.35">
      <c r="A780" s="1" t="s">
        <v>66</v>
      </c>
      <c r="B780" s="1" t="s">
        <v>5768</v>
      </c>
      <c r="C780" s="1" t="s">
        <v>5835</v>
      </c>
      <c r="D780" s="1" t="s">
        <v>5735</v>
      </c>
      <c r="E780" s="1" t="s">
        <v>3231</v>
      </c>
      <c r="F780" s="1" t="s">
        <v>5792</v>
      </c>
      <c r="G780" s="1" t="s">
        <v>74</v>
      </c>
      <c r="H780" s="1" t="s">
        <v>5735</v>
      </c>
      <c r="I780" s="1" t="s">
        <v>101</v>
      </c>
      <c r="J780" s="1" t="s">
        <v>230</v>
      </c>
      <c r="K780" s="1" t="s">
        <v>165</v>
      </c>
      <c r="L780" s="4">
        <v>20000</v>
      </c>
      <c r="M780" s="1" t="s">
        <v>2181</v>
      </c>
    </row>
    <row r="781" spans="1:13" ht="15.75" customHeight="1" x14ac:dyDescent="0.35">
      <c r="A781" s="1" t="s">
        <v>66</v>
      </c>
      <c r="B781" s="1" t="s">
        <v>5768</v>
      </c>
      <c r="C781" s="1" t="s">
        <v>5794</v>
      </c>
      <c r="D781" s="1" t="s">
        <v>4923</v>
      </c>
      <c r="E781" s="1" t="s">
        <v>3816</v>
      </c>
      <c r="F781" s="1" t="s">
        <v>5792</v>
      </c>
      <c r="G781" s="1" t="s">
        <v>74</v>
      </c>
      <c r="H781" s="1" t="s">
        <v>5735</v>
      </c>
      <c r="I781" s="1" t="s">
        <v>101</v>
      </c>
      <c r="J781" s="1" t="s">
        <v>3321</v>
      </c>
      <c r="K781" s="1" t="s">
        <v>165</v>
      </c>
      <c r="L781" s="4">
        <v>23499</v>
      </c>
      <c r="M781" s="1" t="s">
        <v>1082</v>
      </c>
    </row>
    <row r="782" spans="1:13" ht="15.75" customHeight="1" x14ac:dyDescent="0.35">
      <c r="A782" s="1" t="s">
        <v>234</v>
      </c>
      <c r="B782" s="1" t="s">
        <v>5766</v>
      </c>
      <c r="C782" s="1" t="s">
        <v>5808</v>
      </c>
      <c r="D782" s="1" t="s">
        <v>5735</v>
      </c>
      <c r="E782" s="1" t="s">
        <v>3816</v>
      </c>
      <c r="F782" s="1" t="s">
        <v>5792</v>
      </c>
      <c r="G782" s="1" t="s">
        <v>1015</v>
      </c>
      <c r="H782" s="1" t="s">
        <v>5819</v>
      </c>
      <c r="I782" s="1" t="s">
        <v>90</v>
      </c>
      <c r="J782" s="1" t="s">
        <v>3401</v>
      </c>
      <c r="K782" s="1" t="s">
        <v>165</v>
      </c>
      <c r="L782" s="4">
        <v>29499</v>
      </c>
      <c r="M782" s="1" t="s">
        <v>5735</v>
      </c>
    </row>
    <row r="783" spans="1:13" ht="15.75" customHeight="1" x14ac:dyDescent="0.35">
      <c r="A783" s="1" t="s">
        <v>234</v>
      </c>
      <c r="B783" s="1" t="s">
        <v>5766</v>
      </c>
      <c r="C783" s="1" t="s">
        <v>5835</v>
      </c>
      <c r="D783" s="1" t="s">
        <v>5735</v>
      </c>
      <c r="E783" s="1" t="s">
        <v>3231</v>
      </c>
      <c r="F783" s="1" t="s">
        <v>5830</v>
      </c>
      <c r="G783" s="1" t="s">
        <v>74</v>
      </c>
      <c r="H783" s="1" t="s">
        <v>5819</v>
      </c>
      <c r="I783" s="1" t="s">
        <v>90</v>
      </c>
      <c r="J783" s="1" t="s">
        <v>3321</v>
      </c>
      <c r="K783" s="1" t="s">
        <v>165</v>
      </c>
      <c r="L783" s="4">
        <v>14699</v>
      </c>
      <c r="M783" s="1" t="s">
        <v>166</v>
      </c>
    </row>
    <row r="784" spans="1:13" ht="15.75" customHeight="1" x14ac:dyDescent="0.35">
      <c r="A784" s="1" t="s">
        <v>234</v>
      </c>
      <c r="B784" s="1" t="s">
        <v>5766</v>
      </c>
      <c r="C784" s="1" t="s">
        <v>5794</v>
      </c>
      <c r="D784" s="1" t="s">
        <v>5735</v>
      </c>
      <c r="E784" s="1" t="s">
        <v>3816</v>
      </c>
      <c r="F784" s="1" t="s">
        <v>5795</v>
      </c>
      <c r="G784" s="1" t="s">
        <v>74</v>
      </c>
      <c r="H784" s="1" t="s">
        <v>5819</v>
      </c>
      <c r="I784" s="1" t="s">
        <v>90</v>
      </c>
      <c r="J784" s="1" t="s">
        <v>3321</v>
      </c>
      <c r="K784" s="1" t="s">
        <v>165</v>
      </c>
      <c r="L784" s="4">
        <v>21999</v>
      </c>
      <c r="M784" s="1" t="s">
        <v>166</v>
      </c>
    </row>
    <row r="785" spans="1:13" ht="15.75" customHeight="1" x14ac:dyDescent="0.35">
      <c r="A785" s="1" t="s">
        <v>234</v>
      </c>
      <c r="B785" s="1" t="s">
        <v>5766</v>
      </c>
      <c r="C785" s="1" t="s">
        <v>5800</v>
      </c>
      <c r="D785" s="1" t="s">
        <v>5735</v>
      </c>
      <c r="E785" s="1" t="s">
        <v>3816</v>
      </c>
      <c r="F785" s="1" t="s">
        <v>5795</v>
      </c>
      <c r="G785" s="1" t="s">
        <v>74</v>
      </c>
      <c r="H785" s="1" t="s">
        <v>5819</v>
      </c>
      <c r="I785" s="1" t="s">
        <v>90</v>
      </c>
      <c r="J785" s="1" t="s">
        <v>3321</v>
      </c>
      <c r="K785" s="1" t="s">
        <v>78</v>
      </c>
      <c r="L785" s="4">
        <v>25699</v>
      </c>
      <c r="M785" s="1" t="s">
        <v>166</v>
      </c>
    </row>
    <row r="786" spans="1:13" ht="15.75" customHeight="1" x14ac:dyDescent="0.35">
      <c r="A786" s="1" t="s">
        <v>234</v>
      </c>
      <c r="B786" s="1" t="s">
        <v>5766</v>
      </c>
      <c r="C786" s="1" t="s">
        <v>5835</v>
      </c>
      <c r="D786" s="1" t="s">
        <v>5735</v>
      </c>
      <c r="E786" s="1" t="s">
        <v>3231</v>
      </c>
      <c r="F786" s="1" t="s">
        <v>5830</v>
      </c>
      <c r="G786" s="1" t="s">
        <v>74</v>
      </c>
      <c r="H786" s="1" t="s">
        <v>5819</v>
      </c>
      <c r="I786" s="1" t="s">
        <v>90</v>
      </c>
      <c r="J786" s="1" t="s">
        <v>2584</v>
      </c>
      <c r="K786" s="1" t="s">
        <v>165</v>
      </c>
      <c r="L786" s="4">
        <v>20199</v>
      </c>
      <c r="M786" s="1" t="s">
        <v>1082</v>
      </c>
    </row>
    <row r="787" spans="1:13" ht="15.75" customHeight="1" x14ac:dyDescent="0.35">
      <c r="A787" s="1" t="s">
        <v>234</v>
      </c>
      <c r="B787" s="1" t="s">
        <v>5766</v>
      </c>
      <c r="C787" s="1" t="s">
        <v>5794</v>
      </c>
      <c r="D787" s="1" t="s">
        <v>5735</v>
      </c>
      <c r="E787" s="1" t="s">
        <v>3816</v>
      </c>
      <c r="F787" s="1" t="s">
        <v>5795</v>
      </c>
      <c r="G787" s="1" t="s">
        <v>74</v>
      </c>
      <c r="H787" s="1" t="s">
        <v>5819</v>
      </c>
      <c r="I787" s="1" t="s">
        <v>90</v>
      </c>
      <c r="J787" s="1" t="s">
        <v>2584</v>
      </c>
      <c r="K787" s="1" t="s">
        <v>165</v>
      </c>
      <c r="L787" s="4">
        <v>24899</v>
      </c>
      <c r="M787" s="1" t="s">
        <v>1082</v>
      </c>
    </row>
    <row r="788" spans="1:13" ht="15.75" customHeight="1" x14ac:dyDescent="0.35">
      <c r="A788" s="1" t="s">
        <v>234</v>
      </c>
      <c r="B788" s="1" t="s">
        <v>5766</v>
      </c>
      <c r="C788" s="1" t="s">
        <v>5800</v>
      </c>
      <c r="D788" s="1" t="s">
        <v>5735</v>
      </c>
      <c r="E788" s="1" t="s">
        <v>3816</v>
      </c>
      <c r="F788" s="1" t="s">
        <v>5795</v>
      </c>
      <c r="G788" s="1" t="s">
        <v>74</v>
      </c>
      <c r="H788" s="1" t="s">
        <v>5819</v>
      </c>
      <c r="I788" s="1" t="s">
        <v>90</v>
      </c>
      <c r="J788" s="1" t="s">
        <v>2584</v>
      </c>
      <c r="K788" s="1" t="s">
        <v>165</v>
      </c>
      <c r="L788" s="4">
        <v>29699</v>
      </c>
      <c r="M788" s="1" t="s">
        <v>1082</v>
      </c>
    </row>
    <row r="789" spans="1:13" ht="15.75" customHeight="1" x14ac:dyDescent="0.35">
      <c r="A789" s="1" t="s">
        <v>112</v>
      </c>
      <c r="B789" s="1" t="s">
        <v>5810</v>
      </c>
      <c r="C789" s="1" t="s">
        <v>5808</v>
      </c>
      <c r="D789" s="1" t="s">
        <v>5735</v>
      </c>
      <c r="E789" s="1" t="s">
        <v>3816</v>
      </c>
      <c r="F789" s="1" t="s">
        <v>5795</v>
      </c>
      <c r="G789" s="1" t="s">
        <v>74</v>
      </c>
      <c r="H789" s="1" t="s">
        <v>5735</v>
      </c>
      <c r="I789" s="1" t="s">
        <v>101</v>
      </c>
      <c r="J789" s="1" t="s">
        <v>3850</v>
      </c>
      <c r="K789" s="1" t="s">
        <v>78</v>
      </c>
      <c r="L789" s="4">
        <v>17499</v>
      </c>
      <c r="M789" s="1" t="s">
        <v>5735</v>
      </c>
    </row>
    <row r="790" spans="1:13" ht="15.75" customHeight="1" x14ac:dyDescent="0.35">
      <c r="A790" s="1" t="s">
        <v>66</v>
      </c>
      <c r="B790" s="1" t="s">
        <v>5768</v>
      </c>
      <c r="C790" s="1" t="s">
        <v>5835</v>
      </c>
      <c r="D790" s="1" t="s">
        <v>5735</v>
      </c>
      <c r="E790" s="1" t="s">
        <v>3231</v>
      </c>
      <c r="F790" s="1" t="s">
        <v>5792</v>
      </c>
      <c r="G790" s="1" t="s">
        <v>74</v>
      </c>
      <c r="H790" s="1" t="s">
        <v>5735</v>
      </c>
      <c r="I790" s="1" t="s">
        <v>101</v>
      </c>
      <c r="J790" s="1" t="s">
        <v>3321</v>
      </c>
      <c r="K790" s="1" t="s">
        <v>165</v>
      </c>
      <c r="L790" s="4">
        <v>22000</v>
      </c>
      <c r="M790" s="1" t="s">
        <v>1082</v>
      </c>
    </row>
    <row r="791" spans="1:13" ht="15.75" customHeight="1" x14ac:dyDescent="0.35">
      <c r="A791" s="1" t="s">
        <v>66</v>
      </c>
      <c r="B791" s="1" t="s">
        <v>5768</v>
      </c>
      <c r="C791" s="1" t="s">
        <v>5794</v>
      </c>
      <c r="D791" s="1" t="s">
        <v>4923</v>
      </c>
      <c r="E791" s="1" t="s">
        <v>3816</v>
      </c>
      <c r="F791" s="1" t="s">
        <v>5792</v>
      </c>
      <c r="G791" s="1" t="s">
        <v>74</v>
      </c>
      <c r="H791" s="1" t="s">
        <v>5735</v>
      </c>
      <c r="I791" s="1" t="s">
        <v>101</v>
      </c>
      <c r="J791" s="1" t="s">
        <v>5846</v>
      </c>
      <c r="K791" s="1" t="s">
        <v>165</v>
      </c>
      <c r="L791" s="4">
        <v>29999</v>
      </c>
      <c r="M791" s="1" t="s">
        <v>1082</v>
      </c>
    </row>
    <row r="792" spans="1:13" ht="15.75" customHeight="1" x14ac:dyDescent="0.35">
      <c r="A792" s="1" t="s">
        <v>112</v>
      </c>
      <c r="B792" s="1" t="s">
        <v>5810</v>
      </c>
      <c r="C792" s="1" t="s">
        <v>5810</v>
      </c>
      <c r="D792" s="1" t="s">
        <v>5735</v>
      </c>
      <c r="E792" s="1" t="s">
        <v>3816</v>
      </c>
      <c r="F792" s="1" t="s">
        <v>5795</v>
      </c>
      <c r="G792" s="1" t="s">
        <v>74</v>
      </c>
      <c r="H792" s="1" t="s">
        <v>5735</v>
      </c>
      <c r="I792" s="1" t="s">
        <v>101</v>
      </c>
      <c r="J792" s="1" t="s">
        <v>4092</v>
      </c>
      <c r="K792" s="1" t="s">
        <v>78</v>
      </c>
      <c r="L792" s="4">
        <v>16199</v>
      </c>
      <c r="M792" s="1" t="s">
        <v>5735</v>
      </c>
    </row>
    <row r="793" spans="1:13" ht="15.75" customHeight="1" x14ac:dyDescent="0.35">
      <c r="A793" s="1" t="s">
        <v>112</v>
      </c>
      <c r="B793" s="1" t="s">
        <v>5810</v>
      </c>
      <c r="C793" s="1" t="s">
        <v>5835</v>
      </c>
      <c r="D793" s="1" t="s">
        <v>5735</v>
      </c>
      <c r="E793" s="1" t="s">
        <v>3231</v>
      </c>
      <c r="F793" s="1" t="s">
        <v>5830</v>
      </c>
      <c r="G793" s="1" t="s">
        <v>3829</v>
      </c>
      <c r="H793" s="1" t="s">
        <v>5735</v>
      </c>
      <c r="I793" s="1" t="s">
        <v>101</v>
      </c>
      <c r="J793" s="1" t="s">
        <v>3276</v>
      </c>
      <c r="K793" s="1" t="s">
        <v>78</v>
      </c>
      <c r="L793" s="4">
        <v>11777</v>
      </c>
      <c r="M793" s="1" t="s">
        <v>1082</v>
      </c>
    </row>
    <row r="794" spans="1:13" ht="15.75" customHeight="1" x14ac:dyDescent="0.35">
      <c r="A794" s="1" t="s">
        <v>81</v>
      </c>
      <c r="B794" s="1" t="s">
        <v>5782</v>
      </c>
      <c r="C794" s="1" t="s">
        <v>5794</v>
      </c>
      <c r="D794" s="1" t="s">
        <v>4923</v>
      </c>
      <c r="E794" s="1" t="s">
        <v>3231</v>
      </c>
      <c r="F794" s="1" t="s">
        <v>5830</v>
      </c>
      <c r="G794" s="1" t="s">
        <v>3829</v>
      </c>
      <c r="H794" s="1" t="s">
        <v>5735</v>
      </c>
      <c r="I794" s="1" t="s">
        <v>101</v>
      </c>
      <c r="J794" s="1" t="s">
        <v>4092</v>
      </c>
      <c r="K794" s="1" t="s">
        <v>78</v>
      </c>
      <c r="L794" s="4">
        <v>19999</v>
      </c>
      <c r="M794" s="1" t="s">
        <v>1082</v>
      </c>
    </row>
    <row r="795" spans="1:13" ht="15.75" customHeight="1" x14ac:dyDescent="0.35">
      <c r="A795" s="1" t="s">
        <v>81</v>
      </c>
      <c r="B795" s="1" t="s">
        <v>5782</v>
      </c>
      <c r="C795" s="1" t="s">
        <v>5794</v>
      </c>
      <c r="D795" s="1" t="s">
        <v>5735</v>
      </c>
      <c r="E795" s="1" t="s">
        <v>3816</v>
      </c>
      <c r="F795" s="1" t="s">
        <v>5830</v>
      </c>
      <c r="G795" s="1" t="s">
        <v>74</v>
      </c>
      <c r="H795" s="1" t="s">
        <v>5735</v>
      </c>
      <c r="I795" s="1" t="s">
        <v>101</v>
      </c>
      <c r="J795" s="1" t="s">
        <v>4092</v>
      </c>
      <c r="K795" s="1" t="s">
        <v>78</v>
      </c>
      <c r="L795" s="4">
        <v>16666</v>
      </c>
      <c r="M795" s="1" t="s">
        <v>1082</v>
      </c>
    </row>
    <row r="796" spans="1:13" ht="15.75" customHeight="1" x14ac:dyDescent="0.35">
      <c r="A796" s="1" t="s">
        <v>30</v>
      </c>
      <c r="B796" s="1" t="s">
        <v>5810</v>
      </c>
      <c r="C796" s="1" t="s">
        <v>5794</v>
      </c>
      <c r="D796" s="1" t="s">
        <v>5735</v>
      </c>
      <c r="E796" s="1" t="s">
        <v>3816</v>
      </c>
      <c r="F796" s="1" t="s">
        <v>5795</v>
      </c>
      <c r="G796" s="1" t="s">
        <v>74</v>
      </c>
      <c r="H796" s="1" t="s">
        <v>5735</v>
      </c>
      <c r="I796" s="1" t="s">
        <v>5735</v>
      </c>
      <c r="J796" s="1" t="s">
        <v>4249</v>
      </c>
      <c r="K796" s="1" t="s">
        <v>78</v>
      </c>
      <c r="L796" s="4">
        <v>20250</v>
      </c>
      <c r="M796" s="1" t="s">
        <v>1082</v>
      </c>
    </row>
    <row r="797" spans="1:13" ht="15.75" customHeight="1" x14ac:dyDescent="0.35">
      <c r="A797" s="1" t="s">
        <v>234</v>
      </c>
      <c r="B797" s="1" t="s">
        <v>5810</v>
      </c>
      <c r="C797" s="1" t="s">
        <v>5800</v>
      </c>
      <c r="D797" s="1" t="s">
        <v>4923</v>
      </c>
      <c r="E797" s="1" t="s">
        <v>3816</v>
      </c>
      <c r="F797" s="1" t="s">
        <v>5795</v>
      </c>
      <c r="G797" s="1" t="s">
        <v>74</v>
      </c>
      <c r="H797" s="1" t="s">
        <v>5819</v>
      </c>
      <c r="I797" s="1" t="s">
        <v>90</v>
      </c>
      <c r="J797" s="1" t="s">
        <v>359</v>
      </c>
      <c r="K797" s="1" t="s">
        <v>78</v>
      </c>
      <c r="L797" s="4">
        <v>19999</v>
      </c>
      <c r="M797" s="1" t="s">
        <v>1082</v>
      </c>
    </row>
    <row r="798" spans="1:13" ht="15.75" customHeight="1" x14ac:dyDescent="0.35">
      <c r="A798" s="1" t="s">
        <v>151</v>
      </c>
      <c r="B798" s="1" t="s">
        <v>5763</v>
      </c>
      <c r="C798" s="1" t="s">
        <v>5800</v>
      </c>
      <c r="D798" s="1" t="s">
        <v>4923</v>
      </c>
      <c r="E798" s="1" t="s">
        <v>3231</v>
      </c>
      <c r="F798" s="1" t="s">
        <v>5792</v>
      </c>
      <c r="G798" s="1" t="s">
        <v>74</v>
      </c>
      <c r="H798" s="1" t="s">
        <v>5735</v>
      </c>
      <c r="I798" s="1" t="s">
        <v>101</v>
      </c>
      <c r="J798" s="1" t="s">
        <v>1609</v>
      </c>
      <c r="K798" s="1" t="s">
        <v>78</v>
      </c>
      <c r="L798" s="4">
        <v>20999</v>
      </c>
      <c r="M798" s="1" t="s">
        <v>1082</v>
      </c>
    </row>
    <row r="799" spans="1:13" ht="15.75" customHeight="1" x14ac:dyDescent="0.35">
      <c r="A799" s="1" t="s">
        <v>4553</v>
      </c>
      <c r="B799" s="1" t="s">
        <v>5810</v>
      </c>
      <c r="C799" s="1" t="s">
        <v>5800</v>
      </c>
      <c r="D799" s="1" t="s">
        <v>5735</v>
      </c>
      <c r="E799" s="1" t="s">
        <v>3816</v>
      </c>
      <c r="F799" s="1" t="s">
        <v>5795</v>
      </c>
      <c r="G799" s="1" t="s">
        <v>74</v>
      </c>
      <c r="H799" s="1" t="s">
        <v>5735</v>
      </c>
      <c r="I799" s="1" t="s">
        <v>90</v>
      </c>
      <c r="J799" s="1" t="s">
        <v>4562</v>
      </c>
      <c r="K799" s="1" t="s">
        <v>78</v>
      </c>
      <c r="L799" s="4">
        <v>12500</v>
      </c>
      <c r="M799" s="1" t="s">
        <v>2181</v>
      </c>
    </row>
    <row r="800" spans="1:13" ht="15.75" customHeight="1" x14ac:dyDescent="0.35">
      <c r="A800" s="1" t="s">
        <v>112</v>
      </c>
      <c r="B800" s="1" t="s">
        <v>5810</v>
      </c>
      <c r="C800" s="1" t="s">
        <v>5808</v>
      </c>
      <c r="D800" s="1" t="s">
        <v>5735</v>
      </c>
      <c r="E800" s="1" t="s">
        <v>3816</v>
      </c>
      <c r="F800" s="1" t="s">
        <v>5795</v>
      </c>
      <c r="G800" s="1" t="s">
        <v>74</v>
      </c>
      <c r="H800" s="1" t="s">
        <v>5735</v>
      </c>
      <c r="I800" s="1" t="s">
        <v>90</v>
      </c>
      <c r="J800" s="1" t="s">
        <v>4092</v>
      </c>
      <c r="K800" s="1" t="s">
        <v>78</v>
      </c>
      <c r="L800" s="4">
        <v>21499</v>
      </c>
      <c r="M800" s="1" t="s">
        <v>5735</v>
      </c>
    </row>
    <row r="801" spans="1:13" ht="15.75" customHeight="1" x14ac:dyDescent="0.35">
      <c r="A801" s="1" t="s">
        <v>112</v>
      </c>
      <c r="B801" s="1" t="s">
        <v>5810</v>
      </c>
      <c r="C801" s="1" t="s">
        <v>5815</v>
      </c>
      <c r="D801" s="1" t="s">
        <v>5735</v>
      </c>
      <c r="E801" s="1" t="s">
        <v>3816</v>
      </c>
      <c r="F801" s="1" t="s">
        <v>5795</v>
      </c>
      <c r="G801" s="1" t="s">
        <v>74</v>
      </c>
      <c r="H801" s="1" t="s">
        <v>5735</v>
      </c>
      <c r="I801" s="1" t="s">
        <v>101</v>
      </c>
      <c r="J801" s="1" t="s">
        <v>4092</v>
      </c>
      <c r="K801" s="1" t="s">
        <v>78</v>
      </c>
      <c r="L801" s="4">
        <v>14999</v>
      </c>
      <c r="M801" s="1" t="s">
        <v>5735</v>
      </c>
    </row>
    <row r="802" spans="1:13" ht="15.75" customHeight="1" x14ac:dyDescent="0.35">
      <c r="A802" s="1" t="s">
        <v>151</v>
      </c>
      <c r="B802" s="1" t="s">
        <v>5810</v>
      </c>
      <c r="C802" s="1" t="s">
        <v>5810</v>
      </c>
      <c r="D802" s="1" t="s">
        <v>5735</v>
      </c>
      <c r="E802" s="1" t="s">
        <v>3231</v>
      </c>
      <c r="F802" s="1" t="s">
        <v>5792</v>
      </c>
      <c r="G802" s="1" t="s">
        <v>3829</v>
      </c>
      <c r="H802" s="1" t="s">
        <v>5735</v>
      </c>
      <c r="I802" s="1" t="s">
        <v>5735</v>
      </c>
      <c r="J802" s="1" t="s">
        <v>3338</v>
      </c>
      <c r="K802" s="1" t="s">
        <v>78</v>
      </c>
      <c r="L802" s="4">
        <v>6499</v>
      </c>
      <c r="M802" s="1" t="s">
        <v>5735</v>
      </c>
    </row>
    <row r="803" spans="1:13" ht="15.75" customHeight="1" x14ac:dyDescent="0.35">
      <c r="A803" s="1" t="s">
        <v>3729</v>
      </c>
      <c r="B803" s="1" t="s">
        <v>5784</v>
      </c>
      <c r="C803" s="1" t="s">
        <v>5794</v>
      </c>
      <c r="D803" s="1" t="s">
        <v>5735</v>
      </c>
      <c r="E803" s="1" t="s">
        <v>3816</v>
      </c>
      <c r="F803" s="1" t="s">
        <v>5830</v>
      </c>
      <c r="G803" s="1" t="s">
        <v>5847</v>
      </c>
      <c r="H803" s="1" t="s">
        <v>5735</v>
      </c>
      <c r="I803" s="1" t="s">
        <v>90</v>
      </c>
      <c r="J803" s="1" t="s">
        <v>5851</v>
      </c>
      <c r="K803" s="1" t="s">
        <v>78</v>
      </c>
      <c r="L803" s="4">
        <v>65599</v>
      </c>
      <c r="M803" s="1" t="s">
        <v>166</v>
      </c>
    </row>
    <row r="804" spans="1:13" ht="15.75" customHeight="1" x14ac:dyDescent="0.35">
      <c r="A804" s="1" t="s">
        <v>234</v>
      </c>
      <c r="B804" s="1" t="s">
        <v>5810</v>
      </c>
      <c r="C804" s="1" t="s">
        <v>5794</v>
      </c>
      <c r="D804" s="1" t="s">
        <v>4923</v>
      </c>
      <c r="E804" s="1" t="s">
        <v>3816</v>
      </c>
      <c r="F804" s="1" t="s">
        <v>5795</v>
      </c>
      <c r="G804" s="1" t="s">
        <v>74</v>
      </c>
      <c r="H804" s="1" t="s">
        <v>5735</v>
      </c>
      <c r="I804" s="1" t="s">
        <v>90</v>
      </c>
      <c r="J804" s="1" t="s">
        <v>359</v>
      </c>
      <c r="K804" s="1" t="s">
        <v>165</v>
      </c>
      <c r="L804" s="4">
        <v>16999</v>
      </c>
      <c r="M804" s="1" t="s">
        <v>1082</v>
      </c>
    </row>
    <row r="805" spans="1:13" ht="15.75" customHeight="1" x14ac:dyDescent="0.35">
      <c r="A805" s="1" t="s">
        <v>81</v>
      </c>
      <c r="B805" s="1" t="s">
        <v>5782</v>
      </c>
      <c r="C805" s="1" t="s">
        <v>5808</v>
      </c>
      <c r="D805" s="1" t="s">
        <v>5735</v>
      </c>
      <c r="E805" s="1" t="s">
        <v>3816</v>
      </c>
      <c r="F805" s="1" t="s">
        <v>5795</v>
      </c>
      <c r="G805" s="1" t="s">
        <v>74</v>
      </c>
      <c r="H805" s="1" t="s">
        <v>5735</v>
      </c>
      <c r="I805" s="1" t="s">
        <v>101</v>
      </c>
      <c r="J805" s="1" t="s">
        <v>3321</v>
      </c>
      <c r="K805" s="1" t="s">
        <v>78</v>
      </c>
      <c r="L805" s="4">
        <v>21499</v>
      </c>
      <c r="M805" s="1" t="s">
        <v>5735</v>
      </c>
    </row>
    <row r="806" spans="1:13" ht="15.75" customHeight="1" x14ac:dyDescent="0.35">
      <c r="A806" s="1" t="s">
        <v>151</v>
      </c>
      <c r="B806" s="1" t="s">
        <v>5763</v>
      </c>
      <c r="C806" s="1" t="s">
        <v>5794</v>
      </c>
      <c r="D806" s="1" t="s">
        <v>4923</v>
      </c>
      <c r="E806" s="1" t="s">
        <v>3816</v>
      </c>
      <c r="F806" s="1" t="s">
        <v>5792</v>
      </c>
      <c r="G806" s="1" t="s">
        <v>74</v>
      </c>
      <c r="H806" s="1" t="s">
        <v>5735</v>
      </c>
      <c r="I806" s="1" t="s">
        <v>101</v>
      </c>
      <c r="J806" s="1" t="s">
        <v>1609</v>
      </c>
      <c r="K806" s="1" t="s">
        <v>78</v>
      </c>
      <c r="L806" s="4">
        <v>19999</v>
      </c>
      <c r="M806" s="1" t="s">
        <v>1082</v>
      </c>
    </row>
    <row r="807" spans="1:13" ht="15.75" customHeight="1" x14ac:dyDescent="0.35">
      <c r="A807" s="1" t="s">
        <v>151</v>
      </c>
      <c r="B807" s="1" t="s">
        <v>5763</v>
      </c>
      <c r="C807" s="1" t="s">
        <v>5800</v>
      </c>
      <c r="D807" s="1" t="s">
        <v>4923</v>
      </c>
      <c r="E807" s="1" t="s">
        <v>599</v>
      </c>
      <c r="F807" s="1" t="s">
        <v>5792</v>
      </c>
      <c r="G807" s="1" t="s">
        <v>224</v>
      </c>
      <c r="H807" s="1" t="s">
        <v>111</v>
      </c>
      <c r="I807" s="1" t="s">
        <v>101</v>
      </c>
      <c r="J807" s="1" t="s">
        <v>230</v>
      </c>
      <c r="K807" s="1" t="s">
        <v>78</v>
      </c>
      <c r="L807" s="4">
        <v>46749</v>
      </c>
      <c r="M807" s="1" t="s">
        <v>1082</v>
      </c>
    </row>
    <row r="808" spans="1:13" ht="15.75" customHeight="1" x14ac:dyDescent="0.35">
      <c r="A808" s="1" t="s">
        <v>151</v>
      </c>
      <c r="B808" s="1" t="s">
        <v>5763</v>
      </c>
      <c r="C808" s="1" t="s">
        <v>5808</v>
      </c>
      <c r="D808" s="1" t="s">
        <v>5735</v>
      </c>
      <c r="E808" s="1" t="s">
        <v>3816</v>
      </c>
      <c r="F808" s="1" t="s">
        <v>5795</v>
      </c>
      <c r="G808" s="1" t="s">
        <v>74</v>
      </c>
      <c r="H808" s="1" t="s">
        <v>5735</v>
      </c>
      <c r="I808" s="1" t="s">
        <v>90</v>
      </c>
      <c r="J808" s="1" t="s">
        <v>4389</v>
      </c>
      <c r="K808" s="1" t="s">
        <v>78</v>
      </c>
      <c r="L808" s="4">
        <v>19999</v>
      </c>
      <c r="M808" s="1" t="s">
        <v>5735</v>
      </c>
    </row>
    <row r="809" spans="1:13" ht="15.75" customHeight="1" x14ac:dyDescent="0.35">
      <c r="A809" s="1" t="s">
        <v>151</v>
      </c>
      <c r="B809" s="1" t="s">
        <v>5763</v>
      </c>
      <c r="C809" s="1" t="s">
        <v>5815</v>
      </c>
      <c r="D809" s="1" t="s">
        <v>5735</v>
      </c>
      <c r="E809" s="1" t="s">
        <v>3816</v>
      </c>
      <c r="F809" s="1" t="s">
        <v>5795</v>
      </c>
      <c r="G809" s="1" t="s">
        <v>74</v>
      </c>
      <c r="H809" s="1" t="s">
        <v>5735</v>
      </c>
      <c r="I809" s="1" t="s">
        <v>90</v>
      </c>
      <c r="J809" s="1" t="s">
        <v>1609</v>
      </c>
      <c r="K809" s="1" t="s">
        <v>78</v>
      </c>
      <c r="L809" s="4">
        <v>17999</v>
      </c>
      <c r="M809" s="1" t="s">
        <v>5735</v>
      </c>
    </row>
    <row r="810" spans="1:13" ht="15.75" customHeight="1" x14ac:dyDescent="0.35">
      <c r="A810" s="1" t="s">
        <v>151</v>
      </c>
      <c r="B810" s="1" t="s">
        <v>5763</v>
      </c>
      <c r="C810" s="1" t="s">
        <v>5815</v>
      </c>
      <c r="D810" s="1" t="s">
        <v>5735</v>
      </c>
      <c r="E810" s="1" t="s">
        <v>3816</v>
      </c>
      <c r="F810" s="1" t="s">
        <v>5795</v>
      </c>
      <c r="G810" s="1" t="s">
        <v>74</v>
      </c>
      <c r="H810" s="1" t="s">
        <v>5735</v>
      </c>
      <c r="I810" s="1" t="s">
        <v>101</v>
      </c>
      <c r="J810" s="1" t="s">
        <v>1609</v>
      </c>
      <c r="K810" s="1" t="s">
        <v>78</v>
      </c>
      <c r="L810" s="4">
        <v>19349</v>
      </c>
      <c r="M810" s="1" t="s">
        <v>5735</v>
      </c>
    </row>
    <row r="811" spans="1:13" ht="15.75" customHeight="1" x14ac:dyDescent="0.35">
      <c r="A811" s="1" t="s">
        <v>151</v>
      </c>
      <c r="B811" s="1" t="s">
        <v>5763</v>
      </c>
      <c r="C811" s="1" t="s">
        <v>5835</v>
      </c>
      <c r="D811" s="1" t="s">
        <v>5735</v>
      </c>
      <c r="E811" s="1" t="s">
        <v>3231</v>
      </c>
      <c r="F811" s="1" t="s">
        <v>5792</v>
      </c>
      <c r="G811" s="1" t="s">
        <v>74</v>
      </c>
      <c r="H811" s="1" t="s">
        <v>5735</v>
      </c>
      <c r="I811" s="1" t="s">
        <v>90</v>
      </c>
      <c r="J811" s="1" t="s">
        <v>1609</v>
      </c>
      <c r="K811" s="1" t="s">
        <v>78</v>
      </c>
      <c r="L811" s="4">
        <v>14500</v>
      </c>
      <c r="M811" s="1" t="s">
        <v>1082</v>
      </c>
    </row>
    <row r="812" spans="1:13" ht="15.75" customHeight="1" x14ac:dyDescent="0.35">
      <c r="A812" s="1" t="s">
        <v>81</v>
      </c>
      <c r="B812" s="1" t="s">
        <v>5782</v>
      </c>
      <c r="C812" s="1" t="s">
        <v>5810</v>
      </c>
      <c r="D812" s="1" t="s">
        <v>5735</v>
      </c>
      <c r="E812" s="1" t="s">
        <v>3231</v>
      </c>
      <c r="F812" s="1" t="s">
        <v>5838</v>
      </c>
      <c r="G812" s="1" t="s">
        <v>3829</v>
      </c>
      <c r="H812" s="1" t="s">
        <v>5735</v>
      </c>
      <c r="I812" s="1" t="s">
        <v>101</v>
      </c>
      <c r="J812" s="1" t="s">
        <v>3321</v>
      </c>
      <c r="K812" s="1" t="s">
        <v>78</v>
      </c>
      <c r="L812" s="4">
        <v>8999</v>
      </c>
      <c r="M812" s="1" t="s">
        <v>5735</v>
      </c>
    </row>
    <row r="813" spans="1:13" ht="15.75" customHeight="1" x14ac:dyDescent="0.35">
      <c r="A813" s="1" t="s">
        <v>112</v>
      </c>
      <c r="B813" s="1" t="s">
        <v>5810</v>
      </c>
      <c r="C813" s="1" t="s">
        <v>5794</v>
      </c>
      <c r="D813" s="1" t="s">
        <v>5735</v>
      </c>
      <c r="E813" s="1" t="s">
        <v>3816</v>
      </c>
      <c r="F813" s="1" t="s">
        <v>5795</v>
      </c>
      <c r="G813" s="1" t="s">
        <v>3829</v>
      </c>
      <c r="H813" s="1" t="s">
        <v>5735</v>
      </c>
      <c r="I813" s="1" t="s">
        <v>101</v>
      </c>
      <c r="J813" s="1" t="s">
        <v>4092</v>
      </c>
      <c r="K813" s="1" t="s">
        <v>78</v>
      </c>
      <c r="L813" s="4">
        <v>18400</v>
      </c>
      <c r="M813" s="1" t="s">
        <v>166</v>
      </c>
    </row>
    <row r="814" spans="1:13" ht="15.75" customHeight="1" x14ac:dyDescent="0.35">
      <c r="A814" s="1" t="s">
        <v>112</v>
      </c>
      <c r="B814" s="1" t="s">
        <v>5810</v>
      </c>
      <c r="C814" s="1" t="s">
        <v>5794</v>
      </c>
      <c r="D814" s="1" t="s">
        <v>4923</v>
      </c>
      <c r="E814" s="1" t="s">
        <v>3816</v>
      </c>
      <c r="F814" s="1" t="s">
        <v>5795</v>
      </c>
      <c r="G814" s="1" t="s">
        <v>3829</v>
      </c>
      <c r="H814" s="1" t="s">
        <v>5735</v>
      </c>
      <c r="I814" s="1" t="s">
        <v>101</v>
      </c>
      <c r="J814" s="1" t="s">
        <v>3276</v>
      </c>
      <c r="K814" s="1" t="s">
        <v>78</v>
      </c>
      <c r="L814" s="4">
        <v>20400</v>
      </c>
      <c r="M814" s="1" t="s">
        <v>1082</v>
      </c>
    </row>
    <row r="815" spans="1:13" ht="15.75" customHeight="1" x14ac:dyDescent="0.35">
      <c r="A815" s="1" t="s">
        <v>112</v>
      </c>
      <c r="B815" s="1" t="s">
        <v>5810</v>
      </c>
      <c r="C815" s="1" t="s">
        <v>5815</v>
      </c>
      <c r="D815" s="1" t="s">
        <v>5735</v>
      </c>
      <c r="E815" s="1" t="s">
        <v>3816</v>
      </c>
      <c r="F815" s="1" t="s">
        <v>5795</v>
      </c>
      <c r="G815" s="1" t="s">
        <v>74</v>
      </c>
      <c r="H815" s="1" t="s">
        <v>5735</v>
      </c>
      <c r="I815" s="1" t="s">
        <v>1722</v>
      </c>
      <c r="J815" s="1" t="s">
        <v>4092</v>
      </c>
      <c r="K815" s="1" t="s">
        <v>78</v>
      </c>
      <c r="L815" s="4">
        <v>15499</v>
      </c>
      <c r="M815" s="1" t="s">
        <v>5735</v>
      </c>
    </row>
    <row r="816" spans="1:13" ht="15.75" customHeight="1" x14ac:dyDescent="0.35">
      <c r="A816" s="1" t="s">
        <v>112</v>
      </c>
      <c r="B816" s="1" t="s">
        <v>5810</v>
      </c>
      <c r="C816" s="1" t="s">
        <v>5835</v>
      </c>
      <c r="D816" s="1" t="s">
        <v>5735</v>
      </c>
      <c r="E816" s="1" t="s">
        <v>3231</v>
      </c>
      <c r="F816" s="1" t="s">
        <v>5795</v>
      </c>
      <c r="G816" s="1" t="s">
        <v>3829</v>
      </c>
      <c r="H816" s="1" t="s">
        <v>5735</v>
      </c>
      <c r="I816" s="1" t="s">
        <v>101</v>
      </c>
      <c r="J816" s="1" t="s">
        <v>4092</v>
      </c>
      <c r="K816" s="1" t="s">
        <v>78</v>
      </c>
      <c r="L816" s="4">
        <v>12499</v>
      </c>
      <c r="M816" s="1" t="s">
        <v>166</v>
      </c>
    </row>
    <row r="817" spans="1:13" ht="15.75" customHeight="1" x14ac:dyDescent="0.35">
      <c r="A817" s="1" t="s">
        <v>234</v>
      </c>
      <c r="B817" s="1" t="s">
        <v>5810</v>
      </c>
      <c r="C817" s="1" t="s">
        <v>5835</v>
      </c>
      <c r="D817" s="1" t="s">
        <v>5735</v>
      </c>
      <c r="E817" s="1" t="s">
        <v>3231</v>
      </c>
      <c r="F817" s="1" t="s">
        <v>5830</v>
      </c>
      <c r="G817" s="1" t="s">
        <v>74</v>
      </c>
      <c r="H817" s="1" t="s">
        <v>5735</v>
      </c>
      <c r="I817" s="1" t="s">
        <v>90</v>
      </c>
      <c r="J817" s="1" t="s">
        <v>3338</v>
      </c>
      <c r="K817" s="1" t="s">
        <v>165</v>
      </c>
      <c r="L817" s="4">
        <v>12000</v>
      </c>
      <c r="M817" s="1" t="s">
        <v>1082</v>
      </c>
    </row>
    <row r="818" spans="1:13" ht="15.75" customHeight="1" x14ac:dyDescent="0.35">
      <c r="A818" s="1" t="s">
        <v>234</v>
      </c>
      <c r="B818" s="1" t="s">
        <v>5766</v>
      </c>
      <c r="C818" s="1" t="s">
        <v>5800</v>
      </c>
      <c r="D818" s="1" t="s">
        <v>4923</v>
      </c>
      <c r="E818" s="1" t="s">
        <v>599</v>
      </c>
      <c r="F818" s="1" t="s">
        <v>5795</v>
      </c>
      <c r="G818" s="1" t="s">
        <v>74</v>
      </c>
      <c r="H818" s="1" t="s">
        <v>5735</v>
      </c>
      <c r="I818" s="1" t="s">
        <v>90</v>
      </c>
      <c r="J818" s="1" t="s">
        <v>3892</v>
      </c>
      <c r="K818" s="1" t="s">
        <v>165</v>
      </c>
      <c r="L818" s="4">
        <v>27930</v>
      </c>
      <c r="M818" s="1" t="s">
        <v>1082</v>
      </c>
    </row>
    <row r="819" spans="1:13" ht="15.75" customHeight="1" x14ac:dyDescent="0.35">
      <c r="A819" s="1" t="s">
        <v>4381</v>
      </c>
      <c r="B819" s="1" t="s">
        <v>5785</v>
      </c>
      <c r="C819" s="1" t="s">
        <v>5794</v>
      </c>
      <c r="D819" s="1" t="s">
        <v>5735</v>
      </c>
      <c r="E819" s="1" t="s">
        <v>3816</v>
      </c>
      <c r="F819" s="1" t="s">
        <v>5795</v>
      </c>
      <c r="G819" s="1" t="s">
        <v>74</v>
      </c>
      <c r="H819" s="1" t="s">
        <v>5735</v>
      </c>
      <c r="I819" s="1" t="s">
        <v>101</v>
      </c>
      <c r="J819" s="1" t="s">
        <v>3928</v>
      </c>
      <c r="K819" s="1" t="s">
        <v>78</v>
      </c>
      <c r="L819" s="4">
        <v>17499</v>
      </c>
      <c r="M819" s="1" t="s">
        <v>1082</v>
      </c>
    </row>
    <row r="820" spans="1:13" ht="15.75" customHeight="1" x14ac:dyDescent="0.35">
      <c r="A820" s="1" t="s">
        <v>81</v>
      </c>
      <c r="B820" s="1" t="s">
        <v>5781</v>
      </c>
      <c r="C820" s="1" t="s">
        <v>5800</v>
      </c>
      <c r="D820" s="1" t="s">
        <v>4923</v>
      </c>
      <c r="E820" s="1" t="s">
        <v>599</v>
      </c>
      <c r="F820" s="1" t="s">
        <v>5795</v>
      </c>
      <c r="G820" s="1" t="s">
        <v>224</v>
      </c>
      <c r="H820" s="1" t="s">
        <v>5735</v>
      </c>
      <c r="I820" s="1" t="s">
        <v>90</v>
      </c>
      <c r="J820" s="1" t="s">
        <v>4562</v>
      </c>
      <c r="K820" s="1" t="s">
        <v>78</v>
      </c>
      <c r="L820" s="4">
        <v>35599</v>
      </c>
      <c r="M820" s="1" t="s">
        <v>1082</v>
      </c>
    </row>
    <row r="821" spans="1:13" ht="15.75" customHeight="1" x14ac:dyDescent="0.35">
      <c r="A821" s="1" t="s">
        <v>5735</v>
      </c>
      <c r="B821" s="1" t="s">
        <v>5810</v>
      </c>
      <c r="C821" s="1" t="s">
        <v>5808</v>
      </c>
      <c r="D821" s="1" t="s">
        <v>5735</v>
      </c>
      <c r="E821" s="1" t="s">
        <v>3816</v>
      </c>
      <c r="F821" s="1" t="s">
        <v>5795</v>
      </c>
      <c r="G821" s="1" t="s">
        <v>74</v>
      </c>
      <c r="H821" s="1" t="s">
        <v>5735</v>
      </c>
      <c r="I821" s="1" t="s">
        <v>90</v>
      </c>
      <c r="J821" s="1" t="s">
        <v>359</v>
      </c>
      <c r="K821" s="1" t="s">
        <v>165</v>
      </c>
      <c r="L821" s="4">
        <v>15499</v>
      </c>
      <c r="M821" s="1" t="s">
        <v>5735</v>
      </c>
    </row>
    <row r="822" spans="1:13" ht="15.75" customHeight="1" x14ac:dyDescent="0.35">
      <c r="A822" s="1" t="s">
        <v>5735</v>
      </c>
      <c r="B822" s="1" t="s">
        <v>5810</v>
      </c>
      <c r="C822" s="1" t="s">
        <v>5835</v>
      </c>
      <c r="D822" s="1" t="s">
        <v>5735</v>
      </c>
      <c r="E822" s="1" t="s">
        <v>3231</v>
      </c>
      <c r="F822" s="1" t="s">
        <v>5792</v>
      </c>
      <c r="G822" s="1" t="s">
        <v>74</v>
      </c>
      <c r="H822" s="1" t="s">
        <v>5735</v>
      </c>
      <c r="I822" s="1" t="s">
        <v>90</v>
      </c>
      <c r="J822" s="1" t="s">
        <v>359</v>
      </c>
      <c r="K822" s="1" t="s">
        <v>165</v>
      </c>
      <c r="L822" s="4">
        <v>10500</v>
      </c>
      <c r="M822" s="1" t="s">
        <v>2181</v>
      </c>
    </row>
    <row r="823" spans="1:13" ht="15.75" customHeight="1" x14ac:dyDescent="0.35">
      <c r="A823" s="1" t="s">
        <v>151</v>
      </c>
      <c r="B823" s="1" t="s">
        <v>5763</v>
      </c>
      <c r="C823" s="1" t="s">
        <v>5810</v>
      </c>
      <c r="D823" s="1" t="s">
        <v>5735</v>
      </c>
      <c r="E823" s="1" t="s">
        <v>3231</v>
      </c>
      <c r="F823" s="1" t="s">
        <v>5792</v>
      </c>
      <c r="G823" s="1" t="s">
        <v>3829</v>
      </c>
      <c r="H823" s="1" t="s">
        <v>5735</v>
      </c>
      <c r="I823" s="1" t="s">
        <v>101</v>
      </c>
      <c r="J823" s="1" t="s">
        <v>976</v>
      </c>
      <c r="K823" s="1" t="s">
        <v>78</v>
      </c>
      <c r="L823" s="4">
        <v>13499</v>
      </c>
      <c r="M823" s="1" t="s">
        <v>5735</v>
      </c>
    </row>
    <row r="824" spans="1:13" ht="15.75" customHeight="1" x14ac:dyDescent="0.35">
      <c r="A824" s="1" t="s">
        <v>112</v>
      </c>
      <c r="B824" s="1" t="s">
        <v>5810</v>
      </c>
      <c r="C824" s="1" t="s">
        <v>5835</v>
      </c>
      <c r="D824" s="1" t="s">
        <v>5735</v>
      </c>
      <c r="E824" s="1" t="s">
        <v>3231</v>
      </c>
      <c r="F824" s="1" t="s">
        <v>5792</v>
      </c>
      <c r="G824" s="1" t="s">
        <v>3829</v>
      </c>
      <c r="H824" s="1" t="s">
        <v>5735</v>
      </c>
      <c r="I824" s="1" t="s">
        <v>1722</v>
      </c>
      <c r="J824" s="1" t="s">
        <v>1670</v>
      </c>
      <c r="K824" s="1" t="s">
        <v>78</v>
      </c>
      <c r="L824" s="4">
        <v>10999</v>
      </c>
      <c r="M824" s="1" t="s">
        <v>2181</v>
      </c>
    </row>
    <row r="825" spans="1:13" ht="15.75" customHeight="1" x14ac:dyDescent="0.35">
      <c r="A825" s="1" t="s">
        <v>112</v>
      </c>
      <c r="B825" s="1" t="s">
        <v>5810</v>
      </c>
      <c r="C825" s="1" t="s">
        <v>5835</v>
      </c>
      <c r="D825" s="1" t="s">
        <v>5735</v>
      </c>
      <c r="E825" s="1" t="s">
        <v>3816</v>
      </c>
      <c r="F825" s="1" t="s">
        <v>5830</v>
      </c>
      <c r="G825" s="1" t="s">
        <v>74</v>
      </c>
      <c r="H825" s="1" t="s">
        <v>5735</v>
      </c>
      <c r="I825" s="1" t="s">
        <v>1722</v>
      </c>
      <c r="J825" s="1" t="s">
        <v>3276</v>
      </c>
      <c r="K825" s="1" t="s">
        <v>78</v>
      </c>
      <c r="L825" s="4">
        <v>11999</v>
      </c>
      <c r="M825" s="1" t="s">
        <v>1082</v>
      </c>
    </row>
    <row r="826" spans="1:13" ht="15.75" customHeight="1" x14ac:dyDescent="0.35">
      <c r="A826" s="1" t="s">
        <v>112</v>
      </c>
      <c r="B826" s="1" t="s">
        <v>5810</v>
      </c>
      <c r="C826" s="1" t="s">
        <v>5794</v>
      </c>
      <c r="D826" s="1" t="s">
        <v>5735</v>
      </c>
      <c r="E826" s="1" t="s">
        <v>3816</v>
      </c>
      <c r="F826" s="1" t="s">
        <v>5795</v>
      </c>
      <c r="G826" s="1" t="s">
        <v>3829</v>
      </c>
      <c r="H826" s="1" t="s">
        <v>5735</v>
      </c>
      <c r="I826" s="1" t="s">
        <v>101</v>
      </c>
      <c r="J826" s="1" t="s">
        <v>3713</v>
      </c>
      <c r="K826" s="1" t="s">
        <v>78</v>
      </c>
      <c r="L826" s="4">
        <v>12199</v>
      </c>
      <c r="M826" s="1" t="s">
        <v>1082</v>
      </c>
    </row>
    <row r="827" spans="1:13" ht="15.75" customHeight="1" x14ac:dyDescent="0.35">
      <c r="A827" s="1" t="s">
        <v>5852</v>
      </c>
      <c r="B827" s="1" t="s">
        <v>5810</v>
      </c>
      <c r="C827" s="1" t="s">
        <v>5800</v>
      </c>
      <c r="D827" s="1" t="s">
        <v>5735</v>
      </c>
      <c r="E827" s="1" t="s">
        <v>3816</v>
      </c>
      <c r="F827" s="1" t="s">
        <v>5795</v>
      </c>
      <c r="G827" s="1" t="s">
        <v>74</v>
      </c>
      <c r="H827" s="1" t="s">
        <v>5735</v>
      </c>
      <c r="I827" s="1" t="s">
        <v>101</v>
      </c>
      <c r="J827" s="1" t="s">
        <v>4054</v>
      </c>
      <c r="K827" s="1" t="s">
        <v>78</v>
      </c>
      <c r="L827" s="4">
        <v>23777</v>
      </c>
      <c r="M827" s="1" t="s">
        <v>2181</v>
      </c>
    </row>
    <row r="828" spans="1:13" ht="15.75" customHeight="1" x14ac:dyDescent="0.35">
      <c r="A828" s="1" t="s">
        <v>5852</v>
      </c>
      <c r="B828" s="1" t="s">
        <v>5810</v>
      </c>
      <c r="C828" s="1" t="s">
        <v>5794</v>
      </c>
      <c r="D828" s="1" t="s">
        <v>5735</v>
      </c>
      <c r="E828" s="1" t="s">
        <v>3816</v>
      </c>
      <c r="F828" s="1" t="s">
        <v>5830</v>
      </c>
      <c r="G828" s="1" t="s">
        <v>3829</v>
      </c>
      <c r="H828" s="1" t="s">
        <v>5735</v>
      </c>
      <c r="I828" s="1" t="s">
        <v>101</v>
      </c>
      <c r="J828" s="1" t="s">
        <v>4054</v>
      </c>
      <c r="K828" s="1" t="s">
        <v>78</v>
      </c>
      <c r="L828" s="4">
        <v>14999</v>
      </c>
      <c r="M828" s="1" t="s">
        <v>2181</v>
      </c>
    </row>
    <row r="829" spans="1:13" ht="15.75" customHeight="1" x14ac:dyDescent="0.35">
      <c r="A829" s="1" t="s">
        <v>112</v>
      </c>
      <c r="B829" s="1" t="s">
        <v>5810</v>
      </c>
      <c r="C829" s="1" t="s">
        <v>5800</v>
      </c>
      <c r="D829" s="1" t="s">
        <v>4923</v>
      </c>
      <c r="E829" s="1" t="s">
        <v>3816</v>
      </c>
      <c r="F829" s="1" t="s">
        <v>5795</v>
      </c>
      <c r="G829" s="1" t="s">
        <v>3829</v>
      </c>
      <c r="H829" s="1" t="s">
        <v>5735</v>
      </c>
      <c r="I829" s="1" t="s">
        <v>101</v>
      </c>
      <c r="J829" s="1" t="s">
        <v>3276</v>
      </c>
      <c r="K829" s="1" t="s">
        <v>78</v>
      </c>
      <c r="L829" s="4">
        <v>21999</v>
      </c>
      <c r="M829" s="1" t="s">
        <v>1082</v>
      </c>
    </row>
    <row r="830" spans="1:13" ht="15.75" customHeight="1" x14ac:dyDescent="0.35">
      <c r="A830" s="1" t="s">
        <v>112</v>
      </c>
      <c r="B830" s="1" t="s">
        <v>5810</v>
      </c>
      <c r="C830" s="1" t="s">
        <v>5810</v>
      </c>
      <c r="D830" s="1" t="s">
        <v>5735</v>
      </c>
      <c r="E830" s="1" t="s">
        <v>3231</v>
      </c>
      <c r="F830" s="1" t="s">
        <v>5792</v>
      </c>
      <c r="G830" s="1" t="s">
        <v>3829</v>
      </c>
      <c r="H830" s="1" t="s">
        <v>5735</v>
      </c>
      <c r="I830" s="1" t="s">
        <v>101</v>
      </c>
      <c r="J830" s="1" t="s">
        <v>3367</v>
      </c>
      <c r="K830" s="1" t="s">
        <v>78</v>
      </c>
      <c r="L830" s="4">
        <v>9999</v>
      </c>
      <c r="M830" s="1" t="s">
        <v>5735</v>
      </c>
    </row>
    <row r="831" spans="1:13" ht="15.75" customHeight="1" x14ac:dyDescent="0.35">
      <c r="A831" s="1" t="s">
        <v>5735</v>
      </c>
      <c r="B831" s="1" t="s">
        <v>5767</v>
      </c>
      <c r="C831" s="1" t="s">
        <v>5815</v>
      </c>
      <c r="D831" s="1" t="s">
        <v>4923</v>
      </c>
      <c r="E831" s="1" t="s">
        <v>3816</v>
      </c>
      <c r="F831" s="1" t="s">
        <v>5830</v>
      </c>
      <c r="G831" s="1" t="s">
        <v>74</v>
      </c>
      <c r="H831" s="1" t="s">
        <v>5735</v>
      </c>
      <c r="I831" s="1" t="s">
        <v>90</v>
      </c>
      <c r="J831" s="1" t="s">
        <v>4249</v>
      </c>
      <c r="K831" s="1" t="s">
        <v>78</v>
      </c>
      <c r="L831" s="4">
        <v>17499</v>
      </c>
      <c r="M831" s="1" t="s">
        <v>5735</v>
      </c>
    </row>
    <row r="832" spans="1:13" ht="15.75" customHeight="1" x14ac:dyDescent="0.35">
      <c r="A832" s="1" t="s">
        <v>151</v>
      </c>
      <c r="B832" s="1" t="s">
        <v>5763</v>
      </c>
      <c r="C832" s="1" t="s">
        <v>5835</v>
      </c>
      <c r="D832" s="1" t="s">
        <v>5735</v>
      </c>
      <c r="E832" s="1" t="s">
        <v>3231</v>
      </c>
      <c r="F832" s="1" t="s">
        <v>5792</v>
      </c>
      <c r="G832" s="1" t="s">
        <v>74</v>
      </c>
      <c r="H832" s="1" t="s">
        <v>5735</v>
      </c>
      <c r="I832" s="1" t="s">
        <v>101</v>
      </c>
      <c r="J832" s="1" t="s">
        <v>1609</v>
      </c>
      <c r="K832" s="1" t="s">
        <v>78</v>
      </c>
      <c r="L832" s="4">
        <v>10300</v>
      </c>
      <c r="M832" s="1" t="s">
        <v>1082</v>
      </c>
    </row>
    <row r="833" spans="1:13" ht="15.75" customHeight="1" x14ac:dyDescent="0.35">
      <c r="A833" s="1" t="s">
        <v>4381</v>
      </c>
      <c r="B833" s="1" t="s">
        <v>5785</v>
      </c>
      <c r="C833" s="1" t="s">
        <v>5794</v>
      </c>
      <c r="D833" s="1" t="s">
        <v>5735</v>
      </c>
      <c r="E833" s="1" t="s">
        <v>3816</v>
      </c>
      <c r="F833" s="1" t="s">
        <v>5830</v>
      </c>
      <c r="G833" s="1" t="s">
        <v>74</v>
      </c>
      <c r="H833" s="1" t="s">
        <v>5735</v>
      </c>
      <c r="I833" s="1" t="s">
        <v>90</v>
      </c>
      <c r="J833" s="1" t="s">
        <v>398</v>
      </c>
      <c r="K833" s="1" t="s">
        <v>78</v>
      </c>
      <c r="L833" s="4">
        <v>18999</v>
      </c>
      <c r="M833" s="1" t="s">
        <v>1082</v>
      </c>
    </row>
    <row r="834" spans="1:13" ht="15.75" customHeight="1" x14ac:dyDescent="0.35">
      <c r="A834" s="1" t="s">
        <v>4381</v>
      </c>
      <c r="B834" s="1" t="s">
        <v>5785</v>
      </c>
      <c r="C834" s="1" t="s">
        <v>5835</v>
      </c>
      <c r="D834" s="1" t="s">
        <v>5735</v>
      </c>
      <c r="E834" s="1" t="s">
        <v>3816</v>
      </c>
      <c r="F834" s="1" t="s">
        <v>5830</v>
      </c>
      <c r="G834" s="1" t="s">
        <v>74</v>
      </c>
      <c r="H834" s="1" t="s">
        <v>5735</v>
      </c>
      <c r="I834" s="1" t="s">
        <v>90</v>
      </c>
      <c r="J834" s="1" t="s">
        <v>398</v>
      </c>
      <c r="K834" s="1" t="s">
        <v>78</v>
      </c>
      <c r="L834" s="4">
        <v>13499</v>
      </c>
      <c r="M834" s="1" t="s">
        <v>1082</v>
      </c>
    </row>
    <row r="835" spans="1:13" ht="15.75" customHeight="1" x14ac:dyDescent="0.35">
      <c r="A835" s="1" t="s">
        <v>81</v>
      </c>
      <c r="B835" s="1" t="s">
        <v>5782</v>
      </c>
      <c r="C835" s="1" t="s">
        <v>5794</v>
      </c>
      <c r="D835" s="1" t="s">
        <v>4923</v>
      </c>
      <c r="E835" s="1" t="s">
        <v>3816</v>
      </c>
      <c r="F835" s="1" t="s">
        <v>5795</v>
      </c>
      <c r="G835" s="1" t="s">
        <v>74</v>
      </c>
      <c r="H835" s="1" t="s">
        <v>5735</v>
      </c>
      <c r="I835" s="1" t="s">
        <v>101</v>
      </c>
      <c r="J835" s="1" t="s">
        <v>3346</v>
      </c>
      <c r="K835" s="1" t="s">
        <v>78</v>
      </c>
      <c r="L835" s="4">
        <v>15549</v>
      </c>
      <c r="M835" s="1" t="s">
        <v>1082</v>
      </c>
    </row>
    <row r="836" spans="1:13" ht="15.75" customHeight="1" x14ac:dyDescent="0.35">
      <c r="A836" s="1" t="s">
        <v>3729</v>
      </c>
      <c r="B836" s="1" t="s">
        <v>5784</v>
      </c>
      <c r="C836" s="1" t="s">
        <v>5800</v>
      </c>
      <c r="D836" s="1" t="s">
        <v>5735</v>
      </c>
      <c r="E836" s="1" t="s">
        <v>599</v>
      </c>
      <c r="F836" s="1" t="s">
        <v>5795</v>
      </c>
      <c r="G836" s="1" t="s">
        <v>5847</v>
      </c>
      <c r="H836" s="1" t="s">
        <v>111</v>
      </c>
      <c r="I836" s="1" t="s">
        <v>90</v>
      </c>
      <c r="J836" s="1" t="s">
        <v>5392</v>
      </c>
      <c r="K836" s="1" t="s">
        <v>78</v>
      </c>
      <c r="L836" s="4">
        <v>76999</v>
      </c>
      <c r="M836" s="1" t="s">
        <v>1082</v>
      </c>
    </row>
    <row r="837" spans="1:13" ht="15.75" customHeight="1" x14ac:dyDescent="0.35">
      <c r="A837" s="1" t="s">
        <v>3729</v>
      </c>
      <c r="B837" s="1" t="s">
        <v>5784</v>
      </c>
      <c r="C837" s="1" t="s">
        <v>5800</v>
      </c>
      <c r="D837" s="1" t="s">
        <v>5735</v>
      </c>
      <c r="E837" s="1" t="s">
        <v>599</v>
      </c>
      <c r="F837" s="1" t="s">
        <v>5830</v>
      </c>
      <c r="G837" s="1" t="s">
        <v>5847</v>
      </c>
      <c r="H837" s="1" t="s">
        <v>111</v>
      </c>
      <c r="I837" s="1" t="s">
        <v>90</v>
      </c>
      <c r="J837" s="1" t="s">
        <v>5392</v>
      </c>
      <c r="K837" s="1" t="s">
        <v>78</v>
      </c>
      <c r="L837" s="4">
        <v>72999</v>
      </c>
      <c r="M837" s="1" t="s">
        <v>1082</v>
      </c>
    </row>
    <row r="838" spans="1:13" ht="15.75" customHeight="1" x14ac:dyDescent="0.35">
      <c r="A838" s="1" t="s">
        <v>151</v>
      </c>
      <c r="B838" s="1" t="s">
        <v>5810</v>
      </c>
      <c r="C838" s="1" t="s">
        <v>5810</v>
      </c>
      <c r="D838" s="1" t="s">
        <v>5735</v>
      </c>
      <c r="E838" s="1" t="s">
        <v>3231</v>
      </c>
      <c r="F838" s="1" t="s">
        <v>5792</v>
      </c>
      <c r="G838" s="1" t="s">
        <v>3829</v>
      </c>
      <c r="H838" s="1" t="s">
        <v>5735</v>
      </c>
      <c r="I838" s="1" t="s">
        <v>101</v>
      </c>
      <c r="J838" s="1" t="s">
        <v>976</v>
      </c>
      <c r="K838" s="1" t="s">
        <v>78</v>
      </c>
      <c r="L838" s="4">
        <v>7600</v>
      </c>
      <c r="M838" s="1" t="s">
        <v>5735</v>
      </c>
    </row>
    <row r="839" spans="1:13" ht="15.75" customHeight="1" x14ac:dyDescent="0.35">
      <c r="A839" s="1" t="s">
        <v>4553</v>
      </c>
      <c r="B839" s="1" t="s">
        <v>5810</v>
      </c>
      <c r="C839" s="1" t="s">
        <v>5835</v>
      </c>
      <c r="D839" s="1" t="s">
        <v>5735</v>
      </c>
      <c r="E839" s="1" t="s">
        <v>3816</v>
      </c>
      <c r="F839" s="1" t="s">
        <v>5830</v>
      </c>
      <c r="G839" s="1" t="s">
        <v>74</v>
      </c>
      <c r="H839" s="1" t="s">
        <v>5735</v>
      </c>
      <c r="I839" s="1" t="s">
        <v>1722</v>
      </c>
      <c r="J839" s="1" t="s">
        <v>4784</v>
      </c>
      <c r="K839" s="1" t="s">
        <v>78</v>
      </c>
      <c r="L839" s="4">
        <v>8499</v>
      </c>
      <c r="M839" s="1" t="s">
        <v>2181</v>
      </c>
    </row>
    <row r="840" spans="1:13" ht="15.75" customHeight="1" x14ac:dyDescent="0.35">
      <c r="A840" s="1" t="s">
        <v>112</v>
      </c>
      <c r="B840" s="1" t="s">
        <v>5810</v>
      </c>
      <c r="C840" s="1" t="s">
        <v>5794</v>
      </c>
      <c r="D840" s="1" t="s">
        <v>5735</v>
      </c>
      <c r="E840" s="1" t="s">
        <v>3816</v>
      </c>
      <c r="F840" s="1" t="s">
        <v>5830</v>
      </c>
      <c r="G840" s="1" t="s">
        <v>74</v>
      </c>
      <c r="H840" s="1" t="s">
        <v>5735</v>
      </c>
      <c r="I840" s="1" t="s">
        <v>1722</v>
      </c>
      <c r="J840" s="1" t="s">
        <v>4092</v>
      </c>
      <c r="K840" s="1" t="s">
        <v>78</v>
      </c>
      <c r="L840" s="4">
        <v>11749</v>
      </c>
      <c r="M840" s="1" t="s">
        <v>1082</v>
      </c>
    </row>
    <row r="841" spans="1:13" ht="15.75" customHeight="1" x14ac:dyDescent="0.35">
      <c r="A841" s="1" t="s">
        <v>112</v>
      </c>
      <c r="B841" s="1" t="s">
        <v>5779</v>
      </c>
      <c r="C841" s="1" t="s">
        <v>5794</v>
      </c>
      <c r="D841" s="1" t="s">
        <v>4923</v>
      </c>
      <c r="E841" s="1" t="s">
        <v>3816</v>
      </c>
      <c r="F841" s="1" t="s">
        <v>5795</v>
      </c>
      <c r="G841" s="1" t="s">
        <v>3829</v>
      </c>
      <c r="H841" s="1" t="s">
        <v>5735</v>
      </c>
      <c r="I841" s="1" t="s">
        <v>101</v>
      </c>
      <c r="J841" s="1" t="s">
        <v>3276</v>
      </c>
      <c r="K841" s="1" t="s">
        <v>78</v>
      </c>
      <c r="L841" s="4">
        <v>20999</v>
      </c>
      <c r="M841" s="1" t="s">
        <v>1082</v>
      </c>
    </row>
    <row r="842" spans="1:13" ht="15.75" customHeight="1" x14ac:dyDescent="0.35">
      <c r="A842" s="1" t="s">
        <v>112</v>
      </c>
      <c r="B842" s="1" t="s">
        <v>5810</v>
      </c>
      <c r="C842" s="1" t="s">
        <v>5794</v>
      </c>
      <c r="D842" s="1" t="s">
        <v>4923</v>
      </c>
      <c r="E842" s="1" t="s">
        <v>3231</v>
      </c>
      <c r="F842" s="1" t="s">
        <v>5795</v>
      </c>
      <c r="G842" s="1" t="s">
        <v>3829</v>
      </c>
      <c r="H842" s="1" t="s">
        <v>5735</v>
      </c>
      <c r="I842" s="1" t="s">
        <v>101</v>
      </c>
      <c r="J842" s="1" t="s">
        <v>3276</v>
      </c>
      <c r="K842" s="1" t="s">
        <v>78</v>
      </c>
      <c r="L842" s="4">
        <v>15499</v>
      </c>
      <c r="M842" s="1" t="s">
        <v>1082</v>
      </c>
    </row>
    <row r="843" spans="1:13" ht="15.75" customHeight="1" x14ac:dyDescent="0.35">
      <c r="A843" s="1" t="s">
        <v>5735</v>
      </c>
      <c r="B843" s="1" t="s">
        <v>5767</v>
      </c>
      <c r="C843" s="1" t="s">
        <v>5800</v>
      </c>
      <c r="D843" s="1" t="s">
        <v>4923</v>
      </c>
      <c r="E843" s="1" t="s">
        <v>599</v>
      </c>
      <c r="F843" s="1" t="s">
        <v>5792</v>
      </c>
      <c r="G843" s="1" t="s">
        <v>74</v>
      </c>
      <c r="H843" s="1" t="s">
        <v>5735</v>
      </c>
      <c r="I843" s="1" t="s">
        <v>1722</v>
      </c>
      <c r="J843" s="1" t="s">
        <v>3383</v>
      </c>
      <c r="K843" s="1" t="s">
        <v>165</v>
      </c>
      <c r="L843" s="4">
        <v>39349</v>
      </c>
      <c r="M843" s="1" t="s">
        <v>1082</v>
      </c>
    </row>
    <row r="844" spans="1:13" ht="15.75" customHeight="1" x14ac:dyDescent="0.35">
      <c r="A844" s="1" t="s">
        <v>5735</v>
      </c>
      <c r="B844" s="1" t="s">
        <v>5766</v>
      </c>
      <c r="C844" s="1" t="s">
        <v>5815</v>
      </c>
      <c r="D844" s="1" t="s">
        <v>5735</v>
      </c>
      <c r="E844" s="1" t="s">
        <v>3816</v>
      </c>
      <c r="F844" s="1" t="s">
        <v>5795</v>
      </c>
      <c r="G844" s="1" t="s">
        <v>74</v>
      </c>
      <c r="H844" s="1" t="s">
        <v>5735</v>
      </c>
      <c r="I844" s="1" t="s">
        <v>1722</v>
      </c>
      <c r="J844" s="1" t="s">
        <v>2584</v>
      </c>
      <c r="K844" s="1" t="s">
        <v>165</v>
      </c>
      <c r="L844" s="4">
        <v>21999</v>
      </c>
      <c r="M844" s="1" t="s">
        <v>5735</v>
      </c>
    </row>
    <row r="845" spans="1:13" ht="15.75" customHeight="1" x14ac:dyDescent="0.35">
      <c r="A845" s="1" t="s">
        <v>5735</v>
      </c>
      <c r="B845" s="1" t="s">
        <v>5767</v>
      </c>
      <c r="C845" s="1" t="s">
        <v>5808</v>
      </c>
      <c r="D845" s="1" t="s">
        <v>4923</v>
      </c>
      <c r="E845" s="1" t="s">
        <v>599</v>
      </c>
      <c r="F845" s="1" t="s">
        <v>5792</v>
      </c>
      <c r="G845" s="1" t="s">
        <v>74</v>
      </c>
      <c r="H845" s="1" t="s">
        <v>5735</v>
      </c>
      <c r="I845" s="1" t="s">
        <v>1722</v>
      </c>
      <c r="J845" s="1" t="s">
        <v>230</v>
      </c>
      <c r="K845" s="1" t="s">
        <v>165</v>
      </c>
      <c r="L845" s="4">
        <v>55000</v>
      </c>
      <c r="M845" s="1" t="s">
        <v>5735</v>
      </c>
    </row>
    <row r="846" spans="1:13" ht="15.75" customHeight="1" x14ac:dyDescent="0.35">
      <c r="A846" s="1" t="s">
        <v>4381</v>
      </c>
      <c r="B846" s="1" t="s">
        <v>5785</v>
      </c>
      <c r="C846" s="1" t="s">
        <v>5800</v>
      </c>
      <c r="D846" s="1" t="s">
        <v>5735</v>
      </c>
      <c r="E846" s="1" t="s">
        <v>599</v>
      </c>
      <c r="F846" s="1" t="s">
        <v>5795</v>
      </c>
      <c r="G846" s="1" t="s">
        <v>74</v>
      </c>
      <c r="H846" s="1" t="s">
        <v>5735</v>
      </c>
      <c r="I846" s="1" t="s">
        <v>90</v>
      </c>
      <c r="J846" s="1" t="s">
        <v>3928</v>
      </c>
      <c r="K846" s="1" t="s">
        <v>78</v>
      </c>
      <c r="L846" s="4">
        <v>23149</v>
      </c>
      <c r="M846" s="1" t="s">
        <v>1082</v>
      </c>
    </row>
    <row r="847" spans="1:13" ht="15.75" customHeight="1" x14ac:dyDescent="0.35">
      <c r="A847" s="1" t="s">
        <v>151</v>
      </c>
      <c r="B847" s="1" t="s">
        <v>5810</v>
      </c>
      <c r="C847" s="1" t="s">
        <v>5835</v>
      </c>
      <c r="D847" s="1" t="s">
        <v>5735</v>
      </c>
      <c r="E847" s="1" t="s">
        <v>3231</v>
      </c>
      <c r="F847" s="1" t="s">
        <v>5792</v>
      </c>
      <c r="G847" s="1" t="s">
        <v>74</v>
      </c>
      <c r="H847" s="1" t="s">
        <v>5735</v>
      </c>
      <c r="I847" s="1" t="s">
        <v>101</v>
      </c>
      <c r="J847" s="1" t="s">
        <v>3338</v>
      </c>
      <c r="K847" s="1" t="s">
        <v>78</v>
      </c>
      <c r="L847" s="4">
        <v>14499</v>
      </c>
      <c r="M847" s="1" t="s">
        <v>2181</v>
      </c>
    </row>
    <row r="848" spans="1:13" ht="15.75" customHeight="1" x14ac:dyDescent="0.35">
      <c r="A848" s="1" t="s">
        <v>30</v>
      </c>
      <c r="B848" s="1" t="s">
        <v>5810</v>
      </c>
      <c r="C848" s="1" t="s">
        <v>5800</v>
      </c>
      <c r="D848" s="1" t="s">
        <v>5735</v>
      </c>
      <c r="E848" s="1" t="s">
        <v>3816</v>
      </c>
      <c r="F848" s="1" t="s">
        <v>5795</v>
      </c>
      <c r="G848" s="1" t="s">
        <v>74</v>
      </c>
      <c r="H848" s="1" t="s">
        <v>5735</v>
      </c>
      <c r="I848" s="1" t="s">
        <v>90</v>
      </c>
      <c r="J848" s="1" t="s">
        <v>4249</v>
      </c>
      <c r="K848" s="1" t="s">
        <v>78</v>
      </c>
      <c r="L848" s="4">
        <v>23799</v>
      </c>
      <c r="M848" s="1" t="s">
        <v>1082</v>
      </c>
    </row>
    <row r="849" spans="1:13" ht="15.75" customHeight="1" x14ac:dyDescent="0.35">
      <c r="A849" s="1" t="s">
        <v>30</v>
      </c>
      <c r="B849" s="1" t="s">
        <v>5810</v>
      </c>
      <c r="C849" s="1" t="s">
        <v>5808</v>
      </c>
      <c r="D849" s="1" t="s">
        <v>5735</v>
      </c>
      <c r="E849" s="1" t="s">
        <v>3816</v>
      </c>
      <c r="F849" s="1" t="s">
        <v>5795</v>
      </c>
      <c r="G849" s="1" t="s">
        <v>74</v>
      </c>
      <c r="H849" s="1" t="s">
        <v>5735</v>
      </c>
      <c r="I849" s="1" t="s">
        <v>5735</v>
      </c>
      <c r="J849" s="1" t="s">
        <v>4249</v>
      </c>
      <c r="K849" s="1" t="s">
        <v>78</v>
      </c>
      <c r="L849" s="4">
        <v>21000</v>
      </c>
      <c r="M849" s="1" t="s">
        <v>5735</v>
      </c>
    </row>
    <row r="850" spans="1:13" ht="15.75" customHeight="1" x14ac:dyDescent="0.35">
      <c r="A850" s="1" t="s">
        <v>151</v>
      </c>
      <c r="B850" s="1" t="s">
        <v>5763</v>
      </c>
      <c r="C850" s="1" t="s">
        <v>5794</v>
      </c>
      <c r="D850" s="1" t="s">
        <v>5735</v>
      </c>
      <c r="E850" s="1" t="s">
        <v>3816</v>
      </c>
      <c r="F850" s="1" t="s">
        <v>5792</v>
      </c>
      <c r="G850" s="1" t="s">
        <v>74</v>
      </c>
      <c r="H850" s="1" t="s">
        <v>5735</v>
      </c>
      <c r="I850" s="1" t="s">
        <v>90</v>
      </c>
      <c r="J850" s="1" t="s">
        <v>2878</v>
      </c>
      <c r="K850" s="1" t="s">
        <v>78</v>
      </c>
      <c r="L850" s="4">
        <v>12099</v>
      </c>
      <c r="M850" s="1" t="s">
        <v>1082</v>
      </c>
    </row>
    <row r="851" spans="1:13" ht="15.75" customHeight="1" x14ac:dyDescent="0.35">
      <c r="A851" s="1" t="s">
        <v>112</v>
      </c>
      <c r="B851" s="1" t="s">
        <v>5779</v>
      </c>
      <c r="C851" s="1" t="s">
        <v>5835</v>
      </c>
      <c r="D851" s="1" t="s">
        <v>5735</v>
      </c>
      <c r="E851" s="1" t="s">
        <v>3231</v>
      </c>
      <c r="F851" s="1" t="s">
        <v>5830</v>
      </c>
      <c r="G851" s="1" t="s">
        <v>74</v>
      </c>
      <c r="H851" s="1" t="s">
        <v>5735</v>
      </c>
      <c r="I851" s="1" t="s">
        <v>90</v>
      </c>
      <c r="J851" s="1" t="s">
        <v>3928</v>
      </c>
      <c r="K851" s="1" t="s">
        <v>78</v>
      </c>
      <c r="L851" s="4">
        <v>17499</v>
      </c>
      <c r="M851" s="1" t="s">
        <v>1082</v>
      </c>
    </row>
    <row r="852" spans="1:13" ht="15.75" customHeight="1" x14ac:dyDescent="0.35">
      <c r="A852" s="1" t="s">
        <v>81</v>
      </c>
      <c r="B852" s="1" t="s">
        <v>5782</v>
      </c>
      <c r="C852" s="1" t="s">
        <v>5815</v>
      </c>
      <c r="D852" s="1" t="s">
        <v>5735</v>
      </c>
      <c r="E852" s="1" t="s">
        <v>599</v>
      </c>
      <c r="F852" s="1" t="s">
        <v>5795</v>
      </c>
      <c r="G852" s="1" t="s">
        <v>74</v>
      </c>
      <c r="H852" s="1" t="s">
        <v>5735</v>
      </c>
      <c r="I852" s="1" t="s">
        <v>101</v>
      </c>
      <c r="J852" s="1" t="s">
        <v>3321</v>
      </c>
      <c r="K852" s="1" t="s">
        <v>78</v>
      </c>
      <c r="L852" s="4">
        <v>12649</v>
      </c>
      <c r="M852" s="1" t="s">
        <v>5735</v>
      </c>
    </row>
    <row r="853" spans="1:13" ht="15.75" customHeight="1" x14ac:dyDescent="0.35">
      <c r="A853" s="1" t="s">
        <v>151</v>
      </c>
      <c r="B853" s="1" t="s">
        <v>5763</v>
      </c>
      <c r="C853" s="1" t="s">
        <v>5794</v>
      </c>
      <c r="D853" s="1" t="s">
        <v>4923</v>
      </c>
      <c r="E853" s="1" t="s">
        <v>3816</v>
      </c>
      <c r="F853" s="1" t="s">
        <v>5792</v>
      </c>
      <c r="G853" s="1" t="s">
        <v>74</v>
      </c>
      <c r="H853" s="1" t="s">
        <v>5735</v>
      </c>
      <c r="I853" s="1" t="s">
        <v>101</v>
      </c>
      <c r="J853" s="1" t="s">
        <v>1609</v>
      </c>
      <c r="K853" s="1" t="s">
        <v>78</v>
      </c>
      <c r="L853" s="4">
        <v>17999</v>
      </c>
      <c r="M853" s="1" t="s">
        <v>1082</v>
      </c>
    </row>
    <row r="854" spans="1:13" ht="15.75" customHeight="1" x14ac:dyDescent="0.35">
      <c r="A854" s="1" t="s">
        <v>112</v>
      </c>
      <c r="B854" s="1" t="s">
        <v>5779</v>
      </c>
      <c r="C854" s="1" t="s">
        <v>5794</v>
      </c>
      <c r="D854" s="1" t="s">
        <v>4923</v>
      </c>
      <c r="E854" s="1" t="s">
        <v>3816</v>
      </c>
      <c r="F854" s="1" t="s">
        <v>5795</v>
      </c>
      <c r="G854" s="1" t="s">
        <v>74</v>
      </c>
      <c r="H854" s="1" t="s">
        <v>5735</v>
      </c>
      <c r="I854" s="1" t="s">
        <v>1722</v>
      </c>
      <c r="J854" s="1" t="s">
        <v>3276</v>
      </c>
      <c r="K854" s="1" t="s">
        <v>78</v>
      </c>
      <c r="L854" s="4">
        <v>20999</v>
      </c>
      <c r="M854" s="1" t="s">
        <v>1082</v>
      </c>
    </row>
    <row r="855" spans="1:13" ht="15.75" customHeight="1" x14ac:dyDescent="0.35">
      <c r="A855" s="1" t="s">
        <v>112</v>
      </c>
      <c r="B855" s="1" t="s">
        <v>5779</v>
      </c>
      <c r="C855" s="1" t="s">
        <v>5794</v>
      </c>
      <c r="D855" s="1" t="s">
        <v>5735</v>
      </c>
      <c r="E855" s="1" t="s">
        <v>3816</v>
      </c>
      <c r="F855" s="1" t="s">
        <v>5795</v>
      </c>
      <c r="G855" s="1" t="s">
        <v>74</v>
      </c>
      <c r="H855" s="1" t="s">
        <v>5735</v>
      </c>
      <c r="I855" s="1" t="s">
        <v>1722</v>
      </c>
      <c r="J855" s="1" t="s">
        <v>4562</v>
      </c>
      <c r="K855" s="1" t="s">
        <v>78</v>
      </c>
      <c r="L855" s="4">
        <v>17999</v>
      </c>
      <c r="M855" s="1" t="s">
        <v>1082</v>
      </c>
    </row>
    <row r="856" spans="1:13" ht="15.75" customHeight="1" x14ac:dyDescent="0.35">
      <c r="A856" s="1" t="s">
        <v>112</v>
      </c>
      <c r="B856" s="1" t="s">
        <v>5779</v>
      </c>
      <c r="C856" s="1" t="s">
        <v>5794</v>
      </c>
      <c r="D856" s="1" t="s">
        <v>4923</v>
      </c>
      <c r="E856" s="1" t="s">
        <v>3816</v>
      </c>
      <c r="F856" s="1" t="s">
        <v>5792</v>
      </c>
      <c r="G856" s="1" t="s">
        <v>74</v>
      </c>
      <c r="H856" s="1" t="s">
        <v>5735</v>
      </c>
      <c r="I856" s="1" t="s">
        <v>1722</v>
      </c>
      <c r="J856" s="1" t="s">
        <v>3276</v>
      </c>
      <c r="K856" s="1" t="s">
        <v>78</v>
      </c>
      <c r="L856" s="4">
        <v>17499</v>
      </c>
      <c r="M856" s="1" t="s">
        <v>1082</v>
      </c>
    </row>
    <row r="857" spans="1:13" ht="15.75" customHeight="1" x14ac:dyDescent="0.35">
      <c r="A857" s="1" t="s">
        <v>112</v>
      </c>
      <c r="B857" s="1" t="s">
        <v>5810</v>
      </c>
      <c r="C857" s="1" t="s">
        <v>5800</v>
      </c>
      <c r="D857" s="1" t="s">
        <v>5735</v>
      </c>
      <c r="E857" s="1" t="s">
        <v>3816</v>
      </c>
      <c r="F857" s="1" t="s">
        <v>5795</v>
      </c>
      <c r="G857" s="1" t="s">
        <v>74</v>
      </c>
      <c r="H857" s="1" t="s">
        <v>5735</v>
      </c>
      <c r="I857" s="1" t="s">
        <v>101</v>
      </c>
      <c r="J857" s="1" t="s">
        <v>4873</v>
      </c>
      <c r="K857" s="1" t="s">
        <v>78</v>
      </c>
      <c r="L857" s="4">
        <v>20499</v>
      </c>
      <c r="M857" s="1" t="s">
        <v>1082</v>
      </c>
    </row>
    <row r="858" spans="1:13" ht="15.75" customHeight="1" x14ac:dyDescent="0.35">
      <c r="A858" s="1" t="s">
        <v>112</v>
      </c>
      <c r="B858" s="1" t="s">
        <v>5778</v>
      </c>
      <c r="C858" s="1" t="s">
        <v>5794</v>
      </c>
      <c r="D858" s="1" t="s">
        <v>5735</v>
      </c>
      <c r="E858" s="1" t="s">
        <v>3816</v>
      </c>
      <c r="F858" s="1" t="s">
        <v>5830</v>
      </c>
      <c r="G858" s="1" t="s">
        <v>74</v>
      </c>
      <c r="H858" s="1" t="s">
        <v>5735</v>
      </c>
      <c r="I858" s="1" t="s">
        <v>1722</v>
      </c>
      <c r="J858" s="1" t="s">
        <v>4884</v>
      </c>
      <c r="K858" s="1" t="s">
        <v>78</v>
      </c>
      <c r="L858" s="4">
        <v>19999</v>
      </c>
      <c r="M858" s="1" t="s">
        <v>1082</v>
      </c>
    </row>
    <row r="859" spans="1:13" ht="15.75" customHeight="1" x14ac:dyDescent="0.35">
      <c r="A859" s="1" t="s">
        <v>30</v>
      </c>
      <c r="B859" s="1" t="s">
        <v>5810</v>
      </c>
      <c r="C859" s="1" t="s">
        <v>5800</v>
      </c>
      <c r="D859" s="1" t="s">
        <v>5735</v>
      </c>
      <c r="E859" s="1" t="s">
        <v>3816</v>
      </c>
      <c r="F859" s="1" t="s">
        <v>5795</v>
      </c>
      <c r="G859" s="1" t="s">
        <v>74</v>
      </c>
      <c r="H859" s="1" t="s">
        <v>5735</v>
      </c>
      <c r="I859" s="1" t="s">
        <v>1722</v>
      </c>
      <c r="J859" s="1" t="s">
        <v>4249</v>
      </c>
      <c r="K859" s="1" t="s">
        <v>78</v>
      </c>
      <c r="L859" s="4">
        <v>17499</v>
      </c>
      <c r="M859" s="1" t="s">
        <v>1082</v>
      </c>
    </row>
    <row r="860" spans="1:13" ht="15.75" customHeight="1" x14ac:dyDescent="0.35">
      <c r="A860" s="1" t="s">
        <v>151</v>
      </c>
      <c r="B860" s="1" t="s">
        <v>5810</v>
      </c>
      <c r="C860" s="1" t="s">
        <v>5800</v>
      </c>
      <c r="D860" s="1" t="s">
        <v>5735</v>
      </c>
      <c r="E860" s="1" t="s">
        <v>5807</v>
      </c>
      <c r="F860" s="1" t="s">
        <v>5795</v>
      </c>
      <c r="G860" s="1" t="s">
        <v>74</v>
      </c>
      <c r="H860" s="1" t="s">
        <v>5735</v>
      </c>
      <c r="I860" s="1" t="s">
        <v>90</v>
      </c>
      <c r="J860" s="1" t="s">
        <v>230</v>
      </c>
      <c r="K860" s="1" t="s">
        <v>78</v>
      </c>
      <c r="L860" s="4">
        <v>39499</v>
      </c>
      <c r="M860" s="1" t="s">
        <v>1082</v>
      </c>
    </row>
    <row r="861" spans="1:13" ht="15.75" customHeight="1" x14ac:dyDescent="0.35">
      <c r="A861" s="1" t="s">
        <v>5735</v>
      </c>
      <c r="B861" s="1" t="s">
        <v>5810</v>
      </c>
      <c r="C861" s="1" t="s">
        <v>5794</v>
      </c>
      <c r="D861" s="1" t="s">
        <v>4923</v>
      </c>
      <c r="E861" s="1" t="s">
        <v>3816</v>
      </c>
      <c r="F861" s="1" t="s">
        <v>5795</v>
      </c>
      <c r="G861" s="1" t="s">
        <v>74</v>
      </c>
      <c r="H861" s="1" t="s">
        <v>5735</v>
      </c>
      <c r="I861" s="1" t="s">
        <v>1722</v>
      </c>
      <c r="J861" s="1" t="s">
        <v>359</v>
      </c>
      <c r="K861" s="1" t="s">
        <v>165</v>
      </c>
      <c r="L861" s="4">
        <v>17000</v>
      </c>
      <c r="M861" s="1" t="s">
        <v>1082</v>
      </c>
    </row>
    <row r="862" spans="1:13" ht="15.75" customHeight="1" x14ac:dyDescent="0.35">
      <c r="A862" s="1" t="s">
        <v>5735</v>
      </c>
      <c r="B862" s="1" t="s">
        <v>5810</v>
      </c>
      <c r="C862" s="1" t="s">
        <v>5800</v>
      </c>
      <c r="D862" s="1" t="s">
        <v>5735</v>
      </c>
      <c r="E862" s="1" t="s">
        <v>599</v>
      </c>
      <c r="F862" s="1" t="s">
        <v>5792</v>
      </c>
      <c r="G862" s="1" t="s">
        <v>5827</v>
      </c>
      <c r="H862" s="1" t="s">
        <v>5735</v>
      </c>
      <c r="I862" s="1" t="s">
        <v>1722</v>
      </c>
      <c r="J862" s="1" t="s">
        <v>5842</v>
      </c>
      <c r="K862" s="1" t="s">
        <v>165</v>
      </c>
      <c r="L862" s="4">
        <v>38150</v>
      </c>
      <c r="M862" s="1" t="s">
        <v>1082</v>
      </c>
    </row>
    <row r="863" spans="1:13" ht="15.75" customHeight="1" x14ac:dyDescent="0.35">
      <c r="A863" s="1" t="s">
        <v>81</v>
      </c>
      <c r="B863" s="1" t="s">
        <v>5782</v>
      </c>
      <c r="C863" s="1" t="s">
        <v>5794</v>
      </c>
      <c r="D863" s="1" t="s">
        <v>4923</v>
      </c>
      <c r="E863" s="1" t="s">
        <v>3816</v>
      </c>
      <c r="F863" s="1" t="s">
        <v>5792</v>
      </c>
      <c r="G863" s="1" t="s">
        <v>3829</v>
      </c>
      <c r="H863" s="1" t="s">
        <v>5735</v>
      </c>
      <c r="I863" s="1" t="s">
        <v>101</v>
      </c>
      <c r="J863" s="1" t="s">
        <v>3367</v>
      </c>
      <c r="K863" s="1" t="s">
        <v>78</v>
      </c>
      <c r="L863" s="4">
        <v>18000</v>
      </c>
      <c r="M863" s="1" t="s">
        <v>1082</v>
      </c>
    </row>
    <row r="864" spans="1:13" ht="15.75" customHeight="1" x14ac:dyDescent="0.35">
      <c r="A864" s="1" t="s">
        <v>81</v>
      </c>
      <c r="B864" s="1" t="s">
        <v>5782</v>
      </c>
      <c r="C864" s="1" t="s">
        <v>5800</v>
      </c>
      <c r="D864" s="1" t="s">
        <v>4923</v>
      </c>
      <c r="E864" s="1" t="s">
        <v>3816</v>
      </c>
      <c r="F864" s="1" t="s">
        <v>5795</v>
      </c>
      <c r="G864" s="1" t="s">
        <v>74</v>
      </c>
      <c r="H864" s="1" t="s">
        <v>5735</v>
      </c>
      <c r="I864" s="1" t="s">
        <v>101</v>
      </c>
      <c r="J864" s="1" t="s">
        <v>4092</v>
      </c>
      <c r="K864" s="1" t="s">
        <v>78</v>
      </c>
      <c r="L864" s="4">
        <v>26499</v>
      </c>
      <c r="M864" s="1" t="s">
        <v>1082</v>
      </c>
    </row>
    <row r="865" spans="1:13" ht="15.75" customHeight="1" x14ac:dyDescent="0.35">
      <c r="A865" s="1" t="s">
        <v>81</v>
      </c>
      <c r="B865" s="1" t="s">
        <v>5782</v>
      </c>
      <c r="C865" s="1" t="s">
        <v>5800</v>
      </c>
      <c r="D865" s="1" t="s">
        <v>4923</v>
      </c>
      <c r="E865" s="1" t="s">
        <v>599</v>
      </c>
      <c r="F865" s="1" t="s">
        <v>5792</v>
      </c>
      <c r="G865" s="1" t="s">
        <v>74</v>
      </c>
      <c r="H865" s="1" t="s">
        <v>5735</v>
      </c>
      <c r="I865" s="1" t="s">
        <v>101</v>
      </c>
      <c r="J865" s="1" t="s">
        <v>4092</v>
      </c>
      <c r="K865" s="1" t="s">
        <v>78</v>
      </c>
      <c r="L865" s="4">
        <v>27499</v>
      </c>
      <c r="M865" s="1" t="s">
        <v>1082</v>
      </c>
    </row>
    <row r="866" spans="1:13" ht="15.75" customHeight="1" x14ac:dyDescent="0.35">
      <c r="A866" s="1" t="s">
        <v>112</v>
      </c>
      <c r="B866" s="1" t="s">
        <v>5779</v>
      </c>
      <c r="C866" s="1" t="s">
        <v>5800</v>
      </c>
      <c r="D866" s="1" t="s">
        <v>5735</v>
      </c>
      <c r="E866" s="1" t="s">
        <v>599</v>
      </c>
      <c r="F866" s="1" t="s">
        <v>5795</v>
      </c>
      <c r="G866" s="1" t="s">
        <v>74</v>
      </c>
      <c r="H866" s="1" t="s">
        <v>5735</v>
      </c>
      <c r="I866" s="1" t="s">
        <v>90</v>
      </c>
      <c r="J866" s="1" t="s">
        <v>3302</v>
      </c>
      <c r="K866" s="1" t="s">
        <v>78</v>
      </c>
      <c r="L866" s="4">
        <v>31500</v>
      </c>
      <c r="M866" s="1" t="s">
        <v>1082</v>
      </c>
    </row>
    <row r="867" spans="1:13" ht="15.75" customHeight="1" x14ac:dyDescent="0.35">
      <c r="A867" s="1" t="s">
        <v>81</v>
      </c>
      <c r="B867" s="1" t="s">
        <v>5782</v>
      </c>
      <c r="C867" s="1" t="s">
        <v>5800</v>
      </c>
      <c r="D867" s="1" t="s">
        <v>4923</v>
      </c>
      <c r="E867" s="1" t="s">
        <v>3816</v>
      </c>
      <c r="F867" s="1" t="s">
        <v>5795</v>
      </c>
      <c r="G867" s="1" t="s">
        <v>74</v>
      </c>
      <c r="H867" s="1" t="s">
        <v>5735</v>
      </c>
      <c r="I867" s="1" t="s">
        <v>101</v>
      </c>
      <c r="J867" s="1" t="s">
        <v>3346</v>
      </c>
      <c r="K867" s="1" t="s">
        <v>78</v>
      </c>
      <c r="L867" s="4">
        <v>18549</v>
      </c>
      <c r="M867" s="1" t="s">
        <v>1082</v>
      </c>
    </row>
    <row r="868" spans="1:13" ht="15.75" customHeight="1" x14ac:dyDescent="0.35">
      <c r="A868" s="1" t="s">
        <v>5735</v>
      </c>
      <c r="B868" s="1" t="s">
        <v>5810</v>
      </c>
      <c r="C868" s="1" t="s">
        <v>5800</v>
      </c>
      <c r="D868" s="1" t="s">
        <v>5735</v>
      </c>
      <c r="E868" s="1" t="s">
        <v>599</v>
      </c>
      <c r="F868" s="1" t="s">
        <v>5792</v>
      </c>
      <c r="G868" s="1" t="s">
        <v>74</v>
      </c>
      <c r="H868" s="1" t="s">
        <v>5735</v>
      </c>
      <c r="I868" s="1" t="s">
        <v>90</v>
      </c>
      <c r="J868" s="1" t="s">
        <v>4249</v>
      </c>
      <c r="K868" s="1" t="s">
        <v>78</v>
      </c>
      <c r="L868" s="4">
        <v>42700</v>
      </c>
      <c r="M868" s="1" t="s">
        <v>1082</v>
      </c>
    </row>
    <row r="869" spans="1:13" ht="15.75" customHeight="1" x14ac:dyDescent="0.35">
      <c r="A869" s="1" t="s">
        <v>5735</v>
      </c>
      <c r="B869" s="1" t="s">
        <v>5810</v>
      </c>
      <c r="C869" s="1" t="s">
        <v>5800</v>
      </c>
      <c r="D869" s="1" t="s">
        <v>4923</v>
      </c>
      <c r="E869" s="1" t="s">
        <v>3816</v>
      </c>
      <c r="F869" s="1" t="s">
        <v>5795</v>
      </c>
      <c r="G869" s="1" t="s">
        <v>74</v>
      </c>
      <c r="H869" s="1" t="s">
        <v>5735</v>
      </c>
      <c r="I869" s="1" t="s">
        <v>1722</v>
      </c>
      <c r="J869" s="1" t="s">
        <v>359</v>
      </c>
      <c r="K869" s="1" t="s">
        <v>165</v>
      </c>
      <c r="L869" s="4">
        <v>18250</v>
      </c>
      <c r="M869" s="1" t="s">
        <v>1082</v>
      </c>
    </row>
    <row r="870" spans="1:13" ht="15.75" customHeight="1" x14ac:dyDescent="0.35">
      <c r="A870" s="1" t="s">
        <v>151</v>
      </c>
      <c r="B870" s="1" t="s">
        <v>5810</v>
      </c>
      <c r="C870" s="1" t="s">
        <v>5794</v>
      </c>
      <c r="D870" s="1" t="s">
        <v>5735</v>
      </c>
      <c r="E870" s="1" t="s">
        <v>3816</v>
      </c>
      <c r="F870" s="1" t="s">
        <v>5792</v>
      </c>
      <c r="G870" s="1" t="s">
        <v>74</v>
      </c>
      <c r="H870" s="1" t="s">
        <v>5735</v>
      </c>
      <c r="I870" s="1" t="s">
        <v>101</v>
      </c>
      <c r="J870" s="1" t="s">
        <v>4389</v>
      </c>
      <c r="K870" s="1" t="s">
        <v>78</v>
      </c>
      <c r="L870" s="4">
        <v>28000</v>
      </c>
      <c r="M870" s="1" t="s">
        <v>1082</v>
      </c>
    </row>
    <row r="871" spans="1:13" ht="15.75" customHeight="1" x14ac:dyDescent="0.35">
      <c r="A871" s="1" t="s">
        <v>81</v>
      </c>
      <c r="B871" s="1" t="s">
        <v>5782</v>
      </c>
      <c r="C871" s="1" t="s">
        <v>5794</v>
      </c>
      <c r="D871" s="1" t="s">
        <v>4923</v>
      </c>
      <c r="E871" s="1" t="s">
        <v>3231</v>
      </c>
      <c r="F871" s="1" t="s">
        <v>5792</v>
      </c>
      <c r="G871" s="1" t="s">
        <v>3829</v>
      </c>
      <c r="H871" s="1" t="s">
        <v>5735</v>
      </c>
      <c r="I871" s="1" t="s">
        <v>101</v>
      </c>
      <c r="J871" s="1" t="s">
        <v>4092</v>
      </c>
      <c r="K871" s="1" t="s">
        <v>78</v>
      </c>
      <c r="L871" s="4">
        <v>25000</v>
      </c>
      <c r="M871" s="1" t="s">
        <v>1082</v>
      </c>
    </row>
    <row r="872" spans="1:13" ht="15.75" customHeight="1" x14ac:dyDescent="0.35">
      <c r="A872" s="1" t="s">
        <v>112</v>
      </c>
      <c r="B872" s="1" t="s">
        <v>5810</v>
      </c>
      <c r="C872" s="1" t="s">
        <v>5794</v>
      </c>
      <c r="D872" s="1" t="s">
        <v>4923</v>
      </c>
      <c r="E872" s="1" t="s">
        <v>599</v>
      </c>
      <c r="F872" s="1" t="s">
        <v>5795</v>
      </c>
      <c r="G872" s="1" t="s">
        <v>74</v>
      </c>
      <c r="H872" s="1" t="s">
        <v>5819</v>
      </c>
      <c r="I872" s="1" t="s">
        <v>101</v>
      </c>
      <c r="J872" s="1" t="s">
        <v>3276</v>
      </c>
      <c r="K872" s="1" t="s">
        <v>78</v>
      </c>
      <c r="L872" s="4">
        <v>25000</v>
      </c>
      <c r="M872" s="1" t="s">
        <v>1082</v>
      </c>
    </row>
    <row r="873" spans="1:13" ht="15.75" customHeight="1" x14ac:dyDescent="0.35">
      <c r="A873" s="1" t="s">
        <v>112</v>
      </c>
      <c r="B873" s="1" t="s">
        <v>5810</v>
      </c>
      <c r="C873" s="1" t="s">
        <v>5794</v>
      </c>
      <c r="D873" s="1" t="s">
        <v>4923</v>
      </c>
      <c r="E873" s="1" t="s">
        <v>3816</v>
      </c>
      <c r="F873" s="1" t="s">
        <v>5830</v>
      </c>
      <c r="G873" s="1" t="s">
        <v>74</v>
      </c>
      <c r="H873" s="1" t="s">
        <v>5819</v>
      </c>
      <c r="I873" s="1" t="s">
        <v>101</v>
      </c>
      <c r="J873" s="1" t="s">
        <v>3276</v>
      </c>
      <c r="K873" s="1" t="s">
        <v>78</v>
      </c>
      <c r="L873" s="4">
        <v>25000</v>
      </c>
      <c r="M873" s="1" t="s">
        <v>1082</v>
      </c>
    </row>
    <row r="874" spans="1:13" ht="15.75" customHeight="1" x14ac:dyDescent="0.35">
      <c r="A874" s="1" t="s">
        <v>112</v>
      </c>
      <c r="B874" s="1" t="s">
        <v>5810</v>
      </c>
      <c r="C874" s="1" t="s">
        <v>5835</v>
      </c>
      <c r="D874" s="1" t="s">
        <v>5735</v>
      </c>
      <c r="E874" s="1" t="s">
        <v>3231</v>
      </c>
      <c r="F874" s="1" t="s">
        <v>5792</v>
      </c>
      <c r="G874" s="1" t="s">
        <v>3829</v>
      </c>
      <c r="H874" s="1" t="s">
        <v>5819</v>
      </c>
      <c r="I874" s="1" t="s">
        <v>101</v>
      </c>
      <c r="J874" s="1" t="s">
        <v>1670</v>
      </c>
      <c r="K874" s="1" t="s">
        <v>78</v>
      </c>
      <c r="L874" s="4">
        <v>16000</v>
      </c>
      <c r="M874" s="1" t="s">
        <v>2181</v>
      </c>
    </row>
    <row r="875" spans="1:13" ht="15.75" customHeight="1" x14ac:dyDescent="0.35">
      <c r="A875" s="1" t="s">
        <v>81</v>
      </c>
      <c r="B875" s="1" t="s">
        <v>5782</v>
      </c>
      <c r="C875" s="1" t="s">
        <v>5800</v>
      </c>
      <c r="D875" s="1" t="s">
        <v>4923</v>
      </c>
      <c r="E875" s="1" t="s">
        <v>3816</v>
      </c>
      <c r="F875" s="1" t="s">
        <v>5795</v>
      </c>
      <c r="G875" s="1" t="s">
        <v>74</v>
      </c>
      <c r="H875" s="1" t="s">
        <v>5735</v>
      </c>
      <c r="I875" s="1" t="s">
        <v>101</v>
      </c>
      <c r="J875" s="1" t="s">
        <v>781</v>
      </c>
      <c r="K875" s="1" t="s">
        <v>78</v>
      </c>
      <c r="L875" s="4">
        <v>38000</v>
      </c>
      <c r="M875" s="1" t="s">
        <v>1082</v>
      </c>
    </row>
    <row r="876" spans="1:13" ht="15.75" customHeight="1" x14ac:dyDescent="0.35">
      <c r="A876" s="1" t="s">
        <v>112</v>
      </c>
      <c r="B876" s="1" t="s">
        <v>5810</v>
      </c>
      <c r="C876" s="1" t="s">
        <v>5794</v>
      </c>
      <c r="D876" s="1" t="s">
        <v>4923</v>
      </c>
      <c r="E876" s="1" t="s">
        <v>3231</v>
      </c>
      <c r="F876" s="1" t="s">
        <v>5830</v>
      </c>
      <c r="G876" s="1" t="s">
        <v>3829</v>
      </c>
      <c r="H876" s="1" t="s">
        <v>5819</v>
      </c>
      <c r="I876" s="1" t="s">
        <v>101</v>
      </c>
      <c r="J876" s="1" t="s">
        <v>3276</v>
      </c>
      <c r="K876" s="1" t="s">
        <v>78</v>
      </c>
      <c r="L876" s="4">
        <v>38000</v>
      </c>
      <c r="M876" s="1" t="s">
        <v>1082</v>
      </c>
    </row>
    <row r="877" spans="1:13" ht="15.75" customHeight="1" x14ac:dyDescent="0.35">
      <c r="A877" s="1" t="s">
        <v>81</v>
      </c>
      <c r="B877" s="1" t="s">
        <v>5781</v>
      </c>
      <c r="C877" s="1" t="s">
        <v>5835</v>
      </c>
      <c r="D877" s="1" t="s">
        <v>5735</v>
      </c>
      <c r="E877" s="1" t="s">
        <v>3816</v>
      </c>
      <c r="F877" s="1" t="s">
        <v>5830</v>
      </c>
      <c r="G877" s="1" t="s">
        <v>74</v>
      </c>
      <c r="H877" s="1" t="s">
        <v>5819</v>
      </c>
      <c r="I877" s="1" t="s">
        <v>1722</v>
      </c>
      <c r="J877" s="1" t="s">
        <v>5009</v>
      </c>
      <c r="K877" s="1" t="s">
        <v>78</v>
      </c>
      <c r="L877" s="4">
        <v>38000</v>
      </c>
      <c r="M877" s="1" t="s">
        <v>1082</v>
      </c>
    </row>
    <row r="878" spans="1:13" ht="15.75" customHeight="1" x14ac:dyDescent="0.35">
      <c r="A878" s="1" t="s">
        <v>151</v>
      </c>
      <c r="B878" s="1" t="s">
        <v>5763</v>
      </c>
      <c r="C878" s="1" t="s">
        <v>5835</v>
      </c>
      <c r="D878" s="1" t="s">
        <v>5735</v>
      </c>
      <c r="E878" s="1" t="s">
        <v>3231</v>
      </c>
      <c r="F878" s="1" t="s">
        <v>5792</v>
      </c>
      <c r="G878" s="1" t="s">
        <v>74</v>
      </c>
      <c r="H878" s="1" t="s">
        <v>5819</v>
      </c>
      <c r="I878" s="1" t="s">
        <v>101</v>
      </c>
      <c r="J878" s="1" t="s">
        <v>3321</v>
      </c>
      <c r="K878" s="1" t="s">
        <v>78</v>
      </c>
      <c r="L878" s="4">
        <v>19000</v>
      </c>
      <c r="M878" s="1" t="s">
        <v>2181</v>
      </c>
    </row>
    <row r="879" spans="1:13" ht="15.75" customHeight="1" x14ac:dyDescent="0.35">
      <c r="A879" s="1" t="s">
        <v>30</v>
      </c>
      <c r="B879" s="1" t="s">
        <v>5810</v>
      </c>
      <c r="C879" s="1" t="s">
        <v>5835</v>
      </c>
      <c r="D879" s="1" t="s">
        <v>5735</v>
      </c>
      <c r="E879" s="1" t="s">
        <v>3231</v>
      </c>
      <c r="F879" s="1" t="s">
        <v>5830</v>
      </c>
      <c r="G879" s="1" t="s">
        <v>74</v>
      </c>
      <c r="H879" s="1" t="s">
        <v>5819</v>
      </c>
      <c r="I879" s="1" t="s">
        <v>101</v>
      </c>
      <c r="J879" s="1" t="s">
        <v>4249</v>
      </c>
      <c r="K879" s="1" t="s">
        <v>78</v>
      </c>
      <c r="L879" s="4">
        <v>19000</v>
      </c>
      <c r="M879" s="1" t="s">
        <v>2181</v>
      </c>
    </row>
    <row r="880" spans="1:13" ht="15.75" customHeight="1" x14ac:dyDescent="0.35">
      <c r="A880" s="1" t="s">
        <v>3729</v>
      </c>
      <c r="B880" s="1" t="s">
        <v>5784</v>
      </c>
      <c r="C880" s="1" t="s">
        <v>3731</v>
      </c>
      <c r="D880" s="1" t="s">
        <v>5735</v>
      </c>
      <c r="E880" s="1" t="s">
        <v>599</v>
      </c>
      <c r="F880" s="1" t="s">
        <v>5792</v>
      </c>
      <c r="G880" s="1" t="s">
        <v>5817</v>
      </c>
      <c r="H880" s="1" t="s">
        <v>5735</v>
      </c>
      <c r="I880" s="1" t="s">
        <v>90</v>
      </c>
      <c r="J880" s="1" t="s">
        <v>5840</v>
      </c>
      <c r="K880" s="1" t="s">
        <v>78</v>
      </c>
      <c r="L880" s="4">
        <v>135000</v>
      </c>
      <c r="M880" s="1" t="s">
        <v>5735</v>
      </c>
    </row>
    <row r="881" spans="1:13" ht="15.75" customHeight="1" x14ac:dyDescent="0.35">
      <c r="A881" s="1" t="s">
        <v>151</v>
      </c>
      <c r="B881" s="1" t="s">
        <v>5764</v>
      </c>
      <c r="C881" s="1" t="s">
        <v>5256</v>
      </c>
      <c r="D881" s="1" t="s">
        <v>5735</v>
      </c>
      <c r="E881" s="1" t="s">
        <v>599</v>
      </c>
      <c r="F881" s="1" t="s">
        <v>5795</v>
      </c>
      <c r="G881" s="1" t="s">
        <v>1015</v>
      </c>
      <c r="H881" s="1" t="s">
        <v>5735</v>
      </c>
      <c r="I881" s="1" t="s">
        <v>101</v>
      </c>
      <c r="J881" s="1" t="s">
        <v>5735</v>
      </c>
      <c r="K881" s="1" t="s">
        <v>78</v>
      </c>
      <c r="L881" s="4">
        <v>35777</v>
      </c>
      <c r="M881" s="1" t="s">
        <v>5735</v>
      </c>
    </row>
    <row r="882" spans="1:13" ht="15.75" customHeight="1" x14ac:dyDescent="0.35">
      <c r="A882" s="1" t="s">
        <v>151</v>
      </c>
      <c r="B882" s="1" t="s">
        <v>5810</v>
      </c>
      <c r="C882" s="1" t="s">
        <v>5794</v>
      </c>
      <c r="D882" s="1" t="s">
        <v>5735</v>
      </c>
      <c r="E882" s="1" t="s">
        <v>3816</v>
      </c>
      <c r="F882" s="1" t="s">
        <v>5795</v>
      </c>
      <c r="G882" s="1" t="s">
        <v>74</v>
      </c>
      <c r="H882" s="1" t="s">
        <v>5735</v>
      </c>
      <c r="I882" s="1" t="s">
        <v>101</v>
      </c>
      <c r="J882" s="1" t="s">
        <v>3321</v>
      </c>
      <c r="K882" s="1" t="s">
        <v>78</v>
      </c>
      <c r="L882" s="4">
        <v>19999</v>
      </c>
      <c r="M882" s="1" t="s">
        <v>166</v>
      </c>
    </row>
    <row r="883" spans="1:13" ht="15.75" customHeight="1" x14ac:dyDescent="0.35">
      <c r="A883" s="1" t="s">
        <v>151</v>
      </c>
      <c r="B883" s="1" t="s">
        <v>5764</v>
      </c>
      <c r="C883" s="1" t="s">
        <v>5800</v>
      </c>
      <c r="D883" s="1" t="s">
        <v>5735</v>
      </c>
      <c r="E883" s="1" t="s">
        <v>3816</v>
      </c>
      <c r="F883" s="1" t="s">
        <v>5795</v>
      </c>
      <c r="G883" s="1" t="s">
        <v>1015</v>
      </c>
      <c r="H883" s="1" t="s">
        <v>5735</v>
      </c>
      <c r="I883" s="1" t="s">
        <v>101</v>
      </c>
      <c r="J883" s="1" t="s">
        <v>5051</v>
      </c>
      <c r="K883" s="1" t="s">
        <v>78</v>
      </c>
      <c r="L883" s="4">
        <v>37999</v>
      </c>
      <c r="M883" s="1" t="s">
        <v>79</v>
      </c>
    </row>
    <row r="884" spans="1:13" ht="15.75" customHeight="1" x14ac:dyDescent="0.35">
      <c r="A884" s="1" t="s">
        <v>234</v>
      </c>
      <c r="B884" s="1" t="s">
        <v>5810</v>
      </c>
      <c r="C884" s="1" t="s">
        <v>5800</v>
      </c>
      <c r="D884" s="1" t="s">
        <v>5735</v>
      </c>
      <c r="E884" s="1" t="s">
        <v>3816</v>
      </c>
      <c r="F884" s="1" t="s">
        <v>5795</v>
      </c>
      <c r="G884" s="1" t="s">
        <v>74</v>
      </c>
      <c r="H884" s="1" t="s">
        <v>5735</v>
      </c>
      <c r="I884" s="1" t="s">
        <v>101</v>
      </c>
      <c r="J884" s="1" t="s">
        <v>4092</v>
      </c>
      <c r="K884" s="1" t="s">
        <v>78</v>
      </c>
      <c r="L884" s="4">
        <v>23999</v>
      </c>
      <c r="M884" s="1" t="s">
        <v>166</v>
      </c>
    </row>
    <row r="885" spans="1:13" ht="15.75" customHeight="1" x14ac:dyDescent="0.35">
      <c r="A885" s="1" t="s">
        <v>81</v>
      </c>
      <c r="B885" s="1" t="s">
        <v>5810</v>
      </c>
      <c r="C885" s="1" t="s">
        <v>5816</v>
      </c>
      <c r="D885" s="1" t="s">
        <v>5735</v>
      </c>
      <c r="E885" s="1" t="s">
        <v>599</v>
      </c>
      <c r="F885" s="1" t="s">
        <v>5795</v>
      </c>
      <c r="G885" s="1" t="s">
        <v>5817</v>
      </c>
      <c r="H885" s="1" t="s">
        <v>5735</v>
      </c>
      <c r="I885" s="1" t="s">
        <v>101</v>
      </c>
      <c r="J885" s="1" t="s">
        <v>5735</v>
      </c>
      <c r="K885" s="1" t="s">
        <v>425</v>
      </c>
      <c r="L885" s="4">
        <v>57777</v>
      </c>
      <c r="M885" s="1" t="s">
        <v>5735</v>
      </c>
    </row>
    <row r="886" spans="1:13" ht="15.75" customHeight="1" x14ac:dyDescent="0.35">
      <c r="A886" s="1" t="s">
        <v>81</v>
      </c>
      <c r="B886" s="1" t="s">
        <v>5810</v>
      </c>
      <c r="C886" s="1" t="s">
        <v>5816</v>
      </c>
      <c r="D886" s="1" t="s">
        <v>5735</v>
      </c>
      <c r="E886" s="1" t="s">
        <v>3816</v>
      </c>
      <c r="F886" s="1" t="s">
        <v>5795</v>
      </c>
      <c r="G886" s="1" t="s">
        <v>5817</v>
      </c>
      <c r="H886" s="1" t="s">
        <v>5735</v>
      </c>
      <c r="I886" s="1" t="s">
        <v>101</v>
      </c>
      <c r="J886" s="1" t="s">
        <v>5735</v>
      </c>
      <c r="K886" s="1" t="s">
        <v>425</v>
      </c>
      <c r="L886" s="4">
        <v>56999</v>
      </c>
      <c r="M886" s="1" t="s">
        <v>5735</v>
      </c>
    </row>
    <row r="887" spans="1:13" ht="15.75" customHeight="1" x14ac:dyDescent="0.35">
      <c r="A887" s="1" t="s">
        <v>81</v>
      </c>
      <c r="B887" s="1" t="s">
        <v>5810</v>
      </c>
      <c r="C887" s="1" t="s">
        <v>5816</v>
      </c>
      <c r="D887" s="1" t="s">
        <v>5735</v>
      </c>
      <c r="E887" s="1" t="s">
        <v>599</v>
      </c>
      <c r="F887" s="1" t="s">
        <v>5795</v>
      </c>
      <c r="G887" s="1" t="s">
        <v>5817</v>
      </c>
      <c r="H887" s="1" t="s">
        <v>5735</v>
      </c>
      <c r="I887" s="1" t="s">
        <v>101</v>
      </c>
      <c r="J887" s="1" t="s">
        <v>5735</v>
      </c>
      <c r="K887" s="1" t="s">
        <v>425</v>
      </c>
      <c r="L887" s="4">
        <v>57777</v>
      </c>
      <c r="M887" s="1" t="s">
        <v>5735</v>
      </c>
    </row>
    <row r="888" spans="1:13" ht="15.75" customHeight="1" x14ac:dyDescent="0.35">
      <c r="A888" s="1" t="s">
        <v>81</v>
      </c>
      <c r="B888" s="1" t="s">
        <v>5810</v>
      </c>
      <c r="C888" s="1" t="s">
        <v>5812</v>
      </c>
      <c r="D888" s="1" t="s">
        <v>5735</v>
      </c>
      <c r="E888" s="1" t="s">
        <v>3816</v>
      </c>
      <c r="F888" s="1" t="s">
        <v>5795</v>
      </c>
      <c r="G888" s="1" t="s">
        <v>5817</v>
      </c>
      <c r="H888" s="1" t="s">
        <v>5735</v>
      </c>
      <c r="I888" s="1" t="s">
        <v>101</v>
      </c>
      <c r="J888" s="1" t="s">
        <v>5735</v>
      </c>
      <c r="K888" s="1" t="s">
        <v>425</v>
      </c>
      <c r="L888" s="4">
        <v>43499</v>
      </c>
      <c r="M888" s="1" t="s">
        <v>5735</v>
      </c>
    </row>
    <row r="889" spans="1:13" ht="15.75" customHeight="1" x14ac:dyDescent="0.35">
      <c r="A889" s="1" t="s">
        <v>81</v>
      </c>
      <c r="B889" s="1" t="s">
        <v>5810</v>
      </c>
      <c r="C889" s="1" t="s">
        <v>5812</v>
      </c>
      <c r="D889" s="1" t="s">
        <v>5735</v>
      </c>
      <c r="E889" s="1" t="s">
        <v>3816</v>
      </c>
      <c r="F889" s="1" t="s">
        <v>5795</v>
      </c>
      <c r="G889" s="1" t="s">
        <v>5817</v>
      </c>
      <c r="H889" s="1" t="s">
        <v>5735</v>
      </c>
      <c r="I889" s="1" t="s">
        <v>101</v>
      </c>
      <c r="J889" s="1" t="s">
        <v>5735</v>
      </c>
      <c r="K889" s="1" t="s">
        <v>425</v>
      </c>
      <c r="L889" s="4">
        <v>37999</v>
      </c>
      <c r="M889" s="1" t="s">
        <v>166</v>
      </c>
    </row>
    <row r="890" spans="1:13" ht="15.75" customHeight="1" x14ac:dyDescent="0.35">
      <c r="A890" s="1" t="s">
        <v>112</v>
      </c>
      <c r="B890" s="1" t="s">
        <v>5810</v>
      </c>
      <c r="C890" s="1" t="s">
        <v>5816</v>
      </c>
      <c r="D890" s="1" t="s">
        <v>5735</v>
      </c>
      <c r="E890" s="1" t="s">
        <v>599</v>
      </c>
      <c r="F890" s="1" t="s">
        <v>5795</v>
      </c>
      <c r="G890" s="1" t="s">
        <v>1015</v>
      </c>
      <c r="H890" s="1" t="s">
        <v>5735</v>
      </c>
      <c r="I890" s="1" t="s">
        <v>101</v>
      </c>
      <c r="J890" s="1" t="s">
        <v>3850</v>
      </c>
      <c r="K890" s="1" t="s">
        <v>78</v>
      </c>
      <c r="L890" s="4">
        <v>35999</v>
      </c>
      <c r="M890" s="1" t="s">
        <v>5735</v>
      </c>
    </row>
    <row r="891" spans="1:13" ht="15.75" customHeight="1" x14ac:dyDescent="0.35">
      <c r="A891" s="1" t="s">
        <v>112</v>
      </c>
      <c r="B891" s="1" t="s">
        <v>5810</v>
      </c>
      <c r="C891" s="1" t="s">
        <v>5794</v>
      </c>
      <c r="D891" s="1" t="s">
        <v>5735</v>
      </c>
      <c r="E891" s="1" t="s">
        <v>599</v>
      </c>
      <c r="F891" s="1" t="s">
        <v>5795</v>
      </c>
      <c r="G891" s="1" t="s">
        <v>74</v>
      </c>
      <c r="H891" s="1" t="s">
        <v>5735</v>
      </c>
      <c r="I891" s="1" t="s">
        <v>101</v>
      </c>
      <c r="J891" s="1" t="s">
        <v>5107</v>
      </c>
      <c r="K891" s="1" t="s">
        <v>78</v>
      </c>
      <c r="L891" s="4">
        <v>28777</v>
      </c>
      <c r="M891" s="1" t="s">
        <v>79</v>
      </c>
    </row>
    <row r="892" spans="1:13" ht="15.75" customHeight="1" x14ac:dyDescent="0.35">
      <c r="A892" s="1" t="s">
        <v>112</v>
      </c>
      <c r="B892" s="1" t="s">
        <v>5810</v>
      </c>
      <c r="C892" s="1" t="s">
        <v>5794</v>
      </c>
      <c r="D892" s="1" t="s">
        <v>5735</v>
      </c>
      <c r="E892" s="1" t="s">
        <v>3816</v>
      </c>
      <c r="F892" s="1" t="s">
        <v>5795</v>
      </c>
      <c r="G892" s="1" t="s">
        <v>74</v>
      </c>
      <c r="H892" s="1" t="s">
        <v>5735</v>
      </c>
      <c r="I892" s="1" t="s">
        <v>101</v>
      </c>
      <c r="J892" s="1" t="s">
        <v>5107</v>
      </c>
      <c r="K892" s="1" t="s">
        <v>78</v>
      </c>
      <c r="L892" s="4">
        <v>28999</v>
      </c>
      <c r="M892" s="1" t="s">
        <v>79</v>
      </c>
    </row>
    <row r="893" spans="1:13" ht="15.75" customHeight="1" x14ac:dyDescent="0.35">
      <c r="A893" s="1" t="s">
        <v>151</v>
      </c>
      <c r="B893" s="1" t="s">
        <v>5764</v>
      </c>
      <c r="C893" s="1" t="s">
        <v>5816</v>
      </c>
      <c r="D893" s="1" t="s">
        <v>5735</v>
      </c>
      <c r="E893" s="1" t="s">
        <v>599</v>
      </c>
      <c r="F893" s="1" t="s">
        <v>5795</v>
      </c>
      <c r="G893" s="1" t="s">
        <v>1015</v>
      </c>
      <c r="H893" s="1" t="s">
        <v>5819</v>
      </c>
      <c r="I893" s="1" t="s">
        <v>101</v>
      </c>
      <c r="J893" s="1" t="s">
        <v>5118</v>
      </c>
      <c r="K893" s="1" t="s">
        <v>78</v>
      </c>
      <c r="L893" s="4">
        <v>46999</v>
      </c>
      <c r="M893" s="1" t="s">
        <v>5735</v>
      </c>
    </row>
    <row r="894" spans="1:13" ht="15.75" customHeight="1" x14ac:dyDescent="0.35">
      <c r="A894" s="1" t="s">
        <v>112</v>
      </c>
      <c r="B894" s="1" t="s">
        <v>5810</v>
      </c>
      <c r="C894" s="1" t="s">
        <v>5816</v>
      </c>
      <c r="D894" s="1" t="s">
        <v>3231</v>
      </c>
      <c r="E894" s="1" t="s">
        <v>3816</v>
      </c>
      <c r="F894" s="1" t="s">
        <v>5795</v>
      </c>
      <c r="G894" s="1" t="s">
        <v>1015</v>
      </c>
      <c r="H894" s="1" t="s">
        <v>5735</v>
      </c>
      <c r="I894" s="1" t="s">
        <v>101</v>
      </c>
      <c r="J894" s="1" t="s">
        <v>3850</v>
      </c>
      <c r="K894" s="1" t="s">
        <v>78</v>
      </c>
      <c r="L894" s="4">
        <v>44444</v>
      </c>
      <c r="M894" s="1" t="s">
        <v>5735</v>
      </c>
    </row>
    <row r="895" spans="1:13" ht="15.75" customHeight="1" x14ac:dyDescent="0.35">
      <c r="A895" s="1" t="s">
        <v>151</v>
      </c>
      <c r="B895" s="1" t="s">
        <v>5764</v>
      </c>
      <c r="C895" s="1" t="s">
        <v>5816</v>
      </c>
      <c r="D895" s="1" t="s">
        <v>5735</v>
      </c>
      <c r="E895" s="1" t="s">
        <v>599</v>
      </c>
      <c r="F895" s="1" t="s">
        <v>5795</v>
      </c>
      <c r="G895" s="1" t="s">
        <v>1015</v>
      </c>
      <c r="H895" s="1" t="s">
        <v>5819</v>
      </c>
      <c r="I895" s="1" t="s">
        <v>101</v>
      </c>
      <c r="J895" s="1" t="s">
        <v>3346</v>
      </c>
      <c r="K895" s="1" t="s">
        <v>78</v>
      </c>
      <c r="L895" s="4">
        <v>46666</v>
      </c>
      <c r="M895" s="1" t="s">
        <v>5735</v>
      </c>
    </row>
    <row r="896" spans="1:13" ht="15.75" customHeight="1" x14ac:dyDescent="0.35">
      <c r="A896" s="1" t="s">
        <v>30</v>
      </c>
      <c r="B896" s="1" t="s">
        <v>5810</v>
      </c>
      <c r="C896" s="1" t="s">
        <v>5801</v>
      </c>
      <c r="D896" s="1" t="s">
        <v>5735</v>
      </c>
      <c r="E896" s="1" t="s">
        <v>5799</v>
      </c>
      <c r="F896" s="1" t="s">
        <v>5792</v>
      </c>
      <c r="G896" s="1" t="s">
        <v>1015</v>
      </c>
      <c r="H896" s="1" t="s">
        <v>5735</v>
      </c>
      <c r="I896" s="1" t="s">
        <v>90</v>
      </c>
      <c r="J896" s="1" t="s">
        <v>5138</v>
      </c>
      <c r="K896" s="1" t="s">
        <v>165</v>
      </c>
      <c r="L896" s="4">
        <v>94999</v>
      </c>
      <c r="M896" s="1" t="s">
        <v>5735</v>
      </c>
    </row>
    <row r="897" spans="1:13" ht="15.75" customHeight="1" x14ac:dyDescent="0.35">
      <c r="A897" s="1" t="s">
        <v>81</v>
      </c>
      <c r="B897" s="1" t="s">
        <v>5780</v>
      </c>
      <c r="C897" s="1" t="s">
        <v>5794</v>
      </c>
      <c r="D897" s="1" t="s">
        <v>5735</v>
      </c>
      <c r="E897" s="1" t="s">
        <v>3816</v>
      </c>
      <c r="F897" s="1" t="s">
        <v>5795</v>
      </c>
      <c r="G897" s="1" t="s">
        <v>74</v>
      </c>
      <c r="H897" s="1" t="s">
        <v>5819</v>
      </c>
      <c r="I897" s="1" t="s">
        <v>101</v>
      </c>
      <c r="J897" s="1" t="s">
        <v>5735</v>
      </c>
      <c r="K897" s="1" t="s">
        <v>78</v>
      </c>
      <c r="L897" s="4">
        <v>33333</v>
      </c>
      <c r="M897" s="1" t="s">
        <v>79</v>
      </c>
    </row>
    <row r="898" spans="1:13" ht="15.75" customHeight="1" x14ac:dyDescent="0.35">
      <c r="A898" s="1" t="s">
        <v>5735</v>
      </c>
      <c r="B898" s="1" t="s">
        <v>5810</v>
      </c>
      <c r="C898" s="1" t="s">
        <v>5794</v>
      </c>
      <c r="D898" s="1" t="s">
        <v>5735</v>
      </c>
      <c r="E898" s="1" t="s">
        <v>3816</v>
      </c>
      <c r="F898" s="1" t="s">
        <v>5795</v>
      </c>
      <c r="G898" s="1" t="s">
        <v>74</v>
      </c>
      <c r="H898" s="1" t="s">
        <v>5735</v>
      </c>
      <c r="I898" s="1" t="s">
        <v>101</v>
      </c>
      <c r="J898" s="1" t="s">
        <v>3288</v>
      </c>
      <c r="K898" s="1" t="s">
        <v>78</v>
      </c>
      <c r="L898" s="4">
        <v>22999</v>
      </c>
      <c r="M898" s="1" t="s">
        <v>79</v>
      </c>
    </row>
    <row r="899" spans="1:13" ht="15.75" customHeight="1" x14ac:dyDescent="0.35">
      <c r="A899" s="1" t="s">
        <v>151</v>
      </c>
      <c r="B899" s="1" t="s">
        <v>5764</v>
      </c>
      <c r="C899" s="1" t="s">
        <v>5800</v>
      </c>
      <c r="D899" s="1" t="s">
        <v>5735</v>
      </c>
      <c r="E899" s="1" t="s">
        <v>3816</v>
      </c>
      <c r="F899" s="1" t="s">
        <v>5795</v>
      </c>
      <c r="G899" s="1" t="s">
        <v>1015</v>
      </c>
      <c r="H899" s="1" t="s">
        <v>5735</v>
      </c>
      <c r="I899" s="1" t="s">
        <v>101</v>
      </c>
      <c r="J899" s="1" t="s">
        <v>5051</v>
      </c>
      <c r="K899" s="1" t="s">
        <v>78</v>
      </c>
      <c r="L899" s="4">
        <v>37777</v>
      </c>
      <c r="M899" s="1" t="s">
        <v>79</v>
      </c>
    </row>
    <row r="900" spans="1:13" ht="15.75" customHeight="1" x14ac:dyDescent="0.35">
      <c r="A900" s="1" t="s">
        <v>112</v>
      </c>
      <c r="B900" s="1" t="s">
        <v>5810</v>
      </c>
      <c r="C900" s="1" t="s">
        <v>5794</v>
      </c>
      <c r="D900" s="1" t="s">
        <v>5735</v>
      </c>
      <c r="E900" s="1" t="s">
        <v>3231</v>
      </c>
      <c r="F900" s="1" t="s">
        <v>5830</v>
      </c>
      <c r="G900" s="1" t="s">
        <v>3829</v>
      </c>
      <c r="H900" s="1" t="s">
        <v>5735</v>
      </c>
      <c r="I900" s="1" t="s">
        <v>101</v>
      </c>
      <c r="J900" s="1" t="s">
        <v>5735</v>
      </c>
      <c r="K900" s="1" t="s">
        <v>78</v>
      </c>
      <c r="L900" s="4">
        <v>24499</v>
      </c>
      <c r="M900" s="1" t="s">
        <v>1082</v>
      </c>
    </row>
    <row r="901" spans="1:13" ht="15.75" customHeight="1" x14ac:dyDescent="0.35">
      <c r="A901" s="1" t="s">
        <v>151</v>
      </c>
      <c r="B901" s="1" t="s">
        <v>5764</v>
      </c>
      <c r="C901" s="1" t="s">
        <v>5816</v>
      </c>
      <c r="D901" s="1" t="s">
        <v>5735</v>
      </c>
      <c r="E901" s="1" t="s">
        <v>599</v>
      </c>
      <c r="F901" s="1" t="s">
        <v>5795</v>
      </c>
      <c r="G901" s="1" t="s">
        <v>1015</v>
      </c>
      <c r="H901" s="1" t="s">
        <v>5735</v>
      </c>
      <c r="I901" s="1" t="s">
        <v>101</v>
      </c>
      <c r="J901" s="1" t="s">
        <v>3547</v>
      </c>
      <c r="K901" s="1" t="s">
        <v>78</v>
      </c>
      <c r="L901" s="4">
        <v>47999</v>
      </c>
      <c r="M901" s="1" t="s">
        <v>5735</v>
      </c>
    </row>
    <row r="902" spans="1:13" ht="15.75" customHeight="1" x14ac:dyDescent="0.35">
      <c r="A902" s="1" t="s">
        <v>151</v>
      </c>
      <c r="B902" s="1" t="s">
        <v>5764</v>
      </c>
      <c r="C902" s="1" t="s">
        <v>5816</v>
      </c>
      <c r="D902" s="1" t="s">
        <v>5735</v>
      </c>
      <c r="E902" s="1" t="s">
        <v>599</v>
      </c>
      <c r="F902" s="1" t="s">
        <v>5795</v>
      </c>
      <c r="G902" s="1" t="s">
        <v>1015</v>
      </c>
      <c r="H902" s="1" t="s">
        <v>5735</v>
      </c>
      <c r="I902" s="1" t="s">
        <v>101</v>
      </c>
      <c r="J902" s="1" t="s">
        <v>5165</v>
      </c>
      <c r="K902" s="1" t="s">
        <v>78</v>
      </c>
      <c r="L902" s="4">
        <v>45499</v>
      </c>
      <c r="M902" s="1" t="s">
        <v>5735</v>
      </c>
    </row>
    <row r="903" spans="1:13" ht="15.75" customHeight="1" x14ac:dyDescent="0.35">
      <c r="A903" s="1" t="s">
        <v>151</v>
      </c>
      <c r="B903" s="1" t="s">
        <v>5764</v>
      </c>
      <c r="C903" s="1" t="s">
        <v>5794</v>
      </c>
      <c r="D903" s="1" t="s">
        <v>4923</v>
      </c>
      <c r="E903" s="1" t="s">
        <v>3816</v>
      </c>
      <c r="F903" s="1" t="s">
        <v>5795</v>
      </c>
      <c r="G903" s="1" t="s">
        <v>1015</v>
      </c>
      <c r="H903" s="1" t="s">
        <v>5735</v>
      </c>
      <c r="I903" s="1" t="s">
        <v>101</v>
      </c>
      <c r="J903" s="1" t="s">
        <v>5051</v>
      </c>
      <c r="K903" s="1" t="s">
        <v>78</v>
      </c>
      <c r="L903" s="4">
        <v>37777</v>
      </c>
      <c r="M903" s="1" t="s">
        <v>79</v>
      </c>
    </row>
    <row r="904" spans="1:13" ht="15.75" customHeight="1" x14ac:dyDescent="0.35">
      <c r="A904" s="1" t="s">
        <v>112</v>
      </c>
      <c r="B904" s="1" t="s">
        <v>5810</v>
      </c>
      <c r="C904" s="1" t="s">
        <v>5794</v>
      </c>
      <c r="D904" s="1" t="s">
        <v>5735</v>
      </c>
      <c r="E904" s="1" t="s">
        <v>3816</v>
      </c>
      <c r="F904" s="1" t="s">
        <v>5795</v>
      </c>
      <c r="G904" s="1" t="s">
        <v>74</v>
      </c>
      <c r="H904" s="1" t="s">
        <v>5735</v>
      </c>
      <c r="I904" s="1" t="s">
        <v>101</v>
      </c>
      <c r="J904" s="1" t="s">
        <v>5735</v>
      </c>
      <c r="K904" s="1" t="s">
        <v>78</v>
      </c>
      <c r="L904" s="4">
        <v>39999</v>
      </c>
      <c r="M904" s="1" t="s">
        <v>1082</v>
      </c>
    </row>
    <row r="905" spans="1:13" ht="15.75" customHeight="1" x14ac:dyDescent="0.35">
      <c r="A905" s="1" t="s">
        <v>151</v>
      </c>
      <c r="B905" s="1" t="s">
        <v>5764</v>
      </c>
      <c r="C905" s="1" t="s">
        <v>5800</v>
      </c>
      <c r="D905" s="1" t="s">
        <v>4923</v>
      </c>
      <c r="E905" s="1" t="s">
        <v>3816</v>
      </c>
      <c r="F905" s="1" t="s">
        <v>5795</v>
      </c>
      <c r="G905" s="1" t="s">
        <v>1015</v>
      </c>
      <c r="H905" s="1" t="s">
        <v>5735</v>
      </c>
      <c r="I905" s="1" t="s">
        <v>101</v>
      </c>
      <c r="J905" s="1" t="s">
        <v>5051</v>
      </c>
      <c r="K905" s="1" t="s">
        <v>78</v>
      </c>
      <c r="L905" s="4">
        <v>39999</v>
      </c>
      <c r="M905" s="1" t="s">
        <v>79</v>
      </c>
    </row>
    <row r="906" spans="1:13" ht="15.75" customHeight="1" x14ac:dyDescent="0.35">
      <c r="A906" s="1" t="s">
        <v>81</v>
      </c>
      <c r="B906" s="1" t="s">
        <v>5780</v>
      </c>
      <c r="C906" s="1" t="s">
        <v>5794</v>
      </c>
      <c r="D906" s="1" t="s">
        <v>5735</v>
      </c>
      <c r="E906" s="1" t="s">
        <v>3816</v>
      </c>
      <c r="F906" s="1" t="s">
        <v>5795</v>
      </c>
      <c r="G906" s="1" t="s">
        <v>74</v>
      </c>
      <c r="H906" s="1" t="s">
        <v>5819</v>
      </c>
      <c r="I906" s="1" t="s">
        <v>101</v>
      </c>
      <c r="J906" s="1" t="s">
        <v>3547</v>
      </c>
      <c r="K906" s="1" t="s">
        <v>78</v>
      </c>
      <c r="L906" s="4">
        <v>31999</v>
      </c>
      <c r="M906" s="1" t="s">
        <v>79</v>
      </c>
    </row>
    <row r="907" spans="1:13" ht="15.75" customHeight="1" x14ac:dyDescent="0.35">
      <c r="A907" s="1" t="s">
        <v>81</v>
      </c>
      <c r="B907" s="1" t="s">
        <v>5810</v>
      </c>
      <c r="C907" s="1" t="s">
        <v>5256</v>
      </c>
      <c r="D907" s="1" t="s">
        <v>5735</v>
      </c>
      <c r="E907" s="1" t="s">
        <v>3816</v>
      </c>
      <c r="F907" s="1" t="s">
        <v>5795</v>
      </c>
      <c r="G907" s="1" t="s">
        <v>5817</v>
      </c>
      <c r="H907" s="1" t="s">
        <v>5735</v>
      </c>
      <c r="I907" s="1" t="s">
        <v>101</v>
      </c>
      <c r="J907" s="1" t="s">
        <v>5735</v>
      </c>
      <c r="K907" s="1" t="s">
        <v>425</v>
      </c>
      <c r="L907" s="4">
        <v>43499</v>
      </c>
      <c r="M907" s="1" t="s">
        <v>5735</v>
      </c>
    </row>
    <row r="908" spans="1:13" ht="15.75" customHeight="1" x14ac:dyDescent="0.35">
      <c r="A908" s="1" t="s">
        <v>81</v>
      </c>
      <c r="B908" s="1" t="s">
        <v>5810</v>
      </c>
      <c r="C908" s="1" t="s">
        <v>5812</v>
      </c>
      <c r="D908" s="1" t="s">
        <v>5735</v>
      </c>
      <c r="E908" s="1" t="s">
        <v>3816</v>
      </c>
      <c r="F908" s="1" t="s">
        <v>5795</v>
      </c>
      <c r="G908" s="1" t="s">
        <v>5817</v>
      </c>
      <c r="H908" s="1" t="s">
        <v>5735</v>
      </c>
      <c r="I908" s="1" t="s">
        <v>101</v>
      </c>
      <c r="J908" s="1" t="s">
        <v>5735</v>
      </c>
      <c r="K908" s="1" t="s">
        <v>425</v>
      </c>
      <c r="L908" s="4">
        <v>37999</v>
      </c>
      <c r="M908" s="1" t="s">
        <v>166</v>
      </c>
    </row>
    <row r="909" spans="1:13" ht="15.75" customHeight="1" x14ac:dyDescent="0.35">
      <c r="A909" s="1" t="s">
        <v>151</v>
      </c>
      <c r="B909" s="1" t="s">
        <v>5764</v>
      </c>
      <c r="C909" s="1" t="s">
        <v>5256</v>
      </c>
      <c r="D909" s="1" t="s">
        <v>5735</v>
      </c>
      <c r="E909" s="1" t="s">
        <v>3816</v>
      </c>
      <c r="F909" s="1" t="s">
        <v>5795</v>
      </c>
      <c r="G909" s="1" t="s">
        <v>1015</v>
      </c>
      <c r="H909" s="1" t="s">
        <v>5735</v>
      </c>
      <c r="I909" s="1" t="s">
        <v>101</v>
      </c>
      <c r="J909" s="1" t="s">
        <v>3547</v>
      </c>
      <c r="K909" s="1" t="s">
        <v>78</v>
      </c>
      <c r="L909" s="4">
        <v>32999</v>
      </c>
      <c r="M909" s="1" t="s">
        <v>5735</v>
      </c>
    </row>
    <row r="910" spans="1:13" ht="15.75" customHeight="1" x14ac:dyDescent="0.35">
      <c r="A910" s="1" t="s">
        <v>151</v>
      </c>
      <c r="B910" s="1" t="s">
        <v>5764</v>
      </c>
      <c r="C910" s="1" t="s">
        <v>5256</v>
      </c>
      <c r="D910" s="1" t="s">
        <v>5735</v>
      </c>
      <c r="E910" s="1" t="s">
        <v>3816</v>
      </c>
      <c r="F910" s="1" t="s">
        <v>5795</v>
      </c>
      <c r="G910" s="1" t="s">
        <v>1015</v>
      </c>
      <c r="H910" s="1" t="s">
        <v>5735</v>
      </c>
      <c r="I910" s="1" t="s">
        <v>101</v>
      </c>
      <c r="J910" s="1" t="s">
        <v>5165</v>
      </c>
      <c r="K910" s="1" t="s">
        <v>78</v>
      </c>
      <c r="L910" s="4">
        <v>33999</v>
      </c>
      <c r="M910" s="1" t="s">
        <v>5735</v>
      </c>
    </row>
    <row r="911" spans="1:13" ht="15.75" customHeight="1" x14ac:dyDescent="0.35">
      <c r="A911" s="1" t="s">
        <v>112</v>
      </c>
      <c r="B911" s="1" t="s">
        <v>5810</v>
      </c>
      <c r="C911" s="1" t="s">
        <v>5256</v>
      </c>
      <c r="D911" s="1" t="s">
        <v>5735</v>
      </c>
      <c r="E911" s="1" t="s">
        <v>3816</v>
      </c>
      <c r="F911" s="1" t="s">
        <v>5795</v>
      </c>
      <c r="G911" s="1" t="s">
        <v>1015</v>
      </c>
      <c r="H911" s="1" t="s">
        <v>5735</v>
      </c>
      <c r="I911" s="1" t="s">
        <v>101</v>
      </c>
      <c r="J911" s="1" t="s">
        <v>3850</v>
      </c>
      <c r="K911" s="1" t="s">
        <v>78</v>
      </c>
      <c r="L911" s="4">
        <v>30499</v>
      </c>
      <c r="M911" s="1" t="s">
        <v>5735</v>
      </c>
    </row>
    <row r="912" spans="1:13" ht="15.75" customHeight="1" x14ac:dyDescent="0.35">
      <c r="A912" s="1" t="s">
        <v>112</v>
      </c>
      <c r="B912" s="1" t="s">
        <v>5810</v>
      </c>
      <c r="C912" s="1" t="s">
        <v>5800</v>
      </c>
      <c r="D912" s="1" t="s">
        <v>5735</v>
      </c>
      <c r="E912" s="1" t="s">
        <v>3816</v>
      </c>
      <c r="F912" s="1" t="s">
        <v>5795</v>
      </c>
      <c r="G912" s="1" t="s">
        <v>74</v>
      </c>
      <c r="H912" s="1" t="s">
        <v>5735</v>
      </c>
      <c r="I912" s="1" t="s">
        <v>101</v>
      </c>
      <c r="J912" s="1" t="s">
        <v>5107</v>
      </c>
      <c r="K912" s="1" t="s">
        <v>78</v>
      </c>
      <c r="L912" s="4">
        <v>33333</v>
      </c>
      <c r="M912" s="1" t="s">
        <v>79</v>
      </c>
    </row>
    <row r="913" spans="1:13" ht="15.75" customHeight="1" x14ac:dyDescent="0.35">
      <c r="A913" s="1" t="s">
        <v>112</v>
      </c>
      <c r="B913" s="1" t="s">
        <v>5810</v>
      </c>
      <c r="C913" s="1" t="s">
        <v>5794</v>
      </c>
      <c r="D913" s="1" t="s">
        <v>3231</v>
      </c>
      <c r="E913" s="1" t="s">
        <v>599</v>
      </c>
      <c r="F913" s="1" t="s">
        <v>5795</v>
      </c>
      <c r="G913" s="1" t="s">
        <v>74</v>
      </c>
      <c r="H913" s="1" t="s">
        <v>5735</v>
      </c>
      <c r="I913" s="1" t="s">
        <v>101</v>
      </c>
      <c r="J913" s="1" t="s">
        <v>5107</v>
      </c>
      <c r="K913" s="1" t="s">
        <v>78</v>
      </c>
      <c r="L913" s="4">
        <v>33333</v>
      </c>
      <c r="M913" s="1" t="s">
        <v>79</v>
      </c>
    </row>
    <row r="914" spans="1:13" ht="15.75" customHeight="1" x14ac:dyDescent="0.35">
      <c r="A914" s="1" t="s">
        <v>112</v>
      </c>
      <c r="B914" s="1" t="s">
        <v>5810</v>
      </c>
      <c r="C914" s="1" t="s">
        <v>5794</v>
      </c>
      <c r="D914" s="1" t="s">
        <v>5735</v>
      </c>
      <c r="E914" s="1" t="s">
        <v>3816</v>
      </c>
      <c r="F914" s="1" t="s">
        <v>5795</v>
      </c>
      <c r="G914" s="1" t="s">
        <v>74</v>
      </c>
      <c r="H914" s="1" t="s">
        <v>5735</v>
      </c>
      <c r="I914" s="1" t="s">
        <v>101</v>
      </c>
      <c r="J914" s="1" t="s">
        <v>5107</v>
      </c>
      <c r="K914" s="1" t="s">
        <v>78</v>
      </c>
      <c r="L914" s="4">
        <v>27777</v>
      </c>
      <c r="M914" s="1" t="s">
        <v>79</v>
      </c>
    </row>
    <row r="915" spans="1:13" ht="15.75" customHeight="1" x14ac:dyDescent="0.35">
      <c r="A915" s="1" t="s">
        <v>112</v>
      </c>
      <c r="B915" s="1" t="s">
        <v>5810</v>
      </c>
      <c r="C915" s="1" t="s">
        <v>5816</v>
      </c>
      <c r="D915" s="1" t="s">
        <v>3231</v>
      </c>
      <c r="E915" s="1" t="s">
        <v>599</v>
      </c>
      <c r="F915" s="1" t="s">
        <v>5795</v>
      </c>
      <c r="G915" s="1" t="s">
        <v>1015</v>
      </c>
      <c r="H915" s="1" t="s">
        <v>5735</v>
      </c>
      <c r="I915" s="1" t="s">
        <v>101</v>
      </c>
      <c r="J915" s="1" t="s">
        <v>3850</v>
      </c>
      <c r="K915" s="1" t="s">
        <v>78</v>
      </c>
      <c r="L915" s="4">
        <v>46666</v>
      </c>
      <c r="M915" s="1" t="s">
        <v>5735</v>
      </c>
    </row>
    <row r="916" spans="1:13" ht="15.75" customHeight="1" x14ac:dyDescent="0.35">
      <c r="A916" s="1" t="s">
        <v>81</v>
      </c>
      <c r="B916" s="1" t="s">
        <v>5780</v>
      </c>
      <c r="C916" s="1" t="s">
        <v>5800</v>
      </c>
      <c r="D916" s="1" t="s">
        <v>5735</v>
      </c>
      <c r="E916" s="1" t="s">
        <v>599</v>
      </c>
      <c r="F916" s="1" t="s">
        <v>5795</v>
      </c>
      <c r="G916" s="1" t="s">
        <v>74</v>
      </c>
      <c r="H916" s="1" t="s">
        <v>5819</v>
      </c>
      <c r="I916" s="1" t="s">
        <v>101</v>
      </c>
      <c r="J916" s="1" t="s">
        <v>5735</v>
      </c>
      <c r="K916" s="1" t="s">
        <v>78</v>
      </c>
      <c r="L916" s="4">
        <v>48888</v>
      </c>
      <c r="M916" s="1" t="s">
        <v>79</v>
      </c>
    </row>
    <row r="917" spans="1:13" ht="15.75" customHeight="1" x14ac:dyDescent="0.35">
      <c r="A917" s="1" t="s">
        <v>151</v>
      </c>
      <c r="B917" s="1" t="s">
        <v>5764</v>
      </c>
      <c r="C917" s="1" t="s">
        <v>5816</v>
      </c>
      <c r="D917" s="1" t="s">
        <v>5735</v>
      </c>
      <c r="E917" s="1" t="s">
        <v>5799</v>
      </c>
      <c r="F917" s="1" t="s">
        <v>5795</v>
      </c>
      <c r="G917" s="1" t="s">
        <v>1015</v>
      </c>
      <c r="H917" s="1" t="s">
        <v>5819</v>
      </c>
      <c r="I917" s="1" t="s">
        <v>725</v>
      </c>
      <c r="J917" s="1" t="s">
        <v>5225</v>
      </c>
      <c r="K917" s="1" t="s">
        <v>425</v>
      </c>
      <c r="L917" s="4">
        <v>105000</v>
      </c>
      <c r="M917" s="1" t="s">
        <v>166</v>
      </c>
    </row>
    <row r="918" spans="1:13" ht="15.75" customHeight="1" x14ac:dyDescent="0.35">
      <c r="A918" s="1" t="s">
        <v>30</v>
      </c>
      <c r="B918" s="1" t="s">
        <v>5810</v>
      </c>
      <c r="C918" s="1" t="s">
        <v>5816</v>
      </c>
      <c r="D918" s="1" t="s">
        <v>5735</v>
      </c>
      <c r="E918" s="1" t="s">
        <v>5799</v>
      </c>
      <c r="F918" s="1" t="s">
        <v>5792</v>
      </c>
      <c r="G918" s="1" t="s">
        <v>1015</v>
      </c>
      <c r="H918" s="1" t="s">
        <v>5796</v>
      </c>
      <c r="I918" s="1" t="s">
        <v>90</v>
      </c>
      <c r="J918" s="1" t="s">
        <v>3321</v>
      </c>
      <c r="K918" s="1" t="s">
        <v>165</v>
      </c>
      <c r="L918" s="4">
        <v>56800</v>
      </c>
      <c r="M918" s="1" t="s">
        <v>5735</v>
      </c>
    </row>
    <row r="919" spans="1:13" ht="15.75" customHeight="1" x14ac:dyDescent="0.35">
      <c r="A919" s="1" t="s">
        <v>112</v>
      </c>
      <c r="B919" s="1" t="s">
        <v>5810</v>
      </c>
      <c r="C919" s="1" t="s">
        <v>5794</v>
      </c>
      <c r="D919" s="1" t="s">
        <v>3231</v>
      </c>
      <c r="E919" s="1" t="s">
        <v>599</v>
      </c>
      <c r="F919" s="1" t="s">
        <v>5792</v>
      </c>
      <c r="G919" s="1" t="s">
        <v>74</v>
      </c>
      <c r="H919" s="1" t="s">
        <v>5735</v>
      </c>
      <c r="I919" s="1" t="s">
        <v>101</v>
      </c>
      <c r="J919" s="1" t="s">
        <v>5107</v>
      </c>
      <c r="K919" s="1" t="s">
        <v>78</v>
      </c>
      <c r="L919" s="4">
        <v>33999</v>
      </c>
      <c r="M919" s="1" t="s">
        <v>79</v>
      </c>
    </row>
    <row r="920" spans="1:13" ht="15.75" customHeight="1" x14ac:dyDescent="0.35">
      <c r="A920" s="1" t="s">
        <v>151</v>
      </c>
      <c r="B920" s="1" t="s">
        <v>5765</v>
      </c>
      <c r="C920" s="1" t="s">
        <v>5794</v>
      </c>
      <c r="D920" s="1" t="s">
        <v>5735</v>
      </c>
      <c r="E920" s="1" t="s">
        <v>5853</v>
      </c>
      <c r="F920" s="1" t="s">
        <v>5795</v>
      </c>
      <c r="G920" s="1" t="s">
        <v>1015</v>
      </c>
      <c r="H920" s="1" t="s">
        <v>5735</v>
      </c>
      <c r="I920" s="1" t="s">
        <v>101</v>
      </c>
      <c r="J920" s="1" t="s">
        <v>3321</v>
      </c>
      <c r="K920" s="1" t="s">
        <v>78</v>
      </c>
      <c r="L920" s="4">
        <v>23499</v>
      </c>
      <c r="M920" s="1" t="s">
        <v>79</v>
      </c>
    </row>
    <row r="921" spans="1:13" ht="15.75" customHeight="1" x14ac:dyDescent="0.35">
      <c r="A921" s="1" t="s">
        <v>151</v>
      </c>
      <c r="B921" s="1" t="s">
        <v>5764</v>
      </c>
      <c r="C921" s="1" t="s">
        <v>5794</v>
      </c>
      <c r="D921" s="1" t="s">
        <v>5735</v>
      </c>
      <c r="E921" s="1" t="s">
        <v>3816</v>
      </c>
      <c r="F921" s="1" t="s">
        <v>5795</v>
      </c>
      <c r="G921" s="1" t="s">
        <v>1015</v>
      </c>
      <c r="H921" s="1" t="s">
        <v>5735</v>
      </c>
      <c r="I921" s="1" t="s">
        <v>2991</v>
      </c>
      <c r="J921" s="1" t="s">
        <v>5735</v>
      </c>
      <c r="K921" s="1" t="s">
        <v>78</v>
      </c>
      <c r="L921" s="4">
        <v>33333</v>
      </c>
      <c r="M921" s="1" t="s">
        <v>1082</v>
      </c>
    </row>
    <row r="922" spans="1:13" ht="15.75" customHeight="1" x14ac:dyDescent="0.35">
      <c r="A922" s="1" t="s">
        <v>30</v>
      </c>
      <c r="B922" s="1" t="s">
        <v>5810</v>
      </c>
      <c r="C922" s="1" t="s">
        <v>5800</v>
      </c>
      <c r="D922" s="1" t="s">
        <v>5735</v>
      </c>
      <c r="E922" s="1" t="s">
        <v>3816</v>
      </c>
      <c r="F922" s="1" t="s">
        <v>5795</v>
      </c>
      <c r="G922" s="1" t="s">
        <v>74</v>
      </c>
      <c r="H922" s="1" t="s">
        <v>5819</v>
      </c>
      <c r="I922" s="1" t="s">
        <v>101</v>
      </c>
      <c r="J922" s="1" t="s">
        <v>2584</v>
      </c>
      <c r="K922" s="1" t="s">
        <v>78</v>
      </c>
      <c r="L922" s="4">
        <v>31249</v>
      </c>
      <c r="M922" s="1" t="s">
        <v>79</v>
      </c>
    </row>
    <row r="923" spans="1:13" ht="15.75" customHeight="1" x14ac:dyDescent="0.35">
      <c r="A923" s="1" t="s">
        <v>30</v>
      </c>
      <c r="B923" s="1" t="s">
        <v>5810</v>
      </c>
      <c r="C923" s="1" t="s">
        <v>5800</v>
      </c>
      <c r="D923" s="1" t="s">
        <v>5735</v>
      </c>
      <c r="E923" s="1" t="s">
        <v>3816</v>
      </c>
      <c r="F923" s="1" t="s">
        <v>5795</v>
      </c>
      <c r="G923" s="1" t="s">
        <v>74</v>
      </c>
      <c r="H923" s="1" t="s">
        <v>5819</v>
      </c>
      <c r="I923" s="1" t="s">
        <v>101</v>
      </c>
      <c r="J923" s="1" t="s">
        <v>2584</v>
      </c>
      <c r="K923" s="1" t="s">
        <v>78</v>
      </c>
      <c r="L923" s="4">
        <v>24999</v>
      </c>
      <c r="M923" s="1" t="s">
        <v>79</v>
      </c>
    </row>
    <row r="924" spans="1:13" ht="15.75" customHeight="1" x14ac:dyDescent="0.35">
      <c r="A924" s="1" t="s">
        <v>81</v>
      </c>
      <c r="B924" s="1" t="s">
        <v>5780</v>
      </c>
      <c r="C924" s="1" t="s">
        <v>5794</v>
      </c>
      <c r="D924" s="1" t="s">
        <v>5735</v>
      </c>
      <c r="E924" s="1" t="s">
        <v>3816</v>
      </c>
      <c r="F924" s="1" t="s">
        <v>5795</v>
      </c>
      <c r="G924" s="1" t="s">
        <v>74</v>
      </c>
      <c r="H924" s="1" t="s">
        <v>5735</v>
      </c>
      <c r="I924" s="1" t="s">
        <v>101</v>
      </c>
      <c r="J924" s="1" t="s">
        <v>5735</v>
      </c>
      <c r="K924" s="1" t="s">
        <v>78</v>
      </c>
      <c r="L924" s="4">
        <v>30999</v>
      </c>
      <c r="M924" s="1" t="s">
        <v>79</v>
      </c>
    </row>
    <row r="925" spans="1:13" ht="15.75" customHeight="1" x14ac:dyDescent="0.35">
      <c r="A925" s="1" t="s">
        <v>81</v>
      </c>
      <c r="B925" s="1" t="s">
        <v>5780</v>
      </c>
      <c r="C925" s="1" t="s">
        <v>5256</v>
      </c>
      <c r="D925" s="1" t="s">
        <v>5735</v>
      </c>
      <c r="E925" s="1" t="s">
        <v>3816</v>
      </c>
      <c r="F925" s="1" t="s">
        <v>5795</v>
      </c>
      <c r="G925" s="1" t="s">
        <v>74</v>
      </c>
      <c r="H925" s="1" t="s">
        <v>5819</v>
      </c>
      <c r="I925" s="1" t="s">
        <v>101</v>
      </c>
      <c r="J925" s="1" t="s">
        <v>5735</v>
      </c>
      <c r="K925" s="1" t="s">
        <v>78</v>
      </c>
      <c r="L925" s="4">
        <v>38999</v>
      </c>
      <c r="M925" s="1" t="s">
        <v>5735</v>
      </c>
    </row>
    <row r="926" spans="1:13" ht="15.75" customHeight="1" x14ac:dyDescent="0.35">
      <c r="A926" s="1" t="s">
        <v>81</v>
      </c>
      <c r="B926" s="1" t="s">
        <v>5780</v>
      </c>
      <c r="C926" s="1" t="s">
        <v>5256</v>
      </c>
      <c r="D926" s="1" t="s">
        <v>5735</v>
      </c>
      <c r="E926" s="1" t="s">
        <v>3816</v>
      </c>
      <c r="F926" s="1" t="s">
        <v>5795</v>
      </c>
      <c r="G926" s="1" t="s">
        <v>74</v>
      </c>
      <c r="H926" s="1" t="s">
        <v>5735</v>
      </c>
      <c r="I926" s="1" t="s">
        <v>101</v>
      </c>
      <c r="J926" s="1" t="s">
        <v>5735</v>
      </c>
      <c r="K926" s="1" t="s">
        <v>78</v>
      </c>
      <c r="L926" s="4">
        <v>38999</v>
      </c>
      <c r="M926" s="1" t="s">
        <v>5735</v>
      </c>
    </row>
    <row r="927" spans="1:13" ht="15.75" customHeight="1" x14ac:dyDescent="0.35">
      <c r="A927" s="1" t="s">
        <v>151</v>
      </c>
      <c r="B927" s="1" t="s">
        <v>5765</v>
      </c>
      <c r="C927" s="1" t="s">
        <v>5256</v>
      </c>
      <c r="D927" s="1" t="s">
        <v>5735</v>
      </c>
      <c r="E927" s="1" t="s">
        <v>3816</v>
      </c>
      <c r="F927" s="1" t="s">
        <v>5795</v>
      </c>
      <c r="G927" s="1" t="s">
        <v>1015</v>
      </c>
      <c r="H927" s="1" t="s">
        <v>5819</v>
      </c>
      <c r="I927" s="1" t="s">
        <v>101</v>
      </c>
      <c r="J927" s="1" t="s">
        <v>4389</v>
      </c>
      <c r="K927" s="1" t="s">
        <v>78</v>
      </c>
      <c r="L927" s="4">
        <v>30999</v>
      </c>
      <c r="M927" s="1" t="s">
        <v>5735</v>
      </c>
    </row>
    <row r="928" spans="1:13" ht="15.75" customHeight="1" x14ac:dyDescent="0.35">
      <c r="A928" s="1" t="s">
        <v>151</v>
      </c>
      <c r="B928" s="1" t="s">
        <v>5765</v>
      </c>
      <c r="C928" s="1" t="s">
        <v>5816</v>
      </c>
      <c r="D928" s="1" t="s">
        <v>5735</v>
      </c>
      <c r="E928" s="1" t="s">
        <v>3816</v>
      </c>
      <c r="F928" s="1" t="s">
        <v>5795</v>
      </c>
      <c r="G928" s="1" t="s">
        <v>1015</v>
      </c>
      <c r="H928" s="1" t="s">
        <v>5819</v>
      </c>
      <c r="I928" s="1" t="s">
        <v>101</v>
      </c>
      <c r="J928" s="1" t="s">
        <v>4389</v>
      </c>
      <c r="K928" s="1" t="s">
        <v>78</v>
      </c>
      <c r="L928" s="4">
        <v>36999</v>
      </c>
      <c r="M928" s="1" t="s">
        <v>5735</v>
      </c>
    </row>
    <row r="929" spans="1:13" ht="15.75" customHeight="1" x14ac:dyDescent="0.35">
      <c r="A929" s="1" t="s">
        <v>151</v>
      </c>
      <c r="B929" s="1" t="s">
        <v>5764</v>
      </c>
      <c r="C929" s="1" t="s">
        <v>5816</v>
      </c>
      <c r="D929" s="1" t="s">
        <v>5735</v>
      </c>
      <c r="E929" s="1" t="s">
        <v>5799</v>
      </c>
      <c r="F929" s="1" t="s">
        <v>5792</v>
      </c>
      <c r="G929" s="1" t="s">
        <v>1015</v>
      </c>
      <c r="H929" s="1" t="s">
        <v>5735</v>
      </c>
      <c r="I929" s="1" t="s">
        <v>725</v>
      </c>
      <c r="J929" s="1" t="s">
        <v>5282</v>
      </c>
      <c r="K929" s="1" t="s">
        <v>78</v>
      </c>
      <c r="L929" s="4">
        <v>119000</v>
      </c>
      <c r="M929" s="1" t="s">
        <v>5735</v>
      </c>
    </row>
    <row r="930" spans="1:13" ht="15.75" customHeight="1" x14ac:dyDescent="0.35">
      <c r="A930" s="1" t="s">
        <v>151</v>
      </c>
      <c r="B930" s="1" t="s">
        <v>5764</v>
      </c>
      <c r="C930" s="1" t="s">
        <v>5800</v>
      </c>
      <c r="D930" s="1" t="s">
        <v>5735</v>
      </c>
      <c r="E930" s="1" t="s">
        <v>599</v>
      </c>
      <c r="F930" s="1" t="s">
        <v>5792</v>
      </c>
      <c r="G930" s="1" t="s">
        <v>1015</v>
      </c>
      <c r="H930" s="1" t="s">
        <v>5735</v>
      </c>
      <c r="I930" s="1" t="s">
        <v>725</v>
      </c>
      <c r="J930" s="1" t="s">
        <v>5290</v>
      </c>
      <c r="K930" s="1" t="s">
        <v>78</v>
      </c>
      <c r="L930" s="4">
        <v>78000</v>
      </c>
      <c r="M930" s="1" t="s">
        <v>79</v>
      </c>
    </row>
    <row r="931" spans="1:13" ht="15.75" customHeight="1" x14ac:dyDescent="0.35">
      <c r="A931" s="1" t="s">
        <v>151</v>
      </c>
      <c r="B931" s="1" t="s">
        <v>5764</v>
      </c>
      <c r="C931" s="1" t="s">
        <v>5816</v>
      </c>
      <c r="D931" s="1" t="s">
        <v>5735</v>
      </c>
      <c r="E931" s="1" t="s">
        <v>5799</v>
      </c>
      <c r="F931" s="1" t="s">
        <v>5792</v>
      </c>
      <c r="G931" s="1" t="s">
        <v>1015</v>
      </c>
      <c r="H931" s="1" t="s">
        <v>5735</v>
      </c>
      <c r="I931" s="1" t="s">
        <v>725</v>
      </c>
      <c r="J931" s="1" t="s">
        <v>4562</v>
      </c>
      <c r="K931" s="1" t="s">
        <v>78</v>
      </c>
      <c r="L931" s="4">
        <v>118900</v>
      </c>
      <c r="M931" s="1" t="s">
        <v>5735</v>
      </c>
    </row>
    <row r="932" spans="1:13" ht="15.75" customHeight="1" x14ac:dyDescent="0.35">
      <c r="A932" s="1" t="s">
        <v>151</v>
      </c>
      <c r="B932" s="1" t="s">
        <v>5764</v>
      </c>
      <c r="C932" s="1" t="s">
        <v>5816</v>
      </c>
      <c r="D932" s="1" t="s">
        <v>5735</v>
      </c>
      <c r="E932" s="1" t="s">
        <v>599</v>
      </c>
      <c r="F932" s="1" t="s">
        <v>5792</v>
      </c>
      <c r="G932" s="1" t="s">
        <v>1015</v>
      </c>
      <c r="H932" s="1" t="s">
        <v>5819</v>
      </c>
      <c r="I932" s="1" t="s">
        <v>725</v>
      </c>
      <c r="J932" s="1" t="s">
        <v>4389</v>
      </c>
      <c r="K932" s="1" t="s">
        <v>78</v>
      </c>
      <c r="L932" s="4">
        <v>113000</v>
      </c>
      <c r="M932" s="1" t="s">
        <v>5735</v>
      </c>
    </row>
    <row r="933" spans="1:13" ht="15.75" customHeight="1" x14ac:dyDescent="0.35">
      <c r="A933" s="1" t="s">
        <v>151</v>
      </c>
      <c r="B933" s="1" t="s">
        <v>5764</v>
      </c>
      <c r="C933" s="1" t="s">
        <v>5816</v>
      </c>
      <c r="D933" s="1" t="s">
        <v>5735</v>
      </c>
      <c r="E933" s="1" t="s">
        <v>599</v>
      </c>
      <c r="F933" s="1" t="s">
        <v>5795</v>
      </c>
      <c r="G933" s="1" t="s">
        <v>1015</v>
      </c>
      <c r="H933" s="1" t="s">
        <v>5819</v>
      </c>
      <c r="I933" s="1" t="s">
        <v>725</v>
      </c>
      <c r="J933" s="1" t="s">
        <v>4389</v>
      </c>
      <c r="K933" s="1" t="s">
        <v>78</v>
      </c>
      <c r="L933" s="4">
        <v>100300</v>
      </c>
      <c r="M933" s="1" t="s">
        <v>5735</v>
      </c>
    </row>
    <row r="934" spans="1:13" ht="15.75" customHeight="1" x14ac:dyDescent="0.35">
      <c r="A934" s="1" t="s">
        <v>151</v>
      </c>
      <c r="B934" s="1" t="s">
        <v>5764</v>
      </c>
      <c r="C934" s="1" t="s">
        <v>5816</v>
      </c>
      <c r="D934" s="1" t="s">
        <v>5735</v>
      </c>
      <c r="E934" s="1" t="s">
        <v>599</v>
      </c>
      <c r="F934" s="1" t="s">
        <v>5795</v>
      </c>
      <c r="G934" s="1" t="s">
        <v>1015</v>
      </c>
      <c r="H934" s="1" t="s">
        <v>5735</v>
      </c>
      <c r="I934" s="1" t="s">
        <v>725</v>
      </c>
      <c r="J934" s="1" t="s">
        <v>4884</v>
      </c>
      <c r="K934" s="1" t="s">
        <v>78</v>
      </c>
      <c r="L934" s="4">
        <v>92000</v>
      </c>
      <c r="M934" s="1" t="s">
        <v>5735</v>
      </c>
    </row>
    <row r="935" spans="1:13" ht="15.75" customHeight="1" x14ac:dyDescent="0.35">
      <c r="A935" s="1" t="s">
        <v>151</v>
      </c>
      <c r="B935" s="1" t="s">
        <v>5764</v>
      </c>
      <c r="C935" s="1" t="s">
        <v>5256</v>
      </c>
      <c r="D935" s="1" t="s">
        <v>5735</v>
      </c>
      <c r="E935" s="1" t="s">
        <v>599</v>
      </c>
      <c r="F935" s="1" t="s">
        <v>5795</v>
      </c>
      <c r="G935" s="1" t="s">
        <v>1015</v>
      </c>
      <c r="H935" s="1" t="s">
        <v>5819</v>
      </c>
      <c r="I935" s="1" t="s">
        <v>725</v>
      </c>
      <c r="J935" s="1" t="s">
        <v>4389</v>
      </c>
      <c r="K935" s="1" t="s">
        <v>78</v>
      </c>
      <c r="L935" s="4">
        <v>80850</v>
      </c>
      <c r="M935" s="1" t="s">
        <v>5735</v>
      </c>
    </row>
    <row r="936" spans="1:13" ht="15.75" customHeight="1" x14ac:dyDescent="0.35">
      <c r="A936" s="1" t="s">
        <v>151</v>
      </c>
      <c r="B936" s="1" t="s">
        <v>5764</v>
      </c>
      <c r="C936" s="1" t="s">
        <v>5794</v>
      </c>
      <c r="D936" s="1" t="s">
        <v>5735</v>
      </c>
      <c r="E936" s="1" t="s">
        <v>3816</v>
      </c>
      <c r="F936" s="1" t="s">
        <v>5795</v>
      </c>
      <c r="G936" s="1" t="s">
        <v>1015</v>
      </c>
      <c r="H936" s="1" t="s">
        <v>5735</v>
      </c>
      <c r="I936" s="1" t="s">
        <v>101</v>
      </c>
      <c r="J936" s="1" t="s">
        <v>3547</v>
      </c>
      <c r="K936" s="1" t="s">
        <v>78</v>
      </c>
      <c r="L936" s="4">
        <v>36999</v>
      </c>
      <c r="M936" s="1" t="s">
        <v>79</v>
      </c>
    </row>
    <row r="937" spans="1:13" ht="15.75" customHeight="1" x14ac:dyDescent="0.35">
      <c r="A937" s="1" t="s">
        <v>151</v>
      </c>
      <c r="B937" s="1" t="s">
        <v>5764</v>
      </c>
      <c r="C937" s="1" t="s">
        <v>5816</v>
      </c>
      <c r="D937" s="1" t="s">
        <v>5735</v>
      </c>
      <c r="E937" s="1" t="s">
        <v>599</v>
      </c>
      <c r="F937" s="1" t="s">
        <v>5792</v>
      </c>
      <c r="G937" s="1" t="s">
        <v>1015</v>
      </c>
      <c r="H937" s="1" t="s">
        <v>5735</v>
      </c>
      <c r="I937" s="1" t="s">
        <v>101</v>
      </c>
      <c r="J937" s="1" t="s">
        <v>5165</v>
      </c>
      <c r="K937" s="1" t="s">
        <v>78</v>
      </c>
      <c r="L937" s="4">
        <v>57000</v>
      </c>
      <c r="M937" s="1" t="s">
        <v>5735</v>
      </c>
    </row>
    <row r="938" spans="1:13" ht="15.75" customHeight="1" x14ac:dyDescent="0.35">
      <c r="A938" s="1" t="s">
        <v>151</v>
      </c>
      <c r="B938" s="1" t="s">
        <v>5764</v>
      </c>
      <c r="C938" s="1" t="s">
        <v>5800</v>
      </c>
      <c r="D938" s="1" t="s">
        <v>5735</v>
      </c>
      <c r="E938" s="1" t="s">
        <v>599</v>
      </c>
      <c r="F938" s="1" t="s">
        <v>5795</v>
      </c>
      <c r="G938" s="1" t="s">
        <v>1015</v>
      </c>
      <c r="H938" s="1" t="s">
        <v>5735</v>
      </c>
      <c r="I938" s="1" t="s">
        <v>101</v>
      </c>
      <c r="J938" s="1" t="s">
        <v>5051</v>
      </c>
      <c r="K938" s="1" t="s">
        <v>78</v>
      </c>
      <c r="L938" s="4">
        <v>53000</v>
      </c>
      <c r="M938" s="1" t="s">
        <v>79</v>
      </c>
    </row>
    <row r="939" spans="1:13" ht="15.75" customHeight="1" x14ac:dyDescent="0.35">
      <c r="A939" s="1" t="s">
        <v>151</v>
      </c>
      <c r="B939" s="1" t="s">
        <v>5764</v>
      </c>
      <c r="C939" s="1" t="s">
        <v>5794</v>
      </c>
      <c r="D939" s="1" t="s">
        <v>5735</v>
      </c>
      <c r="E939" s="1" t="s">
        <v>3816</v>
      </c>
      <c r="F939" s="1" t="s">
        <v>5795</v>
      </c>
      <c r="G939" s="1" t="s">
        <v>1015</v>
      </c>
      <c r="H939" s="1" t="s">
        <v>5735</v>
      </c>
      <c r="I939" s="1" t="s">
        <v>101</v>
      </c>
      <c r="J939" s="1" t="s">
        <v>5051</v>
      </c>
      <c r="K939" s="1" t="s">
        <v>78</v>
      </c>
      <c r="L939" s="4">
        <v>40500</v>
      </c>
      <c r="M939" s="1" t="s">
        <v>79</v>
      </c>
    </row>
    <row r="940" spans="1:13" ht="15.75" customHeight="1" x14ac:dyDescent="0.35">
      <c r="A940" s="1" t="s">
        <v>151</v>
      </c>
      <c r="B940" s="1" t="s">
        <v>5764</v>
      </c>
      <c r="C940" s="1" t="s">
        <v>5256</v>
      </c>
      <c r="D940" s="1" t="s">
        <v>5735</v>
      </c>
      <c r="E940" s="1" t="s">
        <v>3816</v>
      </c>
      <c r="F940" s="1" t="s">
        <v>5795</v>
      </c>
      <c r="G940" s="1" t="s">
        <v>1015</v>
      </c>
      <c r="H940" s="1" t="s">
        <v>5735</v>
      </c>
      <c r="I940" s="1" t="s">
        <v>101</v>
      </c>
      <c r="J940" s="1" t="s">
        <v>3547</v>
      </c>
      <c r="K940" s="1" t="s">
        <v>78</v>
      </c>
      <c r="L940" s="4">
        <v>32333</v>
      </c>
      <c r="M940" s="1" t="s">
        <v>5735</v>
      </c>
    </row>
    <row r="941" spans="1:13" ht="15.75" customHeight="1" x14ac:dyDescent="0.35">
      <c r="A941" s="1" t="s">
        <v>151</v>
      </c>
      <c r="B941" s="1" t="s">
        <v>5764</v>
      </c>
      <c r="C941" s="1" t="s">
        <v>5816</v>
      </c>
      <c r="D941" s="1" t="s">
        <v>5735</v>
      </c>
      <c r="E941" s="1" t="s">
        <v>5799</v>
      </c>
      <c r="F941" s="1" t="s">
        <v>5792</v>
      </c>
      <c r="G941" s="1" t="s">
        <v>1015</v>
      </c>
      <c r="H941" s="1" t="s">
        <v>5819</v>
      </c>
      <c r="I941" s="1" t="s">
        <v>725</v>
      </c>
      <c r="J941" s="1" t="s">
        <v>5225</v>
      </c>
      <c r="K941" s="1" t="s">
        <v>425</v>
      </c>
      <c r="L941" s="4">
        <v>136599</v>
      </c>
      <c r="M941" s="1" t="s">
        <v>5735</v>
      </c>
    </row>
    <row r="942" spans="1:13" ht="15.75" customHeight="1" x14ac:dyDescent="0.35">
      <c r="A942" s="1" t="s">
        <v>3729</v>
      </c>
      <c r="B942" s="1" t="s">
        <v>5784</v>
      </c>
      <c r="C942" s="1" t="s">
        <v>5800</v>
      </c>
      <c r="D942" s="1" t="s">
        <v>5735</v>
      </c>
      <c r="E942" s="1" t="s">
        <v>599</v>
      </c>
      <c r="F942" s="1" t="s">
        <v>5795</v>
      </c>
      <c r="G942" s="1" t="s">
        <v>5854</v>
      </c>
      <c r="H942" s="1" t="s">
        <v>5735</v>
      </c>
      <c r="I942" s="1" t="s">
        <v>90</v>
      </c>
      <c r="J942" s="1" t="s">
        <v>5855</v>
      </c>
      <c r="K942" s="1" t="s">
        <v>78</v>
      </c>
      <c r="L942" s="4">
        <v>109999</v>
      </c>
      <c r="M942" s="1" t="s">
        <v>79</v>
      </c>
    </row>
    <row r="943" spans="1:13" ht="15.75" customHeight="1" x14ac:dyDescent="0.35">
      <c r="A943" s="1" t="s">
        <v>151</v>
      </c>
      <c r="B943" s="1" t="s">
        <v>5764</v>
      </c>
      <c r="C943" s="1" t="s">
        <v>5816</v>
      </c>
      <c r="D943" s="1" t="s">
        <v>5735</v>
      </c>
      <c r="E943" s="1" t="s">
        <v>599</v>
      </c>
      <c r="F943" s="1" t="s">
        <v>5792</v>
      </c>
      <c r="G943" s="1" t="s">
        <v>1015</v>
      </c>
      <c r="H943" s="1" t="s">
        <v>5819</v>
      </c>
      <c r="I943" s="1" t="s">
        <v>90</v>
      </c>
      <c r="J943" s="1" t="s">
        <v>5225</v>
      </c>
      <c r="K943" s="1" t="s">
        <v>425</v>
      </c>
      <c r="L943" s="4">
        <v>137999</v>
      </c>
      <c r="M943" s="1" t="s">
        <v>5735</v>
      </c>
    </row>
    <row r="944" spans="1:13" ht="15.75" customHeight="1" x14ac:dyDescent="0.35">
      <c r="A944" s="1" t="s">
        <v>81</v>
      </c>
      <c r="B944" s="1" t="s">
        <v>5780</v>
      </c>
      <c r="C944" s="1" t="s">
        <v>5794</v>
      </c>
      <c r="D944" s="1" t="s">
        <v>5735</v>
      </c>
      <c r="E944" s="1" t="s">
        <v>3816</v>
      </c>
      <c r="F944" s="1" t="s">
        <v>5830</v>
      </c>
      <c r="G944" s="1" t="s">
        <v>74</v>
      </c>
      <c r="H944" s="1" t="s">
        <v>5735</v>
      </c>
      <c r="I944" s="1" t="s">
        <v>101</v>
      </c>
      <c r="J944" s="1" t="s">
        <v>5735</v>
      </c>
      <c r="K944" s="1" t="s">
        <v>78</v>
      </c>
      <c r="L944" s="4">
        <v>33333</v>
      </c>
      <c r="M944" s="1" t="s">
        <v>166</v>
      </c>
    </row>
    <row r="945" spans="1:13" ht="15.75" customHeight="1" x14ac:dyDescent="0.35">
      <c r="A945" s="1" t="s">
        <v>151</v>
      </c>
      <c r="B945" s="1" t="s">
        <v>5764</v>
      </c>
      <c r="C945" s="1" t="s">
        <v>5800</v>
      </c>
      <c r="D945" s="1" t="s">
        <v>5735</v>
      </c>
      <c r="E945" s="1" t="s">
        <v>3816</v>
      </c>
      <c r="F945" s="1" t="s">
        <v>5795</v>
      </c>
      <c r="G945" s="1" t="s">
        <v>1015</v>
      </c>
      <c r="H945" s="1" t="s">
        <v>5735</v>
      </c>
      <c r="I945" s="1" t="s">
        <v>101</v>
      </c>
      <c r="J945" s="1" t="s">
        <v>3547</v>
      </c>
      <c r="K945" s="1" t="s">
        <v>78</v>
      </c>
      <c r="L945" s="4">
        <v>38888</v>
      </c>
      <c r="M945" s="1" t="s">
        <v>79</v>
      </c>
    </row>
    <row r="946" spans="1:13" ht="15.75" customHeight="1" x14ac:dyDescent="0.35">
      <c r="A946" s="1" t="s">
        <v>151</v>
      </c>
      <c r="B946" s="1" t="s">
        <v>5764</v>
      </c>
      <c r="C946" s="1" t="s">
        <v>5794</v>
      </c>
      <c r="D946" s="1" t="s">
        <v>5735</v>
      </c>
      <c r="E946" s="1" t="s">
        <v>3816</v>
      </c>
      <c r="F946" s="1" t="s">
        <v>5795</v>
      </c>
      <c r="G946" s="1" t="s">
        <v>1015</v>
      </c>
      <c r="H946" s="1" t="s">
        <v>5735</v>
      </c>
      <c r="I946" s="1" t="s">
        <v>101</v>
      </c>
      <c r="J946" s="1" t="s">
        <v>3547</v>
      </c>
      <c r="K946" s="1" t="s">
        <v>78</v>
      </c>
      <c r="L946" s="4">
        <v>33999</v>
      </c>
      <c r="M946" s="1" t="s">
        <v>79</v>
      </c>
    </row>
    <row r="947" spans="1:13" ht="15.75" customHeight="1" x14ac:dyDescent="0.35">
      <c r="A947" s="1" t="s">
        <v>151</v>
      </c>
      <c r="B947" s="1" t="s">
        <v>5764</v>
      </c>
      <c r="C947" s="1" t="s">
        <v>5794</v>
      </c>
      <c r="D947" s="1" t="s">
        <v>5735</v>
      </c>
      <c r="E947" s="1" t="s">
        <v>3816</v>
      </c>
      <c r="F947" s="1" t="s">
        <v>5795</v>
      </c>
      <c r="G947" s="1" t="s">
        <v>1015</v>
      </c>
      <c r="H947" s="1" t="s">
        <v>5735</v>
      </c>
      <c r="I947" s="1" t="s">
        <v>101</v>
      </c>
      <c r="J947" s="1" t="s">
        <v>5051</v>
      </c>
      <c r="K947" s="1" t="s">
        <v>78</v>
      </c>
      <c r="L947" s="4">
        <v>31999</v>
      </c>
      <c r="M947" s="1" t="s">
        <v>79</v>
      </c>
    </row>
    <row r="948" spans="1:13" ht="15.75" customHeight="1" x14ac:dyDescent="0.35">
      <c r="A948" s="1" t="s">
        <v>151</v>
      </c>
      <c r="B948" s="1" t="s">
        <v>5765</v>
      </c>
      <c r="C948" s="1" t="s">
        <v>5800</v>
      </c>
      <c r="D948" s="1" t="s">
        <v>4923</v>
      </c>
      <c r="E948" s="1" t="s">
        <v>3816</v>
      </c>
      <c r="F948" s="1" t="s">
        <v>5795</v>
      </c>
      <c r="G948" s="1" t="s">
        <v>74</v>
      </c>
      <c r="H948" s="1" t="s">
        <v>5735</v>
      </c>
      <c r="I948" s="1" t="s">
        <v>101</v>
      </c>
      <c r="J948" s="1" t="s">
        <v>3321</v>
      </c>
      <c r="K948" s="1" t="s">
        <v>78</v>
      </c>
      <c r="L948" s="4">
        <v>30999</v>
      </c>
      <c r="M948" s="1" t="s">
        <v>166</v>
      </c>
    </row>
    <row r="949" spans="1:13" ht="15.75" customHeight="1" x14ac:dyDescent="0.35">
      <c r="A949" s="1" t="s">
        <v>151</v>
      </c>
      <c r="B949" s="1" t="s">
        <v>5765</v>
      </c>
      <c r="C949" s="1" t="s">
        <v>5800</v>
      </c>
      <c r="D949" s="1" t="s">
        <v>4923</v>
      </c>
      <c r="E949" s="1" t="s">
        <v>3816</v>
      </c>
      <c r="F949" s="1" t="s">
        <v>5830</v>
      </c>
      <c r="G949" s="1" t="s">
        <v>74</v>
      </c>
      <c r="H949" s="1" t="s">
        <v>5735</v>
      </c>
      <c r="I949" s="1" t="s">
        <v>101</v>
      </c>
      <c r="J949" s="1" t="s">
        <v>3321</v>
      </c>
      <c r="K949" s="1" t="s">
        <v>78</v>
      </c>
      <c r="L949" s="4">
        <v>29999</v>
      </c>
      <c r="M949" s="1" t="s">
        <v>1082</v>
      </c>
    </row>
    <row r="950" spans="1:13" ht="15.75" customHeight="1" x14ac:dyDescent="0.35">
      <c r="A950" s="1" t="s">
        <v>81</v>
      </c>
      <c r="B950" s="1" t="s">
        <v>5780</v>
      </c>
      <c r="C950" s="1" t="s">
        <v>5794</v>
      </c>
      <c r="D950" s="1" t="s">
        <v>5735</v>
      </c>
      <c r="E950" s="1" t="s">
        <v>3816</v>
      </c>
      <c r="F950" s="1" t="s">
        <v>5795</v>
      </c>
      <c r="G950" s="1" t="s">
        <v>74</v>
      </c>
      <c r="H950" s="1" t="s">
        <v>5735</v>
      </c>
      <c r="I950" s="1" t="s">
        <v>2991</v>
      </c>
      <c r="J950" s="1" t="s">
        <v>3288</v>
      </c>
      <c r="K950" s="1" t="s">
        <v>78</v>
      </c>
      <c r="L950" s="4">
        <v>30499</v>
      </c>
      <c r="M950" s="1" t="s">
        <v>1082</v>
      </c>
    </row>
    <row r="951" spans="1:13" ht="15.75" customHeight="1" x14ac:dyDescent="0.35">
      <c r="A951" s="1" t="s">
        <v>81</v>
      </c>
      <c r="B951" s="1" t="s">
        <v>5780</v>
      </c>
      <c r="C951" s="1" t="s">
        <v>5794</v>
      </c>
      <c r="D951" s="1" t="s">
        <v>5735</v>
      </c>
      <c r="E951" s="1" t="s">
        <v>3231</v>
      </c>
      <c r="F951" s="1" t="s">
        <v>5856</v>
      </c>
      <c r="G951" s="1" t="s">
        <v>3829</v>
      </c>
      <c r="H951" s="1" t="s">
        <v>5735</v>
      </c>
      <c r="I951" s="1" t="s">
        <v>101</v>
      </c>
      <c r="J951" s="1" t="s">
        <v>5735</v>
      </c>
      <c r="K951" s="1" t="s">
        <v>78</v>
      </c>
      <c r="L951" s="4">
        <v>24999</v>
      </c>
      <c r="M951" s="1" t="s">
        <v>166</v>
      </c>
    </row>
    <row r="952" spans="1:13" ht="15.75" customHeight="1" x14ac:dyDescent="0.35">
      <c r="A952" s="1" t="s">
        <v>151</v>
      </c>
      <c r="B952" s="1" t="s">
        <v>5764</v>
      </c>
      <c r="C952" s="1" t="s">
        <v>5794</v>
      </c>
      <c r="D952" s="1" t="s">
        <v>4923</v>
      </c>
      <c r="E952" s="1" t="s">
        <v>3816</v>
      </c>
      <c r="F952" s="1" t="s">
        <v>5795</v>
      </c>
      <c r="G952" s="1" t="s">
        <v>1015</v>
      </c>
      <c r="H952" s="1" t="s">
        <v>5735</v>
      </c>
      <c r="I952" s="1" t="s">
        <v>101</v>
      </c>
      <c r="J952" s="1" t="s">
        <v>3547</v>
      </c>
      <c r="K952" s="1" t="s">
        <v>78</v>
      </c>
      <c r="L952" s="4">
        <v>38888</v>
      </c>
      <c r="M952" s="1" t="s">
        <v>79</v>
      </c>
    </row>
    <row r="953" spans="1:13" ht="15.75" customHeight="1" x14ac:dyDescent="0.35">
      <c r="A953" s="1" t="s">
        <v>151</v>
      </c>
      <c r="B953" s="1" t="s">
        <v>5765</v>
      </c>
      <c r="C953" s="1" t="s">
        <v>5800</v>
      </c>
      <c r="D953" s="1" t="s">
        <v>5735</v>
      </c>
      <c r="E953" s="1" t="s">
        <v>3816</v>
      </c>
      <c r="F953" s="1" t="s">
        <v>5795</v>
      </c>
      <c r="G953" s="1" t="s">
        <v>74</v>
      </c>
      <c r="H953" s="1" t="s">
        <v>5735</v>
      </c>
      <c r="I953" s="1" t="s">
        <v>101</v>
      </c>
      <c r="J953" s="1" t="s">
        <v>3321</v>
      </c>
      <c r="K953" s="1" t="s">
        <v>78</v>
      </c>
      <c r="L953" s="4">
        <v>29999</v>
      </c>
      <c r="M953" s="1" t="s">
        <v>166</v>
      </c>
    </row>
    <row r="954" spans="1:13" ht="15.75" customHeight="1" x14ac:dyDescent="0.35">
      <c r="A954" s="1" t="s">
        <v>3729</v>
      </c>
      <c r="B954" s="1" t="s">
        <v>5810</v>
      </c>
      <c r="C954" s="1" t="s">
        <v>5837</v>
      </c>
      <c r="D954" s="1" t="s">
        <v>5735</v>
      </c>
      <c r="E954" s="1" t="s">
        <v>599</v>
      </c>
      <c r="F954" s="1" t="s">
        <v>5795</v>
      </c>
      <c r="G954" s="1" t="s">
        <v>5847</v>
      </c>
      <c r="H954" s="1" t="s">
        <v>111</v>
      </c>
      <c r="I954" s="1" t="s">
        <v>90</v>
      </c>
      <c r="J954" s="1" t="s">
        <v>5392</v>
      </c>
      <c r="K954" s="1" t="s">
        <v>78</v>
      </c>
      <c r="L954" s="4">
        <v>79999</v>
      </c>
      <c r="M954" s="1" t="s">
        <v>5735</v>
      </c>
    </row>
    <row r="955" spans="1:13" ht="15.75" customHeight="1" x14ac:dyDescent="0.35">
      <c r="A955" s="1" t="s">
        <v>151</v>
      </c>
      <c r="B955" s="1" t="s">
        <v>5764</v>
      </c>
      <c r="C955" s="1" t="s">
        <v>5800</v>
      </c>
      <c r="D955" s="1" t="s">
        <v>4923</v>
      </c>
      <c r="E955" s="1" t="s">
        <v>599</v>
      </c>
      <c r="F955" s="1" t="s">
        <v>5795</v>
      </c>
      <c r="G955" s="1" t="s">
        <v>1015</v>
      </c>
      <c r="H955" s="1" t="s">
        <v>5735</v>
      </c>
      <c r="I955" s="1" t="s">
        <v>101</v>
      </c>
      <c r="J955" s="1" t="s">
        <v>3547</v>
      </c>
      <c r="K955" s="1" t="s">
        <v>78</v>
      </c>
      <c r="L955" s="4">
        <v>44444</v>
      </c>
      <c r="M955" s="1" t="s">
        <v>79</v>
      </c>
    </row>
    <row r="956" spans="1:13" ht="15.75" customHeight="1" x14ac:dyDescent="0.35">
      <c r="A956" s="1" t="s">
        <v>151</v>
      </c>
      <c r="B956" s="1" t="s">
        <v>5764</v>
      </c>
      <c r="C956" s="1" t="s">
        <v>5800</v>
      </c>
      <c r="D956" s="1" t="s">
        <v>5735</v>
      </c>
      <c r="E956" s="1" t="s">
        <v>599</v>
      </c>
      <c r="F956" s="1" t="s">
        <v>5795</v>
      </c>
      <c r="G956" s="1" t="s">
        <v>1015</v>
      </c>
      <c r="H956" s="1" t="s">
        <v>5735</v>
      </c>
      <c r="I956" s="1" t="s">
        <v>101</v>
      </c>
      <c r="J956" s="1" t="s">
        <v>3547</v>
      </c>
      <c r="K956" s="1" t="s">
        <v>78</v>
      </c>
      <c r="L956" s="4">
        <v>43999</v>
      </c>
      <c r="M956" s="1" t="s">
        <v>79</v>
      </c>
    </row>
    <row r="957" spans="1:13" ht="15.75" customHeight="1" x14ac:dyDescent="0.35">
      <c r="A957" s="1" t="s">
        <v>81</v>
      </c>
      <c r="B957" s="1" t="s">
        <v>5781</v>
      </c>
      <c r="C957" s="1" t="s">
        <v>5816</v>
      </c>
      <c r="D957" s="1" t="s">
        <v>5735</v>
      </c>
      <c r="E957" s="1" t="s">
        <v>599</v>
      </c>
      <c r="F957" s="1" t="s">
        <v>5792</v>
      </c>
      <c r="G957" s="1" t="s">
        <v>1015</v>
      </c>
      <c r="H957" s="1" t="s">
        <v>5819</v>
      </c>
      <c r="I957" s="1" t="s">
        <v>90</v>
      </c>
      <c r="J957" s="1" t="s">
        <v>1488</v>
      </c>
      <c r="K957" s="1" t="s">
        <v>78</v>
      </c>
      <c r="L957" s="4">
        <v>55999</v>
      </c>
      <c r="M957" s="1" t="s">
        <v>5735</v>
      </c>
    </row>
    <row r="958" spans="1:13" ht="15.75" customHeight="1" x14ac:dyDescent="0.35">
      <c r="A958" s="1" t="s">
        <v>112</v>
      </c>
      <c r="B958" s="1" t="s">
        <v>5778</v>
      </c>
      <c r="C958" s="1" t="s">
        <v>5256</v>
      </c>
      <c r="D958" s="1" t="s">
        <v>5735</v>
      </c>
      <c r="E958" s="1" t="s">
        <v>599</v>
      </c>
      <c r="F958" s="1" t="s">
        <v>5795</v>
      </c>
      <c r="G958" s="1" t="s">
        <v>1015</v>
      </c>
      <c r="H958" s="1" t="s">
        <v>5735</v>
      </c>
      <c r="I958" s="1" t="s">
        <v>90</v>
      </c>
      <c r="J958" s="1" t="s">
        <v>3601</v>
      </c>
      <c r="K958" s="1" t="s">
        <v>78</v>
      </c>
      <c r="L958" s="4">
        <v>38499</v>
      </c>
      <c r="M958" s="1" t="s">
        <v>5735</v>
      </c>
    </row>
    <row r="959" spans="1:13" ht="15.75" customHeight="1" x14ac:dyDescent="0.35">
      <c r="A959" s="1" t="s">
        <v>151</v>
      </c>
      <c r="B959" s="1" t="s">
        <v>5764</v>
      </c>
      <c r="C959" s="1" t="s">
        <v>5794</v>
      </c>
      <c r="D959" s="1" t="s">
        <v>5735</v>
      </c>
      <c r="E959" s="1" t="s">
        <v>3816</v>
      </c>
      <c r="F959" s="1" t="s">
        <v>5830</v>
      </c>
      <c r="G959" s="1" t="s">
        <v>1015</v>
      </c>
      <c r="H959" s="1" t="s">
        <v>5735</v>
      </c>
      <c r="I959" s="1" t="s">
        <v>2991</v>
      </c>
      <c r="J959" s="1" t="s">
        <v>5735</v>
      </c>
      <c r="K959" s="1" t="s">
        <v>78</v>
      </c>
      <c r="L959" s="4">
        <v>34999</v>
      </c>
      <c r="M959" s="1" t="s">
        <v>1082</v>
      </c>
    </row>
    <row r="960" spans="1:13" ht="15.75" customHeight="1" x14ac:dyDescent="0.35">
      <c r="A960" s="1" t="s">
        <v>3729</v>
      </c>
      <c r="B960" s="1" t="s">
        <v>5784</v>
      </c>
      <c r="C960" s="1" t="s">
        <v>5800</v>
      </c>
      <c r="D960" s="1" t="s">
        <v>5735</v>
      </c>
      <c r="E960" s="1" t="s">
        <v>599</v>
      </c>
      <c r="F960" s="1" t="s">
        <v>5830</v>
      </c>
      <c r="G960" s="1" t="s">
        <v>5847</v>
      </c>
      <c r="H960" s="1" t="s">
        <v>5735</v>
      </c>
      <c r="I960" s="1" t="s">
        <v>90</v>
      </c>
      <c r="J960" s="1" t="s">
        <v>781</v>
      </c>
      <c r="K960" s="1" t="s">
        <v>78</v>
      </c>
      <c r="L960" s="4">
        <v>79999</v>
      </c>
      <c r="M960" s="1" t="s">
        <v>166</v>
      </c>
    </row>
    <row r="961" spans="1:13" ht="15.75" customHeight="1" x14ac:dyDescent="0.35">
      <c r="A961" s="1" t="s">
        <v>112</v>
      </c>
      <c r="B961" s="1" t="s">
        <v>5810</v>
      </c>
      <c r="C961" s="1" t="s">
        <v>5800</v>
      </c>
      <c r="D961" s="1" t="s">
        <v>3231</v>
      </c>
      <c r="E961" s="1" t="s">
        <v>3816</v>
      </c>
      <c r="F961" s="1" t="s">
        <v>5795</v>
      </c>
      <c r="G961" s="1" t="s">
        <v>74</v>
      </c>
      <c r="H961" s="1" t="s">
        <v>5735</v>
      </c>
      <c r="I961" s="1" t="s">
        <v>101</v>
      </c>
      <c r="J961" s="1" t="s">
        <v>5107</v>
      </c>
      <c r="K961" s="1" t="s">
        <v>78</v>
      </c>
      <c r="L961" s="4">
        <v>40199</v>
      </c>
      <c r="M961" s="1" t="s">
        <v>79</v>
      </c>
    </row>
    <row r="962" spans="1:13" ht="15.75" customHeight="1" x14ac:dyDescent="0.35">
      <c r="A962" s="1" t="s">
        <v>81</v>
      </c>
      <c r="B962" s="1" t="s">
        <v>5780</v>
      </c>
      <c r="C962" s="1" t="s">
        <v>5794</v>
      </c>
      <c r="D962" s="1" t="s">
        <v>5735</v>
      </c>
      <c r="E962" s="1" t="s">
        <v>3816</v>
      </c>
      <c r="F962" s="1" t="s">
        <v>5830</v>
      </c>
      <c r="G962" s="1" t="s">
        <v>74</v>
      </c>
      <c r="H962" s="1" t="s">
        <v>5819</v>
      </c>
      <c r="I962" s="1" t="s">
        <v>725</v>
      </c>
      <c r="J962" s="1" t="s">
        <v>5138</v>
      </c>
      <c r="K962" s="1" t="s">
        <v>78</v>
      </c>
      <c r="L962" s="4">
        <v>30999</v>
      </c>
      <c r="M962" s="1" t="s">
        <v>79</v>
      </c>
    </row>
    <row r="963" spans="1:13" ht="15.75" customHeight="1" x14ac:dyDescent="0.35">
      <c r="A963" s="1" t="s">
        <v>151</v>
      </c>
      <c r="B963" s="1" t="s">
        <v>5765</v>
      </c>
      <c r="C963" s="1" t="s">
        <v>5800</v>
      </c>
      <c r="D963" s="1" t="s">
        <v>5735</v>
      </c>
      <c r="E963" s="1" t="s">
        <v>599</v>
      </c>
      <c r="F963" s="1" t="s">
        <v>5830</v>
      </c>
      <c r="G963" s="1" t="s">
        <v>74</v>
      </c>
      <c r="H963" s="1" t="s">
        <v>5735</v>
      </c>
      <c r="I963" s="1" t="s">
        <v>101</v>
      </c>
      <c r="J963" s="1" t="s">
        <v>3892</v>
      </c>
      <c r="K963" s="1" t="s">
        <v>78</v>
      </c>
      <c r="L963" s="4">
        <v>23999</v>
      </c>
      <c r="M963" s="1" t="s">
        <v>1082</v>
      </c>
    </row>
    <row r="964" spans="1:13" ht="15.75" customHeight="1" x14ac:dyDescent="0.35">
      <c r="A964" s="1" t="s">
        <v>81</v>
      </c>
      <c r="B964" s="1" t="s">
        <v>5781</v>
      </c>
      <c r="C964" s="1" t="s">
        <v>5800</v>
      </c>
      <c r="D964" s="1" t="s">
        <v>5735</v>
      </c>
      <c r="E964" s="1" t="s">
        <v>599</v>
      </c>
      <c r="F964" s="1" t="s">
        <v>5792</v>
      </c>
      <c r="G964" s="1" t="s">
        <v>1015</v>
      </c>
      <c r="H964" s="1" t="s">
        <v>5819</v>
      </c>
      <c r="I964" s="1" t="s">
        <v>90</v>
      </c>
      <c r="J964" s="1" t="s">
        <v>5441</v>
      </c>
      <c r="K964" s="1" t="s">
        <v>78</v>
      </c>
      <c r="L964" s="4">
        <v>52999</v>
      </c>
      <c r="M964" s="1" t="s">
        <v>79</v>
      </c>
    </row>
    <row r="965" spans="1:13" ht="15.75" customHeight="1" x14ac:dyDescent="0.35">
      <c r="A965" s="1" t="s">
        <v>112</v>
      </c>
      <c r="B965" s="1" t="s">
        <v>5810</v>
      </c>
      <c r="C965" s="1" t="s">
        <v>5794</v>
      </c>
      <c r="D965" s="1" t="s">
        <v>3231</v>
      </c>
      <c r="E965" s="1" t="s">
        <v>3816</v>
      </c>
      <c r="F965" s="1" t="s">
        <v>5795</v>
      </c>
      <c r="G965" s="1" t="s">
        <v>74</v>
      </c>
      <c r="H965" s="1" t="s">
        <v>5735</v>
      </c>
      <c r="I965" s="1" t="s">
        <v>101</v>
      </c>
      <c r="J965" s="1" t="s">
        <v>5107</v>
      </c>
      <c r="K965" s="1" t="s">
        <v>78</v>
      </c>
      <c r="L965" s="4">
        <v>31999</v>
      </c>
      <c r="M965" s="1" t="s">
        <v>79</v>
      </c>
    </row>
    <row r="966" spans="1:13" ht="15.75" customHeight="1" x14ac:dyDescent="0.35">
      <c r="A966" s="1" t="s">
        <v>151</v>
      </c>
      <c r="B966" s="1" t="s">
        <v>5764</v>
      </c>
      <c r="C966" s="1" t="s">
        <v>5794</v>
      </c>
      <c r="D966" s="1" t="s">
        <v>4923</v>
      </c>
      <c r="E966" s="1" t="s">
        <v>599</v>
      </c>
      <c r="F966" s="1" t="s">
        <v>5795</v>
      </c>
      <c r="G966" s="1" t="s">
        <v>74</v>
      </c>
      <c r="H966" s="1" t="s">
        <v>5735</v>
      </c>
      <c r="I966" s="1" t="s">
        <v>101</v>
      </c>
      <c r="J966" s="1" t="s">
        <v>3321</v>
      </c>
      <c r="K966" s="1" t="s">
        <v>78</v>
      </c>
      <c r="L966" s="4">
        <v>34777</v>
      </c>
      <c r="M966" s="1" t="s">
        <v>166</v>
      </c>
    </row>
    <row r="967" spans="1:13" ht="15.75" customHeight="1" x14ac:dyDescent="0.35">
      <c r="A967" s="1" t="s">
        <v>234</v>
      </c>
      <c r="B967" s="1" t="s">
        <v>5810</v>
      </c>
      <c r="C967" s="1" t="s">
        <v>5800</v>
      </c>
      <c r="D967" s="1" t="s">
        <v>5735</v>
      </c>
      <c r="E967" s="1" t="s">
        <v>599</v>
      </c>
      <c r="F967" s="1" t="s">
        <v>5795</v>
      </c>
      <c r="G967" s="1" t="s">
        <v>5831</v>
      </c>
      <c r="H967" s="1" t="s">
        <v>111</v>
      </c>
      <c r="I967" s="1" t="s">
        <v>90</v>
      </c>
      <c r="J967" s="1" t="s">
        <v>3321</v>
      </c>
      <c r="K967" s="1" t="s">
        <v>78</v>
      </c>
      <c r="L967" s="4">
        <v>36199</v>
      </c>
      <c r="M967" s="1" t="s">
        <v>79</v>
      </c>
    </row>
    <row r="968" spans="1:13" ht="15.75" customHeight="1" x14ac:dyDescent="0.35">
      <c r="A968" s="1" t="s">
        <v>151</v>
      </c>
      <c r="B968" s="1" t="s">
        <v>5764</v>
      </c>
      <c r="C968" s="1" t="s">
        <v>5800</v>
      </c>
      <c r="D968" s="1" t="s">
        <v>4923</v>
      </c>
      <c r="E968" s="1" t="s">
        <v>3816</v>
      </c>
      <c r="F968" s="1" t="s">
        <v>5795</v>
      </c>
      <c r="G968" s="1" t="s">
        <v>1015</v>
      </c>
      <c r="H968" s="1" t="s">
        <v>5735</v>
      </c>
      <c r="I968" s="1" t="s">
        <v>101</v>
      </c>
      <c r="J968" s="1" t="s">
        <v>3547</v>
      </c>
      <c r="K968" s="1" t="s">
        <v>78</v>
      </c>
      <c r="L968" s="4">
        <v>45999</v>
      </c>
      <c r="M968" s="1" t="s">
        <v>79</v>
      </c>
    </row>
    <row r="969" spans="1:13" ht="15.75" customHeight="1" x14ac:dyDescent="0.35">
      <c r="A969" s="1" t="s">
        <v>81</v>
      </c>
      <c r="B969" s="1" t="s">
        <v>5780</v>
      </c>
      <c r="C969" s="1" t="s">
        <v>5800</v>
      </c>
      <c r="D969" s="1" t="s">
        <v>5735</v>
      </c>
      <c r="E969" s="1" t="s">
        <v>599</v>
      </c>
      <c r="F969" s="1" t="s">
        <v>5795</v>
      </c>
      <c r="G969" s="1" t="s">
        <v>74</v>
      </c>
      <c r="H969" s="1" t="s">
        <v>5735</v>
      </c>
      <c r="I969" s="1" t="s">
        <v>101</v>
      </c>
      <c r="J969" s="1" t="s">
        <v>4135</v>
      </c>
      <c r="K969" s="1" t="s">
        <v>78</v>
      </c>
      <c r="L969" s="4">
        <v>55449</v>
      </c>
      <c r="M969" s="1" t="s">
        <v>79</v>
      </c>
    </row>
    <row r="970" spans="1:13" ht="15.75" customHeight="1" x14ac:dyDescent="0.35">
      <c r="A970" s="1" t="s">
        <v>81</v>
      </c>
      <c r="B970" s="1" t="s">
        <v>5780</v>
      </c>
      <c r="C970" s="1" t="s">
        <v>5800</v>
      </c>
      <c r="D970" s="1" t="s">
        <v>5735</v>
      </c>
      <c r="E970" s="1" t="s">
        <v>3816</v>
      </c>
      <c r="F970" s="1" t="s">
        <v>5795</v>
      </c>
      <c r="G970" s="1" t="s">
        <v>74</v>
      </c>
      <c r="H970" s="1" t="s">
        <v>5735</v>
      </c>
      <c r="I970" s="1" t="s">
        <v>101</v>
      </c>
      <c r="J970" s="1" t="s">
        <v>3302</v>
      </c>
      <c r="K970" s="1" t="s">
        <v>78</v>
      </c>
      <c r="L970" s="4">
        <v>56999</v>
      </c>
      <c r="M970" s="1" t="s">
        <v>79</v>
      </c>
    </row>
    <row r="971" spans="1:13" ht="15.75" customHeight="1" x14ac:dyDescent="0.35">
      <c r="A971" s="1" t="s">
        <v>81</v>
      </c>
      <c r="B971" s="1" t="s">
        <v>5780</v>
      </c>
      <c r="C971" s="1" t="s">
        <v>5794</v>
      </c>
      <c r="D971" s="1" t="s">
        <v>5735</v>
      </c>
      <c r="E971" s="1" t="s">
        <v>3816</v>
      </c>
      <c r="F971" s="1" t="s">
        <v>5830</v>
      </c>
      <c r="G971" s="1" t="s">
        <v>74</v>
      </c>
      <c r="H971" s="1" t="s">
        <v>5735</v>
      </c>
      <c r="I971" s="1" t="s">
        <v>101</v>
      </c>
      <c r="J971" s="1" t="s">
        <v>4873</v>
      </c>
      <c r="K971" s="1" t="s">
        <v>78</v>
      </c>
      <c r="L971" s="4">
        <v>25799</v>
      </c>
      <c r="M971" s="1" t="s">
        <v>1082</v>
      </c>
    </row>
    <row r="972" spans="1:13" ht="15.75" customHeight="1" x14ac:dyDescent="0.35">
      <c r="A972" s="1" t="s">
        <v>112</v>
      </c>
      <c r="B972" s="1" t="s">
        <v>5810</v>
      </c>
      <c r="C972" s="1" t="s">
        <v>5794</v>
      </c>
      <c r="D972" s="1" t="s">
        <v>5735</v>
      </c>
      <c r="E972" s="1" t="s">
        <v>599</v>
      </c>
      <c r="F972" s="1" t="s">
        <v>5830</v>
      </c>
      <c r="G972" s="1" t="s">
        <v>74</v>
      </c>
      <c r="H972" s="1" t="s">
        <v>5735</v>
      </c>
      <c r="I972" s="1" t="s">
        <v>725</v>
      </c>
      <c r="J972" s="1" t="s">
        <v>4389</v>
      </c>
      <c r="K972" s="1" t="s">
        <v>78</v>
      </c>
      <c r="L972" s="4">
        <v>38888</v>
      </c>
      <c r="M972" s="1" t="s">
        <v>79</v>
      </c>
    </row>
    <row r="973" spans="1:13" ht="15.75" customHeight="1" x14ac:dyDescent="0.35">
      <c r="A973" s="1" t="s">
        <v>112</v>
      </c>
      <c r="B973" s="1" t="s">
        <v>5810</v>
      </c>
      <c r="C973" s="1" t="s">
        <v>5794</v>
      </c>
      <c r="D973" s="1" t="s">
        <v>5735</v>
      </c>
      <c r="E973" s="1" t="s">
        <v>599</v>
      </c>
      <c r="F973" s="1" t="s">
        <v>5830</v>
      </c>
      <c r="G973" s="1" t="s">
        <v>3829</v>
      </c>
      <c r="H973" s="1" t="s">
        <v>5735</v>
      </c>
      <c r="I973" s="1" t="s">
        <v>725</v>
      </c>
      <c r="J973" s="1" t="s">
        <v>5107</v>
      </c>
      <c r="K973" s="1" t="s">
        <v>78</v>
      </c>
      <c r="L973" s="4">
        <v>38888</v>
      </c>
      <c r="M973" s="1" t="s">
        <v>79</v>
      </c>
    </row>
    <row r="974" spans="1:13" ht="15.75" customHeight="1" x14ac:dyDescent="0.35">
      <c r="A974" s="1" t="s">
        <v>81</v>
      </c>
      <c r="B974" s="1" t="s">
        <v>5780</v>
      </c>
      <c r="C974" s="1" t="s">
        <v>5794</v>
      </c>
      <c r="D974" s="1" t="s">
        <v>5735</v>
      </c>
      <c r="E974" s="1" t="s">
        <v>3816</v>
      </c>
      <c r="F974" s="1" t="s">
        <v>5795</v>
      </c>
      <c r="G974" s="1" t="s">
        <v>74</v>
      </c>
      <c r="H974" s="1" t="s">
        <v>5735</v>
      </c>
      <c r="I974" s="1" t="s">
        <v>101</v>
      </c>
      <c r="J974" s="1" t="s">
        <v>4135</v>
      </c>
      <c r="K974" s="1" t="s">
        <v>78</v>
      </c>
      <c r="L974" s="4">
        <v>43500</v>
      </c>
      <c r="M974" s="1" t="s">
        <v>166</v>
      </c>
    </row>
    <row r="975" spans="1:13" ht="15.75" customHeight="1" x14ac:dyDescent="0.35">
      <c r="A975" s="1" t="s">
        <v>112</v>
      </c>
      <c r="B975" s="1" t="s">
        <v>5810</v>
      </c>
      <c r="C975" s="1" t="s">
        <v>5794</v>
      </c>
      <c r="D975" s="1" t="s">
        <v>5735</v>
      </c>
      <c r="E975" s="1" t="s">
        <v>3816</v>
      </c>
      <c r="F975" s="1" t="s">
        <v>5795</v>
      </c>
      <c r="G975" s="1" t="s">
        <v>74</v>
      </c>
      <c r="H975" s="1" t="s">
        <v>5735</v>
      </c>
      <c r="I975" s="1" t="s">
        <v>90</v>
      </c>
      <c r="J975" s="1" t="s">
        <v>3850</v>
      </c>
      <c r="K975" s="1" t="s">
        <v>78</v>
      </c>
      <c r="L975" s="4">
        <v>39999</v>
      </c>
      <c r="M975" s="1" t="s">
        <v>1082</v>
      </c>
    </row>
    <row r="976" spans="1:13" ht="15.75" customHeight="1" x14ac:dyDescent="0.35">
      <c r="A976" s="1" t="s">
        <v>151</v>
      </c>
      <c r="B976" s="1" t="s">
        <v>5764</v>
      </c>
      <c r="C976" s="1" t="s">
        <v>5794</v>
      </c>
      <c r="D976" s="1" t="s">
        <v>5735</v>
      </c>
      <c r="E976" s="1" t="s">
        <v>3816</v>
      </c>
      <c r="F976" s="1" t="s">
        <v>5795</v>
      </c>
      <c r="G976" s="1" t="s">
        <v>74</v>
      </c>
      <c r="H976" s="1" t="s">
        <v>5735</v>
      </c>
      <c r="I976" s="1" t="s">
        <v>725</v>
      </c>
      <c r="J976" s="1" t="s">
        <v>5165</v>
      </c>
      <c r="K976" s="1" t="s">
        <v>78</v>
      </c>
      <c r="L976" s="4">
        <v>38899</v>
      </c>
      <c r="M976" s="1" t="s">
        <v>1082</v>
      </c>
    </row>
    <row r="977" spans="1:13" ht="15.75" customHeight="1" x14ac:dyDescent="0.35">
      <c r="A977" s="1" t="s">
        <v>112</v>
      </c>
      <c r="B977" s="1" t="s">
        <v>5810</v>
      </c>
      <c r="C977" s="1" t="s">
        <v>5800</v>
      </c>
      <c r="D977" s="1" t="s">
        <v>5735</v>
      </c>
      <c r="E977" s="1" t="s">
        <v>599</v>
      </c>
      <c r="F977" s="1" t="s">
        <v>5795</v>
      </c>
      <c r="G977" s="1" t="s">
        <v>1015</v>
      </c>
      <c r="H977" s="1" t="s">
        <v>5735</v>
      </c>
      <c r="I977" s="1" t="s">
        <v>2991</v>
      </c>
      <c r="J977" s="1" t="s">
        <v>4884</v>
      </c>
      <c r="K977" s="1" t="s">
        <v>425</v>
      </c>
      <c r="L977" s="4">
        <v>62499</v>
      </c>
      <c r="M977" s="1" t="s">
        <v>166</v>
      </c>
    </row>
    <row r="978" spans="1:13" ht="15.75" customHeight="1" x14ac:dyDescent="0.35">
      <c r="A978" s="1" t="s">
        <v>81</v>
      </c>
      <c r="B978" s="1" t="s">
        <v>5780</v>
      </c>
      <c r="C978" s="1" t="s">
        <v>5800</v>
      </c>
      <c r="D978" s="1" t="s">
        <v>5735</v>
      </c>
      <c r="E978" s="1" t="s">
        <v>3816</v>
      </c>
      <c r="F978" s="1" t="s">
        <v>5795</v>
      </c>
      <c r="G978" s="1" t="s">
        <v>74</v>
      </c>
      <c r="H978" s="1" t="s">
        <v>5819</v>
      </c>
      <c r="I978" s="1" t="s">
        <v>101</v>
      </c>
      <c r="J978" s="1" t="s">
        <v>3547</v>
      </c>
      <c r="K978" s="1" t="s">
        <v>78</v>
      </c>
      <c r="L978" s="4">
        <v>39888</v>
      </c>
      <c r="M978" s="1" t="s">
        <v>79</v>
      </c>
    </row>
    <row r="979" spans="1:13" ht="15.75" customHeight="1" x14ac:dyDescent="0.35">
      <c r="A979" s="1" t="s">
        <v>112</v>
      </c>
      <c r="B979" s="1" t="s">
        <v>5810</v>
      </c>
      <c r="C979" s="1" t="s">
        <v>5800</v>
      </c>
      <c r="D979" s="1" t="s">
        <v>4923</v>
      </c>
      <c r="E979" s="1" t="s">
        <v>599</v>
      </c>
      <c r="F979" s="1" t="s">
        <v>5795</v>
      </c>
      <c r="G979" s="1" t="s">
        <v>74</v>
      </c>
      <c r="H979" s="1" t="s">
        <v>5735</v>
      </c>
      <c r="I979" s="1" t="s">
        <v>101</v>
      </c>
      <c r="J979" s="1" t="s">
        <v>3850</v>
      </c>
      <c r="K979" s="1" t="s">
        <v>78</v>
      </c>
      <c r="L979" s="4">
        <v>36000</v>
      </c>
      <c r="M979" s="1" t="s">
        <v>166</v>
      </c>
    </row>
    <row r="980" spans="1:13" ht="15.75" customHeight="1" x14ac:dyDescent="0.35">
      <c r="A980" s="1" t="s">
        <v>81</v>
      </c>
      <c r="B980" s="1" t="s">
        <v>5780</v>
      </c>
      <c r="C980" s="1" t="s">
        <v>5794</v>
      </c>
      <c r="D980" s="1" t="s">
        <v>4923</v>
      </c>
      <c r="E980" s="1" t="s">
        <v>3816</v>
      </c>
      <c r="F980" s="1" t="s">
        <v>5830</v>
      </c>
      <c r="G980" s="1" t="s">
        <v>74</v>
      </c>
      <c r="H980" s="1" t="s">
        <v>5735</v>
      </c>
      <c r="I980" s="1" t="s">
        <v>101</v>
      </c>
      <c r="J980" s="1" t="s">
        <v>5107</v>
      </c>
      <c r="K980" s="1" t="s">
        <v>78</v>
      </c>
      <c r="L980" s="4">
        <v>31777</v>
      </c>
      <c r="M980" s="1" t="s">
        <v>1082</v>
      </c>
    </row>
    <row r="981" spans="1:13" ht="15.75" customHeight="1" x14ac:dyDescent="0.35">
      <c r="A981" s="1" t="s">
        <v>151</v>
      </c>
      <c r="B981" s="1" t="s">
        <v>5764</v>
      </c>
      <c r="C981" s="1" t="s">
        <v>5800</v>
      </c>
      <c r="D981" s="1" t="s">
        <v>4923</v>
      </c>
      <c r="E981" s="1" t="s">
        <v>3816</v>
      </c>
      <c r="F981" s="1" t="s">
        <v>5795</v>
      </c>
      <c r="G981" s="1" t="s">
        <v>74</v>
      </c>
      <c r="H981" s="1" t="s">
        <v>5735</v>
      </c>
      <c r="I981" s="1" t="s">
        <v>101</v>
      </c>
      <c r="J981" s="1" t="s">
        <v>5543</v>
      </c>
      <c r="K981" s="1" t="s">
        <v>78</v>
      </c>
      <c r="L981" s="4">
        <v>40999</v>
      </c>
      <c r="M981" s="1" t="s">
        <v>166</v>
      </c>
    </row>
    <row r="982" spans="1:13" ht="15.75" customHeight="1" x14ac:dyDescent="0.35">
      <c r="A982" s="1" t="s">
        <v>151</v>
      </c>
      <c r="B982" s="1" t="s">
        <v>5764</v>
      </c>
      <c r="C982" s="1" t="s">
        <v>5800</v>
      </c>
      <c r="D982" s="1" t="s">
        <v>4923</v>
      </c>
      <c r="E982" s="1" t="s">
        <v>3816</v>
      </c>
      <c r="F982" s="1" t="s">
        <v>5795</v>
      </c>
      <c r="G982" s="1" t="s">
        <v>74</v>
      </c>
      <c r="H982" s="1" t="s">
        <v>5735</v>
      </c>
      <c r="I982" s="1" t="s">
        <v>101</v>
      </c>
      <c r="J982" s="1" t="s">
        <v>3321</v>
      </c>
      <c r="K982" s="1" t="s">
        <v>78</v>
      </c>
      <c r="L982" s="4">
        <v>41777</v>
      </c>
      <c r="M982" s="1" t="s">
        <v>166</v>
      </c>
    </row>
    <row r="983" spans="1:13" ht="15.75" customHeight="1" x14ac:dyDescent="0.35">
      <c r="A983" s="1" t="s">
        <v>151</v>
      </c>
      <c r="B983" s="1" t="s">
        <v>5764</v>
      </c>
      <c r="C983" s="1" t="s">
        <v>5794</v>
      </c>
      <c r="D983" s="1" t="s">
        <v>4923</v>
      </c>
      <c r="E983" s="1" t="s">
        <v>3816</v>
      </c>
      <c r="F983" s="1" t="s">
        <v>5795</v>
      </c>
      <c r="G983" s="1" t="s">
        <v>74</v>
      </c>
      <c r="H983" s="1" t="s">
        <v>5735</v>
      </c>
      <c r="I983" s="1" t="s">
        <v>101</v>
      </c>
      <c r="J983" s="1" t="s">
        <v>3321</v>
      </c>
      <c r="K983" s="1" t="s">
        <v>78</v>
      </c>
      <c r="L983" s="4">
        <v>37999</v>
      </c>
      <c r="M983" s="1" t="s">
        <v>1082</v>
      </c>
    </row>
    <row r="984" spans="1:13" ht="15.75" customHeight="1" x14ac:dyDescent="0.35">
      <c r="A984" s="1" t="s">
        <v>81</v>
      </c>
      <c r="B984" s="1" t="s">
        <v>5780</v>
      </c>
      <c r="C984" s="1" t="s">
        <v>5794</v>
      </c>
      <c r="D984" s="1" t="s">
        <v>5735</v>
      </c>
      <c r="E984" s="1" t="s">
        <v>599</v>
      </c>
      <c r="F984" s="1" t="s">
        <v>5795</v>
      </c>
      <c r="G984" s="1" t="s">
        <v>74</v>
      </c>
      <c r="H984" s="1" t="s">
        <v>5735</v>
      </c>
      <c r="I984" s="1" t="s">
        <v>101</v>
      </c>
      <c r="J984" s="1" t="s">
        <v>5857</v>
      </c>
      <c r="K984" s="1" t="s">
        <v>78</v>
      </c>
      <c r="L984" s="4">
        <v>25000</v>
      </c>
      <c r="M984" s="1" t="s">
        <v>1082</v>
      </c>
    </row>
    <row r="985" spans="1:13" ht="15.75" customHeight="1" x14ac:dyDescent="0.35">
      <c r="A985" s="1" t="s">
        <v>151</v>
      </c>
      <c r="B985" s="1" t="s">
        <v>5764</v>
      </c>
      <c r="C985" s="1" t="s">
        <v>5800</v>
      </c>
      <c r="D985" s="1" t="s">
        <v>4923</v>
      </c>
      <c r="E985" s="1" t="s">
        <v>3816</v>
      </c>
      <c r="F985" s="1" t="s">
        <v>5795</v>
      </c>
      <c r="G985" s="1" t="s">
        <v>74</v>
      </c>
      <c r="H985" s="1" t="s">
        <v>5735</v>
      </c>
      <c r="I985" s="1" t="s">
        <v>101</v>
      </c>
      <c r="J985" s="1" t="s">
        <v>3321</v>
      </c>
      <c r="K985" s="1" t="s">
        <v>78</v>
      </c>
      <c r="L985" s="4">
        <v>35999</v>
      </c>
      <c r="M985" s="1" t="s">
        <v>1082</v>
      </c>
    </row>
    <row r="986" spans="1:13" ht="15.75" customHeight="1" x14ac:dyDescent="0.35">
      <c r="A986" s="1" t="s">
        <v>112</v>
      </c>
      <c r="B986" s="1" t="s">
        <v>5810</v>
      </c>
      <c r="C986" s="1" t="s">
        <v>5835</v>
      </c>
      <c r="D986" s="1" t="s">
        <v>5735</v>
      </c>
      <c r="E986" s="1" t="s">
        <v>3816</v>
      </c>
      <c r="F986" s="1" t="s">
        <v>5830</v>
      </c>
      <c r="G986" s="1" t="s">
        <v>3829</v>
      </c>
      <c r="H986" s="1" t="s">
        <v>5735</v>
      </c>
      <c r="I986" s="1" t="s">
        <v>1722</v>
      </c>
      <c r="J986" s="1" t="s">
        <v>1670</v>
      </c>
      <c r="K986" s="1" t="s">
        <v>78</v>
      </c>
      <c r="L986" s="4">
        <v>12999</v>
      </c>
      <c r="M986" s="1" t="s">
        <v>1082</v>
      </c>
    </row>
    <row r="987" spans="1:13" ht="15.75" customHeight="1" x14ac:dyDescent="0.35">
      <c r="A987" s="1" t="s">
        <v>81</v>
      </c>
      <c r="B987" s="1" t="s">
        <v>5780</v>
      </c>
      <c r="C987" s="1" t="s">
        <v>5794</v>
      </c>
      <c r="D987" s="1" t="s">
        <v>5735</v>
      </c>
      <c r="E987" s="1" t="s">
        <v>3816</v>
      </c>
      <c r="F987" s="1" t="s">
        <v>5830</v>
      </c>
      <c r="G987" s="1" t="s">
        <v>3829</v>
      </c>
      <c r="H987" s="1" t="s">
        <v>5735</v>
      </c>
      <c r="I987" s="1" t="s">
        <v>101</v>
      </c>
      <c r="J987" s="1" t="s">
        <v>5107</v>
      </c>
      <c r="K987" s="1" t="s">
        <v>78</v>
      </c>
      <c r="L987" s="4">
        <v>28899</v>
      </c>
      <c r="M987" s="1" t="s">
        <v>1082</v>
      </c>
    </row>
    <row r="988" spans="1:13" ht="15.75" customHeight="1" x14ac:dyDescent="0.35">
      <c r="A988" s="1" t="s">
        <v>81</v>
      </c>
      <c r="B988" s="1" t="s">
        <v>5780</v>
      </c>
      <c r="C988" s="1" t="s">
        <v>5800</v>
      </c>
      <c r="D988" s="1" t="s">
        <v>5735</v>
      </c>
      <c r="E988" s="1" t="s">
        <v>3816</v>
      </c>
      <c r="F988" s="1" t="s">
        <v>5795</v>
      </c>
      <c r="G988" s="1" t="s">
        <v>3829</v>
      </c>
      <c r="H988" s="1" t="s">
        <v>5735</v>
      </c>
      <c r="I988" s="1" t="s">
        <v>101</v>
      </c>
      <c r="J988" s="1" t="s">
        <v>5107</v>
      </c>
      <c r="K988" s="1" t="s">
        <v>78</v>
      </c>
      <c r="L988" s="4">
        <v>37888</v>
      </c>
      <c r="M988" s="1" t="s">
        <v>1082</v>
      </c>
    </row>
    <row r="989" spans="1:13" ht="15.75" customHeight="1" x14ac:dyDescent="0.35">
      <c r="A989" s="1" t="s">
        <v>112</v>
      </c>
      <c r="B989" s="1" t="s">
        <v>5810</v>
      </c>
      <c r="C989" s="1" t="s">
        <v>5800</v>
      </c>
      <c r="D989" s="1" t="s">
        <v>4923</v>
      </c>
      <c r="E989" s="1" t="s">
        <v>3816</v>
      </c>
      <c r="F989" s="1" t="s">
        <v>5795</v>
      </c>
      <c r="G989" s="1" t="s">
        <v>3829</v>
      </c>
      <c r="H989" s="1" t="s">
        <v>5735</v>
      </c>
      <c r="I989" s="1" t="s">
        <v>101</v>
      </c>
      <c r="J989" s="1" t="s">
        <v>3850</v>
      </c>
      <c r="K989" s="1" t="s">
        <v>78</v>
      </c>
      <c r="L989" s="4">
        <v>42499</v>
      </c>
      <c r="M989" s="1" t="s">
        <v>166</v>
      </c>
    </row>
    <row r="990" spans="1:13" ht="15.75" customHeight="1" x14ac:dyDescent="0.35">
      <c r="A990" s="1" t="s">
        <v>81</v>
      </c>
      <c r="B990" s="1" t="s">
        <v>5780</v>
      </c>
      <c r="C990" s="1" t="s">
        <v>5800</v>
      </c>
      <c r="D990" s="1" t="s">
        <v>5735</v>
      </c>
      <c r="E990" s="1" t="s">
        <v>3816</v>
      </c>
      <c r="F990" s="1" t="s">
        <v>5830</v>
      </c>
      <c r="G990" s="1" t="s">
        <v>3829</v>
      </c>
      <c r="H990" s="1" t="s">
        <v>5735</v>
      </c>
      <c r="I990" s="1" t="s">
        <v>101</v>
      </c>
      <c r="J990" s="1" t="s">
        <v>5107</v>
      </c>
      <c r="K990" s="1" t="s">
        <v>78</v>
      </c>
      <c r="L990" s="4">
        <v>28350</v>
      </c>
      <c r="M990" s="1" t="s">
        <v>1082</v>
      </c>
    </row>
    <row r="991" spans="1:13" ht="15.75" customHeight="1" x14ac:dyDescent="0.35">
      <c r="A991" s="1" t="s">
        <v>112</v>
      </c>
      <c r="B991" s="1" t="s">
        <v>5810</v>
      </c>
      <c r="C991" s="1" t="s">
        <v>5794</v>
      </c>
      <c r="D991" s="1" t="s">
        <v>4923</v>
      </c>
      <c r="E991" s="1" t="s">
        <v>3816</v>
      </c>
      <c r="F991" s="1" t="s">
        <v>5795</v>
      </c>
      <c r="G991" s="1" t="s">
        <v>3829</v>
      </c>
      <c r="H991" s="1" t="s">
        <v>5735</v>
      </c>
      <c r="I991" s="1" t="s">
        <v>101</v>
      </c>
      <c r="J991" s="1" t="s">
        <v>3850</v>
      </c>
      <c r="K991" s="1" t="s">
        <v>78</v>
      </c>
      <c r="L991" s="4">
        <v>29999</v>
      </c>
      <c r="M991" s="1" t="s">
        <v>166</v>
      </c>
    </row>
    <row r="992" spans="1:13" ht="15.75" customHeight="1" x14ac:dyDescent="0.35">
      <c r="A992" s="1" t="s">
        <v>81</v>
      </c>
      <c r="B992" s="1" t="s">
        <v>5783</v>
      </c>
      <c r="C992" s="1" t="s">
        <v>5800</v>
      </c>
      <c r="D992" s="1" t="s">
        <v>5735</v>
      </c>
      <c r="E992" s="1" t="s">
        <v>599</v>
      </c>
      <c r="F992" s="1" t="s">
        <v>5795</v>
      </c>
      <c r="G992" s="1" t="s">
        <v>74</v>
      </c>
      <c r="H992" s="1" t="s">
        <v>5735</v>
      </c>
      <c r="I992" s="1" t="s">
        <v>90</v>
      </c>
      <c r="J992" s="1" t="s">
        <v>5585</v>
      </c>
      <c r="K992" s="1" t="s">
        <v>78</v>
      </c>
      <c r="L992" s="4">
        <v>45650</v>
      </c>
      <c r="M992" s="1" t="s">
        <v>1082</v>
      </c>
    </row>
    <row r="993" spans="1:13" ht="15.75" customHeight="1" x14ac:dyDescent="0.35">
      <c r="A993" s="1" t="s">
        <v>81</v>
      </c>
      <c r="B993" s="1" t="s">
        <v>5783</v>
      </c>
      <c r="C993" s="1" t="s">
        <v>5794</v>
      </c>
      <c r="D993" s="1" t="s">
        <v>5735</v>
      </c>
      <c r="E993" s="1" t="s">
        <v>3816</v>
      </c>
      <c r="F993" s="1" t="s">
        <v>5795</v>
      </c>
      <c r="G993" s="1" t="s">
        <v>74</v>
      </c>
      <c r="H993" s="1" t="s">
        <v>5735</v>
      </c>
      <c r="I993" s="1" t="s">
        <v>90</v>
      </c>
      <c r="J993" s="1" t="s">
        <v>5585</v>
      </c>
      <c r="K993" s="1" t="s">
        <v>78</v>
      </c>
      <c r="L993" s="4">
        <v>33000</v>
      </c>
      <c r="M993" s="1" t="s">
        <v>1082</v>
      </c>
    </row>
    <row r="994" spans="1:13" ht="15.75" customHeight="1" x14ac:dyDescent="0.35">
      <c r="A994" s="1" t="s">
        <v>112</v>
      </c>
      <c r="B994" s="1" t="s">
        <v>5810</v>
      </c>
      <c r="C994" s="1" t="s">
        <v>5800</v>
      </c>
      <c r="D994" s="1" t="s">
        <v>4923</v>
      </c>
      <c r="E994" s="1" t="s">
        <v>3816</v>
      </c>
      <c r="F994" s="1" t="s">
        <v>5795</v>
      </c>
      <c r="G994" s="1" t="s">
        <v>74</v>
      </c>
      <c r="H994" s="1" t="s">
        <v>5735</v>
      </c>
      <c r="I994" s="1" t="s">
        <v>101</v>
      </c>
      <c r="J994" s="1" t="s">
        <v>3850</v>
      </c>
      <c r="K994" s="1" t="s">
        <v>78</v>
      </c>
      <c r="L994" s="4">
        <v>26249</v>
      </c>
      <c r="M994" s="1" t="s">
        <v>1082</v>
      </c>
    </row>
    <row r="995" spans="1:13" ht="15.75" customHeight="1" x14ac:dyDescent="0.35">
      <c r="A995" s="1" t="s">
        <v>112</v>
      </c>
      <c r="B995" s="1" t="s">
        <v>5810</v>
      </c>
      <c r="C995" s="1" t="s">
        <v>5800</v>
      </c>
      <c r="D995" s="1" t="s">
        <v>5735</v>
      </c>
      <c r="E995" s="1" t="s">
        <v>3816</v>
      </c>
      <c r="F995" s="1" t="s">
        <v>5795</v>
      </c>
      <c r="G995" s="1" t="s">
        <v>74</v>
      </c>
      <c r="H995" s="1" t="s">
        <v>5735</v>
      </c>
      <c r="I995" s="1" t="s">
        <v>101</v>
      </c>
      <c r="J995" s="1" t="s">
        <v>3850</v>
      </c>
      <c r="K995" s="1" t="s">
        <v>78</v>
      </c>
      <c r="L995" s="4">
        <v>27600</v>
      </c>
      <c r="M995" s="1" t="s">
        <v>1082</v>
      </c>
    </row>
    <row r="996" spans="1:13" ht="15.75" customHeight="1" x14ac:dyDescent="0.35">
      <c r="A996" s="1" t="s">
        <v>81</v>
      </c>
      <c r="B996" s="1" t="s">
        <v>5780</v>
      </c>
      <c r="C996" s="1" t="s">
        <v>5794</v>
      </c>
      <c r="D996" s="1" t="s">
        <v>4923</v>
      </c>
      <c r="E996" s="1" t="s">
        <v>3816</v>
      </c>
      <c r="F996" s="1" t="s">
        <v>5792</v>
      </c>
      <c r="G996" s="1" t="s">
        <v>3829</v>
      </c>
      <c r="H996" s="1" t="s">
        <v>5735</v>
      </c>
      <c r="I996" s="1" t="s">
        <v>101</v>
      </c>
      <c r="J996" s="1" t="s">
        <v>5107</v>
      </c>
      <c r="K996" s="1" t="s">
        <v>78</v>
      </c>
      <c r="L996" s="4">
        <v>17299</v>
      </c>
      <c r="M996" s="1" t="s">
        <v>1082</v>
      </c>
    </row>
    <row r="997" spans="1:13" ht="15.75" customHeight="1" x14ac:dyDescent="0.35">
      <c r="A997" s="1" t="s">
        <v>151</v>
      </c>
      <c r="B997" s="1" t="s">
        <v>5764</v>
      </c>
      <c r="C997" s="1" t="s">
        <v>5794</v>
      </c>
      <c r="D997" s="1" t="s">
        <v>4923</v>
      </c>
      <c r="E997" s="1" t="s">
        <v>3816</v>
      </c>
      <c r="F997" s="1" t="s">
        <v>5830</v>
      </c>
      <c r="G997" s="1" t="s">
        <v>74</v>
      </c>
      <c r="H997" s="1" t="s">
        <v>5735</v>
      </c>
      <c r="I997" s="1" t="s">
        <v>101</v>
      </c>
      <c r="J997" s="1" t="s">
        <v>5543</v>
      </c>
      <c r="K997" s="1" t="s">
        <v>78</v>
      </c>
      <c r="L997" s="4">
        <v>18999</v>
      </c>
      <c r="M997" s="1" t="s">
        <v>1082</v>
      </c>
    </row>
    <row r="998" spans="1:13" ht="15.75" customHeight="1" x14ac:dyDescent="0.35">
      <c r="A998" s="1" t="s">
        <v>151</v>
      </c>
      <c r="B998" s="1" t="s">
        <v>5764</v>
      </c>
      <c r="C998" s="1" t="s">
        <v>5794</v>
      </c>
      <c r="D998" s="1" t="s">
        <v>5735</v>
      </c>
      <c r="E998" s="1" t="s">
        <v>599</v>
      </c>
      <c r="F998" s="1" t="s">
        <v>5830</v>
      </c>
      <c r="G998" s="1" t="s">
        <v>74</v>
      </c>
      <c r="H998" s="1" t="s">
        <v>5735</v>
      </c>
      <c r="I998" s="1" t="s">
        <v>2991</v>
      </c>
      <c r="J998" s="1" t="s">
        <v>5858</v>
      </c>
      <c r="K998" s="1" t="s">
        <v>425</v>
      </c>
      <c r="L998" s="4">
        <v>33249</v>
      </c>
      <c r="M998" s="1" t="s">
        <v>1082</v>
      </c>
    </row>
    <row r="999" spans="1:13" ht="15.75" customHeight="1" x14ac:dyDescent="0.35">
      <c r="A999" s="1" t="s">
        <v>151</v>
      </c>
      <c r="B999" s="1" t="s">
        <v>5764</v>
      </c>
      <c r="C999" s="1" t="s">
        <v>5794</v>
      </c>
      <c r="D999" s="1" t="s">
        <v>5735</v>
      </c>
      <c r="E999" s="1" t="s">
        <v>599</v>
      </c>
      <c r="F999" s="1" t="s">
        <v>5830</v>
      </c>
      <c r="G999" s="1" t="s">
        <v>1015</v>
      </c>
      <c r="H999" s="1" t="s">
        <v>5735</v>
      </c>
      <c r="I999" s="1" t="s">
        <v>1722</v>
      </c>
      <c r="J999" s="1" t="s">
        <v>5809</v>
      </c>
      <c r="K999" s="1" t="s">
        <v>78</v>
      </c>
      <c r="L999" s="4">
        <v>42299</v>
      </c>
      <c r="M999" s="1" t="s">
        <v>1082</v>
      </c>
    </row>
    <row r="1000" spans="1:13" ht="15.75" customHeight="1" x14ac:dyDescent="0.35">
      <c r="A1000" s="1" t="s">
        <v>151</v>
      </c>
      <c r="B1000" s="1" t="s">
        <v>5764</v>
      </c>
      <c r="C1000" s="1" t="s">
        <v>5800</v>
      </c>
      <c r="D1000" s="1" t="s">
        <v>5735</v>
      </c>
      <c r="E1000" s="1" t="s">
        <v>599</v>
      </c>
      <c r="F1000" s="1" t="s">
        <v>5795</v>
      </c>
      <c r="G1000" s="1" t="s">
        <v>1015</v>
      </c>
      <c r="H1000" s="1" t="s">
        <v>5735</v>
      </c>
      <c r="I1000" s="1" t="s">
        <v>2991</v>
      </c>
      <c r="J1000" s="1" t="s">
        <v>5859</v>
      </c>
      <c r="K1000" s="1" t="s">
        <v>78</v>
      </c>
      <c r="L1000" s="4">
        <v>48349</v>
      </c>
      <c r="M1000" s="1" t="s">
        <v>1082</v>
      </c>
    </row>
    <row r="1001" spans="1:13" ht="15.75" customHeight="1" x14ac:dyDescent="0.35">
      <c r="A1001" s="1" t="s">
        <v>81</v>
      </c>
      <c r="B1001" s="1" t="s">
        <v>5780</v>
      </c>
      <c r="C1001" s="1" t="s">
        <v>5800</v>
      </c>
      <c r="D1001" s="1" t="s">
        <v>5735</v>
      </c>
      <c r="E1001" s="1" t="s">
        <v>3816</v>
      </c>
      <c r="F1001" s="1" t="s">
        <v>5792</v>
      </c>
      <c r="G1001" s="1" t="s">
        <v>3829</v>
      </c>
      <c r="H1001" s="1" t="s">
        <v>5735</v>
      </c>
      <c r="I1001" s="1" t="s">
        <v>101</v>
      </c>
      <c r="J1001" s="1" t="s">
        <v>5107</v>
      </c>
      <c r="K1001" s="1" t="s">
        <v>78</v>
      </c>
      <c r="L1001" s="4">
        <v>18699</v>
      </c>
      <c r="M1001" s="1" t="s">
        <v>1082</v>
      </c>
    </row>
    <row r="1002" spans="1:13" ht="15.75" customHeight="1" x14ac:dyDescent="0.35">
      <c r="A1002" s="1" t="s">
        <v>81</v>
      </c>
      <c r="B1002" s="1" t="s">
        <v>5780</v>
      </c>
      <c r="C1002" s="1" t="s">
        <v>5794</v>
      </c>
      <c r="D1002" s="1" t="s">
        <v>5735</v>
      </c>
      <c r="E1002" s="1" t="s">
        <v>3231</v>
      </c>
      <c r="F1002" s="1" t="s">
        <v>5792</v>
      </c>
      <c r="G1002" s="1" t="s">
        <v>3829</v>
      </c>
      <c r="H1002" s="1" t="s">
        <v>5735</v>
      </c>
      <c r="I1002" s="1" t="s">
        <v>101</v>
      </c>
      <c r="J1002" s="1" t="s">
        <v>5107</v>
      </c>
      <c r="K1002" s="1" t="s">
        <v>78</v>
      </c>
      <c r="L1002" s="4">
        <v>20000</v>
      </c>
      <c r="M1002" s="1" t="s">
        <v>1082</v>
      </c>
    </row>
    <row r="1003" spans="1:13" ht="15.75" customHeight="1" x14ac:dyDescent="0.35">
      <c r="A1003" s="1" t="s">
        <v>81</v>
      </c>
      <c r="B1003" s="1" t="s">
        <v>5780</v>
      </c>
      <c r="C1003" s="1" t="s">
        <v>5794</v>
      </c>
      <c r="D1003" s="1" t="s">
        <v>5735</v>
      </c>
      <c r="E1003" s="1" t="s">
        <v>3231</v>
      </c>
      <c r="F1003" s="1" t="s">
        <v>5830</v>
      </c>
      <c r="G1003" s="1" t="s">
        <v>3829</v>
      </c>
      <c r="H1003" s="1" t="s">
        <v>5735</v>
      </c>
      <c r="I1003" s="1" t="s">
        <v>101</v>
      </c>
      <c r="J1003" s="1" t="s">
        <v>3288</v>
      </c>
      <c r="K1003" s="1" t="s">
        <v>78</v>
      </c>
      <c r="L1003" s="4">
        <v>19950</v>
      </c>
      <c r="M1003" s="1" t="s">
        <v>1082</v>
      </c>
    </row>
    <row r="1004" spans="1:13" ht="15.75" customHeight="1" x14ac:dyDescent="0.35">
      <c r="A1004" s="1" t="s">
        <v>81</v>
      </c>
      <c r="B1004" s="1" t="s">
        <v>5780</v>
      </c>
      <c r="C1004" s="1" t="s">
        <v>5794</v>
      </c>
      <c r="D1004" s="1" t="s">
        <v>5735</v>
      </c>
      <c r="E1004" s="1" t="s">
        <v>3231</v>
      </c>
      <c r="F1004" s="1" t="s">
        <v>5830</v>
      </c>
      <c r="G1004" s="1" t="s">
        <v>3829</v>
      </c>
      <c r="H1004" s="1" t="s">
        <v>5735</v>
      </c>
      <c r="I1004" s="1" t="s">
        <v>101</v>
      </c>
      <c r="J1004" s="1" t="s">
        <v>5857</v>
      </c>
      <c r="K1004" s="1" t="s">
        <v>78</v>
      </c>
      <c r="L1004" s="4">
        <v>18599</v>
      </c>
      <c r="M1004" s="1" t="s">
        <v>1082</v>
      </c>
    </row>
    <row r="1005" spans="1:13" ht="15.75" customHeight="1" x14ac:dyDescent="0.35">
      <c r="A1005" s="1" t="s">
        <v>81</v>
      </c>
      <c r="B1005" s="1" t="s">
        <v>5780</v>
      </c>
      <c r="C1005" s="1" t="s">
        <v>5794</v>
      </c>
      <c r="D1005" s="1" t="s">
        <v>5735</v>
      </c>
      <c r="E1005" s="1" t="s">
        <v>3816</v>
      </c>
      <c r="F1005" s="1" t="s">
        <v>5792</v>
      </c>
      <c r="G1005" s="1" t="s">
        <v>3829</v>
      </c>
      <c r="H1005" s="1" t="s">
        <v>5735</v>
      </c>
      <c r="I1005" s="1" t="s">
        <v>101</v>
      </c>
      <c r="J1005" s="1" t="s">
        <v>5107</v>
      </c>
      <c r="K1005" s="1" t="s">
        <v>78</v>
      </c>
      <c r="L1005" s="4">
        <v>21750</v>
      </c>
      <c r="M1005" s="1" t="s">
        <v>1082</v>
      </c>
    </row>
    <row r="1006" spans="1:13" ht="15.75" customHeight="1" x14ac:dyDescent="0.35">
      <c r="A1006" s="1" t="s">
        <v>151</v>
      </c>
      <c r="B1006" s="1" t="s">
        <v>5764</v>
      </c>
      <c r="C1006" s="1" t="s">
        <v>5794</v>
      </c>
      <c r="D1006" s="1" t="s">
        <v>4923</v>
      </c>
      <c r="E1006" s="1" t="s">
        <v>3816</v>
      </c>
      <c r="F1006" s="1" t="s">
        <v>5830</v>
      </c>
      <c r="G1006" s="1" t="s">
        <v>74</v>
      </c>
      <c r="H1006" s="1" t="s">
        <v>5735</v>
      </c>
      <c r="I1006" s="1" t="s">
        <v>101</v>
      </c>
      <c r="J1006" s="1" t="s">
        <v>3321</v>
      </c>
      <c r="K1006" s="1" t="s">
        <v>78</v>
      </c>
      <c r="L1006" s="4">
        <v>15407</v>
      </c>
      <c r="M1006" s="1" t="s">
        <v>1082</v>
      </c>
    </row>
    <row r="1007" spans="1:13" ht="15.75" customHeight="1" x14ac:dyDescent="0.35">
      <c r="A1007" s="1" t="s">
        <v>151</v>
      </c>
      <c r="B1007" s="1" t="s">
        <v>5765</v>
      </c>
      <c r="C1007" s="1" t="s">
        <v>5794</v>
      </c>
      <c r="D1007" s="1" t="s">
        <v>4923</v>
      </c>
      <c r="E1007" s="1" t="s">
        <v>3816</v>
      </c>
      <c r="F1007" s="1" t="s">
        <v>5792</v>
      </c>
      <c r="G1007" s="1" t="s">
        <v>74</v>
      </c>
      <c r="H1007" s="1" t="s">
        <v>5735</v>
      </c>
      <c r="I1007" s="1" t="s">
        <v>101</v>
      </c>
      <c r="J1007" s="1" t="s">
        <v>359</v>
      </c>
      <c r="K1007" s="1" t="s">
        <v>78</v>
      </c>
      <c r="L1007" s="4">
        <v>35000</v>
      </c>
      <c r="M1007" s="1" t="s">
        <v>1082</v>
      </c>
    </row>
    <row r="1008" spans="1:13" ht="15.75" customHeight="1" x14ac:dyDescent="0.35">
      <c r="A1008" s="1" t="s">
        <v>151</v>
      </c>
      <c r="B1008" s="1" t="s">
        <v>5765</v>
      </c>
      <c r="C1008" s="1" t="s">
        <v>5794</v>
      </c>
      <c r="D1008" s="1" t="s">
        <v>4923</v>
      </c>
      <c r="E1008" s="1" t="s">
        <v>3816</v>
      </c>
      <c r="F1008" s="1" t="s">
        <v>5792</v>
      </c>
      <c r="G1008" s="1" t="s">
        <v>74</v>
      </c>
      <c r="H1008" s="1" t="s">
        <v>5819</v>
      </c>
      <c r="I1008" s="1" t="s">
        <v>101</v>
      </c>
      <c r="J1008" s="1" t="s">
        <v>2584</v>
      </c>
      <c r="K1008" s="1" t="s">
        <v>78</v>
      </c>
      <c r="L1008" s="4">
        <v>20000</v>
      </c>
      <c r="M1008" s="1" t="s">
        <v>2181</v>
      </c>
    </row>
    <row r="1009" spans="1:13" ht="15.75" customHeight="1" x14ac:dyDescent="0.35">
      <c r="A1009" s="1" t="s">
        <v>81</v>
      </c>
      <c r="B1009" s="1" t="s">
        <v>5780</v>
      </c>
      <c r="C1009" s="1" t="s">
        <v>5794</v>
      </c>
      <c r="D1009" s="1" t="s">
        <v>4923</v>
      </c>
      <c r="E1009" s="1" t="s">
        <v>3816</v>
      </c>
      <c r="F1009" s="1" t="s">
        <v>5792</v>
      </c>
      <c r="G1009" s="1" t="s">
        <v>74</v>
      </c>
      <c r="H1009" s="1" t="s">
        <v>5819</v>
      </c>
      <c r="I1009" s="1" t="s">
        <v>101</v>
      </c>
      <c r="J1009" s="1" t="s">
        <v>5107</v>
      </c>
      <c r="K1009" s="1" t="s">
        <v>78</v>
      </c>
      <c r="L1009" s="4">
        <v>25000</v>
      </c>
      <c r="M1009" s="1" t="s">
        <v>2181</v>
      </c>
    </row>
    <row r="1010" spans="1:13" ht="15.75" customHeight="1" x14ac:dyDescent="0.35">
      <c r="A1010" s="1" t="s">
        <v>234</v>
      </c>
      <c r="B1010" s="1" t="s">
        <v>5766</v>
      </c>
      <c r="C1010" s="1" t="s">
        <v>5801</v>
      </c>
      <c r="D1010" s="1" t="s">
        <v>2870</v>
      </c>
      <c r="E1010" s="1" t="s">
        <v>5789</v>
      </c>
      <c r="F1010" s="1" t="s">
        <v>5805</v>
      </c>
      <c r="G1010" s="1" t="s">
        <v>5831</v>
      </c>
      <c r="H1010" s="1" t="s">
        <v>111</v>
      </c>
      <c r="I1010" s="1" t="s">
        <v>90</v>
      </c>
      <c r="J1010" s="1" t="s">
        <v>359</v>
      </c>
      <c r="K1010" s="1" t="s">
        <v>78</v>
      </c>
      <c r="L1010" s="4">
        <v>69499</v>
      </c>
      <c r="M1010" s="1" t="s">
        <v>5735</v>
      </c>
    </row>
    <row r="1011" spans="1:13" ht="15.75" customHeight="1" x14ac:dyDescent="0.35">
      <c r="A1011" s="1" t="s">
        <v>112</v>
      </c>
      <c r="B1011" s="1" t="s">
        <v>5810</v>
      </c>
      <c r="C1011" s="1" t="s">
        <v>5800</v>
      </c>
      <c r="D1011" s="1" t="s">
        <v>5735</v>
      </c>
      <c r="E1011" s="1" t="s">
        <v>599</v>
      </c>
      <c r="F1011" s="1" t="s">
        <v>5795</v>
      </c>
      <c r="G1011" s="1" t="s">
        <v>5860</v>
      </c>
      <c r="H1011" s="1" t="s">
        <v>5735</v>
      </c>
      <c r="I1011" s="1" t="s">
        <v>90</v>
      </c>
      <c r="J1011" s="1" t="s">
        <v>5705</v>
      </c>
      <c r="K1011" s="1" t="s">
        <v>78</v>
      </c>
      <c r="L1011" s="4">
        <v>68888</v>
      </c>
      <c r="M1011" s="1" t="s">
        <v>79</v>
      </c>
    </row>
    <row r="1012" spans="1:13" ht="15.75" customHeight="1" x14ac:dyDescent="0.35">
      <c r="A1012" s="1" t="s">
        <v>234</v>
      </c>
      <c r="B1012" s="1" t="s">
        <v>5810</v>
      </c>
      <c r="C1012" s="1" t="s">
        <v>5806</v>
      </c>
      <c r="D1012" s="1" t="s">
        <v>3231</v>
      </c>
      <c r="E1012" s="1" t="s">
        <v>5799</v>
      </c>
      <c r="F1012" s="1" t="s">
        <v>5792</v>
      </c>
      <c r="G1012" s="1" t="s">
        <v>1015</v>
      </c>
      <c r="H1012" s="1" t="s">
        <v>111</v>
      </c>
      <c r="I1012" s="1" t="s">
        <v>1722</v>
      </c>
      <c r="J1012" s="1" t="s">
        <v>4249</v>
      </c>
      <c r="K1012" s="1" t="s">
        <v>165</v>
      </c>
      <c r="L1012" s="4">
        <v>89999</v>
      </c>
      <c r="M1012" s="1" t="s">
        <v>5735</v>
      </c>
    </row>
    <row r="1013" spans="1:13" ht="15.75" customHeight="1" x14ac:dyDescent="0.35">
      <c r="A1013" s="1" t="s">
        <v>234</v>
      </c>
      <c r="B1013" s="1" t="s">
        <v>5810</v>
      </c>
      <c r="C1013" s="1" t="s">
        <v>5788</v>
      </c>
      <c r="D1013" s="1" t="s">
        <v>3231</v>
      </c>
      <c r="E1013" s="1" t="s">
        <v>599</v>
      </c>
      <c r="F1013" s="1" t="s">
        <v>5792</v>
      </c>
      <c r="G1013" s="1" t="s">
        <v>38</v>
      </c>
      <c r="H1013" s="1" t="s">
        <v>5819</v>
      </c>
      <c r="I1013" s="1" t="s">
        <v>90</v>
      </c>
      <c r="J1013" s="1" t="s">
        <v>5828</v>
      </c>
      <c r="K1013" s="1" t="s">
        <v>165</v>
      </c>
      <c r="L1013" s="4">
        <v>106000</v>
      </c>
      <c r="M1013" s="1" t="s">
        <v>166</v>
      </c>
    </row>
    <row r="1014" spans="1:13" ht="15.75" customHeight="1" x14ac:dyDescent="0.35">
      <c r="A1014" s="1" t="s">
        <v>5735</v>
      </c>
      <c r="B1014" s="1" t="s">
        <v>5810</v>
      </c>
      <c r="C1014" s="1" t="s">
        <v>5808</v>
      </c>
      <c r="D1014" s="1" t="s">
        <v>3231</v>
      </c>
      <c r="E1014" s="1" t="s">
        <v>599</v>
      </c>
      <c r="F1014" s="1" t="s">
        <v>5792</v>
      </c>
      <c r="G1014" s="1" t="s">
        <v>38</v>
      </c>
      <c r="H1014" s="1" t="s">
        <v>5735</v>
      </c>
      <c r="I1014" s="1" t="s">
        <v>1722</v>
      </c>
      <c r="J1014" s="1" t="s">
        <v>923</v>
      </c>
      <c r="K1014" s="1" t="s">
        <v>165</v>
      </c>
      <c r="L1014" s="4">
        <v>34888</v>
      </c>
      <c r="M1014" s="1" t="s">
        <v>5735</v>
      </c>
    </row>
    <row r="1015" spans="1:13" ht="15.75" customHeight="1" x14ac:dyDescent="0.35">
      <c r="A1015" s="1" t="s">
        <v>5735</v>
      </c>
      <c r="B1015" s="1" t="s">
        <v>5810</v>
      </c>
      <c r="C1015" s="1" t="s">
        <v>5806</v>
      </c>
      <c r="D1015" s="1" t="s">
        <v>2870</v>
      </c>
      <c r="E1015" s="1" t="s">
        <v>599</v>
      </c>
      <c r="F1015" s="1" t="s">
        <v>5792</v>
      </c>
      <c r="G1015" s="1" t="s">
        <v>1371</v>
      </c>
      <c r="H1015" s="1" t="s">
        <v>111</v>
      </c>
      <c r="I1015" s="1" t="s">
        <v>1722</v>
      </c>
      <c r="J1015" s="1" t="s">
        <v>3338</v>
      </c>
      <c r="K1015" s="1" t="s">
        <v>165</v>
      </c>
      <c r="L1015" s="4">
        <v>45100</v>
      </c>
      <c r="M1015" s="1" t="s">
        <v>5735</v>
      </c>
    </row>
  </sheetData>
  <autoFilter ref="A1:M1015" xr:uid="{00000000-0009-0000-0000-000003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Raw_laptops_Dataset</vt:lpstr>
      <vt:lpstr>Worksheet</vt:lpstr>
      <vt:lpstr>Family_Map</vt: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2026-02-18T21:22:50Z</dcterms:created>
  <dcterms:modified xsi:type="dcterms:W3CDTF">2026-03-26T12:43:22Z</dcterms:modified>
</cp:coreProperties>
</file>